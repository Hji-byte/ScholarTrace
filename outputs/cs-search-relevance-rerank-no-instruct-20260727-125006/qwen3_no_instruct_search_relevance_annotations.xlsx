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1f7fe4ef1b4371" /></Relationships>
</file>

<file path=xl/workbook.xml><?xml version="1.0" encoding="utf-8"?>
<x:workbook xmlns:x="http://schemas.openxmlformats.org/spreadsheetml/2006/main">
  <x:sheets>
    <x:sheet xmlns:r="http://schemas.openxmlformats.org/officeDocument/2006/relationships" name="README" sheetId="1" r:id="R898ae9422a9a465f"/>
    <x:sheet xmlns:r="http://schemas.openxmlformats.org/officeDocument/2006/relationships" name="Summary" sheetId="2" r:id="Rbfbb1a8dd6234d19"/>
    <x:sheet xmlns:r="http://schemas.openxmlformats.org/officeDocument/2006/relationships" name="Annotations" sheetId="3" r:id="R4743c5f2a9b64d2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
  </x:numFmts>
  <x:fonts count="6">
    <x:font>
      <x:sz val="11"/>
      <x:name val="Carlito"/>
    </x:font>
    <x:font>
      <x:b/>
      <x:sz val="16"/>
      <x:color rgb="FFFFFFFF"/>
      <x:name val="Carlito"/>
    </x:font>
    <x:font>
      <x:b/>
      <x:sz val="11"/>
      <x:color rgb="FFFFFFFF"/>
      <x:name val="Carlito"/>
    </x:font>
    <x:font>
      <x:b/>
      <x:sz val="11"/>
      <x:color rgb="FF17212B"/>
      <x:name val="Carlito"/>
    </x:font>
    <x:font>
      <x:sz val="10"/>
      <x:color rgb="FF17212B"/>
      <x:name val="Aptos"/>
    </x:font>
    <x:font>
      <x:b/>
      <x:sz val="10"/>
      <x:color rgb="FFFFFFFF"/>
      <x:name val="Aptos"/>
    </x:font>
  </x:fonts>
  <x:fills count="6">
    <x:fill>
      <x:patternFill patternType="none"/>
    </x:fill>
    <x:fill>
      <x:patternFill patternType="gray125"/>
    </x:fill>
    <x:fill>
      <x:patternFill patternType="solid">
        <x:fgColor rgb="FF17324D"/>
      </x:patternFill>
    </x:fill>
    <x:fill>
      <x:patternFill patternType="solid">
        <x:fgColor rgb="FF236B8E"/>
      </x:patternFill>
    </x:fill>
    <x:fill>
      <x:patternFill patternType="solid">
        <x:fgColor rgb="FFEAF3F8"/>
      </x:patternFill>
    </x:fill>
    <x:fill>
      <x:patternFill patternType="solid">
        <x:fgColor rgb="FFFFFBE6"/>
      </x:patternFill>
    </x:fill>
  </x:fills>
  <x:borders count="10">
    <x:border/>
    <x:border>
      <x:right style="thin">
        <x:color rgb="FFD9E1E8"/>
      </x:right>
      <x:bottom style="thin">
        <x:color rgb="FFD9E1E8"/>
      </x:bottom>
    </x:border>
    <x:border>
      <x:left style="thin">
        <x:color rgb="FFD9E1E8"/>
      </x:left>
      <x:bottom style="thin">
        <x:color rgb="FFD9E1E8"/>
      </x:bottom>
    </x:border>
    <x:border>
      <x:right style="thin">
        <x:color rgb="FFD9E1E8"/>
      </x:right>
      <x:top style="thin">
        <x:color rgb="FFD9E1E8"/>
      </x:top>
      <x:bottom style="thin">
        <x:color rgb="FFD9E1E8"/>
      </x:bottom>
    </x:border>
    <x:border>
      <x:left style="thin">
        <x:color rgb="FFD9E1E8"/>
      </x:left>
      <x:top style="thin">
        <x:color rgb="FFD9E1E8"/>
      </x:top>
      <x:bottom style="thin">
        <x:color rgb="FFD9E1E8"/>
      </x:bottom>
    </x:border>
    <x:border>
      <x:right style="thin">
        <x:color rgb="FFD9E1E8"/>
      </x:right>
      <x:top style="thin">
        <x:color rgb="FFD9E1E8"/>
      </x:top>
    </x:border>
    <x:border>
      <x:left style="thin">
        <x:color rgb="FFD9E1E8"/>
      </x:left>
      <x:top style="thin">
        <x:color rgb="FFD9E1E8"/>
      </x:top>
    </x:border>
    <x:border>
      <x:left style="thin">
        <x:color rgb="FFD9E1E8"/>
      </x:left>
      <x:right style="thin">
        <x:color rgb="FFD9E1E8"/>
      </x:right>
      <x:bottom style="thin">
        <x:color rgb="FFD9E1E8"/>
      </x:bottom>
    </x:border>
    <x:border>
      <x:left style="thin">
        <x:color rgb="FFD9E1E8"/>
      </x:left>
      <x:right style="thin">
        <x:color rgb="FFD9E1E8"/>
      </x:right>
      <x:top style="thin">
        <x:color rgb="FFD9E1E8"/>
      </x:top>
      <x:bottom style="thin">
        <x:color rgb="FFD9E1E8"/>
      </x:bottom>
    </x:border>
    <x:border>
      <x:left style="thin">
        <x:color rgb="FFD9E1E8"/>
      </x:left>
      <x:right style="thin">
        <x:color rgb="FFD9E1E8"/>
      </x:right>
      <x:top style="thin">
        <x:color rgb="FFD9E1E8"/>
      </x:top>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3" fillId="4" borderId="3" xfId="0" applyNumberFormat="1" applyFont="1" applyFill="1" applyBorder="1" applyAlignment="1">
      <x:alignment wrapText="1"/>
    </x:xf>
    <x:xf numFmtId="0" fontId="0" fillId="0" borderId="4" xfId="0" applyNumberFormat="1" applyFont="1" applyFill="1" applyBorder="1" applyAlignment="1">
      <x:alignment wrapText="1"/>
    </x:xf>
    <x:xf numFmtId="0" fontId="3" fillId="4"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200" fontId="4" fillId="0" borderId="0" xfId="0" applyNumberFormat="1" applyFont="1" applyFill="1" applyBorder="1"/>
    <x:xf numFmtId="201" fontId="4" fillId="0" borderId="0" xfId="0" applyNumberFormat="1" applyFont="1" applyFill="1" applyBorder="1"/>
    <x:xf numFmtId="0" fontId="4" fillId="0" borderId="0" xfId="0" applyNumberFormat="1" applyFont="1" applyFill="1" applyBorder="1" applyAlignment="1">
      <x:alignment horizontal="center"/>
    </x:xf>
    <x:xf numFmtId="0" fontId="4" fillId="5" borderId="0" xfId="0" applyNumberFormat="1" applyFont="1" applyFill="1" applyBorder="1" applyAlignment="1">
      <x:alignment horizontal="center"/>
    </x:xf>
    <x:xf numFmtId="0" fontId="4" fillId="5"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horizontal="center" wrapText="1"/>
    </x:xf>
    <x:xf numFmtId="0" fontId="4" fillId="5" borderId="0" xfId="0" applyNumberFormat="1" applyFont="1" applyFill="1" applyBorder="1" applyAlignment="1">
      <x:alignment wrapText="1"/>
    </x:xf>
    <x:xf numFmtId="200" fontId="0" fillId="0" borderId="0" xfId="0" applyNumberFormat="1" applyFont="1" applyFill="1" applyBorder="1"/>
    <x:xf numFmtId="200" fontId="3" fillId="4" borderId="0" xfId="0" applyNumberFormat="1" applyFont="1" applyFill="1" applyBorder="1"/>
    <x:xf numFmtId="202" fontId="0" fillId="0" borderId="0" xfId="0" applyNumberFormat="1" applyFont="1" applyFill="1" applyBorder="1"/>
    <x:xf numFmtId="202" fontId="3" fillId="4" borderId="0" xfId="0" applyNumberFormat="1" applyFont="1" applyFill="1" applyBorder="1"/>
    <x:xf numFmtId="0" fontId="2" fillId="3" borderId="7" xfId="0" applyNumberFormat="1" applyFont="1" applyFill="1" applyBorder="1" applyAlignment="1">
      <x:alignment wrapText="1"/>
    </x:xf>
    <x:xf numFmtId="0" fontId="0" fillId="0" borderId="3" xfId="0" applyNumberFormat="1" applyFont="1" applyFill="1" applyBorder="1"/>
    <x:xf numFmtId="0" fontId="0" fillId="0" borderId="8" xfId="0" applyNumberFormat="1" applyFont="1" applyFill="1" applyBorder="1"/>
    <x:xf numFmtId="200" fontId="0" fillId="0" borderId="8" xfId="0" applyNumberFormat="1" applyFont="1" applyFill="1" applyBorder="1"/>
    <x:xf numFmtId="202" fontId="0" fillId="0" borderId="8" xfId="0" applyNumberFormat="1" applyFont="1" applyFill="1" applyBorder="1"/>
    <x:xf numFmtId="202" fontId="0" fillId="0" borderId="4" xfId="0" applyNumberFormat="1" applyFont="1" applyFill="1" applyBorder="1"/>
    <x:xf numFmtId="0" fontId="3" fillId="4" borderId="5" xfId="0" applyNumberFormat="1" applyFont="1" applyFill="1" applyBorder="1"/>
    <x:xf numFmtId="0" fontId="3" fillId="4" borderId="9" xfId="0" applyNumberFormat="1" applyFont="1" applyFill="1" applyBorder="1"/>
    <x:xf numFmtId="200" fontId="3" fillId="4" borderId="9" xfId="0" applyNumberFormat="1" applyFont="1" applyFill="1" applyBorder="1"/>
    <x:xf numFmtId="202" fontId="3" fillId="4" borderId="9" xfId="0" applyNumberFormat="1" applyFont="1" applyFill="1" applyBorder="1"/>
    <x:xf numFmtId="202" fontId="3" fillId="4" borderId="6" xfId="0" applyNumberFormat="1" applyFont="1" applyFill="1" applyBorder="1"/>
    <x:xf numFmtId="0" fontId="0" fillId="0" borderId="8" xfId="0" applyNumberFormat="1" applyFont="1" applyFill="1" applyBorder="1" applyAlignment="1">
      <x:alignment wrapText="1"/>
    </x:xf>
  </x:cellXfs>
  <x:cellStyles count="1">
    <x:cellStyle name="Normal" xfId="0"/>
  </x:cellStyles>
  <x:dxfs count="4">
    <x:dxf>
      <x:font>
        <x:b/>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
      <x:font>
        <x:color rgb="FF595959"/>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f281376e6d4a28" /><Relationship Type="http://schemas.openxmlformats.org/officeDocument/2006/relationships/theme" Target="/xl/theme/theme1.xml" Id="R7f18e018cbfb4041" /><Relationship Type="http://schemas.openxmlformats.org/officeDocument/2006/relationships/sharedStrings" Target="/xl/sharedStrings.xml" Id="Re443b4e84f1d4529" /><Relationship Type="http://schemas.openxmlformats.org/officeDocument/2006/relationships/worksheet" Target="/xl/worksheets/sheet1.xml" Id="R898ae9422a9a465f" /><Relationship Type="http://schemas.openxmlformats.org/officeDocument/2006/relationships/worksheet" Target="/xl/worksheets/sheet2.xml" Id="Rbfbb1a8dd6234d19" /><Relationship Type="http://schemas.openxmlformats.org/officeDocument/2006/relationships/worksheet" Target="/xl/worksheets/sheet3.xml" Id="R4743c5f2a9b64d27" /></Relationships>
</file>

<file path=xl/tables/table1.xml><?xml version="1.0" encoding="utf-8"?>
<x:table xmlns:x="http://schemas.openxmlformats.org/spreadsheetml/2006/main" id="1" name="AnnotationsTable" displayName="AnnotationsTable" ref="A1:S601" headerRowCount="1" totalsRowCount="0" totalsRowShown="0">
  <x:tableColumns count="19">
    <x:tableColumn id="1" name="item_id"/>
    <x:tableColumn id="2" name="question_id"/>
    <x:tableColumn id="3" name="domain"/>
    <x:tableColumn id="4" name="topic"/>
    <x:tableColumn id="5" name="question"/>
    <x:tableColumn id="6" name="rank"/>
    <x:tableColumn id="7" name="source_id"/>
    <x:tableColumn id="8" name="title"/>
    <x:tableColumn id="9" name="authors"/>
    <x:tableColumn id="10" name="year"/>
    <x:tableColumn id="11" name="abstract"/>
    <x:tableColumn id="12" name="url"/>
    <x:tableColumn id="13" name="Qwen3 reranker score"/>
    <x:tableColumn id="14" name="source run"/>
    <x:tableColumn id="15" name="Codex 初标"/>
    <x:tableColumn id="16" name="初标理由"/>
    <x:tableColumn id="17" name="人工修正"/>
    <x:tableColumn id="18" name="最终标签"/>
    <x:tableColumn id="19" name="人工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17bc174d3594a5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s>
  <x:sheetData>
    <x:row r="1" ht="34" customHeight="1">
      <x:c r="A1" s="3" t="str">
        <x:v>CS 论文搜索结果相关性标注</x:v>
      </x:c>
      <x:c r="B1" s="3"/>
    </x:row>
    <x:row r="3" ht="15" hidden="0" customHeight="1">
      <x:c r="A3" s="11" t="str">
        <x:v>字段</x:v>
      </x:c>
      <x:c r="B3" s="12" t="str">
        <x:v>说明</x:v>
      </x:c>
    </x:row>
    <x:row r="4" ht="15" hidden="0" customHeight="1">
      <x:c r="A4" s="13" t="str">
        <x:v>用途</x:v>
      </x:c>
      <x:c r="B4" s="14" t="str">
        <x:v>评估 research agent 在 30 个计算机科学问题上的论文搜索结果相关性。</x:v>
      </x:c>
    </x:row>
    <x:row r="5" ht="15" hidden="0" customHeight="1">
      <x:c r="A5" s="13" t="str">
        <x:v>候选规模</x:v>
      </x:c>
      <x:c r="B5" s="14" t="str">
        <x:v>600 篇；30 题每题 20 篇。</x:v>
      </x:c>
    </x:row>
    <x:row r="6" ht="15" hidden="0" customHeight="1">
      <x:c r="A6" s="13" t="str">
        <x:v>初标性质</x:v>
      </x:c>
      <x:c r="B6" s="14" t="str">
        <x:v>Codex 基于研究问题、论文标题和摘要进行的模型辅助初标，不等同于经过领域专家复核的人类金标准。</x:v>
      </x:c>
    </x:row>
    <x:row r="7" ht="15" hidden="0" customHeight="1">
      <x:c r="A7" s="13" t="str">
        <x:v>2 — Directly relevant</x:v>
      </x:c>
      <x:c r="B7" s="14" t="str">
        <x:v>论文主要贡献直接覆盖问题至少一个明确且实质性的子方向，可作为最终综述的核心证据。</x:v>
      </x:c>
    </x:row>
    <x:row r="8" ht="15" hidden="0" customHeight="1">
      <x:c r="A8" s="13" t="str">
        <x:v>1 — Partially relevant</x:v>
      </x:c>
      <x:c r="B8" s="14" t="str">
        <x:v>与问题有实质关联，可提供背景、应用、支持技术或侧面证据，但主要贡献不直接回答问题焦点。</x:v>
      </x:c>
    </x:row>
    <x:row r="9" ht="15" hidden="0" customHeight="1">
      <x:c r="A9" s="13" t="str">
        <x:v>0 — Irrelevant</x:v>
      </x:c>
      <x:c r="B9" s="14" t="str">
        <x:v>关键词碰撞、任务或领域不符，不能实质帮助回答问题。</x:v>
      </x:c>
    </x:row>
    <x:row r="10" ht="15" hidden="0" customHeight="1">
      <x:c r="A10" s="13" t="str">
        <x:v>? — Unclear</x:v>
      </x:c>
      <x:c r="B10" s="14" t="str">
        <x:v>仅凭标题和摘要不足以判断；应查看全文。该标签从严使用。</x:v>
      </x:c>
    </x:row>
    <x:row r="11" ht="15" hidden="0" customHeight="1">
      <x:c r="A11" s="13" t="str">
        <x:v>人工复核</x:v>
      </x:c>
      <x:c r="B11" s="14" t="str">
        <x:v>在 Annotations 的“人工修正”列选择 0、1、2 或 ?；“最终标签”会自动采用人工值，否则沿用 Codex 初标。</x:v>
      </x:c>
    </x:row>
    <x:row r="12" ht="15" hidden="0" customHeight="1">
      <x:c r="A12" s="13" t="str">
        <x:v>相关论文定义</x:v>
      </x:c>
      <x:c r="B12" s="14" t="str">
        <x:v>Summary 中的相关率和 Precision@K 将标签 1 与 2 都视为 relevant；标签 2 单独代表核心相关。</x:v>
      </x:c>
    </x:row>
    <x:row r="13" ht="15" hidden="0" customHeight="1">
      <x:c r="A13" s="13" t="str">
        <x:v>时间口径</x:v>
      </x:c>
      <x:c r="B13" s="14" t="str">
        <x:v>年份为 arXiv 上传年份；候选由各题配置的上传年份范围过滤。</x:v>
      </x:c>
    </x:row>
    <x:row r="14" ht="15" hidden="0" customHeight="1">
      <x:c r="A14" s="15" t="str">
        <x:v>结果来源</x:v>
      </x:c>
      <x:c r="B14" s="16" t="str">
        <x:v>候选来自：qwen3-rerank-no-instruct-20260727-125006-results.jsonl。</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72" hidden="0" customWidth="1"/>
    <x:col min="3" max="3" width="13" hidden="0" customWidth="1"/>
    <x:col min="4" max="4" width="13" hidden="0" customWidth="1"/>
    <x:col min="5" max="5" width="13" hidden="0" customWidth="1"/>
    <x:col min="6" max="6" width="13" hidden="0" customWidth="1"/>
    <x:col min="7" max="7" width="13" hidden="0" customWidth="1"/>
    <x:col min="8" max="8" width="16" hidden="0" customWidth="1"/>
    <x:col min="9" max="9" width="16" hidden="0" customWidth="1"/>
    <x:col min="10" max="10" width="16" hidden="0" customWidth="1"/>
    <x:col min="11" max="11" width="16" hidden="0" customWidth="1"/>
    <x:col min="12" max="12" width="16" hidden="0" customWidth="1"/>
  </x:cols>
  <x:sheetData>
    <x:row r="1" ht="34" customHeight="1">
      <x:c r="A1" s="3" t="str">
        <x:v>30 题论文搜索相关性汇总</x:v>
      </x:c>
      <x:c r="B1" s="3"/>
      <x:c r="C1" s="3"/>
      <x:c r="D1" s="3"/>
      <x:c r="E1" s="3"/>
      <x:c r="F1" s="3"/>
      <x:c r="G1" s="3"/>
      <x:c r="H1" s="3"/>
      <x:c r="I1" s="3"/>
      <x:c r="J1" s="3"/>
      <x:c r="K1" s="3"/>
      <x:c r="L1" s="3"/>
    </x:row>
    <x:row r="3">
      <x:c r="A3" s="11" t="str">
        <x:v>question_id</x:v>
      </x:c>
      <x:c r="B3" s="34" t="str">
        <x:v>question</x:v>
      </x:c>
      <x:c r="C3" s="34" t="str">
        <x:v>候选数</x:v>
      </x:c>
      <x:c r="D3" s="34" t="str">
        <x:v>2 直接相关</x:v>
      </x:c>
      <x:c r="E3" s="34" t="str">
        <x:v>1 部分相关</x:v>
      </x:c>
      <x:c r="F3" s="34" t="str">
        <x:v>0 无关</x:v>
      </x:c>
      <x:c r="G3" s="34" t="str">
        <x:v>? 不确定</x:v>
      </x:c>
      <x:c r="H3" s="34" t="str">
        <x:v>相关率</x:v>
      </x:c>
      <x:c r="I3" s="34" t="str">
        <x:v>Precision@5</x:v>
      </x:c>
      <x:c r="J3" s="34" t="str">
        <x:v>Precision@10</x:v>
      </x:c>
      <x:c r="K3" s="34" t="str">
        <x:v>Precision@20</x:v>
      </x:c>
      <x:c r="L3" s="12" t="str">
        <x:v>直接相关率</x:v>
      </x:c>
    </x:row>
    <x:row r="4" ht="42" customHeight="1">
      <x:c r="A4" s="35" t="str">
        <x:v>csq001</x:v>
      </x:c>
      <x:c r="B4" s="45" t="str">
        <x:v>What are the main methods for evaluating retrieval-augmented generation systems, and which retrieval and generation dimensions do they measure?</x:v>
      </x:c>
      <x:c r="C4" s="37" t="n">
        <x:f>COUNTIF('Annotations'!$B$2:$B$601,A4)</x:f>
        <x:v>20</x:v>
      </x:c>
      <x:c r="D4" s="37" t="n">
        <x:f>COUNTIFS('Annotations'!$B$2:$B$601,A4,'Annotations'!$R$2:$R$601,"2")</x:f>
        <x:v>13</x:v>
      </x:c>
      <x:c r="E4" s="37" t="n">
        <x:f>COUNTIFS('Annotations'!$B$2:$B$601,A4,'Annotations'!$R$2:$R$601,"1")</x:f>
        <x:v>4</x:v>
      </x:c>
      <x:c r="F4" s="37" t="n">
        <x:f>COUNTIFS('Annotations'!$B$2:$B$601,A4,'Annotations'!$R$2:$R$601,"0")</x:f>
        <x:v>3</x:v>
      </x:c>
      <x:c r="G4" s="37" t="n">
        <x:f>COUNTIFS('Annotations'!$B$2:$B$601,A4,'Annotations'!$R$2:$R$601,"~?")</x:f>
        <x:v>0</x:v>
      </x:c>
      <x:c r="H4" s="38" t="n">
        <x:f>IF(C4=0,0,(D4+E4)/C4)</x:f>
        <x:v>0.85</x:v>
      </x:c>
      <x:c r="I4" s="38" t="n">
        <x:f>IF(COUNTIFS('Annotations'!$B$2:$B$601,A4,'Annotations'!$F$2:$F$601,"&lt;=5")=0,0,(COUNTIFS('Annotations'!$B$2:$B$601,A4,'Annotations'!$F$2:$F$601,"&lt;=5",'Annotations'!$R$2:$R$601,"2")+COUNTIFS('Annotations'!$B$2:$B$601,A4,'Annotations'!$F$2:$F$601,"&lt;=5",'Annotations'!$R$2:$R$601,"1"))/COUNTIFS('Annotations'!$B$2:$B$601,A4,'Annotations'!$F$2:$F$601,"&lt;=5"))</x:f>
        <x:v>1</x:v>
      </x:c>
      <x:c r="J4" s="38" t="n">
        <x:f>IF(COUNTIFS('Annotations'!$B$2:$B$601,A4,'Annotations'!$F$2:$F$601,"&lt;=10")=0,0,(COUNTIFS('Annotations'!$B$2:$B$601,A4,'Annotations'!$F$2:$F$601,"&lt;=10",'Annotations'!$R$2:$R$601,"2")+COUNTIFS('Annotations'!$B$2:$B$601,A4,'Annotations'!$F$2:$F$601,"&lt;=10",'Annotations'!$R$2:$R$601,"1"))/COUNTIFS('Annotations'!$B$2:$B$601,A4,'Annotations'!$F$2:$F$601,"&lt;=10"))</x:f>
        <x:v>0.9</x:v>
      </x:c>
      <x:c r="K4" s="38" t="n">
        <x:f>IF(COUNTIF('Annotations'!$B$2:$B$601,A4)=0,0,(COUNTIFS('Annotations'!$B$2:$B$601,A4,'Annotations'!$R$2:$R$601,"2")+COUNTIFS('Annotations'!$B$2:$B$601,A4,'Annotations'!$R$2:$R$601,"1"))/COUNTIF('Annotations'!$B$2:$B$601,A4))</x:f>
        <x:v>0.85</x:v>
      </x:c>
      <x:c r="L4" s="39" t="n">
        <x:f>IF(C4=0,0,D4/C4)</x:f>
        <x:v>0.65</x:v>
      </x:c>
    </x:row>
    <x:row r="5" ht="42" customHeight="1">
      <x:c r="A5" s="35" t="str">
        <x:v>csq002</x:v>
      </x:c>
      <x:c r="B5" s="45" t="str">
        <x:v>How do speculative decoding, model quantization, and KV-cache optimization differ as methods for accelerating large language model inference?</x:v>
      </x:c>
      <x:c r="C5" s="37" t="n">
        <x:f>COUNTIF('Annotations'!$B$2:$B$601,A5)</x:f>
        <x:v>20</x:v>
      </x:c>
      <x:c r="D5" s="37" t="n">
        <x:f>COUNTIFS('Annotations'!$B$2:$B$601,A5,'Annotations'!$R$2:$R$601,"2")</x:f>
        <x:v>19</x:v>
      </x:c>
      <x:c r="E5" s="37" t="n">
        <x:f>COUNTIFS('Annotations'!$B$2:$B$601,A5,'Annotations'!$R$2:$R$601,"1")</x:f>
        <x:v>1</x:v>
      </x:c>
      <x:c r="F5" s="37" t="n">
        <x:f>COUNTIFS('Annotations'!$B$2:$B$601,A5,'Annotations'!$R$2:$R$601,"0")</x:f>
        <x:v>0</x:v>
      </x:c>
      <x:c r="G5" s="37" t="n">
        <x:f>COUNTIFS('Annotations'!$B$2:$B$601,A5,'Annotations'!$R$2:$R$601,"~?")</x:f>
        <x:v>0</x:v>
      </x:c>
      <x:c r="H5" s="38" t="n">
        <x:f>IF(C5=0,0,(D5+E5)/C5)</x:f>
        <x:v>1</x:v>
      </x:c>
      <x:c r="I5" s="38" t="n">
        <x:f>IF(COUNTIFS('Annotations'!$B$2:$B$601,A5,'Annotations'!$F$2:$F$601,"&lt;=5")=0,0,(COUNTIFS('Annotations'!$B$2:$B$601,A5,'Annotations'!$F$2:$F$601,"&lt;=5",'Annotations'!$R$2:$R$601,"2")+COUNTIFS('Annotations'!$B$2:$B$601,A5,'Annotations'!$F$2:$F$601,"&lt;=5",'Annotations'!$R$2:$R$601,"1"))/COUNTIFS('Annotations'!$B$2:$B$601,A5,'Annotations'!$F$2:$F$601,"&lt;=5"))</x:f>
        <x:v>1</x:v>
      </x:c>
      <x:c r="J5" s="38" t="n">
        <x:f>IF(COUNTIFS('Annotations'!$B$2:$B$601,A5,'Annotations'!$F$2:$F$601,"&lt;=10")=0,0,(COUNTIFS('Annotations'!$B$2:$B$601,A5,'Annotations'!$F$2:$F$601,"&lt;=10",'Annotations'!$R$2:$R$601,"2")+COUNTIFS('Annotations'!$B$2:$B$601,A5,'Annotations'!$F$2:$F$601,"&lt;=10",'Annotations'!$R$2:$R$601,"1"))/COUNTIFS('Annotations'!$B$2:$B$601,A5,'Annotations'!$F$2:$F$601,"&lt;=10"))</x:f>
        <x:v>1</x:v>
      </x:c>
      <x:c r="K5" s="38" t="n">
        <x:f>IF(COUNTIF('Annotations'!$B$2:$B$601,A5)=0,0,(COUNTIFS('Annotations'!$B$2:$B$601,A5,'Annotations'!$R$2:$R$601,"2")+COUNTIFS('Annotations'!$B$2:$B$601,A5,'Annotations'!$R$2:$R$601,"1"))/COUNTIF('Annotations'!$B$2:$B$601,A5))</x:f>
        <x:v>1</x:v>
      </x:c>
      <x:c r="L5" s="39" t="n">
        <x:f>IF(C5=0,0,D5/C5)</x:f>
        <x:v>0.95</x:v>
      </x:c>
    </x:row>
    <x:row r="6" ht="42" customHeight="1">
      <x:c r="A6" s="35" t="str">
        <x:v>csq003</x:v>
      </x:c>
      <x:c r="B6" s="45" t="str">
        <x:v>Which automatic and human evaluation methods are used to measure hallucination and factual consistency in large language models, and what evidence exists about their reliability?</x:v>
      </x:c>
      <x:c r="C6" s="37" t="n">
        <x:f>COUNTIF('Annotations'!$B$2:$B$601,A6)</x:f>
        <x:v>20</x:v>
      </x:c>
      <x:c r="D6" s="37" t="n">
        <x:f>COUNTIFS('Annotations'!$B$2:$B$601,A6,'Annotations'!$R$2:$R$601,"2")</x:f>
        <x:v>13</x:v>
      </x:c>
      <x:c r="E6" s="37" t="n">
        <x:f>COUNTIFS('Annotations'!$B$2:$B$601,A6,'Annotations'!$R$2:$R$601,"1")</x:f>
        <x:v>7</x:v>
      </x:c>
      <x:c r="F6" s="37" t="n">
        <x:f>COUNTIFS('Annotations'!$B$2:$B$601,A6,'Annotations'!$R$2:$R$601,"0")</x:f>
        <x:v>0</x:v>
      </x:c>
      <x:c r="G6" s="37" t="n">
        <x:f>COUNTIFS('Annotations'!$B$2:$B$601,A6,'Annotations'!$R$2:$R$601,"~?")</x:f>
        <x:v>0</x:v>
      </x:c>
      <x:c r="H6" s="38" t="n">
        <x:f>IF(C6=0,0,(D6+E6)/C6)</x:f>
        <x:v>1</x:v>
      </x:c>
      <x:c r="I6" s="38" t="n">
        <x:f>IF(COUNTIFS('Annotations'!$B$2:$B$601,A6,'Annotations'!$F$2:$F$601,"&lt;=5")=0,0,(COUNTIFS('Annotations'!$B$2:$B$601,A6,'Annotations'!$F$2:$F$601,"&lt;=5",'Annotations'!$R$2:$R$601,"2")+COUNTIFS('Annotations'!$B$2:$B$601,A6,'Annotations'!$F$2:$F$601,"&lt;=5",'Annotations'!$R$2:$R$601,"1"))/COUNTIFS('Annotations'!$B$2:$B$601,A6,'Annotations'!$F$2:$F$601,"&lt;=5"))</x:f>
        <x:v>1</x:v>
      </x:c>
      <x:c r="J6" s="38" t="n">
        <x:f>IF(COUNTIFS('Annotations'!$B$2:$B$601,A6,'Annotations'!$F$2:$F$601,"&lt;=10")=0,0,(COUNTIFS('Annotations'!$B$2:$B$601,A6,'Annotations'!$F$2:$F$601,"&lt;=10",'Annotations'!$R$2:$R$601,"2")+COUNTIFS('Annotations'!$B$2:$B$601,A6,'Annotations'!$F$2:$F$601,"&lt;=10",'Annotations'!$R$2:$R$601,"1"))/COUNTIFS('Annotations'!$B$2:$B$601,A6,'Annotations'!$F$2:$F$601,"&lt;=10"))</x:f>
        <x:v>1</x:v>
      </x:c>
      <x:c r="K6" s="38" t="n">
        <x:f>IF(COUNTIF('Annotations'!$B$2:$B$601,A6)=0,0,(COUNTIFS('Annotations'!$B$2:$B$601,A6,'Annotations'!$R$2:$R$601,"2")+COUNTIFS('Annotations'!$B$2:$B$601,A6,'Annotations'!$R$2:$R$601,"1"))/COUNTIF('Annotations'!$B$2:$B$601,A6))</x:f>
        <x:v>1</x:v>
      </x:c>
      <x:c r="L6" s="39" t="n">
        <x:f>IF(C6=0,0,D6/C6)</x:f>
        <x:v>0.65</x:v>
      </x:c>
    </x:row>
    <x:row r="7" ht="42" customHeight="1">
      <x:c r="A7" s="35" t="str">
        <x:v>csq004</x:v>
      </x:c>
      <x:c r="B7" s="45" t="str">
        <x:v>What limitations and biases have been identified in LLM-as-a-judge evaluation, and which mitigation strategies have been proposed?</x:v>
      </x:c>
      <x:c r="C7" s="37" t="n">
        <x:f>COUNTIF('Annotations'!$B$2:$B$601,A7)</x:f>
        <x:v>20</x:v>
      </x:c>
      <x:c r="D7" s="37" t="n">
        <x:f>COUNTIFS('Annotations'!$B$2:$B$601,A7,'Annotations'!$R$2:$R$601,"2")</x:f>
        <x:v>19</x:v>
      </x:c>
      <x:c r="E7" s="37" t="n">
        <x:f>COUNTIFS('Annotations'!$B$2:$B$601,A7,'Annotations'!$R$2:$R$601,"1")</x:f>
        <x:v>1</x:v>
      </x:c>
      <x:c r="F7" s="37" t="n">
        <x:f>COUNTIFS('Annotations'!$B$2:$B$601,A7,'Annotations'!$R$2:$R$601,"0")</x:f>
        <x:v>0</x:v>
      </x:c>
      <x:c r="G7" s="37" t="n">
        <x:f>COUNTIFS('Annotations'!$B$2:$B$601,A7,'Annotations'!$R$2:$R$601,"~?")</x:f>
        <x:v>0</x:v>
      </x:c>
      <x:c r="H7" s="38" t="n">
        <x:f>IF(C7=0,0,(D7+E7)/C7)</x:f>
        <x:v>1</x:v>
      </x:c>
      <x:c r="I7" s="38" t="n">
        <x:f>IF(COUNTIFS('Annotations'!$B$2:$B$601,A7,'Annotations'!$F$2:$F$601,"&lt;=5")=0,0,(COUNTIFS('Annotations'!$B$2:$B$601,A7,'Annotations'!$F$2:$F$601,"&lt;=5",'Annotations'!$R$2:$R$601,"2")+COUNTIFS('Annotations'!$B$2:$B$601,A7,'Annotations'!$F$2:$F$601,"&lt;=5",'Annotations'!$R$2:$R$601,"1"))/COUNTIFS('Annotations'!$B$2:$B$601,A7,'Annotations'!$F$2:$F$601,"&lt;=5"))</x:f>
        <x:v>1</x:v>
      </x:c>
      <x:c r="J7" s="38" t="n">
        <x:f>IF(COUNTIFS('Annotations'!$B$2:$B$601,A7,'Annotations'!$F$2:$F$601,"&lt;=10")=0,0,(COUNTIFS('Annotations'!$B$2:$B$601,A7,'Annotations'!$F$2:$F$601,"&lt;=10",'Annotations'!$R$2:$R$601,"2")+COUNTIFS('Annotations'!$B$2:$B$601,A7,'Annotations'!$F$2:$F$601,"&lt;=10",'Annotations'!$R$2:$R$601,"1"))/COUNTIFS('Annotations'!$B$2:$B$601,A7,'Annotations'!$F$2:$F$601,"&lt;=10"))</x:f>
        <x:v>1</x:v>
      </x:c>
      <x:c r="K7" s="38" t="n">
        <x:f>IF(COUNTIF('Annotations'!$B$2:$B$601,A7)=0,0,(COUNTIFS('Annotations'!$B$2:$B$601,A7,'Annotations'!$R$2:$R$601,"2")+COUNTIFS('Annotations'!$B$2:$B$601,A7,'Annotations'!$R$2:$R$601,"1"))/COUNTIF('Annotations'!$B$2:$B$601,A7))</x:f>
        <x:v>1</x:v>
      </x:c>
      <x:c r="L7" s="39" t="n">
        <x:f>IF(C7=0,0,D7/C7)</x:f>
        <x:v>0.95</x:v>
      </x:c>
    </x:row>
    <x:row r="8" ht="42" customHeight="1">
      <x:c r="A8" s="35" t="str">
        <x:v>csq005</x:v>
      </x:c>
      <x:c r="B8" s="45" t="str">
        <x:v>How have methods for extending the effective context length of transformer language models evolved, and what trade-offs do they make in memory, latency, and retrieval quality?</x:v>
      </x:c>
      <x:c r="C8" s="37" t="n">
        <x:f>COUNTIF('Annotations'!$B$2:$B$601,A8)</x:f>
        <x:v>20</x:v>
      </x:c>
      <x:c r="D8" s="37" t="n">
        <x:f>COUNTIFS('Annotations'!$B$2:$B$601,A8,'Annotations'!$R$2:$R$601,"2")</x:f>
        <x:v>20</x:v>
      </x:c>
      <x:c r="E8" s="37" t="n">
        <x:f>COUNTIFS('Annotations'!$B$2:$B$601,A8,'Annotations'!$R$2:$R$601,"1")</x:f>
        <x:v>0</x:v>
      </x:c>
      <x:c r="F8" s="37" t="n">
        <x:f>COUNTIFS('Annotations'!$B$2:$B$601,A8,'Annotations'!$R$2:$R$601,"0")</x:f>
        <x:v>0</x:v>
      </x:c>
      <x:c r="G8" s="37" t="n">
        <x:f>COUNTIFS('Annotations'!$B$2:$B$601,A8,'Annotations'!$R$2:$R$601,"~?")</x:f>
        <x:v>0</x:v>
      </x:c>
      <x:c r="H8" s="38" t="n">
        <x:f>IF(C8=0,0,(D8+E8)/C8)</x:f>
        <x:v>1</x:v>
      </x:c>
      <x:c r="I8" s="38" t="n">
        <x:f>IF(COUNTIFS('Annotations'!$B$2:$B$601,A8,'Annotations'!$F$2:$F$601,"&lt;=5")=0,0,(COUNTIFS('Annotations'!$B$2:$B$601,A8,'Annotations'!$F$2:$F$601,"&lt;=5",'Annotations'!$R$2:$R$601,"2")+COUNTIFS('Annotations'!$B$2:$B$601,A8,'Annotations'!$F$2:$F$601,"&lt;=5",'Annotations'!$R$2:$R$601,"1"))/COUNTIFS('Annotations'!$B$2:$B$601,A8,'Annotations'!$F$2:$F$601,"&lt;=5"))</x:f>
        <x:v>1</x:v>
      </x:c>
      <x:c r="J8" s="38" t="n">
        <x:f>IF(COUNTIFS('Annotations'!$B$2:$B$601,A8,'Annotations'!$F$2:$F$601,"&lt;=10")=0,0,(COUNTIFS('Annotations'!$B$2:$B$601,A8,'Annotations'!$F$2:$F$601,"&lt;=10",'Annotations'!$R$2:$R$601,"2")+COUNTIFS('Annotations'!$B$2:$B$601,A8,'Annotations'!$F$2:$F$601,"&lt;=10",'Annotations'!$R$2:$R$601,"1"))/COUNTIFS('Annotations'!$B$2:$B$601,A8,'Annotations'!$F$2:$F$601,"&lt;=10"))</x:f>
        <x:v>1</x:v>
      </x:c>
      <x:c r="K8" s="38" t="n">
        <x:f>IF(COUNTIF('Annotations'!$B$2:$B$601,A8)=0,0,(COUNTIFS('Annotations'!$B$2:$B$601,A8,'Annotations'!$R$2:$R$601,"2")+COUNTIFS('Annotations'!$B$2:$B$601,A8,'Annotations'!$R$2:$R$601,"1"))/COUNTIF('Annotations'!$B$2:$B$601,A8))</x:f>
        <x:v>1</x:v>
      </x:c>
      <x:c r="L8" s="39" t="n">
        <x:f>IF(C8=0,0,D8/C8)</x:f>
        <x:v>1</x:v>
      </x:c>
    </x:row>
    <x:row r="9" ht="42" customHeight="1">
      <x:c r="A9" s="35" t="str">
        <x:v>csq006</x:v>
      </x:c>
      <x:c r="B9" s="45" t="str">
        <x:v>What are the main parameter-efficient fine-tuning methods, and how do they reduce trainable parameters while preserving downstream performance?</x:v>
      </x:c>
      <x:c r="C9" s="37" t="n">
        <x:f>COUNTIF('Annotations'!$B$2:$B$601,A9)</x:f>
        <x:v>20</x:v>
      </x:c>
      <x:c r="D9" s="37" t="n">
        <x:f>COUNTIFS('Annotations'!$B$2:$B$601,A9,'Annotations'!$R$2:$R$601,"2")</x:f>
        <x:v>20</x:v>
      </x:c>
      <x:c r="E9" s="37" t="n">
        <x:f>COUNTIFS('Annotations'!$B$2:$B$601,A9,'Annotations'!$R$2:$R$601,"1")</x:f>
        <x:v>0</x:v>
      </x:c>
      <x:c r="F9" s="37" t="n">
        <x:f>COUNTIFS('Annotations'!$B$2:$B$601,A9,'Annotations'!$R$2:$R$601,"0")</x:f>
        <x:v>0</x:v>
      </x:c>
      <x:c r="G9" s="37" t="n">
        <x:f>COUNTIFS('Annotations'!$B$2:$B$601,A9,'Annotations'!$R$2:$R$601,"~?")</x:f>
        <x:v>0</x:v>
      </x:c>
      <x:c r="H9" s="38" t="n">
        <x:f>IF(C9=0,0,(D9+E9)/C9)</x:f>
        <x:v>1</x:v>
      </x:c>
      <x:c r="I9" s="38" t="n">
        <x:f>IF(COUNTIFS('Annotations'!$B$2:$B$601,A9,'Annotations'!$F$2:$F$601,"&lt;=5")=0,0,(COUNTIFS('Annotations'!$B$2:$B$601,A9,'Annotations'!$F$2:$F$601,"&lt;=5",'Annotations'!$R$2:$R$601,"2")+COUNTIFS('Annotations'!$B$2:$B$601,A9,'Annotations'!$F$2:$F$601,"&lt;=5",'Annotations'!$R$2:$R$601,"1"))/COUNTIFS('Annotations'!$B$2:$B$601,A9,'Annotations'!$F$2:$F$601,"&lt;=5"))</x:f>
        <x:v>1</x:v>
      </x:c>
      <x:c r="J9" s="38" t="n">
        <x:f>IF(COUNTIFS('Annotations'!$B$2:$B$601,A9,'Annotations'!$F$2:$F$601,"&lt;=10")=0,0,(COUNTIFS('Annotations'!$B$2:$B$601,A9,'Annotations'!$F$2:$F$601,"&lt;=10",'Annotations'!$R$2:$R$601,"2")+COUNTIFS('Annotations'!$B$2:$B$601,A9,'Annotations'!$F$2:$F$601,"&lt;=10",'Annotations'!$R$2:$R$601,"1"))/COUNTIFS('Annotations'!$B$2:$B$601,A9,'Annotations'!$F$2:$F$601,"&lt;=10"))</x:f>
        <x:v>1</x:v>
      </x:c>
      <x:c r="K9" s="38" t="n">
        <x:f>IF(COUNTIF('Annotations'!$B$2:$B$601,A9)=0,0,(COUNTIFS('Annotations'!$B$2:$B$601,A9,'Annotations'!$R$2:$R$601,"2")+COUNTIFS('Annotations'!$B$2:$B$601,A9,'Annotations'!$R$2:$R$601,"1"))/COUNTIF('Annotations'!$B$2:$B$601,A9))</x:f>
        <x:v>1</x:v>
      </x:c>
      <x:c r="L9" s="39" t="n">
        <x:f>IF(C9=0,0,D9/C9)</x:f>
        <x:v>1</x:v>
      </x:c>
    </x:row>
    <x:row r="10" ht="42" customHeight="1">
      <x:c r="A10" s="35" t="str">
        <x:v>csq007</x:v>
      </x:c>
      <x:c r="B10" s="45" t="str">
        <x:v>How do major federated learning optimization methods address client heterogeneity and non-IID data, and how do their assumptions differ?</x:v>
      </x:c>
      <x:c r="C10" s="37" t="n">
        <x:f>COUNTIF('Annotations'!$B$2:$B$601,A10)</x:f>
        <x:v>20</x:v>
      </x:c>
      <x:c r="D10" s="37" t="n">
        <x:f>COUNTIFS('Annotations'!$B$2:$B$601,A10,'Annotations'!$R$2:$R$601,"2")</x:f>
        <x:v>19</x:v>
      </x:c>
      <x:c r="E10" s="37" t="n">
        <x:f>COUNTIFS('Annotations'!$B$2:$B$601,A10,'Annotations'!$R$2:$R$601,"1")</x:f>
        <x:v>1</x:v>
      </x:c>
      <x:c r="F10" s="37" t="n">
        <x:f>COUNTIFS('Annotations'!$B$2:$B$601,A10,'Annotations'!$R$2:$R$601,"0")</x:f>
        <x:v>0</x:v>
      </x:c>
      <x:c r="G10" s="37" t="n">
        <x:f>COUNTIFS('Annotations'!$B$2:$B$601,A10,'Annotations'!$R$2:$R$601,"~?")</x:f>
        <x:v>0</x:v>
      </x:c>
      <x:c r="H10" s="38" t="n">
        <x:f>IF(C10=0,0,(D10+E10)/C10)</x:f>
        <x:v>1</x:v>
      </x:c>
      <x:c r="I10" s="38" t="n">
        <x:f>IF(COUNTIFS('Annotations'!$B$2:$B$601,A10,'Annotations'!$F$2:$F$601,"&lt;=5")=0,0,(COUNTIFS('Annotations'!$B$2:$B$601,A10,'Annotations'!$F$2:$F$601,"&lt;=5",'Annotations'!$R$2:$R$601,"2")+COUNTIFS('Annotations'!$B$2:$B$601,A10,'Annotations'!$F$2:$F$601,"&lt;=5",'Annotations'!$R$2:$R$601,"1"))/COUNTIFS('Annotations'!$B$2:$B$601,A10,'Annotations'!$F$2:$F$601,"&lt;=5"))</x:f>
        <x:v>1</x:v>
      </x:c>
      <x:c r="J10" s="38" t="n">
        <x:f>IF(COUNTIFS('Annotations'!$B$2:$B$601,A10,'Annotations'!$F$2:$F$601,"&lt;=10")=0,0,(COUNTIFS('Annotations'!$B$2:$B$601,A10,'Annotations'!$F$2:$F$601,"&lt;=10",'Annotations'!$R$2:$R$601,"2")+COUNTIFS('Annotations'!$B$2:$B$601,A10,'Annotations'!$F$2:$F$601,"&lt;=10",'Annotations'!$R$2:$R$601,"1"))/COUNTIFS('Annotations'!$B$2:$B$601,A10,'Annotations'!$F$2:$F$601,"&lt;=10"))</x:f>
        <x:v>1</x:v>
      </x:c>
      <x:c r="K10" s="38" t="n">
        <x:f>IF(COUNTIF('Annotations'!$B$2:$B$601,A10)=0,0,(COUNTIFS('Annotations'!$B$2:$B$601,A10,'Annotations'!$R$2:$R$601,"2")+COUNTIFS('Annotations'!$B$2:$B$601,A10,'Annotations'!$R$2:$R$601,"1"))/COUNTIF('Annotations'!$B$2:$B$601,A10))</x:f>
        <x:v>1</x:v>
      </x:c>
      <x:c r="L10" s="39" t="n">
        <x:f>IF(C10=0,0,D10/C10)</x:f>
        <x:v>0.95</x:v>
      </x:c>
    </x:row>
    <x:row r="11" ht="42" customHeight="1">
      <x:c r="A11" s="35" t="str">
        <x:v>csq008</x:v>
      </x:c>
      <x:c r="B11" s="45" t="str">
        <x:v>Which metrics and benchmark protocols are used to evaluate uncertainty calibration in deep neural networks, and what failure modes do these metrics miss?</x:v>
      </x:c>
      <x:c r="C11" s="37" t="n">
        <x:f>COUNTIF('Annotations'!$B$2:$B$601,A11)</x:f>
        <x:v>20</x:v>
      </x:c>
      <x:c r="D11" s="37" t="n">
        <x:f>COUNTIFS('Annotations'!$B$2:$B$601,A11,'Annotations'!$R$2:$R$601,"2")</x:f>
        <x:v>10</x:v>
      </x:c>
      <x:c r="E11" s="37" t="n">
        <x:f>COUNTIFS('Annotations'!$B$2:$B$601,A11,'Annotations'!$R$2:$R$601,"1")</x:f>
        <x:v>10</x:v>
      </x:c>
      <x:c r="F11" s="37" t="n">
        <x:f>COUNTIFS('Annotations'!$B$2:$B$601,A11,'Annotations'!$R$2:$R$601,"0")</x:f>
        <x:v>0</x:v>
      </x:c>
      <x:c r="G11" s="37" t="n">
        <x:f>COUNTIFS('Annotations'!$B$2:$B$601,A11,'Annotations'!$R$2:$R$601,"~?")</x:f>
        <x:v>0</x:v>
      </x:c>
      <x:c r="H11" s="38" t="n">
        <x:f>IF(C11=0,0,(D11+E11)/C11)</x:f>
        <x:v>1</x:v>
      </x:c>
      <x:c r="I11" s="38" t="n">
        <x:f>IF(COUNTIFS('Annotations'!$B$2:$B$601,A11,'Annotations'!$F$2:$F$601,"&lt;=5")=0,0,(COUNTIFS('Annotations'!$B$2:$B$601,A11,'Annotations'!$F$2:$F$601,"&lt;=5",'Annotations'!$R$2:$R$601,"2")+COUNTIFS('Annotations'!$B$2:$B$601,A11,'Annotations'!$F$2:$F$601,"&lt;=5",'Annotations'!$R$2:$R$601,"1"))/COUNTIFS('Annotations'!$B$2:$B$601,A11,'Annotations'!$F$2:$F$601,"&lt;=5"))</x:f>
        <x:v>1</x:v>
      </x:c>
      <x:c r="J11" s="38" t="n">
        <x:f>IF(COUNTIFS('Annotations'!$B$2:$B$601,A11,'Annotations'!$F$2:$F$601,"&lt;=10")=0,0,(COUNTIFS('Annotations'!$B$2:$B$601,A11,'Annotations'!$F$2:$F$601,"&lt;=10",'Annotations'!$R$2:$R$601,"2")+COUNTIFS('Annotations'!$B$2:$B$601,A11,'Annotations'!$F$2:$F$601,"&lt;=10",'Annotations'!$R$2:$R$601,"1"))/COUNTIFS('Annotations'!$B$2:$B$601,A11,'Annotations'!$F$2:$F$601,"&lt;=10"))</x:f>
        <x:v>1</x:v>
      </x:c>
      <x:c r="K11" s="38" t="n">
        <x:f>IF(COUNTIF('Annotations'!$B$2:$B$601,A11)=0,0,(COUNTIFS('Annotations'!$B$2:$B$601,A11,'Annotations'!$R$2:$R$601,"2")+COUNTIFS('Annotations'!$B$2:$B$601,A11,'Annotations'!$R$2:$R$601,"1"))/COUNTIF('Annotations'!$B$2:$B$601,A11))</x:f>
        <x:v>1</x:v>
      </x:c>
      <x:c r="L11" s="39" t="n">
        <x:f>IF(C11=0,0,D11/C11)</x:f>
        <x:v>0.5</x:v>
      </x:c>
    </x:row>
    <x:row r="12" ht="42" customHeight="1">
      <x:c r="A12" s="35" t="str">
        <x:v>csq009</x:v>
      </x:c>
      <x:c r="B12" s="45" t="str">
        <x:v>What causes over-smoothing and over-squashing in graph neural networks, and which mitigation methods are supported by empirical and theoretical research?</x:v>
      </x:c>
      <x:c r="C12" s="37" t="n">
        <x:f>COUNTIF('Annotations'!$B$2:$B$601,A12)</x:f>
        <x:v>20</x:v>
      </x:c>
      <x:c r="D12" s="37" t="n">
        <x:f>COUNTIFS('Annotations'!$B$2:$B$601,A12,'Annotations'!$R$2:$R$601,"2")</x:f>
        <x:v>20</x:v>
      </x:c>
      <x:c r="E12" s="37" t="n">
        <x:f>COUNTIFS('Annotations'!$B$2:$B$601,A12,'Annotations'!$R$2:$R$601,"1")</x:f>
        <x:v>0</x:v>
      </x:c>
      <x:c r="F12" s="37" t="n">
        <x:f>COUNTIFS('Annotations'!$B$2:$B$601,A12,'Annotations'!$R$2:$R$601,"0")</x:f>
        <x:v>0</x:v>
      </x:c>
      <x:c r="G12" s="37" t="n">
        <x:f>COUNTIFS('Annotations'!$B$2:$B$601,A12,'Annotations'!$R$2:$R$601,"~?")</x:f>
        <x:v>0</x:v>
      </x:c>
      <x:c r="H12" s="38" t="n">
        <x:f>IF(C12=0,0,(D12+E12)/C12)</x:f>
        <x:v>1</x:v>
      </x:c>
      <x:c r="I12" s="38" t="n">
        <x:f>IF(COUNTIFS('Annotations'!$B$2:$B$601,A12,'Annotations'!$F$2:$F$601,"&lt;=5")=0,0,(COUNTIFS('Annotations'!$B$2:$B$601,A12,'Annotations'!$F$2:$F$601,"&lt;=5",'Annotations'!$R$2:$R$601,"2")+COUNTIFS('Annotations'!$B$2:$B$601,A12,'Annotations'!$F$2:$F$601,"&lt;=5",'Annotations'!$R$2:$R$601,"1"))/COUNTIFS('Annotations'!$B$2:$B$601,A12,'Annotations'!$F$2:$F$601,"&lt;=5"))</x:f>
        <x:v>1</x:v>
      </x:c>
      <x:c r="J12" s="38" t="n">
        <x:f>IF(COUNTIFS('Annotations'!$B$2:$B$601,A12,'Annotations'!$F$2:$F$601,"&lt;=10")=0,0,(COUNTIFS('Annotations'!$B$2:$B$601,A12,'Annotations'!$F$2:$F$601,"&lt;=10",'Annotations'!$R$2:$R$601,"2")+COUNTIFS('Annotations'!$B$2:$B$601,A12,'Annotations'!$F$2:$F$601,"&lt;=10",'Annotations'!$R$2:$R$601,"1"))/COUNTIFS('Annotations'!$B$2:$B$601,A12,'Annotations'!$F$2:$F$601,"&lt;=10"))</x:f>
        <x:v>1</x:v>
      </x:c>
      <x:c r="K12" s="38" t="n">
        <x:f>IF(COUNTIF('Annotations'!$B$2:$B$601,A12)=0,0,(COUNTIFS('Annotations'!$B$2:$B$601,A12,'Annotations'!$R$2:$R$601,"2")+COUNTIFS('Annotations'!$B$2:$B$601,A12,'Annotations'!$R$2:$R$601,"1"))/COUNTIF('Annotations'!$B$2:$B$601,A12))</x:f>
        <x:v>1</x:v>
      </x:c>
      <x:c r="L12" s="39" t="n">
        <x:f>IF(C12=0,0,D12/C12)</x:f>
        <x:v>1</x:v>
      </x:c>
    </x:row>
    <x:row r="13" ht="42" customHeight="1">
      <x:c r="A13" s="35" t="str">
        <x:v>csq010</x:v>
      </x:c>
      <x:c r="B13" s="45" t="str">
        <x:v>How have self-supervised representation learning objectives evolved from contrastive learning to non-contrastive and masked-prediction approaches?</x:v>
      </x:c>
      <x:c r="C13" s="37" t="n">
        <x:f>COUNTIF('Annotations'!$B$2:$B$601,A13)</x:f>
        <x:v>20</x:v>
      </x:c>
      <x:c r="D13" s="37" t="n">
        <x:f>COUNTIFS('Annotations'!$B$2:$B$601,A13,'Annotations'!$R$2:$R$601,"2")</x:f>
        <x:v>20</x:v>
      </x:c>
      <x:c r="E13" s="37" t="n">
        <x:f>COUNTIFS('Annotations'!$B$2:$B$601,A13,'Annotations'!$R$2:$R$601,"1")</x:f>
        <x:v>0</x:v>
      </x:c>
      <x:c r="F13" s="37" t="n">
        <x:f>COUNTIFS('Annotations'!$B$2:$B$601,A13,'Annotations'!$R$2:$R$601,"0")</x:f>
        <x:v>0</x:v>
      </x:c>
      <x:c r="G13" s="37" t="n">
        <x:f>COUNTIFS('Annotations'!$B$2:$B$601,A13,'Annotations'!$R$2:$R$601,"~?")</x:f>
        <x:v>0</x:v>
      </x:c>
      <x:c r="H13" s="38" t="n">
        <x:f>IF(C13=0,0,(D13+E13)/C13)</x:f>
        <x:v>1</x:v>
      </x:c>
      <x:c r="I13" s="38" t="n">
        <x:f>IF(COUNTIFS('Annotations'!$B$2:$B$601,A13,'Annotations'!$F$2:$F$601,"&lt;=5")=0,0,(COUNTIFS('Annotations'!$B$2:$B$601,A13,'Annotations'!$F$2:$F$601,"&lt;=5",'Annotations'!$R$2:$R$601,"2")+COUNTIFS('Annotations'!$B$2:$B$601,A13,'Annotations'!$F$2:$F$601,"&lt;=5",'Annotations'!$R$2:$R$601,"1"))/COUNTIFS('Annotations'!$B$2:$B$601,A13,'Annotations'!$F$2:$F$601,"&lt;=5"))</x:f>
        <x:v>1</x:v>
      </x:c>
      <x:c r="J13" s="38" t="n">
        <x:f>IF(COUNTIFS('Annotations'!$B$2:$B$601,A13,'Annotations'!$F$2:$F$601,"&lt;=10")=0,0,(COUNTIFS('Annotations'!$B$2:$B$601,A13,'Annotations'!$F$2:$F$601,"&lt;=10",'Annotations'!$R$2:$R$601,"2")+COUNTIFS('Annotations'!$B$2:$B$601,A13,'Annotations'!$F$2:$F$601,"&lt;=10",'Annotations'!$R$2:$R$601,"1"))/COUNTIFS('Annotations'!$B$2:$B$601,A13,'Annotations'!$F$2:$F$601,"&lt;=10"))</x:f>
        <x:v>1</x:v>
      </x:c>
      <x:c r="K13" s="38" t="n">
        <x:f>IF(COUNTIF('Annotations'!$B$2:$B$601,A13)=0,0,(COUNTIFS('Annotations'!$B$2:$B$601,A13,'Annotations'!$R$2:$R$601,"2")+COUNTIFS('Annotations'!$B$2:$B$601,A13,'Annotations'!$R$2:$R$601,"1"))/COUNTIF('Annotations'!$B$2:$B$601,A13))</x:f>
        <x:v>1</x:v>
      </x:c>
      <x:c r="L13" s="39" t="n">
        <x:f>IF(C13=0,0,D13/C13)</x:f>
        <x:v>1</x:v>
      </x:c>
    </x:row>
    <x:row r="14" ht="42" customHeight="1">
      <x:c r="A14" s="35" t="str">
        <x:v>csq011</x:v>
      </x:c>
      <x:c r="B14" s="45" t="str">
        <x:v>What are the main neural representations for novel-view synthesis, including neural radiance fields and 3D Gaussian splatting, and what are their computational trade-offs?</x:v>
      </x:c>
      <x:c r="C14" s="37" t="n">
        <x:f>COUNTIF('Annotations'!$B$2:$B$601,A14)</x:f>
        <x:v>20</x:v>
      </x:c>
      <x:c r="D14" s="37" t="n">
        <x:f>COUNTIFS('Annotations'!$B$2:$B$601,A14,'Annotations'!$R$2:$R$601,"2")</x:f>
        <x:v>19</x:v>
      </x:c>
      <x:c r="E14" s="37" t="n">
        <x:f>COUNTIFS('Annotations'!$B$2:$B$601,A14,'Annotations'!$R$2:$R$601,"1")</x:f>
        <x:v>1</x:v>
      </x:c>
      <x:c r="F14" s="37" t="n">
        <x:f>COUNTIFS('Annotations'!$B$2:$B$601,A14,'Annotations'!$R$2:$R$601,"0")</x:f>
        <x:v>0</x:v>
      </x:c>
      <x:c r="G14" s="37" t="n">
        <x:f>COUNTIFS('Annotations'!$B$2:$B$601,A14,'Annotations'!$R$2:$R$601,"~?")</x:f>
        <x:v>0</x:v>
      </x:c>
      <x:c r="H14" s="38" t="n">
        <x:f>IF(C14=0,0,(D14+E14)/C14)</x:f>
        <x:v>1</x:v>
      </x:c>
      <x:c r="I14" s="38" t="n">
        <x:f>IF(COUNTIFS('Annotations'!$B$2:$B$601,A14,'Annotations'!$F$2:$F$601,"&lt;=5")=0,0,(COUNTIFS('Annotations'!$B$2:$B$601,A14,'Annotations'!$F$2:$F$601,"&lt;=5",'Annotations'!$R$2:$R$601,"2")+COUNTIFS('Annotations'!$B$2:$B$601,A14,'Annotations'!$F$2:$F$601,"&lt;=5",'Annotations'!$R$2:$R$601,"1"))/COUNTIFS('Annotations'!$B$2:$B$601,A14,'Annotations'!$F$2:$F$601,"&lt;=5"))</x:f>
        <x:v>1</x:v>
      </x:c>
      <x:c r="J14" s="38" t="n">
        <x:f>IF(COUNTIFS('Annotations'!$B$2:$B$601,A14,'Annotations'!$F$2:$F$601,"&lt;=10")=0,0,(COUNTIFS('Annotations'!$B$2:$B$601,A14,'Annotations'!$F$2:$F$601,"&lt;=10",'Annotations'!$R$2:$R$601,"2")+COUNTIFS('Annotations'!$B$2:$B$601,A14,'Annotations'!$F$2:$F$601,"&lt;=10",'Annotations'!$R$2:$R$601,"1"))/COUNTIFS('Annotations'!$B$2:$B$601,A14,'Annotations'!$F$2:$F$601,"&lt;=10"))</x:f>
        <x:v>1</x:v>
      </x:c>
      <x:c r="K14" s="38" t="n">
        <x:f>IF(COUNTIF('Annotations'!$B$2:$B$601,A14)=0,0,(COUNTIFS('Annotations'!$B$2:$B$601,A14,'Annotations'!$R$2:$R$601,"2")+COUNTIFS('Annotations'!$B$2:$B$601,A14,'Annotations'!$R$2:$R$601,"1"))/COUNTIF('Annotations'!$B$2:$B$601,A14))</x:f>
        <x:v>1</x:v>
      </x:c>
      <x:c r="L14" s="39" t="n">
        <x:f>IF(C14=0,0,D14/C14)</x:f>
        <x:v>0.95</x:v>
      </x:c>
    </x:row>
    <x:row r="15" ht="42" customHeight="1">
      <x:c r="A15" s="35" t="str">
        <x:v>csq012</x:v>
      </x:c>
      <x:c r="B15" s="45" t="str">
        <x:v>How do diffusion-based and autoregressive image generation models compare in training objectives, sampling cost, controllability, and output quality?</x:v>
      </x:c>
      <x:c r="C15" s="37" t="n">
        <x:f>COUNTIF('Annotations'!$B$2:$B$601,A15)</x:f>
        <x:v>20</x:v>
      </x:c>
      <x:c r="D15" s="37" t="n">
        <x:f>COUNTIFS('Annotations'!$B$2:$B$601,A15,'Annotations'!$R$2:$R$601,"2")</x:f>
        <x:v>15</x:v>
      </x:c>
      <x:c r="E15" s="37" t="n">
        <x:f>COUNTIFS('Annotations'!$B$2:$B$601,A15,'Annotations'!$R$2:$R$601,"1")</x:f>
        <x:v>2</x:v>
      </x:c>
      <x:c r="F15" s="37" t="n">
        <x:f>COUNTIFS('Annotations'!$B$2:$B$601,A15,'Annotations'!$R$2:$R$601,"0")</x:f>
        <x:v>3</x:v>
      </x:c>
      <x:c r="G15" s="37" t="n">
        <x:f>COUNTIFS('Annotations'!$B$2:$B$601,A15,'Annotations'!$R$2:$R$601,"~?")</x:f>
        <x:v>0</x:v>
      </x:c>
      <x:c r="H15" s="38" t="n">
        <x:f>IF(C15=0,0,(D15+E15)/C15)</x:f>
        <x:v>0.85</x:v>
      </x:c>
      <x:c r="I15" s="38" t="n">
        <x:f>IF(COUNTIFS('Annotations'!$B$2:$B$601,A15,'Annotations'!$F$2:$F$601,"&lt;=5")=0,0,(COUNTIFS('Annotations'!$B$2:$B$601,A15,'Annotations'!$F$2:$F$601,"&lt;=5",'Annotations'!$R$2:$R$601,"2")+COUNTIFS('Annotations'!$B$2:$B$601,A15,'Annotations'!$F$2:$F$601,"&lt;=5",'Annotations'!$R$2:$R$601,"1"))/COUNTIFS('Annotations'!$B$2:$B$601,A15,'Annotations'!$F$2:$F$601,"&lt;=5"))</x:f>
        <x:v>1</x:v>
      </x:c>
      <x:c r="J15" s="38" t="n">
        <x:f>IF(COUNTIFS('Annotations'!$B$2:$B$601,A15,'Annotations'!$F$2:$F$601,"&lt;=10")=0,0,(COUNTIFS('Annotations'!$B$2:$B$601,A15,'Annotations'!$F$2:$F$601,"&lt;=10",'Annotations'!$R$2:$R$601,"2")+COUNTIFS('Annotations'!$B$2:$B$601,A15,'Annotations'!$F$2:$F$601,"&lt;=10",'Annotations'!$R$2:$R$601,"1"))/COUNTIFS('Annotations'!$B$2:$B$601,A15,'Annotations'!$F$2:$F$601,"&lt;=10"))</x:f>
        <x:v>0.8</x:v>
      </x:c>
      <x:c r="K15" s="38" t="n">
        <x:f>IF(COUNTIF('Annotations'!$B$2:$B$601,A15)=0,0,(COUNTIFS('Annotations'!$B$2:$B$601,A15,'Annotations'!$R$2:$R$601,"2")+COUNTIFS('Annotations'!$B$2:$B$601,A15,'Annotations'!$R$2:$R$601,"1"))/COUNTIF('Annotations'!$B$2:$B$601,A15))</x:f>
        <x:v>0.85</x:v>
      </x:c>
      <x:c r="L15" s="39" t="n">
        <x:f>IF(C15=0,0,D15/C15)</x:f>
        <x:v>0.75</x:v>
      </x:c>
    </x:row>
    <x:row r="16" ht="42" customHeight="1">
      <x:c r="A16" s="35" t="str">
        <x:v>csq013</x:v>
      </x:c>
      <x:c r="B16" s="45" t="str">
        <x:v>Which benchmarks and metrics have been proposed to evaluate hallucination in vision-language models, and what aspects of model behavior does each benchmark test?</x:v>
      </x:c>
      <x:c r="C16" s="37" t="n">
        <x:f>COUNTIF('Annotations'!$B$2:$B$601,A16)</x:f>
        <x:v>20</x:v>
      </x:c>
      <x:c r="D16" s="37" t="n">
        <x:f>COUNTIFS('Annotations'!$B$2:$B$601,A16,'Annotations'!$R$2:$R$601,"2")</x:f>
        <x:v>15</x:v>
      </x:c>
      <x:c r="E16" s="37" t="n">
        <x:f>COUNTIFS('Annotations'!$B$2:$B$601,A16,'Annotations'!$R$2:$R$601,"1")</x:f>
        <x:v>5</x:v>
      </x:c>
      <x:c r="F16" s="37" t="n">
        <x:f>COUNTIFS('Annotations'!$B$2:$B$601,A16,'Annotations'!$R$2:$R$601,"0")</x:f>
        <x:v>0</x:v>
      </x:c>
      <x:c r="G16" s="37" t="n">
        <x:f>COUNTIFS('Annotations'!$B$2:$B$601,A16,'Annotations'!$R$2:$R$601,"~?")</x:f>
        <x:v>0</x:v>
      </x:c>
      <x:c r="H16" s="38" t="n">
        <x:f>IF(C16=0,0,(D16+E16)/C16)</x:f>
        <x:v>1</x:v>
      </x:c>
      <x:c r="I16" s="38" t="n">
        <x:f>IF(COUNTIFS('Annotations'!$B$2:$B$601,A16,'Annotations'!$F$2:$F$601,"&lt;=5")=0,0,(COUNTIFS('Annotations'!$B$2:$B$601,A16,'Annotations'!$F$2:$F$601,"&lt;=5",'Annotations'!$R$2:$R$601,"2")+COUNTIFS('Annotations'!$B$2:$B$601,A16,'Annotations'!$F$2:$F$601,"&lt;=5",'Annotations'!$R$2:$R$601,"1"))/COUNTIFS('Annotations'!$B$2:$B$601,A16,'Annotations'!$F$2:$F$601,"&lt;=5"))</x:f>
        <x:v>1</x:v>
      </x:c>
      <x:c r="J16" s="38" t="n">
        <x:f>IF(COUNTIFS('Annotations'!$B$2:$B$601,A16,'Annotations'!$F$2:$F$601,"&lt;=10")=0,0,(COUNTIFS('Annotations'!$B$2:$B$601,A16,'Annotations'!$F$2:$F$601,"&lt;=10",'Annotations'!$R$2:$R$601,"2")+COUNTIFS('Annotations'!$B$2:$B$601,A16,'Annotations'!$F$2:$F$601,"&lt;=10",'Annotations'!$R$2:$R$601,"1"))/COUNTIFS('Annotations'!$B$2:$B$601,A16,'Annotations'!$F$2:$F$601,"&lt;=10"))</x:f>
        <x:v>1</x:v>
      </x:c>
      <x:c r="K16" s="38" t="n">
        <x:f>IF(COUNTIF('Annotations'!$B$2:$B$601,A16)=0,0,(COUNTIFS('Annotations'!$B$2:$B$601,A16,'Annotations'!$R$2:$R$601,"2")+COUNTIFS('Annotations'!$B$2:$B$601,A16,'Annotations'!$R$2:$R$601,"1"))/COUNTIF('Annotations'!$B$2:$B$601,A16))</x:f>
        <x:v>1</x:v>
      </x:c>
      <x:c r="L16" s="39" t="n">
        <x:f>IF(C16=0,0,D16/C16)</x:f>
        <x:v>0.75</x:v>
      </x:c>
    </x:row>
    <x:row r="17" ht="42" customHeight="1">
      <x:c r="A17" s="35" t="str">
        <x:v>csq014</x:v>
      </x:c>
      <x:c r="B17" s="45" t="str">
        <x:v>What limitations of adversarial training as a defense for image classifiers have been established, particularly regarding accuracy, computational cost, and generalization to unseen attacks?</x:v>
      </x:c>
      <x:c r="C17" s="37" t="n">
        <x:f>COUNTIF('Annotations'!$B$2:$B$601,A17)</x:f>
        <x:v>20</x:v>
      </x:c>
      <x:c r="D17" s="37" t="n">
        <x:f>COUNTIFS('Annotations'!$B$2:$B$601,A17,'Annotations'!$R$2:$R$601,"2")</x:f>
        <x:v>10</x:v>
      </x:c>
      <x:c r="E17" s="37" t="n">
        <x:f>COUNTIFS('Annotations'!$B$2:$B$601,A17,'Annotations'!$R$2:$R$601,"1")</x:f>
        <x:v>7</x:v>
      </x:c>
      <x:c r="F17" s="37" t="n">
        <x:f>COUNTIFS('Annotations'!$B$2:$B$601,A17,'Annotations'!$R$2:$R$601,"0")</x:f>
        <x:v>3</x:v>
      </x:c>
      <x:c r="G17" s="37" t="n">
        <x:f>COUNTIFS('Annotations'!$B$2:$B$601,A17,'Annotations'!$R$2:$R$601,"~?")</x:f>
        <x:v>0</x:v>
      </x:c>
      <x:c r="H17" s="38" t="n">
        <x:f>IF(C17=0,0,(D17+E17)/C17)</x:f>
        <x:v>0.85</x:v>
      </x:c>
      <x:c r="I17" s="38" t="n">
        <x:f>IF(COUNTIFS('Annotations'!$B$2:$B$601,A17,'Annotations'!$F$2:$F$601,"&lt;=5")=0,0,(COUNTIFS('Annotations'!$B$2:$B$601,A17,'Annotations'!$F$2:$F$601,"&lt;=5",'Annotations'!$R$2:$R$601,"2")+COUNTIFS('Annotations'!$B$2:$B$601,A17,'Annotations'!$F$2:$F$601,"&lt;=5",'Annotations'!$R$2:$R$601,"1"))/COUNTIFS('Annotations'!$B$2:$B$601,A17,'Annotations'!$F$2:$F$601,"&lt;=5"))</x:f>
        <x:v>1</x:v>
      </x:c>
      <x:c r="J17" s="38" t="n">
        <x:f>IF(COUNTIFS('Annotations'!$B$2:$B$601,A17,'Annotations'!$F$2:$F$601,"&lt;=10")=0,0,(COUNTIFS('Annotations'!$B$2:$B$601,A17,'Annotations'!$F$2:$F$601,"&lt;=10",'Annotations'!$R$2:$R$601,"2")+COUNTIFS('Annotations'!$B$2:$B$601,A17,'Annotations'!$F$2:$F$601,"&lt;=10",'Annotations'!$R$2:$R$601,"1"))/COUNTIFS('Annotations'!$B$2:$B$601,A17,'Annotations'!$F$2:$F$601,"&lt;=10"))</x:f>
        <x:v>1</x:v>
      </x:c>
      <x:c r="K17" s="38" t="n">
        <x:f>IF(COUNTIF('Annotations'!$B$2:$B$601,A17)=0,0,(COUNTIFS('Annotations'!$B$2:$B$601,A17,'Annotations'!$R$2:$R$601,"2")+COUNTIFS('Annotations'!$B$2:$B$601,A17,'Annotations'!$R$2:$R$601,"1"))/COUNTIF('Annotations'!$B$2:$B$601,A17))</x:f>
        <x:v>0.85</x:v>
      </x:c>
      <x:c r="L17" s="39" t="n">
        <x:f>IF(C17=0,0,D17/C17)</x:f>
        <x:v>0.5</x:v>
      </x:c>
    </x:row>
    <x:row r="18" ht="42" customHeight="1">
      <x:c r="A18" s="35" t="str">
        <x:v>csq015</x:v>
      </x:c>
      <x:c r="B18" s="45" t="str">
        <x:v>What are the main approaches for reducing communication and latency costs in Byzantine fault-tolerant consensus protocols?</x:v>
      </x:c>
      <x:c r="C18" s="37" t="n">
        <x:f>COUNTIF('Annotations'!$B$2:$B$601,A18)</x:f>
        <x:v>20</x:v>
      </x:c>
      <x:c r="D18" s="37" t="n">
        <x:f>COUNTIFS('Annotations'!$B$2:$B$601,A18,'Annotations'!$R$2:$R$601,"2")</x:f>
        <x:v>18</x:v>
      </x:c>
      <x:c r="E18" s="37" t="n">
        <x:f>COUNTIFS('Annotations'!$B$2:$B$601,A18,'Annotations'!$R$2:$R$601,"1")</x:f>
        <x:v>2</x:v>
      </x:c>
      <x:c r="F18" s="37" t="n">
        <x:f>COUNTIFS('Annotations'!$B$2:$B$601,A18,'Annotations'!$R$2:$R$601,"0")</x:f>
        <x:v>0</x:v>
      </x:c>
      <x:c r="G18" s="37" t="n">
        <x:f>COUNTIFS('Annotations'!$B$2:$B$601,A18,'Annotations'!$R$2:$R$601,"~?")</x:f>
        <x:v>0</x:v>
      </x:c>
      <x:c r="H18" s="38" t="n">
        <x:f>IF(C18=0,0,(D18+E18)/C18)</x:f>
        <x:v>1</x:v>
      </x:c>
      <x:c r="I18" s="38" t="n">
        <x:f>IF(COUNTIFS('Annotations'!$B$2:$B$601,A18,'Annotations'!$F$2:$F$601,"&lt;=5")=0,0,(COUNTIFS('Annotations'!$B$2:$B$601,A18,'Annotations'!$F$2:$F$601,"&lt;=5",'Annotations'!$R$2:$R$601,"2")+COUNTIFS('Annotations'!$B$2:$B$601,A18,'Annotations'!$F$2:$F$601,"&lt;=5",'Annotations'!$R$2:$R$601,"1"))/COUNTIFS('Annotations'!$B$2:$B$601,A18,'Annotations'!$F$2:$F$601,"&lt;=5"))</x:f>
        <x:v>1</x:v>
      </x:c>
      <x:c r="J18" s="38" t="n">
        <x:f>IF(COUNTIFS('Annotations'!$B$2:$B$601,A18,'Annotations'!$F$2:$F$601,"&lt;=10")=0,0,(COUNTIFS('Annotations'!$B$2:$B$601,A18,'Annotations'!$F$2:$F$601,"&lt;=10",'Annotations'!$R$2:$R$601,"2")+COUNTIFS('Annotations'!$B$2:$B$601,A18,'Annotations'!$F$2:$F$601,"&lt;=10",'Annotations'!$R$2:$R$601,"1"))/COUNTIFS('Annotations'!$B$2:$B$601,A18,'Annotations'!$F$2:$F$601,"&lt;=10"))</x:f>
        <x:v>1</x:v>
      </x:c>
      <x:c r="K18" s="38" t="n">
        <x:f>IF(COUNTIF('Annotations'!$B$2:$B$601,A18)=0,0,(COUNTIFS('Annotations'!$B$2:$B$601,A18,'Annotations'!$R$2:$R$601,"2")+COUNTIFS('Annotations'!$B$2:$B$601,A18,'Annotations'!$R$2:$R$601,"1"))/COUNTIF('Annotations'!$B$2:$B$601,A18))</x:f>
        <x:v>1</x:v>
      </x:c>
      <x:c r="L18" s="39" t="n">
        <x:f>IF(C18=0,0,D18/C18)</x:f>
        <x:v>0.9</x:v>
      </x:c>
    </x:row>
    <x:row r="19" ht="42" customHeight="1">
      <x:c r="A19" s="35" t="str">
        <x:v>csq016</x:v>
      </x:c>
      <x:c r="B19" s="45" t="str">
        <x:v>How do research systems mitigate cold starts in serverless computing, and how do prewarming, snapshotting, and prediction-based approaches compare?</x:v>
      </x:c>
      <x:c r="C19" s="37" t="n">
        <x:f>COUNTIF('Annotations'!$B$2:$B$601,A19)</x:f>
        <x:v>20</x:v>
      </x:c>
      <x:c r="D19" s="37" t="n">
        <x:f>COUNTIFS('Annotations'!$B$2:$B$601,A19,'Annotations'!$R$2:$R$601,"2")</x:f>
        <x:v>19</x:v>
      </x:c>
      <x:c r="E19" s="37" t="n">
        <x:f>COUNTIFS('Annotations'!$B$2:$B$601,A19,'Annotations'!$R$2:$R$601,"1")</x:f>
        <x:v>1</x:v>
      </x:c>
      <x:c r="F19" s="37" t="n">
        <x:f>COUNTIFS('Annotations'!$B$2:$B$601,A19,'Annotations'!$R$2:$R$601,"0")</x:f>
        <x:v>0</x:v>
      </x:c>
      <x:c r="G19" s="37" t="n">
        <x:f>COUNTIFS('Annotations'!$B$2:$B$601,A19,'Annotations'!$R$2:$R$601,"~?")</x:f>
        <x:v>0</x:v>
      </x:c>
      <x:c r="H19" s="38" t="n">
        <x:f>IF(C19=0,0,(D19+E19)/C19)</x:f>
        <x:v>1</x:v>
      </x:c>
      <x:c r="I19" s="38" t="n">
        <x:f>IF(COUNTIFS('Annotations'!$B$2:$B$601,A19,'Annotations'!$F$2:$F$601,"&lt;=5")=0,0,(COUNTIFS('Annotations'!$B$2:$B$601,A19,'Annotations'!$F$2:$F$601,"&lt;=5",'Annotations'!$R$2:$R$601,"2")+COUNTIFS('Annotations'!$B$2:$B$601,A19,'Annotations'!$F$2:$F$601,"&lt;=5",'Annotations'!$R$2:$R$601,"1"))/COUNTIFS('Annotations'!$B$2:$B$601,A19,'Annotations'!$F$2:$F$601,"&lt;=5"))</x:f>
        <x:v>1</x:v>
      </x:c>
      <x:c r="J19" s="38" t="n">
        <x:f>IF(COUNTIFS('Annotations'!$B$2:$B$601,A19,'Annotations'!$F$2:$F$601,"&lt;=10")=0,0,(COUNTIFS('Annotations'!$B$2:$B$601,A19,'Annotations'!$F$2:$F$601,"&lt;=10",'Annotations'!$R$2:$R$601,"2")+COUNTIFS('Annotations'!$B$2:$B$601,A19,'Annotations'!$F$2:$F$601,"&lt;=10",'Annotations'!$R$2:$R$601,"1"))/COUNTIFS('Annotations'!$B$2:$B$601,A19,'Annotations'!$F$2:$F$601,"&lt;=10"))</x:f>
        <x:v>1</x:v>
      </x:c>
      <x:c r="K19" s="38" t="n">
        <x:f>IF(COUNTIF('Annotations'!$B$2:$B$601,A19)=0,0,(COUNTIFS('Annotations'!$B$2:$B$601,A19,'Annotations'!$R$2:$R$601,"2")+COUNTIFS('Annotations'!$B$2:$B$601,A19,'Annotations'!$R$2:$R$601,"1"))/COUNTIF('Annotations'!$B$2:$B$601,A19))</x:f>
        <x:v>1</x:v>
      </x:c>
      <x:c r="L19" s="39" t="n">
        <x:f>IF(C19=0,0,D19/C19)</x:f>
        <x:v>0.95</x:v>
      </x:c>
    </x:row>
    <x:row r="20" ht="42" customHeight="1">
      <x:c r="A20" s="35" t="str">
        <x:v>csq017</x:v>
      </x:c>
      <x:c r="B20" s="45" t="str">
        <x:v>Which workloads, metrics, and experimental methodologies are used to evaluate datacenter cluster schedulers?</x:v>
      </x:c>
      <x:c r="C20" s="37" t="n">
        <x:f>COUNTIF('Annotations'!$B$2:$B$601,A20)</x:f>
        <x:v>20</x:v>
      </x:c>
      <x:c r="D20" s="37" t="n">
        <x:f>COUNTIFS('Annotations'!$B$2:$B$601,A20,'Annotations'!$R$2:$R$601,"2")</x:f>
        <x:v>19</x:v>
      </x:c>
      <x:c r="E20" s="37" t="n">
        <x:f>COUNTIFS('Annotations'!$B$2:$B$601,A20,'Annotations'!$R$2:$R$601,"1")</x:f>
        <x:v>1</x:v>
      </x:c>
      <x:c r="F20" s="37" t="n">
        <x:f>COUNTIFS('Annotations'!$B$2:$B$601,A20,'Annotations'!$R$2:$R$601,"0")</x:f>
        <x:v>0</x:v>
      </x:c>
      <x:c r="G20" s="37" t="n">
        <x:f>COUNTIFS('Annotations'!$B$2:$B$601,A20,'Annotations'!$R$2:$R$601,"~?")</x:f>
        <x:v>0</x:v>
      </x:c>
      <x:c r="H20" s="38" t="n">
        <x:f>IF(C20=0,0,(D20+E20)/C20)</x:f>
        <x:v>1</x:v>
      </x:c>
      <x:c r="I20" s="38" t="n">
        <x:f>IF(COUNTIFS('Annotations'!$B$2:$B$601,A20,'Annotations'!$F$2:$F$601,"&lt;=5")=0,0,(COUNTIFS('Annotations'!$B$2:$B$601,A20,'Annotations'!$F$2:$F$601,"&lt;=5",'Annotations'!$R$2:$R$601,"2")+COUNTIFS('Annotations'!$B$2:$B$601,A20,'Annotations'!$F$2:$F$601,"&lt;=5",'Annotations'!$R$2:$R$601,"1"))/COUNTIFS('Annotations'!$B$2:$B$601,A20,'Annotations'!$F$2:$F$601,"&lt;=5"))</x:f>
        <x:v>1</x:v>
      </x:c>
      <x:c r="J20" s="38" t="n">
        <x:f>IF(COUNTIFS('Annotations'!$B$2:$B$601,A20,'Annotations'!$F$2:$F$601,"&lt;=10")=0,0,(COUNTIFS('Annotations'!$B$2:$B$601,A20,'Annotations'!$F$2:$F$601,"&lt;=10",'Annotations'!$R$2:$R$601,"2")+COUNTIFS('Annotations'!$B$2:$B$601,A20,'Annotations'!$F$2:$F$601,"&lt;=10",'Annotations'!$R$2:$R$601,"1"))/COUNTIFS('Annotations'!$B$2:$B$601,A20,'Annotations'!$F$2:$F$601,"&lt;=10"))</x:f>
        <x:v>1</x:v>
      </x:c>
      <x:c r="K20" s="38" t="n">
        <x:f>IF(COUNTIF('Annotations'!$B$2:$B$601,A20)=0,0,(COUNTIFS('Annotations'!$B$2:$B$601,A20,'Annotations'!$R$2:$R$601,"2")+COUNTIFS('Annotations'!$B$2:$B$601,A20,'Annotations'!$R$2:$R$601,"1"))/COUNTIF('Annotations'!$B$2:$B$601,A20))</x:f>
        <x:v>1</x:v>
      </x:c>
      <x:c r="L20" s="39" t="n">
        <x:f>IF(C20=0,0,D20/C20)</x:f>
        <x:v>0.95</x:v>
      </x:c>
    </x:row>
    <x:row r="21" ht="42" customHeight="1">
      <x:c r="A21" s="35" t="str">
        <x:v>csq018</x:v>
      </x:c>
      <x:c r="B21" s="45" t="str">
        <x:v>How have programmable data planes and in-network computing evolved, and which classes of distributed applications have benefited from them?</x:v>
      </x:c>
      <x:c r="C21" s="37" t="n">
        <x:f>COUNTIF('Annotations'!$B$2:$B$601,A21)</x:f>
        <x:v>20</x:v>
      </x:c>
      <x:c r="D21" s="37" t="n">
        <x:f>COUNTIFS('Annotations'!$B$2:$B$601,A21,'Annotations'!$R$2:$R$601,"2")</x:f>
        <x:v>19</x:v>
      </x:c>
      <x:c r="E21" s="37" t="n">
        <x:f>COUNTIFS('Annotations'!$B$2:$B$601,A21,'Annotations'!$R$2:$R$601,"1")</x:f>
        <x:v>0</x:v>
      </x:c>
      <x:c r="F21" s="37" t="n">
        <x:f>COUNTIFS('Annotations'!$B$2:$B$601,A21,'Annotations'!$R$2:$R$601,"0")</x:f>
        <x:v>1</x:v>
      </x:c>
      <x:c r="G21" s="37" t="n">
        <x:f>COUNTIFS('Annotations'!$B$2:$B$601,A21,'Annotations'!$R$2:$R$601,"~?")</x:f>
        <x:v>0</x:v>
      </x:c>
      <x:c r="H21" s="38" t="n">
        <x:f>IF(C21=0,0,(D21+E21)/C21)</x:f>
        <x:v>0.95</x:v>
      </x:c>
      <x:c r="I21" s="38" t="n">
        <x:f>IF(COUNTIFS('Annotations'!$B$2:$B$601,A21,'Annotations'!$F$2:$F$601,"&lt;=5")=0,0,(COUNTIFS('Annotations'!$B$2:$B$601,A21,'Annotations'!$F$2:$F$601,"&lt;=5",'Annotations'!$R$2:$R$601,"2")+COUNTIFS('Annotations'!$B$2:$B$601,A21,'Annotations'!$F$2:$F$601,"&lt;=5",'Annotations'!$R$2:$R$601,"1"))/COUNTIFS('Annotations'!$B$2:$B$601,A21,'Annotations'!$F$2:$F$601,"&lt;=5"))</x:f>
        <x:v>1</x:v>
      </x:c>
      <x:c r="J21" s="38" t="n">
        <x:f>IF(COUNTIFS('Annotations'!$B$2:$B$601,A21,'Annotations'!$F$2:$F$601,"&lt;=10")=0,0,(COUNTIFS('Annotations'!$B$2:$B$601,A21,'Annotations'!$F$2:$F$601,"&lt;=10",'Annotations'!$R$2:$R$601,"2")+COUNTIFS('Annotations'!$B$2:$B$601,A21,'Annotations'!$F$2:$F$601,"&lt;=10",'Annotations'!$R$2:$R$601,"1"))/COUNTIFS('Annotations'!$B$2:$B$601,A21,'Annotations'!$F$2:$F$601,"&lt;=10"))</x:f>
        <x:v>1</x:v>
      </x:c>
      <x:c r="K21" s="38" t="n">
        <x:f>IF(COUNTIF('Annotations'!$B$2:$B$601,A21)=0,0,(COUNTIFS('Annotations'!$B$2:$B$601,A21,'Annotations'!$R$2:$R$601,"2")+COUNTIFS('Annotations'!$B$2:$B$601,A21,'Annotations'!$R$2:$R$601,"1"))/COUNTIF('Annotations'!$B$2:$B$601,A21))</x:f>
        <x:v>0.95</x:v>
      </x:c>
      <x:c r="L21" s="39" t="n">
        <x:f>IF(C21=0,0,D21/C21)</x:f>
        <x:v>0.95</x:v>
      </x:c>
    </x:row>
    <x:row r="22" ht="42" customHeight="1">
      <x:c r="A22" s="35" t="str">
        <x:v>csq019</x:v>
      </x:c>
      <x:c r="B22" s="45" t="str">
        <x:v>What methods are used for training deep learning models with differential privacy, and how do they manage the privacy-utility-computation trade-off?</x:v>
      </x:c>
      <x:c r="C22" s="37" t="n">
        <x:f>COUNTIF('Annotations'!$B$2:$B$601,A22)</x:f>
        <x:v>20</x:v>
      </x:c>
      <x:c r="D22" s="37" t="n">
        <x:f>COUNTIFS('Annotations'!$B$2:$B$601,A22,'Annotations'!$R$2:$R$601,"2")</x:f>
        <x:v>18</x:v>
      </x:c>
      <x:c r="E22" s="37" t="n">
        <x:f>COUNTIFS('Annotations'!$B$2:$B$601,A22,'Annotations'!$R$2:$R$601,"1")</x:f>
        <x:v>2</x:v>
      </x:c>
      <x:c r="F22" s="37" t="n">
        <x:f>COUNTIFS('Annotations'!$B$2:$B$601,A22,'Annotations'!$R$2:$R$601,"0")</x:f>
        <x:v>0</x:v>
      </x:c>
      <x:c r="G22" s="37" t="n">
        <x:f>COUNTIFS('Annotations'!$B$2:$B$601,A22,'Annotations'!$R$2:$R$601,"~?")</x:f>
        <x:v>0</x:v>
      </x:c>
      <x:c r="H22" s="38" t="n">
        <x:f>IF(C22=0,0,(D22+E22)/C22)</x:f>
        <x:v>1</x:v>
      </x:c>
      <x:c r="I22" s="38" t="n">
        <x:f>IF(COUNTIFS('Annotations'!$B$2:$B$601,A22,'Annotations'!$F$2:$F$601,"&lt;=5")=0,0,(COUNTIFS('Annotations'!$B$2:$B$601,A22,'Annotations'!$F$2:$F$601,"&lt;=5",'Annotations'!$R$2:$R$601,"2")+COUNTIFS('Annotations'!$B$2:$B$601,A22,'Annotations'!$F$2:$F$601,"&lt;=5",'Annotations'!$R$2:$R$601,"1"))/COUNTIFS('Annotations'!$B$2:$B$601,A22,'Annotations'!$F$2:$F$601,"&lt;=5"))</x:f>
        <x:v>1</x:v>
      </x:c>
      <x:c r="J22" s="38" t="n">
        <x:f>IF(COUNTIFS('Annotations'!$B$2:$B$601,A22,'Annotations'!$F$2:$F$601,"&lt;=10")=0,0,(COUNTIFS('Annotations'!$B$2:$B$601,A22,'Annotations'!$F$2:$F$601,"&lt;=10",'Annotations'!$R$2:$R$601,"2")+COUNTIFS('Annotations'!$B$2:$B$601,A22,'Annotations'!$F$2:$F$601,"&lt;=10",'Annotations'!$R$2:$R$601,"1"))/COUNTIFS('Annotations'!$B$2:$B$601,A22,'Annotations'!$F$2:$F$601,"&lt;=10"))</x:f>
        <x:v>1</x:v>
      </x:c>
      <x:c r="K22" s="38" t="n">
        <x:f>IF(COUNTIF('Annotations'!$B$2:$B$601,A22)=0,0,(COUNTIFS('Annotations'!$B$2:$B$601,A22,'Annotations'!$R$2:$R$601,"2")+COUNTIFS('Annotations'!$B$2:$B$601,A22,'Annotations'!$R$2:$R$601,"1"))/COUNTIF('Annotations'!$B$2:$B$601,A22))</x:f>
        <x:v>1</x:v>
      </x:c>
      <x:c r="L22" s="39" t="n">
        <x:f>IF(C22=0,0,D22/C22)</x:f>
        <x:v>0.9</x:v>
      </x:c>
    </x:row>
    <x:row r="23" ht="42" customHeight="1">
      <x:c r="A23" s="35" t="str">
        <x:v>csq020</x:v>
      </x:c>
      <x:c r="B23" s="45" t="str">
        <x:v>How do black-box and white-box membership inference attacks against machine learning models compare in their assumptions, methods, and evaluations?</x:v>
      </x:c>
      <x:c r="C23" s="37" t="n">
        <x:f>COUNTIF('Annotations'!$B$2:$B$601,A23)</x:f>
        <x:v>20</x:v>
      </x:c>
      <x:c r="D23" s="37" t="n">
        <x:f>COUNTIFS('Annotations'!$B$2:$B$601,A23,'Annotations'!$R$2:$R$601,"2")</x:f>
        <x:v>19</x:v>
      </x:c>
      <x:c r="E23" s="37" t="n">
        <x:f>COUNTIFS('Annotations'!$B$2:$B$601,A23,'Annotations'!$R$2:$R$601,"1")</x:f>
        <x:v>1</x:v>
      </x:c>
      <x:c r="F23" s="37" t="n">
        <x:f>COUNTIFS('Annotations'!$B$2:$B$601,A23,'Annotations'!$R$2:$R$601,"0")</x:f>
        <x:v>0</x:v>
      </x:c>
      <x:c r="G23" s="37" t="n">
        <x:f>COUNTIFS('Annotations'!$B$2:$B$601,A23,'Annotations'!$R$2:$R$601,"~?")</x:f>
        <x:v>0</x:v>
      </x:c>
      <x:c r="H23" s="38" t="n">
        <x:f>IF(C23=0,0,(D23+E23)/C23)</x:f>
        <x:v>1</x:v>
      </x:c>
      <x:c r="I23" s="38" t="n">
        <x:f>IF(COUNTIFS('Annotations'!$B$2:$B$601,A23,'Annotations'!$F$2:$F$601,"&lt;=5")=0,0,(COUNTIFS('Annotations'!$B$2:$B$601,A23,'Annotations'!$F$2:$F$601,"&lt;=5",'Annotations'!$R$2:$R$601,"2")+COUNTIFS('Annotations'!$B$2:$B$601,A23,'Annotations'!$F$2:$F$601,"&lt;=5",'Annotations'!$R$2:$R$601,"1"))/COUNTIFS('Annotations'!$B$2:$B$601,A23,'Annotations'!$F$2:$F$601,"&lt;=5"))</x:f>
        <x:v>1</x:v>
      </x:c>
      <x:c r="J23" s="38" t="n">
        <x:f>IF(COUNTIFS('Annotations'!$B$2:$B$601,A23,'Annotations'!$F$2:$F$601,"&lt;=10")=0,0,(COUNTIFS('Annotations'!$B$2:$B$601,A23,'Annotations'!$F$2:$F$601,"&lt;=10",'Annotations'!$R$2:$R$601,"2")+COUNTIFS('Annotations'!$B$2:$B$601,A23,'Annotations'!$F$2:$F$601,"&lt;=10",'Annotations'!$R$2:$R$601,"1"))/COUNTIFS('Annotations'!$B$2:$B$601,A23,'Annotations'!$F$2:$F$601,"&lt;=10"))</x:f>
        <x:v>1</x:v>
      </x:c>
      <x:c r="K23" s="38" t="n">
        <x:f>IF(COUNTIF('Annotations'!$B$2:$B$601,A23)=0,0,(COUNTIFS('Annotations'!$B$2:$B$601,A23,'Annotations'!$R$2:$R$601,"2")+COUNTIFS('Annotations'!$B$2:$B$601,A23,'Annotations'!$R$2:$R$601,"1"))/COUNTIF('Annotations'!$B$2:$B$601,A23))</x:f>
        <x:v>1</x:v>
      </x:c>
      <x:c r="L23" s="39" t="n">
        <x:f>IF(C23=0,0,D23/C23)</x:f>
        <x:v>0.95</x:v>
      </x:c>
    </x:row>
    <x:row r="24" ht="42" customHeight="1">
      <x:c r="A24" s="35" t="str">
        <x:v>csq021</x:v>
      </x:c>
      <x:c r="B24" s="45" t="str">
        <x:v>Which datasets, benchmarks, and metrics are used to evaluate software supply-chain vulnerability and malicious-package detection methods?</x:v>
      </x:c>
      <x:c r="C24" s="37" t="n">
        <x:f>COUNTIF('Annotations'!$B$2:$B$601,A24)</x:f>
        <x:v>20</x:v>
      </x:c>
      <x:c r="D24" s="37" t="n">
        <x:f>COUNTIFS('Annotations'!$B$2:$B$601,A24,'Annotations'!$R$2:$R$601,"2")</x:f>
        <x:v>9</x:v>
      </x:c>
      <x:c r="E24" s="37" t="n">
        <x:f>COUNTIFS('Annotations'!$B$2:$B$601,A24,'Annotations'!$R$2:$R$601,"1")</x:f>
        <x:v>8</x:v>
      </x:c>
      <x:c r="F24" s="37" t="n">
        <x:f>COUNTIFS('Annotations'!$B$2:$B$601,A24,'Annotations'!$R$2:$R$601,"0")</x:f>
        <x:v>3</x:v>
      </x:c>
      <x:c r="G24" s="37" t="n">
        <x:f>COUNTIFS('Annotations'!$B$2:$B$601,A24,'Annotations'!$R$2:$R$601,"~?")</x:f>
        <x:v>0</x:v>
      </x:c>
      <x:c r="H24" s="38" t="n">
        <x:f>IF(C24=0,0,(D24+E24)/C24)</x:f>
        <x:v>0.85</x:v>
      </x:c>
      <x:c r="I24" s="38" t="n">
        <x:f>IF(COUNTIFS('Annotations'!$B$2:$B$601,A24,'Annotations'!$F$2:$F$601,"&lt;=5")=0,0,(COUNTIFS('Annotations'!$B$2:$B$601,A24,'Annotations'!$F$2:$F$601,"&lt;=5",'Annotations'!$R$2:$R$601,"2")+COUNTIFS('Annotations'!$B$2:$B$601,A24,'Annotations'!$F$2:$F$601,"&lt;=5",'Annotations'!$R$2:$R$601,"1"))/COUNTIFS('Annotations'!$B$2:$B$601,A24,'Annotations'!$F$2:$F$601,"&lt;=5"))</x:f>
        <x:v>1</x:v>
      </x:c>
      <x:c r="J24" s="38" t="n">
        <x:f>IF(COUNTIFS('Annotations'!$B$2:$B$601,A24,'Annotations'!$F$2:$F$601,"&lt;=10")=0,0,(COUNTIFS('Annotations'!$B$2:$B$601,A24,'Annotations'!$F$2:$F$601,"&lt;=10",'Annotations'!$R$2:$R$601,"2")+COUNTIFS('Annotations'!$B$2:$B$601,A24,'Annotations'!$F$2:$F$601,"&lt;=10",'Annotations'!$R$2:$R$601,"1"))/COUNTIFS('Annotations'!$B$2:$B$601,A24,'Annotations'!$F$2:$F$601,"&lt;=10"))</x:f>
        <x:v>0.9</x:v>
      </x:c>
      <x:c r="K24" s="38" t="n">
        <x:f>IF(COUNTIF('Annotations'!$B$2:$B$601,A24)=0,0,(COUNTIFS('Annotations'!$B$2:$B$601,A24,'Annotations'!$R$2:$R$601,"2")+COUNTIFS('Annotations'!$B$2:$B$601,A24,'Annotations'!$R$2:$R$601,"1"))/COUNTIF('Annotations'!$B$2:$B$601,A24))</x:f>
        <x:v>0.85</x:v>
      </x:c>
      <x:c r="L24" s="39" t="n">
        <x:f>IF(C24=0,0,D24/C24)</x:f>
        <x:v>0.45</x:v>
      </x:c>
    </x:row>
    <x:row r="25" ht="42" customHeight="1">
      <x:c r="A25" s="35" t="str">
        <x:v>csq022</x:v>
      </x:c>
      <x:c r="B25" s="45" t="str">
        <x:v>What security and privacy attacks against federated learning have been demonstrated, and which proposed defenses remain limited under adaptive attackers?</x:v>
      </x:c>
      <x:c r="C25" s="37" t="n">
        <x:f>COUNTIF('Annotations'!$B$2:$B$601,A25)</x:f>
        <x:v>20</x:v>
      </x:c>
      <x:c r="D25" s="37" t="n">
        <x:f>COUNTIFS('Annotations'!$B$2:$B$601,A25,'Annotations'!$R$2:$R$601,"2")</x:f>
        <x:v>20</x:v>
      </x:c>
      <x:c r="E25" s="37" t="n">
        <x:f>COUNTIFS('Annotations'!$B$2:$B$601,A25,'Annotations'!$R$2:$R$601,"1")</x:f>
        <x:v>0</x:v>
      </x:c>
      <x:c r="F25" s="37" t="n">
        <x:f>COUNTIFS('Annotations'!$B$2:$B$601,A25,'Annotations'!$R$2:$R$601,"0")</x:f>
        <x:v>0</x:v>
      </x:c>
      <x:c r="G25" s="37" t="n">
        <x:f>COUNTIFS('Annotations'!$B$2:$B$601,A25,'Annotations'!$R$2:$R$601,"~?")</x:f>
        <x:v>0</x:v>
      </x:c>
      <x:c r="H25" s="38" t="n">
        <x:f>IF(C25=0,0,(D25+E25)/C25)</x:f>
        <x:v>1</x:v>
      </x:c>
      <x:c r="I25" s="38" t="n">
        <x:f>IF(COUNTIFS('Annotations'!$B$2:$B$601,A25,'Annotations'!$F$2:$F$601,"&lt;=5")=0,0,(COUNTIFS('Annotations'!$B$2:$B$601,A25,'Annotations'!$F$2:$F$601,"&lt;=5",'Annotations'!$R$2:$R$601,"2")+COUNTIFS('Annotations'!$B$2:$B$601,A25,'Annotations'!$F$2:$F$601,"&lt;=5",'Annotations'!$R$2:$R$601,"1"))/COUNTIFS('Annotations'!$B$2:$B$601,A25,'Annotations'!$F$2:$F$601,"&lt;=5"))</x:f>
        <x:v>1</x:v>
      </x:c>
      <x:c r="J25" s="38" t="n">
        <x:f>IF(COUNTIFS('Annotations'!$B$2:$B$601,A25,'Annotations'!$F$2:$F$601,"&lt;=10")=0,0,(COUNTIFS('Annotations'!$B$2:$B$601,A25,'Annotations'!$F$2:$F$601,"&lt;=10",'Annotations'!$R$2:$R$601,"2")+COUNTIFS('Annotations'!$B$2:$B$601,A25,'Annotations'!$F$2:$F$601,"&lt;=10",'Annotations'!$R$2:$R$601,"1"))/COUNTIFS('Annotations'!$B$2:$B$601,A25,'Annotations'!$F$2:$F$601,"&lt;=10"))</x:f>
        <x:v>1</x:v>
      </x:c>
      <x:c r="K25" s="38" t="n">
        <x:f>IF(COUNTIF('Annotations'!$B$2:$B$601,A25)=0,0,(COUNTIFS('Annotations'!$B$2:$B$601,A25,'Annotations'!$R$2:$R$601,"2")+COUNTIFS('Annotations'!$B$2:$B$601,A25,'Annotations'!$R$2:$R$601,"1"))/COUNTIF('Annotations'!$B$2:$B$601,A25))</x:f>
        <x:v>1</x:v>
      </x:c>
      <x:c r="L25" s="39" t="n">
        <x:f>IF(C25=0,0,D25/C25)</x:f>
        <x:v>1</x:v>
      </x:c>
    </x:row>
    <x:row r="26" ht="42" customHeight="1">
      <x:c r="A26" s="35" t="str">
        <x:v>csq023</x:v>
      </x:c>
      <x:c r="B26" s="45" t="str">
        <x:v>What are the main neural and large-language-model-based approaches to automated program repair, and how do they generate and validate patches?</x:v>
      </x:c>
      <x:c r="C26" s="37" t="n">
        <x:f>COUNTIF('Annotations'!$B$2:$B$601,A26)</x:f>
        <x:v>20</x:v>
      </x:c>
      <x:c r="D26" s="37" t="n">
        <x:f>COUNTIFS('Annotations'!$B$2:$B$601,A26,'Annotations'!$R$2:$R$601,"2")</x:f>
        <x:v>19</x:v>
      </x:c>
      <x:c r="E26" s="37" t="n">
        <x:f>COUNTIFS('Annotations'!$B$2:$B$601,A26,'Annotations'!$R$2:$R$601,"1")</x:f>
        <x:v>1</x:v>
      </x:c>
      <x:c r="F26" s="37" t="n">
        <x:f>COUNTIFS('Annotations'!$B$2:$B$601,A26,'Annotations'!$R$2:$R$601,"0")</x:f>
        <x:v>0</x:v>
      </x:c>
      <x:c r="G26" s="37" t="n">
        <x:f>COUNTIFS('Annotations'!$B$2:$B$601,A26,'Annotations'!$R$2:$R$601,"~?")</x:f>
        <x:v>0</x:v>
      </x:c>
      <x:c r="H26" s="38" t="n">
        <x:f>IF(C26=0,0,(D26+E26)/C26)</x:f>
        <x:v>1</x:v>
      </x:c>
      <x:c r="I26" s="38" t="n">
        <x:f>IF(COUNTIFS('Annotations'!$B$2:$B$601,A26,'Annotations'!$F$2:$F$601,"&lt;=5")=0,0,(COUNTIFS('Annotations'!$B$2:$B$601,A26,'Annotations'!$F$2:$F$601,"&lt;=5",'Annotations'!$R$2:$R$601,"2")+COUNTIFS('Annotations'!$B$2:$B$601,A26,'Annotations'!$F$2:$F$601,"&lt;=5",'Annotations'!$R$2:$R$601,"1"))/COUNTIFS('Annotations'!$B$2:$B$601,A26,'Annotations'!$F$2:$F$601,"&lt;=5"))</x:f>
        <x:v>1</x:v>
      </x:c>
      <x:c r="J26" s="38" t="n">
        <x:f>IF(COUNTIFS('Annotations'!$B$2:$B$601,A26,'Annotations'!$F$2:$F$601,"&lt;=10")=0,0,(COUNTIFS('Annotations'!$B$2:$B$601,A26,'Annotations'!$F$2:$F$601,"&lt;=10",'Annotations'!$R$2:$R$601,"2")+COUNTIFS('Annotations'!$B$2:$B$601,A26,'Annotations'!$F$2:$F$601,"&lt;=10",'Annotations'!$R$2:$R$601,"1"))/COUNTIFS('Annotations'!$B$2:$B$601,A26,'Annotations'!$F$2:$F$601,"&lt;=10"))</x:f>
        <x:v>1</x:v>
      </x:c>
      <x:c r="K26" s="38" t="n">
        <x:f>IF(COUNTIF('Annotations'!$B$2:$B$601,A26)=0,0,(COUNTIFS('Annotations'!$B$2:$B$601,A26,'Annotations'!$R$2:$R$601,"2")+COUNTIFS('Annotations'!$B$2:$B$601,A26,'Annotations'!$R$2:$R$601,"1"))/COUNTIF('Annotations'!$B$2:$B$601,A26))</x:f>
        <x:v>1</x:v>
      </x:c>
      <x:c r="L26" s="39" t="n">
        <x:f>IF(C26=0,0,D26/C26)</x:f>
        <x:v>0.95</x:v>
      </x:c>
    </x:row>
    <x:row r="27" ht="42" customHeight="1">
      <x:c r="A27" s="35" t="str">
        <x:v>csq024</x:v>
      </x:c>
      <x:c r="B27" s="45" t="str">
        <x:v>How do execution-based, test-based, and model-based evaluation approaches for code generation compare?</x:v>
      </x:c>
      <x:c r="C27" s="37" t="n">
        <x:f>COUNTIF('Annotations'!$B$2:$B$601,A27)</x:f>
        <x:v>20</x:v>
      </x:c>
      <x:c r="D27" s="37" t="n">
        <x:f>COUNTIFS('Annotations'!$B$2:$B$601,A27,'Annotations'!$R$2:$R$601,"2")</x:f>
        <x:v>13</x:v>
      </x:c>
      <x:c r="E27" s="37" t="n">
        <x:f>COUNTIFS('Annotations'!$B$2:$B$601,A27,'Annotations'!$R$2:$R$601,"1")</x:f>
        <x:v>4</x:v>
      </x:c>
      <x:c r="F27" s="37" t="n">
        <x:f>COUNTIFS('Annotations'!$B$2:$B$601,A27,'Annotations'!$R$2:$R$601,"0")</x:f>
        <x:v>3</x:v>
      </x:c>
      <x:c r="G27" s="37" t="n">
        <x:f>COUNTIFS('Annotations'!$B$2:$B$601,A27,'Annotations'!$R$2:$R$601,"~?")</x:f>
        <x:v>0</x:v>
      </x:c>
      <x:c r="H27" s="38" t="n">
        <x:f>IF(C27=0,0,(D27+E27)/C27)</x:f>
        <x:v>0.85</x:v>
      </x:c>
      <x:c r="I27" s="38" t="n">
        <x:f>IF(COUNTIFS('Annotations'!$B$2:$B$601,A27,'Annotations'!$F$2:$F$601,"&lt;=5")=0,0,(COUNTIFS('Annotations'!$B$2:$B$601,A27,'Annotations'!$F$2:$F$601,"&lt;=5",'Annotations'!$R$2:$R$601,"2")+COUNTIFS('Annotations'!$B$2:$B$601,A27,'Annotations'!$F$2:$F$601,"&lt;=5",'Annotations'!$R$2:$R$601,"1"))/COUNTIFS('Annotations'!$B$2:$B$601,A27,'Annotations'!$F$2:$F$601,"&lt;=5"))</x:f>
        <x:v>0.8</x:v>
      </x:c>
      <x:c r="J27" s="38" t="n">
        <x:f>IF(COUNTIFS('Annotations'!$B$2:$B$601,A27,'Annotations'!$F$2:$F$601,"&lt;=10")=0,0,(COUNTIFS('Annotations'!$B$2:$B$601,A27,'Annotations'!$F$2:$F$601,"&lt;=10",'Annotations'!$R$2:$R$601,"2")+COUNTIFS('Annotations'!$B$2:$B$601,A27,'Annotations'!$F$2:$F$601,"&lt;=10",'Annotations'!$R$2:$R$601,"1"))/COUNTIFS('Annotations'!$B$2:$B$601,A27,'Annotations'!$F$2:$F$601,"&lt;=10"))</x:f>
        <x:v>0.9</x:v>
      </x:c>
      <x:c r="K27" s="38" t="n">
        <x:f>IF(COUNTIF('Annotations'!$B$2:$B$601,A27)=0,0,(COUNTIFS('Annotations'!$B$2:$B$601,A27,'Annotations'!$R$2:$R$601,"2")+COUNTIFS('Annotations'!$B$2:$B$601,A27,'Annotations'!$R$2:$R$601,"1"))/COUNTIF('Annotations'!$B$2:$B$601,A27))</x:f>
        <x:v>0.85</x:v>
      </x:c>
      <x:c r="L27" s="39" t="n">
        <x:f>IF(C27=0,0,D27/C27)</x:f>
        <x:v>0.65</x:v>
      </x:c>
    </x:row>
    <x:row r="28" ht="42" customHeight="1">
      <x:c r="A28" s="35" t="str">
        <x:v>csq025</x:v>
      </x:c>
      <x:c r="B28" s="45" t="str">
        <x:v>Which datasets and evaluation protocols are used for machine-learning-based source-code vulnerability detection, and which forms of data leakage can inflate reported performance?</x:v>
      </x:c>
      <x:c r="C28" s="37" t="n">
        <x:f>COUNTIF('Annotations'!$B$2:$B$601,A28)</x:f>
        <x:v>20</x:v>
      </x:c>
      <x:c r="D28" s="37" t="n">
        <x:f>COUNTIFS('Annotations'!$B$2:$B$601,A28,'Annotations'!$R$2:$R$601,"2")</x:f>
        <x:v>20</x:v>
      </x:c>
      <x:c r="E28" s="37" t="n">
        <x:f>COUNTIFS('Annotations'!$B$2:$B$601,A28,'Annotations'!$R$2:$R$601,"1")</x:f>
        <x:v>0</x:v>
      </x:c>
      <x:c r="F28" s="37" t="n">
        <x:f>COUNTIFS('Annotations'!$B$2:$B$601,A28,'Annotations'!$R$2:$R$601,"0")</x:f>
        <x:v>0</x:v>
      </x:c>
      <x:c r="G28" s="37" t="n">
        <x:f>COUNTIFS('Annotations'!$B$2:$B$601,A28,'Annotations'!$R$2:$R$601,"~?")</x:f>
        <x:v>0</x:v>
      </x:c>
      <x:c r="H28" s="38" t="n">
        <x:f>IF(C28=0,0,(D28+E28)/C28)</x:f>
        <x:v>1</x:v>
      </x:c>
      <x:c r="I28" s="38" t="n">
        <x:f>IF(COUNTIFS('Annotations'!$B$2:$B$601,A28,'Annotations'!$F$2:$F$601,"&lt;=5")=0,0,(COUNTIFS('Annotations'!$B$2:$B$601,A28,'Annotations'!$F$2:$F$601,"&lt;=5",'Annotations'!$R$2:$R$601,"2")+COUNTIFS('Annotations'!$B$2:$B$601,A28,'Annotations'!$F$2:$F$601,"&lt;=5",'Annotations'!$R$2:$R$601,"1"))/COUNTIFS('Annotations'!$B$2:$B$601,A28,'Annotations'!$F$2:$F$601,"&lt;=5"))</x:f>
        <x:v>1</x:v>
      </x:c>
      <x:c r="J28" s="38" t="n">
        <x:f>IF(COUNTIFS('Annotations'!$B$2:$B$601,A28,'Annotations'!$F$2:$F$601,"&lt;=10")=0,0,(COUNTIFS('Annotations'!$B$2:$B$601,A28,'Annotations'!$F$2:$F$601,"&lt;=10",'Annotations'!$R$2:$R$601,"2")+COUNTIFS('Annotations'!$B$2:$B$601,A28,'Annotations'!$F$2:$F$601,"&lt;=10",'Annotations'!$R$2:$R$601,"1"))/COUNTIFS('Annotations'!$B$2:$B$601,A28,'Annotations'!$F$2:$F$601,"&lt;=10"))</x:f>
        <x:v>1</x:v>
      </x:c>
      <x:c r="K28" s="38" t="n">
        <x:f>IF(COUNTIF('Annotations'!$B$2:$B$601,A28)=0,0,(COUNTIFS('Annotations'!$B$2:$B$601,A28,'Annotations'!$R$2:$R$601,"2")+COUNTIFS('Annotations'!$B$2:$B$601,A28,'Annotations'!$R$2:$R$601,"1"))/COUNTIF('Annotations'!$B$2:$B$601,A28))</x:f>
        <x:v>1</x:v>
      </x:c>
      <x:c r="L28" s="39" t="n">
        <x:f>IF(C28=0,0,D28/C28)</x:f>
        <x:v>1</x:v>
      </x:c>
    </x:row>
    <x:row r="29" ht="42" customHeight="1">
      <x:c r="A29" s="35" t="str">
        <x:v>csq026</x:v>
      </x:c>
      <x:c r="B29" s="45" t="str">
        <x:v>What limitations have been reported for large-language-model agents on repository-level software engineering tasks, especially in localization, long-context reasoning, testing, and reproducibility?</x:v>
      </x:c>
      <x:c r="C29" s="37" t="n">
        <x:f>COUNTIF('Annotations'!$B$2:$B$601,A29)</x:f>
        <x:v>20</x:v>
      </x:c>
      <x:c r="D29" s="37" t="n">
        <x:f>COUNTIFS('Annotations'!$B$2:$B$601,A29,'Annotations'!$R$2:$R$601,"2")</x:f>
        <x:v>13</x:v>
      </x:c>
      <x:c r="E29" s="37" t="n">
        <x:f>COUNTIFS('Annotations'!$B$2:$B$601,A29,'Annotations'!$R$2:$R$601,"1")</x:f>
        <x:v>6</x:v>
      </x:c>
      <x:c r="F29" s="37" t="n">
        <x:f>COUNTIFS('Annotations'!$B$2:$B$601,A29,'Annotations'!$R$2:$R$601,"0")</x:f>
        <x:v>1</x:v>
      </x:c>
      <x:c r="G29" s="37" t="n">
        <x:f>COUNTIFS('Annotations'!$B$2:$B$601,A29,'Annotations'!$R$2:$R$601,"~?")</x:f>
        <x:v>0</x:v>
      </x:c>
      <x:c r="H29" s="38" t="n">
        <x:f>IF(C29=0,0,(D29+E29)/C29)</x:f>
        <x:v>0.95</x:v>
      </x:c>
      <x:c r="I29" s="38" t="n">
        <x:f>IF(COUNTIFS('Annotations'!$B$2:$B$601,A29,'Annotations'!$F$2:$F$601,"&lt;=5")=0,0,(COUNTIFS('Annotations'!$B$2:$B$601,A29,'Annotations'!$F$2:$F$601,"&lt;=5",'Annotations'!$R$2:$R$601,"2")+COUNTIFS('Annotations'!$B$2:$B$601,A29,'Annotations'!$F$2:$F$601,"&lt;=5",'Annotations'!$R$2:$R$601,"1"))/COUNTIFS('Annotations'!$B$2:$B$601,A29,'Annotations'!$F$2:$F$601,"&lt;=5"))</x:f>
        <x:v>1</x:v>
      </x:c>
      <x:c r="J29" s="38" t="n">
        <x:f>IF(COUNTIFS('Annotations'!$B$2:$B$601,A29,'Annotations'!$F$2:$F$601,"&lt;=10")=0,0,(COUNTIFS('Annotations'!$B$2:$B$601,A29,'Annotations'!$F$2:$F$601,"&lt;=10",'Annotations'!$R$2:$R$601,"2")+COUNTIFS('Annotations'!$B$2:$B$601,A29,'Annotations'!$F$2:$F$601,"&lt;=10",'Annotations'!$R$2:$R$601,"1"))/COUNTIFS('Annotations'!$B$2:$B$601,A29,'Annotations'!$F$2:$F$601,"&lt;=10"))</x:f>
        <x:v>1</x:v>
      </x:c>
      <x:c r="K29" s="38" t="n">
        <x:f>IF(COUNTIF('Annotations'!$B$2:$B$601,A29)=0,0,(COUNTIFS('Annotations'!$B$2:$B$601,A29,'Annotations'!$R$2:$R$601,"2")+COUNTIFS('Annotations'!$B$2:$B$601,A29,'Annotations'!$R$2:$R$601,"1"))/COUNTIF('Annotations'!$B$2:$B$601,A29))</x:f>
        <x:v>0.95</x:v>
      </x:c>
      <x:c r="L29" s="39" t="n">
        <x:f>IF(C29=0,0,D29/C29)</x:f>
        <x:v>0.65</x:v>
      </x:c>
    </x:row>
    <x:row r="30" ht="42" customHeight="1">
      <x:c r="A30" s="35" t="str">
        <x:v>csq027</x:v>
      </x:c>
      <x:c r="B30" s="45" t="str">
        <x:v>What learned index structures have been proposed, and under which data distributions and update workloads do they outperform or underperform traditional indexes?</x:v>
      </x:c>
      <x:c r="C30" s="37" t="n">
        <x:f>COUNTIF('Annotations'!$B$2:$B$601,A30)</x:f>
        <x:v>20</x:v>
      </x:c>
      <x:c r="D30" s="37" t="n">
        <x:f>COUNTIFS('Annotations'!$B$2:$B$601,A30,'Annotations'!$R$2:$R$601,"2")</x:f>
        <x:v>20</x:v>
      </x:c>
      <x:c r="E30" s="37" t="n">
        <x:f>COUNTIFS('Annotations'!$B$2:$B$601,A30,'Annotations'!$R$2:$R$601,"1")</x:f>
        <x:v>0</x:v>
      </x:c>
      <x:c r="F30" s="37" t="n">
        <x:f>COUNTIFS('Annotations'!$B$2:$B$601,A30,'Annotations'!$R$2:$R$601,"0")</x:f>
        <x:v>0</x:v>
      </x:c>
      <x:c r="G30" s="37" t="n">
        <x:f>COUNTIFS('Annotations'!$B$2:$B$601,A30,'Annotations'!$R$2:$R$601,"~?")</x:f>
        <x:v>0</x:v>
      </x:c>
      <x:c r="H30" s="38" t="n">
        <x:f>IF(C30=0,0,(D30+E30)/C30)</x:f>
        <x:v>1</x:v>
      </x:c>
      <x:c r="I30" s="38" t="n">
        <x:f>IF(COUNTIFS('Annotations'!$B$2:$B$601,A30,'Annotations'!$F$2:$F$601,"&lt;=5")=0,0,(COUNTIFS('Annotations'!$B$2:$B$601,A30,'Annotations'!$F$2:$F$601,"&lt;=5",'Annotations'!$R$2:$R$601,"2")+COUNTIFS('Annotations'!$B$2:$B$601,A30,'Annotations'!$F$2:$F$601,"&lt;=5",'Annotations'!$R$2:$R$601,"1"))/COUNTIFS('Annotations'!$B$2:$B$601,A30,'Annotations'!$F$2:$F$601,"&lt;=5"))</x:f>
        <x:v>1</x:v>
      </x:c>
      <x:c r="J30" s="38" t="n">
        <x:f>IF(COUNTIFS('Annotations'!$B$2:$B$601,A30,'Annotations'!$F$2:$F$601,"&lt;=10")=0,0,(COUNTIFS('Annotations'!$B$2:$B$601,A30,'Annotations'!$F$2:$F$601,"&lt;=10",'Annotations'!$R$2:$R$601,"2")+COUNTIFS('Annotations'!$B$2:$B$601,A30,'Annotations'!$F$2:$F$601,"&lt;=10",'Annotations'!$R$2:$R$601,"1"))/COUNTIFS('Annotations'!$B$2:$B$601,A30,'Annotations'!$F$2:$F$601,"&lt;=10"))</x:f>
        <x:v>1</x:v>
      </x:c>
      <x:c r="K30" s="38" t="n">
        <x:f>IF(COUNTIF('Annotations'!$B$2:$B$601,A30)=0,0,(COUNTIFS('Annotations'!$B$2:$B$601,A30,'Annotations'!$R$2:$R$601,"2")+COUNTIFS('Annotations'!$B$2:$B$601,A30,'Annotations'!$R$2:$R$601,"1"))/COUNTIF('Annotations'!$B$2:$B$601,A30))</x:f>
        <x:v>1</x:v>
      </x:c>
      <x:c r="L30" s="39" t="n">
        <x:f>IF(C30=0,0,D30/C30)</x:f>
        <x:v>1</x:v>
      </x:c>
    </x:row>
    <x:row r="31" ht="42" customHeight="1">
      <x:c r="A31" s="35" t="str">
        <x:v>csq028</x:v>
      </x:c>
      <x:c r="B31" s="45" t="str">
        <x:v>How do graph-based, quantization-based, and inverted-file approaches to approximate nearest-neighbor search compare in recall, latency, memory usage, and index construction cost?</x:v>
      </x:c>
      <x:c r="C31" s="37" t="n">
        <x:f>COUNTIF('Annotations'!$B$2:$B$601,A31)</x:f>
        <x:v>20</x:v>
      </x:c>
      <x:c r="D31" s="37" t="n">
        <x:f>COUNTIFS('Annotations'!$B$2:$B$601,A31,'Annotations'!$R$2:$R$601,"2")</x:f>
        <x:v>7</x:v>
      </x:c>
      <x:c r="E31" s="37" t="n">
        <x:f>COUNTIFS('Annotations'!$B$2:$B$601,A31,'Annotations'!$R$2:$R$601,"1")</x:f>
        <x:v>13</x:v>
      </x:c>
      <x:c r="F31" s="37" t="n">
        <x:f>COUNTIFS('Annotations'!$B$2:$B$601,A31,'Annotations'!$R$2:$R$601,"0")</x:f>
        <x:v>0</x:v>
      </x:c>
      <x:c r="G31" s="37" t="n">
        <x:f>COUNTIFS('Annotations'!$B$2:$B$601,A31,'Annotations'!$R$2:$R$601,"~?")</x:f>
        <x:v>0</x:v>
      </x:c>
      <x:c r="H31" s="38" t="n">
        <x:f>IF(C31=0,0,(D31+E31)/C31)</x:f>
        <x:v>1</x:v>
      </x:c>
      <x:c r="I31" s="38" t="n">
        <x:f>IF(COUNTIFS('Annotations'!$B$2:$B$601,A31,'Annotations'!$F$2:$F$601,"&lt;=5")=0,0,(COUNTIFS('Annotations'!$B$2:$B$601,A31,'Annotations'!$F$2:$F$601,"&lt;=5",'Annotations'!$R$2:$R$601,"2")+COUNTIFS('Annotations'!$B$2:$B$601,A31,'Annotations'!$F$2:$F$601,"&lt;=5",'Annotations'!$R$2:$R$601,"1"))/COUNTIFS('Annotations'!$B$2:$B$601,A31,'Annotations'!$F$2:$F$601,"&lt;=5"))</x:f>
        <x:v>1</x:v>
      </x:c>
      <x:c r="J31" s="38" t="n">
        <x:f>IF(COUNTIFS('Annotations'!$B$2:$B$601,A31,'Annotations'!$F$2:$F$601,"&lt;=10")=0,0,(COUNTIFS('Annotations'!$B$2:$B$601,A31,'Annotations'!$F$2:$F$601,"&lt;=10",'Annotations'!$R$2:$R$601,"2")+COUNTIFS('Annotations'!$B$2:$B$601,A31,'Annotations'!$F$2:$F$601,"&lt;=10",'Annotations'!$R$2:$R$601,"1"))/COUNTIFS('Annotations'!$B$2:$B$601,A31,'Annotations'!$F$2:$F$601,"&lt;=10"))</x:f>
        <x:v>1</x:v>
      </x:c>
      <x:c r="K31" s="38" t="n">
        <x:f>IF(COUNTIF('Annotations'!$B$2:$B$601,A31)=0,0,(COUNTIFS('Annotations'!$B$2:$B$601,A31,'Annotations'!$R$2:$R$601,"2")+COUNTIFS('Annotations'!$B$2:$B$601,A31,'Annotations'!$R$2:$R$601,"1"))/COUNTIF('Annotations'!$B$2:$B$601,A31))</x:f>
        <x:v>1</x:v>
      </x:c>
      <x:c r="L31" s="39" t="n">
        <x:f>IF(C31=0,0,D31/C31)</x:f>
        <x:v>0.35</x:v>
      </x:c>
    </x:row>
    <x:row r="32" ht="42" customHeight="1">
      <x:c r="A32" s="35" t="str">
        <x:v>csq029</x:v>
      </x:c>
      <x:c r="B32" s="45" t="str">
        <x:v>Which benchmarks and metrics are used to evaluate sparse, dense, and hybrid neural information retrieval, and how well do they measure out-of-domain robustness?</x:v>
      </x:c>
      <x:c r="C32" s="37" t="n">
        <x:f>COUNTIF('Annotations'!$B$2:$B$601,A32)</x:f>
        <x:v>20</x:v>
      </x:c>
      <x:c r="D32" s="37" t="n">
        <x:f>COUNTIFS('Annotations'!$B$2:$B$601,A32,'Annotations'!$R$2:$R$601,"2")</x:f>
        <x:v>12</x:v>
      </x:c>
      <x:c r="E32" s="37" t="n">
        <x:f>COUNTIFS('Annotations'!$B$2:$B$601,A32,'Annotations'!$R$2:$R$601,"1")</x:f>
        <x:v>7</x:v>
      </x:c>
      <x:c r="F32" s="37" t="n">
        <x:f>COUNTIFS('Annotations'!$B$2:$B$601,A32,'Annotations'!$R$2:$R$601,"0")</x:f>
        <x:v>1</x:v>
      </x:c>
      <x:c r="G32" s="37" t="n">
        <x:f>COUNTIFS('Annotations'!$B$2:$B$601,A32,'Annotations'!$R$2:$R$601,"~?")</x:f>
        <x:v>0</x:v>
      </x:c>
      <x:c r="H32" s="38" t="n">
        <x:f>IF(C32=0,0,(D32+E32)/C32)</x:f>
        <x:v>0.95</x:v>
      </x:c>
      <x:c r="I32" s="38" t="n">
        <x:f>IF(COUNTIFS('Annotations'!$B$2:$B$601,A32,'Annotations'!$F$2:$F$601,"&lt;=5")=0,0,(COUNTIFS('Annotations'!$B$2:$B$601,A32,'Annotations'!$F$2:$F$601,"&lt;=5",'Annotations'!$R$2:$R$601,"2")+COUNTIFS('Annotations'!$B$2:$B$601,A32,'Annotations'!$F$2:$F$601,"&lt;=5",'Annotations'!$R$2:$R$601,"1"))/COUNTIFS('Annotations'!$B$2:$B$601,A32,'Annotations'!$F$2:$F$601,"&lt;=5"))</x:f>
        <x:v>1</x:v>
      </x:c>
      <x:c r="J32" s="38" t="n">
        <x:f>IF(COUNTIFS('Annotations'!$B$2:$B$601,A32,'Annotations'!$F$2:$F$601,"&lt;=10")=0,0,(COUNTIFS('Annotations'!$B$2:$B$601,A32,'Annotations'!$F$2:$F$601,"&lt;=10",'Annotations'!$R$2:$R$601,"2")+COUNTIFS('Annotations'!$B$2:$B$601,A32,'Annotations'!$F$2:$F$601,"&lt;=10",'Annotations'!$R$2:$R$601,"1"))/COUNTIFS('Annotations'!$B$2:$B$601,A32,'Annotations'!$F$2:$F$601,"&lt;=10"))</x:f>
        <x:v>1</x:v>
      </x:c>
      <x:c r="K32" s="38" t="n">
        <x:f>IF(COUNTIF('Annotations'!$B$2:$B$601,A32)=0,0,(COUNTIFS('Annotations'!$B$2:$B$601,A32,'Annotations'!$R$2:$R$601,"2")+COUNTIFS('Annotations'!$B$2:$B$601,A32,'Annotations'!$R$2:$R$601,"1"))/COUNTIF('Annotations'!$B$2:$B$601,A32))</x:f>
        <x:v>0.95</x:v>
      </x:c>
      <x:c r="L32" s="39" t="n">
        <x:f>IF(C32=0,0,D32/C32)</x:f>
        <x:v>0.6</x:v>
      </x:c>
    </x:row>
    <x:row r="33" ht="42" customHeight="1">
      <x:c r="A33" s="35" t="str">
        <x:v>csq030</x:v>
      </x:c>
      <x:c r="B33" s="45" t="str">
        <x:v>How have text-to-SQL systems evolved from schema-aware neural parsers to large-language-model-based approaches, and which challenges remain on cross-domain benchmarks?</x:v>
      </x:c>
      <x:c r="C33" s="37" t="n">
        <x:f>COUNTIF('Annotations'!$B$2:$B$601,A33)</x:f>
        <x:v>20</x:v>
      </x:c>
      <x:c r="D33" s="37" t="n">
        <x:f>COUNTIFS('Annotations'!$B$2:$B$601,A33,'Annotations'!$R$2:$R$601,"2")</x:f>
        <x:v>20</x:v>
      </x:c>
      <x:c r="E33" s="37" t="n">
        <x:f>COUNTIFS('Annotations'!$B$2:$B$601,A33,'Annotations'!$R$2:$R$601,"1")</x:f>
        <x:v>0</x:v>
      </x:c>
      <x:c r="F33" s="37" t="n">
        <x:f>COUNTIFS('Annotations'!$B$2:$B$601,A33,'Annotations'!$R$2:$R$601,"0")</x:f>
        <x:v>0</x:v>
      </x:c>
      <x:c r="G33" s="37" t="n">
        <x:f>COUNTIFS('Annotations'!$B$2:$B$601,A33,'Annotations'!$R$2:$R$601,"~?")</x:f>
        <x:v>0</x:v>
      </x:c>
      <x:c r="H33" s="38" t="n">
        <x:f>IF(C33=0,0,(D33+E33)/C33)</x:f>
        <x:v>1</x:v>
      </x:c>
      <x:c r="I33" s="38" t="n">
        <x:f>IF(COUNTIFS('Annotations'!$B$2:$B$601,A33,'Annotations'!$F$2:$F$601,"&lt;=5")=0,0,(COUNTIFS('Annotations'!$B$2:$B$601,A33,'Annotations'!$F$2:$F$601,"&lt;=5",'Annotations'!$R$2:$R$601,"2")+COUNTIFS('Annotations'!$B$2:$B$601,A33,'Annotations'!$F$2:$F$601,"&lt;=5",'Annotations'!$R$2:$R$601,"1"))/COUNTIFS('Annotations'!$B$2:$B$601,A33,'Annotations'!$F$2:$F$601,"&lt;=5"))</x:f>
        <x:v>1</x:v>
      </x:c>
      <x:c r="J33" s="38" t="n">
        <x:f>IF(COUNTIFS('Annotations'!$B$2:$B$601,A33,'Annotations'!$F$2:$F$601,"&lt;=10")=0,0,(COUNTIFS('Annotations'!$B$2:$B$601,A33,'Annotations'!$F$2:$F$601,"&lt;=10",'Annotations'!$R$2:$R$601,"2")+COUNTIFS('Annotations'!$B$2:$B$601,A33,'Annotations'!$F$2:$F$601,"&lt;=10",'Annotations'!$R$2:$R$601,"1"))/COUNTIFS('Annotations'!$B$2:$B$601,A33,'Annotations'!$F$2:$F$601,"&lt;=10"))</x:f>
        <x:v>1</x:v>
      </x:c>
      <x:c r="K33" s="38" t="n">
        <x:f>IF(COUNTIF('Annotations'!$B$2:$B$601,A33)=0,0,(COUNTIFS('Annotations'!$B$2:$B$601,A33,'Annotations'!$R$2:$R$601,"2")+COUNTIFS('Annotations'!$B$2:$B$601,A33,'Annotations'!$R$2:$R$601,"1"))/COUNTIF('Annotations'!$B$2:$B$601,A33))</x:f>
        <x:v>1</x:v>
      </x:c>
      <x:c r="L33" s="39" t="n">
        <x:f>IF(C33=0,0,D33/C33)</x:f>
        <x:v>1</x:v>
      </x:c>
    </x:row>
    <x:row r="34">
      <x:c r="A34" s="35"/>
      <x:c r="B34" s="36"/>
      <x:c r="C34" s="37"/>
      <x:c r="D34" s="37"/>
      <x:c r="E34" s="37"/>
      <x:c r="F34" s="37"/>
      <x:c r="G34" s="37"/>
      <x:c r="H34" s="38"/>
      <x:c r="I34" s="38"/>
      <x:c r="J34" s="38"/>
      <x:c r="K34" s="38"/>
      <x:c r="L34" s="39"/>
    </x:row>
    <x:row r="35">
      <x:c r="A35" s="40" t="str">
        <x:v>总体</x:v>
      </x:c>
      <x:c r="B35" s="41"/>
      <x:c r="C35" s="42" t="n">
        <x:f>SUM(C4:C33)</x:f>
        <x:v>600</x:v>
      </x:c>
      <x:c r="D35" s="42" t="n">
        <x:f>SUM(D4:D33)</x:f>
        <x:v>497</x:v>
      </x:c>
      <x:c r="E35" s="42" t="n">
        <x:f>SUM(E4:E33)</x:f>
        <x:v>85</x:v>
      </x:c>
      <x:c r="F35" s="42" t="n">
        <x:f>SUM(F4:F33)</x:f>
        <x:v>18</x:v>
      </x:c>
      <x:c r="G35" s="42" t="n">
        <x:f>SUM(G4:G33)</x:f>
        <x:v>0</x:v>
      </x:c>
      <x:c r="H35" s="43" t="n">
        <x:f>IF(C35=0,0,(D35+E35)/C35)</x:f>
        <x:v>0.97</x:v>
      </x:c>
      <x:c r="I35" s="43" t="n">
        <x:f>IF(COUNTIF('Annotations'!$F$2:$F$601,"&lt;=5")=0,0,(COUNTIFS('Annotations'!$F$2:$F$601,"&lt;=5",'Annotations'!$R$2:$R$601,"2")+COUNTIFS('Annotations'!$F$2:$F$601,"&lt;=5",'Annotations'!$R$2:$R$601,"1"))/COUNTIF('Annotations'!$F$2:$F$601,"&lt;=5"))</x:f>
        <x:v>0.9933333333333333</x:v>
      </x:c>
      <x:c r="J35" s="43" t="n">
        <x:f>IF(COUNTIF('Annotations'!$F$2:$F$601,"&lt;=10")=0,0,(COUNTIFS('Annotations'!$F$2:$F$601,"&lt;=10",'Annotations'!$R$2:$R$601,"2")+COUNTIFS('Annotations'!$F$2:$F$601,"&lt;=10",'Annotations'!$R$2:$R$601,"1"))/COUNTIF('Annotations'!$F$2:$F$601,"&lt;=10"))</x:f>
        <x:v>0.9833333333333333</x:v>
      </x:c>
      <x:c r="K35" s="43" t="n">
        <x:f>IF(C35=0,0,(D35+E35)/C35)</x:f>
        <x:v>0.97</x:v>
      </x:c>
      <x:c r="L35" s="44" t="n">
        <x:f>IF(C35=0,0,D35/C35)</x:f>
        <x:v>0.8283333333333334</x:v>
      </x:c>
    </x:row>
  </x:sheetData>
  <x:mergeCells>
    <x:mergeCell ref="A1:L1"/>
    <x:mergeCell ref="A35:B3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12" hidden="0" customWidth="1"/>
    <x:col min="3" max="3" width="24" hidden="0" customWidth="1"/>
    <x:col min="4" max="4" width="24" hidden="0" customWidth="1"/>
    <x:col min="5" max="5" width="52" hidden="0" customWidth="1"/>
    <x:col min="6" max="6" width="8" hidden="0" customWidth="1"/>
    <x:col min="7" max="7" width="18" hidden="0" customWidth="1"/>
    <x:col min="8" max="8" width="55" hidden="0" customWidth="1"/>
    <x:col min="9" max="9" width="36" hidden="0" customWidth="1"/>
    <x:col min="10" max="10" width="9" hidden="0" customWidth="1"/>
    <x:col min="11" max="11" width="78" hidden="0" customWidth="1"/>
    <x:col min="12" max="12" width="34" hidden="0" customWidth="1"/>
    <x:col min="13" max="13" width="12" hidden="0" customWidth="1"/>
    <x:col min="14" max="14" width="48" hidden="0" customWidth="1"/>
    <x:col min="15" max="15" width="12" hidden="0" customWidth="1"/>
    <x:col min="16" max="16" width="36" hidden="0" customWidth="1"/>
    <x:col min="17" max="17" width="12" hidden="0" customWidth="1"/>
    <x:col min="18" max="18" width="12" hidden="0" customWidth="1"/>
    <x:col min="19" max="19" width="30" hidden="0" customWidth="1"/>
  </x:cols>
  <x:sheetData>
    <x:row r="1" ht="30" customHeight="1">
      <x:c r="A1" s="21" t="str">
        <x:v>item_id</x:v>
      </x:c>
      <x:c r="B1" s="21" t="str">
        <x:v>question_id</x:v>
      </x:c>
      <x:c r="C1" s="21" t="str">
        <x:v>domain</x:v>
      </x:c>
      <x:c r="D1" s="21" t="str">
        <x:v>topic</x:v>
      </x:c>
      <x:c r="E1" s="21" t="str">
        <x:v>question</x:v>
      </x:c>
      <x:c r="F1" s="21" t="str">
        <x:v>rank</x:v>
      </x:c>
      <x:c r="G1" s="21" t="str">
        <x:v>source_id</x:v>
      </x:c>
      <x:c r="H1" s="21" t="str">
        <x:v>title</x:v>
      </x:c>
      <x:c r="I1" s="21" t="str">
        <x:v>authors</x:v>
      </x:c>
      <x:c r="J1" s="21" t="str">
        <x:v>year</x:v>
      </x:c>
      <x:c r="K1" s="21" t="str">
        <x:v>abstract</x:v>
      </x:c>
      <x:c r="L1" s="21" t="str">
        <x:v>url</x:v>
      </x:c>
      <x:c r="M1" s="21" t="str">
        <x:v>Qwen3 reranker score</x:v>
      </x:c>
      <x:c r="N1" s="21" t="str">
        <x:v>source run</x:v>
      </x:c>
      <x:c r="O1" s="21" t="str">
        <x:v>Codex 初标</x:v>
      </x:c>
      <x:c r="P1" s="21" t="str">
        <x:v>初标理由</x:v>
      </x:c>
      <x:c r="Q1" s="21" t="str">
        <x:v>人工修正</x:v>
      </x:c>
      <x:c r="R1" s="21" t="str">
        <x:v>最终标签</x:v>
      </x:c>
      <x:c r="S1" s="21" t="str">
        <x:v>人工备注</x:v>
      </x:c>
    </x:row>
    <x:row r="2" ht="54" customHeight="1">
      <x:c r="A2" s="17" t="str">
        <x:v>csq001-r01</x:v>
      </x:c>
      <x:c r="B2" s="17" t="str">
        <x:v>csq001</x:v>
      </x:c>
      <x:c r="C2" s="17" t="str">
        <x:v>natural_language_processing</x:v>
      </x:c>
      <x:c r="D2" s="17" t="str">
        <x:v>rag_evaluation</x:v>
      </x:c>
      <x:c r="E2" s="27" t="str">
        <x:v>What are the main methods for evaluating retrieval-augmented generation systems, and which retrieval and generation dimensions do they measure?</x:v>
      </x:c>
      <x:c r="F2" s="22" t="n">
        <x:v>1</x:v>
      </x:c>
      <x:c r="G2" s="17" t="str">
        <x:v>arXiv:2309.15217</x:v>
      </x:c>
      <x:c r="H2" s="27" t="str">
        <x:v>Ragas: Automated Evaluation of Retrieval Augmented Generation</x:v>
      </x:c>
      <x:c r="I2" s="17" t="str">
        <x:v>Shahul Es; Jithin James; Luis Espinosa-Anke; Steven Schockaert</x:v>
      </x:c>
      <x:c r="J2" s="22" t="n">
        <x:v>2023</x:v>
      </x:c>
      <x:c r="K2" s="27" t="str">
        <x:v>We introduce Ragas (Retrieval Augmented Generation Assessment), a framework for reference-free evaluation of Retrieval Augmented Generation (RAG) pipelines. RAG systems are composed of a retrieval and an LLM based generation module, and provide LLMs with knowledge from a reference textual database, which enables them to act as a natural language layer between a user and textual databases, reducing the risk of hallucinations. Evaluating RAG architectures is, however, challenging because there are several dimensions to consider: the ability of the retrieval system to identify relevant and focused context passages, the ability of the LLM to exploit such passages in a faithful way, or the quality of the generation itself. With Ragas, we put forward a suite of metrics which can be used to evaluate these different dimensions \textit{without having to rely on ground truth human annotations}. We posit that such a framework can crucially contribute to faster evaluation cycles of RAG architectures, which is especially important given the fast adoption of LLMs.</x:v>
      </x:c>
      <x:c r="L2" s="17" t="str">
        <x:v>http://arxiv.org/abs/2309.15217v2</x:v>
      </x:c>
      <x:c r="M2" s="23" t="n">
        <x:v>0.949306595583412</x:v>
      </x:c>
      <x:c r="N2" s="17" t="str">
        <x:v>qwen3-rerank-no-instruct-20260727-125006-results.jsonl</x:v>
      </x:c>
      <x:c r="O2" s="24" t="str">
        <x:v>2</x:v>
      </x:c>
      <x:c r="P2" s="28" t="str">
        <x:v>提出RAG无参考评估套件，覆盖检索相关聚焦、利用忠实性和生成质量。</x:v>
      </x:c>
      <x:c r="Q2" s="25" t="str"/>
      <x:c r="R2" s="24" t="str">
        <x:f>IF(Q2&lt;&gt;"",Q2,O2)</x:f>
        <x:v>2</x:v>
      </x:c>
      <x:c r="S2" s="29" t="str"/>
    </x:row>
    <x:row r="3" ht="54" customHeight="1">
      <x:c r="A3" s="17" t="str">
        <x:v>csq001-r02</x:v>
      </x:c>
      <x:c r="B3" s="17" t="str">
        <x:v>csq001</x:v>
      </x:c>
      <x:c r="C3" s="17" t="str">
        <x:v>natural_language_processing</x:v>
      </x:c>
      <x:c r="D3" s="17" t="str">
        <x:v>rag_evaluation</x:v>
      </x:c>
      <x:c r="E3" s="27" t="str">
        <x:v>What are the main methods for evaluating retrieval-augmented generation systems, and which retrieval and generation dimensions do they measure?</x:v>
      </x:c>
      <x:c r="F3" s="22" t="n">
        <x:v>2</x:v>
      </x:c>
      <x:c r="G3" s="17" t="str">
        <x:v>arXiv:2508.05650</x:v>
      </x:c>
      <x:c r="H3" s="27" t="str">
        <x:v>OmniBench-RAG: A Multi-Domain Evaluation Platform for Retrieval-Augmented Generation Tools</x:v>
      </x:c>
      <x:c r="I3" s="17" t="str">
        <x:v>Jiaxuan Liang; Shide Zhou; Kailong Wang</x:v>
      </x:c>
      <x:c r="J3" s="22" t="n">
        <x:v>2025</x:v>
      </x:c>
      <x:c r="K3" s="27" t="str">
        <x:v>While Retrieval Augmented Generation (RAG) is now widely adopted to enhance LLMs, evaluating its true performance benefits in a reproducible and interpretable way remains a major hurdle. Existing methods often fall short: they lack domain coverage, employ coarse metrics that miss sub document precision, and fail to capture computational trade offs. Most critically, they provide no standardized framework for comparing RAG effectiveness across different models and domains. We introduce OmniBench RAG, a novel automated platform for multi domain evaluation of RAG systems. The platform quantifies performance gains across accuracy and efficiency dimensions, spanning nine knowledge fields including culture, geography, and health. We introduce two standardized metrics: Improvements (accuracy gains) and Transformation (efficiency differences between pre RAG and post RAG models), enabling reproducible comparisons across models and tasks. The platform features dynamic test generation, modular evaluation pipelines, and automated knowledge base construction. Our evaluation reveals striking variability in RAG effectiveness, from significant gains in culture to declines in mathematics, highlighting the critical importance of systematic, domain aware assessment. A demonstration video is available at: https://www.youtube.com/watch?v=BZx83QFcTCI. Code and datasets: https://github.com/Garnett-Liang/Omnibench-RAG.</x:v>
      </x:c>
      <x:c r="L3" s="17" t="str">
        <x:v>http://arxiv.org/abs/2508.05650v1</x:v>
      </x:c>
      <x:c r="M3" s="23" t="n">
        <x:v>0.8435311479240433</x:v>
      </x:c>
      <x:c r="N3" s="17" t="str">
        <x:v>qwen3-rerank-no-instruct-20260727-125006-results.jsonl</x:v>
      </x:c>
      <x:c r="O3" s="24" t="str">
        <x:v>2</x:v>
      </x:c>
      <x:c r="P3" s="28" t="str">
        <x:v>标准化评估RAG准确性增益与效率变化，并支持跨领域比较。</x:v>
      </x:c>
      <x:c r="Q3" s="25" t="str"/>
      <x:c r="R3" s="24" t="str">
        <x:f>IF(Q3&lt;&gt;"",Q3,O3)</x:f>
        <x:v>2</x:v>
      </x:c>
      <x:c r="S3" s="29" t="str"/>
    </x:row>
    <x:row r="4" ht="54" customHeight="1">
      <x:c r="A4" s="17" t="str">
        <x:v>csq001-r03</x:v>
      </x:c>
      <x:c r="B4" s="17" t="str">
        <x:v>csq001</x:v>
      </x:c>
      <x:c r="C4" s="17" t="str">
        <x:v>natural_language_processing</x:v>
      </x:c>
      <x:c r="D4" s="17" t="str">
        <x:v>rag_evaluation</x:v>
      </x:c>
      <x:c r="E4" s="27" t="str">
        <x:v>What are the main methods for evaluating retrieval-augmented generation systems, and which retrieval and generation dimensions do they measure?</x:v>
      </x:c>
      <x:c r="F4" s="22" t="n">
        <x:v>3</x:v>
      </x:c>
      <x:c r="G4" s="17" t="str">
        <x:v>arXiv:2510.08945</x:v>
      </x:c>
      <x:c r="H4" s="27" t="str">
        <x:v>FATHOMS-RAG: A Framework for the Assessment of Thinking and Observation in Multimodal Systems that use Retrieval Augmented Generation</x:v>
      </x:c>
      <x:c r="I4" s="17" t="str">
        <x:v>Samuel Hildebrand; Curtis Taylor; Sean Oesch; James M Ghawaly; Amir Sadovnik; Ryan Shivers; Brandon Schreiber; Kevin Kurian</x:v>
      </x:c>
      <x:c r="J4" s="22" t="n">
        <x:v>2025</x:v>
      </x:c>
      <x:c r="K4" s="27" t="str">
        <x:v>Retrieval-augmented generation (RAG) has emerged as a promising paradigm for improving factual accuracy in large language models (LLMs). We introduce a benchmark designed to evaluate RAG pipelines as a whole, evaluating a pipeline's ability to ingest, retrieve, and reason about several modalities of information, differentiating it from existing benchmarks that focus on particular aspects such as retrieval. We present (1) a small, human-created dataset of 93 questions designed to evaluate a pipeline's ability to ingest textual data, tables, images, and data spread across these modalities in one or more documents; (2) a phrase-level recall metric for correctness; (3) a nearest-neighbor embedding classifier to identify potential pipeline hallucinations; (4) a comparative evaluation of 2 pipelines built with open-source retrieval mechanisms and 4 closed-source foundation models; and (5) a third-party human evaluation of the alignment of our correctness and hallucination metrics. We find that closed-source pipelines significantly outperform open-source pipelines in both correctness and hallucination metrics, with wider performance gaps in questions relying on multimodal and cross-document information. Human evaluation of our metrics showed average agreement of 4.62 for correctness and 4.53 for hallucination detection on a 1-5 Likert scale (5 indicating "strongly agree").</x:v>
      </x:c>
      <x:c r="L4" s="17" t="str">
        <x:v>http://arxiv.org/abs/2510.08945v3</x:v>
      </x:c>
      <x:c r="M4" s="23" t="n">
        <x:v>0.7598197276576631</x:v>
      </x:c>
      <x:c r="N4" s="17" t="str">
        <x:v>qwen3-rerank-no-instruct-20260727-125006-results.jsonl</x:v>
      </x:c>
      <x:c r="O4" s="24" t="str">
        <x:v>2</x:v>
      </x:c>
      <x:c r="P4" s="28" t="str">
        <x:v>整体评估多模态RAG摄取、检索、推理、正确性和幻觉。</x:v>
      </x:c>
      <x:c r="Q4" s="25" t="str"/>
      <x:c r="R4" s="24" t="str">
        <x:f>IF(Q4&lt;&gt;"",Q4,O4)</x:f>
        <x:v>2</x:v>
      </x:c>
      <x:c r="S4" s="29" t="str"/>
    </x:row>
    <x:row r="5" ht="54" customHeight="1">
      <x:c r="A5" s="17" t="str">
        <x:v>csq001-r04</x:v>
      </x:c>
      <x:c r="B5" s="17" t="str">
        <x:v>csq001</x:v>
      </x:c>
      <x:c r="C5" s="17" t="str">
        <x:v>natural_language_processing</x:v>
      </x:c>
      <x:c r="D5" s="17" t="str">
        <x:v>rag_evaluation</x:v>
      </x:c>
      <x:c r="E5" s="27" t="str">
        <x:v>What are the main methods for evaluating retrieval-augmented generation systems, and which retrieval and generation dimensions do they measure?</x:v>
      </x:c>
      <x:c r="F5" s="22" t="n">
        <x:v>4</x:v>
      </x:c>
      <x:c r="G5" s="17" t="str">
        <x:v>arXiv:2409.08479</x:v>
      </x:c>
      <x:c r="H5" s="27" t="str">
        <x:v>Exploring Information Retrieval Landscapes: An Investigation of a Novel Evaluation Techniques and Comparative Document Splitting Methods</x:v>
      </x:c>
      <x:c r="I5" s="17" t="str">
        <x:v>Esmaeil Narimissa; David Raithel</x:v>
      </x:c>
      <x:c r="J5" s="22" t="n">
        <x:v>2024</x:v>
      </x:c>
      <x:c r="K5" s="27" t="str">
        <x:v>The performance of Retrieval-Augmented Generation (RAG) systems in information retrieval is significantly influenced by the characteristics of the documents being processed. In this study, the structured nature of textbooks, the conciseness of articles, and the narrative complexity of novels are shown to require distinct retrieval strategies. A comparative evaluation of multiple document-splitting methods reveals that the Recursive Character Splitter outperforms the Token-based Splitter in preserving contextual integrity. A novel evaluation technique is introduced, utilizing an open-source model to generate a comprehensive dataset of question-and-answer pairs, simulating realistic retrieval scenarios to enhance testing efficiency and metric reliability. The evaluation employs weighted scoring metrics, including SequenceMatcher, BLEU, METEOR, and BERT Score, to assess the system's accuracy and relevance. This approach establishes a refined standard for evaluating the precision of RAG systems, with future research focusing on optimizing chunk and overlap sizes to improve retrieval accuracy and efficiency.</x:v>
      </x:c>
      <x:c r="L5" s="17" t="str">
        <x:v>http://arxiv.org/abs/2409.08479v2</x:v>
      </x:c>
      <x:c r="M5" s="23" t="n">
        <x:v>0.7548300731727471</x:v>
      </x:c>
      <x:c r="N5" s="17" t="str">
        <x:v>qwen3-rerank-no-instruct-20260727-125006-results.jsonl</x:v>
      </x:c>
      <x:c r="O5" s="24" t="str">
        <x:v>2</x:v>
      </x:c>
      <x:c r="P5" s="28" t="str">
        <x:v>提出RAG检索评估协议及多种准确性、相关性指标。</x:v>
      </x:c>
      <x:c r="Q5" s="25" t="str"/>
      <x:c r="R5" s="24" t="str">
        <x:f>IF(Q5&lt;&gt;"",Q5,O5)</x:f>
        <x:v>2</x:v>
      </x:c>
      <x:c r="S5" s="29" t="str"/>
    </x:row>
    <x:row r="6" ht="54" customHeight="1">
      <x:c r="A6" s="17" t="str">
        <x:v>csq001-r05</x:v>
      </x:c>
      <x:c r="B6" s="17" t="str">
        <x:v>csq001</x:v>
      </x:c>
      <x:c r="C6" s="17" t="str">
        <x:v>natural_language_processing</x:v>
      </x:c>
      <x:c r="D6" s="17" t="str">
        <x:v>rag_evaluation</x:v>
      </x:c>
      <x:c r="E6" s="27" t="str">
        <x:v>What are the main methods for evaluating retrieval-augmented generation systems, and which retrieval and generation dimensions do they measure?</x:v>
      </x:c>
      <x:c r="F6" s="22" t="n">
        <x:v>5</x:v>
      </x:c>
      <x:c r="G6" s="17" t="str">
        <x:v>arXiv:2501.03995</x:v>
      </x:c>
      <x:c r="H6" s="27" t="str">
        <x:v>RAG-Check: Evaluating Multimodal Retrieval Augmented Generation Performance</x:v>
      </x:c>
      <x:c r="I6" s="17" t="str">
        <x:v>Matin Mortaheb; Mohammad A. Amir Khojastepour; Srimat T. Chakradhar; Sennur Ulukus</x:v>
      </x:c>
      <x:c r="J6" s="22" t="n">
        <x:v>2025</x:v>
      </x:c>
      <x:c r="K6" s="27" t="str">
        <x:v>Retrieval-augmented generation (RAG) improves large language models (LLMs) by using external knowledge to guide response generation, reducing hallucinations. However, RAG, particularly multi-modal RAG, can introduce new hallucination sources: (i) the retrieval process may select irrelevant pieces (e.g., documents, images) as raw context from the database, and (ii) retrieved images are processed into text-based context via vision-language models (VLMs) or directly used by multi-modal language models (MLLMs) like GPT-4o, which may hallucinate. To address this, we propose a novel framework to evaluate the reliability of multi-modal RAG using two performance measures: (i) the relevancy score (RS), assessing the relevance of retrieved entries to the query, and (ii) the correctness score (CS), evaluating the accuracy of the generated response. We train RS and CS models using a ChatGPT-derived database and human evaluator samples. Results show that both models achieve ~88% accuracy on test data. Additionally, we construct a 5000-sample human-annotated database evaluating the relevancy of retrieved pieces and the correctness of response statements. Our RS model aligns with human preferences 20% more often than CLIP in retrieval, and our CS model matches human preferences ~91% of the time. Finally, we assess various RAG systems' selection and generation performances using RS and CS.</x:v>
      </x:c>
      <x:c r="L6" s="17" t="str">
        <x:v>http://arxiv.org/abs/2501.03995v1</x:v>
      </x:c>
      <x:c r="M6" s="23" t="n">
        <x:v>0.7509505704697212</x:v>
      </x:c>
      <x:c r="N6" s="17" t="str">
        <x:v>qwen3-rerank-no-instruct-20260727-125006-results.jsonl</x:v>
      </x:c>
      <x:c r="O6" s="24" t="str">
        <x:v>2</x:v>
      </x:c>
      <x:c r="P6" s="28" t="str">
        <x:v>分别以相关性分数和正确性分数测量检索与生成。</x:v>
      </x:c>
      <x:c r="Q6" s="25" t="str"/>
      <x:c r="R6" s="24" t="str">
        <x:f>IF(Q6&lt;&gt;"",Q6,O6)</x:f>
        <x:v>2</x:v>
      </x:c>
      <x:c r="S6" s="29" t="str"/>
    </x:row>
    <x:row r="7" ht="54" customHeight="1">
      <x:c r="A7" s="17" t="str">
        <x:v>csq001-r06</x:v>
      </x:c>
      <x:c r="B7" s="17" t="str">
        <x:v>csq001</x:v>
      </x:c>
      <x:c r="C7" s="17" t="str">
        <x:v>natural_language_processing</x:v>
      </x:c>
      <x:c r="D7" s="17" t="str">
        <x:v>rag_evaluation</x:v>
      </x:c>
      <x:c r="E7" s="27" t="str">
        <x:v>What are the main methods for evaluating retrieval-augmented generation systems, and which retrieval and generation dimensions do they measure?</x:v>
      </x:c>
      <x:c r="F7" s="22" t="n">
        <x:v>6</x:v>
      </x:c>
      <x:c r="G7" s="17" t="str">
        <x:v>arXiv:2502.16636</x:v>
      </x:c>
      <x:c r="H7" s="27" t="str">
        <x:v>Visual-RAG: Benchmarking Text-to-Image Retrieval Augmented Generation for Visual Knowledge Intensive Queries</x:v>
      </x:c>
      <x:c r="I7" s="17" t="str">
        <x:v>Yin Wu; Quanyu Long; Jing Li; Jianfei Yu; Wenya Wang</x:v>
      </x:c>
      <x:c r="J7" s="22" t="n">
        <x:v>2025</x:v>
      </x:c>
      <x:c r="K7" s="27" t="str">
        <x:v>Retrieval-augmented generation (RAG) is a paradigm that augments large language models (LLMs) with external knowledge to tackle knowledge-intensive question answering. While several benchmarks evaluate Multimodal LLMs (MLLMs) under Multimodal RAG settings, they predominantly retrieve from textual corpora and do not explicitly assess how models exploit visual evidence during generation. Consequently, there still lacks benchmark that isolates and measures the contribution of retrieved images in RAG. We introduce Visual-RAG, a question-answering benchmark that targets visually grounded, knowledge-intensive questions. Unlike prior work, Visual-RAG requires text-to-image retrieval and the integration of retrieved clue images to extract visual evidence for answer generation. With Visual-RAG, we evaluate 5 open-source and 3 proprietary MLLMs, showcasing that images provide strong evidence in augmented generation. However, even state-of-the-art models struggle to efficiently extract and utilize visual knowledge. Our results highlight the need for improved visual retrieval, grounding, and attribution in multimodal RAG systems.</x:v>
      </x:c>
      <x:c r="L7" s="17" t="str">
        <x:v>http://arxiv.org/abs/2502.16636v2</x:v>
      </x:c>
      <x:c r="M7" s="23" t="n">
        <x:v>0.7207818041027867</x:v>
      </x:c>
      <x:c r="N7" s="17" t="str">
        <x:v>qwen3-rerank-no-instruct-20260727-125006-results.jsonl</x:v>
      </x:c>
      <x:c r="O7" s="24" t="str">
        <x:v>2</x:v>
      </x:c>
      <x:c r="P7" s="28" t="str">
        <x:v>基准隔离评估图像检索及生成阶段的视觉证据利用。</x:v>
      </x:c>
      <x:c r="Q7" s="25" t="str"/>
      <x:c r="R7" s="24" t="str">
        <x:f>IF(Q7&lt;&gt;"",Q7,O7)</x:f>
        <x:v>2</x:v>
      </x:c>
      <x:c r="S7" s="29" t="str"/>
    </x:row>
    <x:row r="8" ht="54" customHeight="1">
      <x:c r="A8" s="17" t="str">
        <x:v>csq001-r07</x:v>
      </x:c>
      <x:c r="B8" s="17" t="str">
        <x:v>csq001</x:v>
      </x:c>
      <x:c r="C8" s="17" t="str">
        <x:v>natural_language_processing</x:v>
      </x:c>
      <x:c r="D8" s="17" t="str">
        <x:v>rag_evaluation</x:v>
      </x:c>
      <x:c r="E8" s="27" t="str">
        <x:v>What are the main methods for evaluating retrieval-augmented generation systems, and which retrieval and generation dimensions do they measure?</x:v>
      </x:c>
      <x:c r="F8" s="22" t="n">
        <x:v>7</x:v>
      </x:c>
      <x:c r="G8" s="17" t="str">
        <x:v>arXiv:2504.19754</x:v>
      </x:c>
      <x:c r="H8" s="27" t="str">
        <x:v>Reconstructing Context: Evaluating Advanced Chunking Strategies for Retrieval-Augmented Generation</x:v>
      </x:c>
      <x:c r="I8" s="17" t="str">
        <x:v>Carlo Merola; Jaspinder Singh</x:v>
      </x:c>
      <x:c r="J8" s="22" t="n">
        <x:v>2025</x:v>
      </x:c>
      <x:c r="K8" s="27" t="str">
        <x:v>Retrieval-augmented generation (RAG) has become a transformative approach for enhancing large language models (LLMs) by grounding their outputs in external knowledge sources. Yet, a critical question persists: how can vast volumes of external knowledge be managed effectively within the input constraints of LLMs? Traditional methods address this by chunking external documents into smaller, fixed-size segments. While this approach alleviates input limitations, it often fragments context, resulting in incomplete retrieval and diminished coherence in generation. To overcome these shortcomings, two advanced techniques, late chunking and contextual retrieval, have been introduced, both aiming to preserve global context. Despite their potential, their comparative strengths and limitations remain unclear. This study presents a rigorous analysis of late chunking and contextual retrieval, evaluating their effectiveness and efficiency in optimizing RAG systems. Our results indicate that contextual retrieval preserves semantic coherence more effectively but requires greater computational resources. In contrast, late chunking offers higher efficiency but tends to sacrifice relevance and completeness.</x:v>
      </x:c>
      <x:c r="L8" s="17" t="str">
        <x:v>http://arxiv.org/abs/2504.19754v1</x:v>
      </x:c>
      <x:c r="M8" s="23" t="n">
        <x:v>0.6594725373905861</x:v>
      </x:c>
      <x:c r="N8" s="17" t="str">
        <x:v>qwen3-rerank-no-instruct-20260727-125006-results.jsonl</x:v>
      </x:c>
      <x:c r="O8" s="24" t="str">
        <x:v>2</x:v>
      </x:c>
      <x:c r="P8" s="28" t="str">
        <x:v>比较分块方法对检索相关完整性、生成连贯性和效率的影响。</x:v>
      </x:c>
      <x:c r="Q8" s="25" t="str"/>
      <x:c r="R8" s="24" t="str">
        <x:f>IF(Q8&lt;&gt;"",Q8,O8)</x:f>
        <x:v>2</x:v>
      </x:c>
      <x:c r="S8" s="29" t="str"/>
    </x:row>
    <x:row r="9" ht="54" customHeight="1">
      <x:c r="A9" s="17" t="str">
        <x:v>csq001-r08</x:v>
      </x:c>
      <x:c r="B9" s="17" t="str">
        <x:v>csq001</x:v>
      </x:c>
      <x:c r="C9" s="17" t="str">
        <x:v>natural_language_processing</x:v>
      </x:c>
      <x:c r="D9" s="17" t="str">
        <x:v>rag_evaluation</x:v>
      </x:c>
      <x:c r="E9" s="27" t="str">
        <x:v>What are the main methods for evaluating retrieval-augmented generation systems, and which retrieval and generation dimensions do they measure?</x:v>
      </x:c>
      <x:c r="F9" s="22" t="n">
        <x:v>8</x:v>
      </x:c>
      <x:c r="G9" s="17" t="str">
        <x:v>arXiv:2410.12812</x:v>
      </x:c>
      <x:c r="H9" s="27" t="str">
        <x:v>Optimizing and Evaluating Enterprise Retrieval-Augmented Generation (RAG): A Content Design Perspective</x:v>
      </x:c>
      <x:c r="I9" s="17" t="str">
        <x:v>Sarah Packowski; Inge Halilovic; Jenifer Schlotfeldt; Trish Smith</x:v>
      </x:c>
      <x:c r="J9" s="22" t="n">
        <x:v>2024</x:v>
      </x:c>
      <x:c r="K9" s="27" t="str">
        <x:v>Retrieval-augmented generation (RAG) is a popular technique for using large language models (LLMs) to build customer-support, question-answering solutions. In this paper, we share our team's practical experience building and maintaining enterprise-scale RAG solutions that answer users' questions about our software based on product documentation. Our experience has not always matched the most common patterns in the RAG literature. This paper focuses on solution strategies that are modular and model-agnostic. For example, our experience over the past few years - using different search methods and LLMs, and many knowledge base collections - has been that simple changes to the way we create knowledge base content can have a huge impact on our RAG solutions' success. In this paper, we also discuss how we monitor and evaluate results. Common RAG benchmark evaluation techniques have not been useful for evaluating responses to novel user questions, so we have found a flexible, "human in the lead" approach is required.</x:v>
      </x:c>
      <x:c r="L9" s="17" t="str">
        <x:v>http://arxiv.org/abs/2410.12812v1</x:v>
      </x:c>
      <x:c r="M9" s="23" t="n">
        <x:v>0.6188968365082889</x:v>
      </x:c>
      <x:c r="N9" s="17" t="str">
        <x:v>qwen3-rerank-no-instruct-20260727-125006-results.jsonl</x:v>
      </x:c>
      <x:c r="O9" s="24" t="str">
        <x:v>2</x:v>
      </x:c>
      <x:c r="P9" s="28" t="str">
        <x:v>讨论企业RAG监控评估及基准失效时的人主导方法。</x:v>
      </x:c>
      <x:c r="Q9" s="25" t="str"/>
      <x:c r="R9" s="24" t="str">
        <x:f>IF(Q9&lt;&gt;"",Q9,O9)</x:f>
        <x:v>2</x:v>
      </x:c>
      <x:c r="S9" s="29" t="str"/>
    </x:row>
    <x:row r="10" ht="54" customHeight="1">
      <x:c r="A10" s="17" t="str">
        <x:v>csq001-r09</x:v>
      </x:c>
      <x:c r="B10" s="17" t="str">
        <x:v>csq001</x:v>
      </x:c>
      <x:c r="C10" s="17" t="str">
        <x:v>natural_language_processing</x:v>
      </x:c>
      <x:c r="D10" s="17" t="str">
        <x:v>rag_evaluation</x:v>
      </x:c>
      <x:c r="E10" s="27" t="str">
        <x:v>What are the main methods for evaluating retrieval-augmented generation systems, and which retrieval and generation dimensions do they measure?</x:v>
      </x:c>
      <x:c r="F10" s="22" t="n">
        <x:v>9</x:v>
      </x:c>
      <x:c r="G10" s="17" t="str">
        <x:v>arXiv:2506.06962</x:v>
      </x:c>
      <x:c r="H10" s="27" t="str">
        <x:v>AR-RAG: Autoregressive Retrieval Augmentation for Image Generation</x:v>
      </x:c>
      <x:c r="I10" s="17" t="str">
        <x:v>Jingyuan Qi; Zhiyang Xu; Qifan Wang; Lifu Huang</x:v>
      </x:c>
      <x:c r="J10" s="22" t="n">
        <x:v>2025</x:v>
      </x:c>
      <x:c r="K10" s="27" t="str">
        <x:v>We introduce Autoregressive Retrieval Augmentation (AR-RAG), a novel paradigm that enhances image generation by autoregressively incorporating knearest neighbor retrievals at the patch level. Unlike prior methods that perform a single, static retrieval before generation and condition the entire generation on fixed reference images, AR-RAG performs context-aware retrievals at each generation step, using prior-generated patches as queries to retrieve and incorporate the most relevant patch-level visual references, enabling the model to respond to evolving generation needs while avoiding limitations (e.g., over-copying, stylistic bias, etc.) prevalent in existing methods. To realize AR-RAG, we propose two parallel frameworks: (1) Distribution-Augmentation in Decoding (DAiD), a training-free plug-and-use decoding strategy that directly merges the distribution of model-predicted patches with the distribution of retrieved patches, and (2) Feature-Augmentation in Decoding (FAiD), a parameter-efficient fine-tuning method that progressively smooths the features of retrieved patches via multi-scale convolution operations and leverages them to augment the image generation process. We validate the effectiveness of AR-RAG on widely adopted benchmarks, including Midjourney-30K, GenEval and DPG-Bench, demonstrating significant performance gains over state-of-the-art image generation models.</x:v>
      </x:c>
      <x:c r="L10" s="17" t="str">
        <x:v>http://arxiv.org/abs/2506.06962v3</x:v>
      </x:c>
      <x:c r="M10" s="23" t="n">
        <x:v>0.5815796588829449</x:v>
      </x:c>
      <x:c r="N10" s="17" t="str">
        <x:v>qwen3-rerank-no-instruct-20260727-125006-results.jsonl</x:v>
      </x:c>
      <x:c r="O10" s="24" t="str">
        <x:v>0</x:v>
      </x:c>
      <x:c r="P10" s="28" t="str">
        <x:v>核心是图像生成的逐步检索增强方法，不研究RAG评估方法。</x:v>
      </x:c>
      <x:c r="Q10" s="25" t="str"/>
      <x:c r="R10" s="24" t="str">
        <x:f>IF(Q10&lt;&gt;"",Q10,O10)</x:f>
        <x:v>0</x:v>
      </x:c>
      <x:c r="S10" s="29" t="str"/>
    </x:row>
    <x:row r="11" ht="54" customHeight="1">
      <x:c r="A11" s="17" t="str">
        <x:v>csq001-r10</x:v>
      </x:c>
      <x:c r="B11" s="17" t="str">
        <x:v>csq001</x:v>
      </x:c>
      <x:c r="C11" s="17" t="str">
        <x:v>natural_language_processing</x:v>
      </x:c>
      <x:c r="D11" s="17" t="str">
        <x:v>rag_evaluation</x:v>
      </x:c>
      <x:c r="E11" s="27" t="str">
        <x:v>What are the main methods for evaluating retrieval-augmented generation systems, and which retrieval and generation dimensions do they measure?</x:v>
      </x:c>
      <x:c r="F11" s="22" t="n">
        <x:v>10</x:v>
      </x:c>
      <x:c r="G11" s="17" t="str">
        <x:v>arXiv:2402.13178</x:v>
      </x:c>
      <x:c r="H11" s="27" t="str">
        <x:v>Benchmarking Retrieval-Augmented Generation for Medicine</x:v>
      </x:c>
      <x:c r="I11" s="17" t="str">
        <x:v>Guangzhi Xiong; Qiao Jin; Zhiyong Lu; Aidong Zhang</x:v>
      </x:c>
      <x:c r="J11" s="22" t="n">
        <x:v>2024</x:v>
      </x:c>
      <x:c r="K11" s="27" t="str">
        <x:v>While large language models (LLMs) have achieved state-of-the-art performance on a wide range of medical question answering (QA) tasks, they still face challenges with hallucinations and outdated knowledge. Retrieval-augmented generation (RAG) is a promising solution and has been widely adopted. However, a RAG system can involve multiple flexible components, and there is a lack of best practices regarding the optimal RAG setting for various medical purposes. To systematically evaluate such systems, we propose the Medical Information Retrieval-Augmented Generation Evaluation (MIRAGE), a first-of-its-kind benchmark including 7,663 questions from five medical QA datasets. Using MIRAGE, we conducted large-scale experiments with over 1.8 trillion prompt tokens on 41 combinations of different corpora, retrievers, and backbone LLMs through the MedRAG toolkit introduced in this work. Overall, MedRAG improves the accuracy of six different LLMs by up to 18% over chain-of-thought prompting, elevating the performance of GPT-3.5 and Mixtral to GPT-4-level. Our results show that the combination of various medical corpora and retrievers achieves the best performance. In addition, we discovered a log-linear scaling property and the "lost-in-the-middle" effects in medical RAG. We believe our comprehensive evaluations can serve as practical guidelines for implementing RAG systems for medicine.</x:v>
      </x:c>
      <x:c r="L11" s="17" t="str">
        <x:v>http://arxiv.org/abs/2402.13178v2</x:v>
      </x:c>
      <x:c r="M11" s="23" t="n">
        <x:v>0.5544240830259622</x:v>
      </x:c>
      <x:c r="N11" s="17" t="str">
        <x:v>qwen3-rerank-no-instruct-20260727-125006-results.jsonl</x:v>
      </x:c>
      <x:c r="O11" s="24" t="str">
        <x:v>2</x:v>
      </x:c>
      <x:c r="P11" s="28" t="str">
        <x:v>医疗RAG基准系统比较语料、检索器和生成模型组合。</x:v>
      </x:c>
      <x:c r="Q11" s="25" t="str"/>
      <x:c r="R11" s="24" t="str">
        <x:f>IF(Q11&lt;&gt;"",Q11,O11)</x:f>
        <x:v>2</x:v>
      </x:c>
      <x:c r="S11" s="29" t="str"/>
    </x:row>
    <x:row r="12" ht="54" customHeight="1">
      <x:c r="A12" s="17" t="str">
        <x:v>csq001-r11</x:v>
      </x:c>
      <x:c r="B12" s="17" t="str">
        <x:v>csq001</x:v>
      </x:c>
      <x:c r="C12" s="17" t="str">
        <x:v>natural_language_processing</x:v>
      </x:c>
      <x:c r="D12" s="17" t="str">
        <x:v>rag_evaluation</x:v>
      </x:c>
      <x:c r="E12" s="27" t="str">
        <x:v>What are the main methods for evaluating retrieval-augmented generation systems, and which retrieval and generation dimensions do they measure?</x:v>
      </x:c>
      <x:c r="F12" s="22" t="n">
        <x:v>11</x:v>
      </x:c>
      <x:c r="G12" s="17" t="str">
        <x:v>arXiv:2505.04680</x:v>
      </x:c>
      <x:c r="H12" s="27" t="str">
        <x:v>Retrieval Augmented Generation Evaluation for Health Documents</x:v>
      </x:c>
      <x:c r="I12" s="17" t="str">
        <x:v>Mario Ceresa; Lorenzo Bertolini; Valentin Comte; Nicholas Spadaro; Barbara Raffael; Brigitte Toussaint; Sergio Consoli; Amalia Muñoz Piñeiro; Alex Patak; Maddalena Querci; Tobias Wiesenthal</x:v>
      </x:c>
      <x:c r="J12" s="22" t="n">
        <x:v>2025</x:v>
      </x:c>
      <x:c r="K12" s="27" t="str">
        <x:v>Safe and trustworthy use of Large Language Models (LLM) in the processing of healthcare documents and scientific papers could substantially help clinicians, scientists and policymakers in overcoming information overload and focusing on the most relevant information at a given moment. Retrieval Augmented Generation (RAG) is a promising method to leverage the potential of LLMs while enhancing the accuracy of their outcomes. This report assesses the potentials and shortcomings of such approaches in the automatic knowledge synthesis of different types of documents in the health domain. To this end, it describes: (1) an internally developed proof of concept pipeline that employs state-of-the-art practices to deliver safe and trustable analysis for healthcare documents and scientific papers called RAGEv (Retrieval Augmented Generation Evaluation); (2) a set of evaluation tools for LLM-based document retrieval and generation; (3) a benchmark dataset to verify the accuracy and veracity of the results called RAGEv-Bench. It concludes that careful implementations of RAG techniques could minimize most of the common problems in the use of LLMs for document processing in the health domain, obtaining very high scores both on short yes/no answers and long answers. There is a high potential for incorporating it into the day-to-day work of policy support tasks, but additional efforts are required to obtain a consistent and trustworthy tool.</x:v>
      </x:c>
      <x:c r="L12" s="17" t="str">
        <x:v>http://arxiv.org/abs/2505.04680v1</x:v>
      </x:c>
      <x:c r="M12" s="23" t="n">
        <x:v>0.549490912710413</x:v>
      </x:c>
      <x:c r="N12" s="17" t="str">
        <x:v>qwen3-rerank-no-instruct-20260727-125006-results.jsonl</x:v>
      </x:c>
      <x:c r="O12" s="24" t="str">
        <x:v>2</x:v>
      </x:c>
      <x:c r="P12" s="28" t="str">
        <x:v>提供文档检索与生成评估工具及准确性、真实性基准。</x:v>
      </x:c>
      <x:c r="Q12" s="25" t="str"/>
      <x:c r="R12" s="24" t="str">
        <x:f>IF(Q12&lt;&gt;"",Q12,O12)</x:f>
        <x:v>2</x:v>
      </x:c>
      <x:c r="S12" s="29" t="str"/>
    </x:row>
    <x:row r="13" ht="54" customHeight="1">
      <x:c r="A13" s="17" t="str">
        <x:v>csq001-r12</x:v>
      </x:c>
      <x:c r="B13" s="17" t="str">
        <x:v>csq001</x:v>
      </x:c>
      <x:c r="C13" s="17" t="str">
        <x:v>natural_language_processing</x:v>
      </x:c>
      <x:c r="D13" s="17" t="str">
        <x:v>rag_evaluation</x:v>
      </x:c>
      <x:c r="E13" s="27" t="str">
        <x:v>What are the main methods for evaluating retrieval-augmented generation systems, and which retrieval and generation dimensions do they measure?</x:v>
      </x:c>
      <x:c r="F13" s="22" t="n">
        <x:v>12</x:v>
      </x:c>
      <x:c r="G13" s="17" t="str">
        <x:v>arXiv:2509.12765</x:v>
      </x:c>
      <x:c r="H13" s="27" t="str">
        <x:v>InfoGain-RAG: Boosting Retrieval-Augmented Generation via Document Information Gain-based Reranking and Filtering</x:v>
      </x:c>
      <x:c r="I13" s="17" t="str">
        <x:v>Zihan Wang; Zihan Liang; Zhou Shao; Yufei Ma; Huangyu Dai; Ben Chen; Lingtao Mao; Chenyi Lei; Yuqing Ding; Han Li</x:v>
      </x:c>
      <x:c r="J13" s="22" t="n">
        <x:v>2025</x:v>
      </x:c>
      <x:c r="K13" s="27" t="str">
        <x:v>Retrieval-Augmented Generation (RAG) has emerged as a promising approach to address key limitations of Large Language Models (LLMs), such as hallucination, outdated knowledge, and lacking reference. However, current RAG frameworks often struggle with identifying whether retrieved documents meaningfully contribute to answer generation. This shortcoming makes it difficult to filter out irrelevant or even misleading content, which notably impacts the final performance. In this paper, we propose Document Information Gain (DIG), a novel metric designed to quantify the contribution of retrieved documents to correct answer generation. DIG measures a document's value by computing the difference of LLM's generation confidence with and without the document augmented. Further, we introduce InfoGain-RAG, a framework that leverages DIG scores to train a specialized reranker, which prioritizes each retrieved document from exact distinguishing and accurate sorting perspectives. This approach can effectively filter out irrelevant documents and select the most valuable ones for better answer generation. Extensive experiments across various models and benchmarks demonstrate that InfoGain-RAG can significantly outperform existing approaches, on both single and multiple retrievers paradigm. Specifically on NaturalQA, it achieves the improvements of 17.9%, 4.5%, 12.5% in exact match accuracy against naive RAG, self-reflective RAG and modern ranking-based RAG respectively, and even an average of 15.3% increment on advanced proprietary model GPT-4o across all datasets. These results demonstrate the feasibility of InfoGain-RAG as it can offer a reliable solution for RAG in multiple applications.</x:v>
      </x:c>
      <x:c r="L13" s="17" t="str">
        <x:v>http://arxiv.org/abs/2509.12765v1</x:v>
      </x:c>
      <x:c r="M13" s="23" t="n">
        <x:v>0.544979545189839</x:v>
      </x:c>
      <x:c r="N13" s="17" t="str">
        <x:v>qwen3-rerank-no-instruct-20260727-125006-results.jsonl</x:v>
      </x:c>
      <x:c r="O13" s="24" t="str">
        <x:v>2</x:v>
      </x:c>
      <x:c r="P13" s="28" t="str">
        <x:v>DIG直接量化检索文档对正确生成的贡献，属于检索评估维度。</x:v>
      </x:c>
      <x:c r="Q13" s="25" t="str"/>
      <x:c r="R13" s="24" t="str">
        <x:f>IF(Q13&lt;&gt;"",Q13,O13)</x:f>
        <x:v>2</x:v>
      </x:c>
      <x:c r="S13" s="29" t="str"/>
    </x:row>
    <x:row r="14" ht="54" customHeight="1">
      <x:c r="A14" s="17" t="str">
        <x:v>csq001-r13</x:v>
      </x:c>
      <x:c r="B14" s="17" t="str">
        <x:v>csq001</x:v>
      </x:c>
      <x:c r="C14" s="17" t="str">
        <x:v>natural_language_processing</x:v>
      </x:c>
      <x:c r="D14" s="17" t="str">
        <x:v>rag_evaluation</x:v>
      </x:c>
      <x:c r="E14" s="27" t="str">
        <x:v>What are the main methods for evaluating retrieval-augmented generation systems, and which retrieval and generation dimensions do they measure?</x:v>
      </x:c>
      <x:c r="F14" s="22" t="n">
        <x:v>13</x:v>
      </x:c>
      <x:c r="G14" s="17" t="str">
        <x:v>arXiv:2601.05264</x:v>
      </x:c>
      <x:c r="H14" s="27" t="str">
        <x:v>Engineering the RAG Stack: A Comprehensive Review of the Architecture and Trust Frameworks for Retrieval-Augmented Generation Systems</x:v>
      </x:c>
      <x:c r="I14" s="17" t="str">
        <x:v>Dean Wampler; Dave Nielson; Alireza Seddighi</x:v>
      </x:c>
      <x:c r="J14" s="22" t="n">
        <x:v>2025</x:v>
      </x:c>
      <x:c r="K14" s="27" t="str">
        <x:v>This article provides a comprehensive systematic literature review of academic studies, industrial applications, and real-world deployments from 2018 to 2025, providing a practical guide and detailed overview of modern Retrieval-Augmented Generation (RAG) architectures. RAG offers a modular approach for integrating external knowledge without increasing the capacity of the model as LLM systems expand. Research and engineering practices have been fragmented as a result of the increasing diversity of RAG methodologies, which encompasses a variety of fusion mechanisms, retrieval strategies, and orchestration approaches. We provide quantitative assessment frameworks, analyze the implications for trust and alignment, and systematically consolidate existing RAG techniques into a unified taxonomy. This document is a practical framework for the deployment of resilient, secure, and domain-adaptable RAG systems, synthesizing insights from academic literature, industry reports, and technical implementation guides. It also functions as a technical reference.</x:v>
      </x:c>
      <x:c r="L14" s="17" t="str">
        <x:v>http://arxiv.org/abs/2601.05264v1</x:v>
      </x:c>
      <x:c r="M14" s="23" t="n">
        <x:v>0.5306619552899844</x:v>
      </x:c>
      <x:c r="N14" s="17" t="str">
        <x:v>qwen3-rerank-no-instruct-20260727-125006-results.jsonl</x:v>
      </x:c>
      <x:c r="O14" s="24" t="str">
        <x:v>2</x:v>
      </x:c>
      <x:c r="P14" s="28" t="str">
        <x:v>RAG系统综述明确包含量化评估与信任框架。</x:v>
      </x:c>
      <x:c r="Q14" s="25" t="str"/>
      <x:c r="R14" s="24" t="str">
        <x:f>IF(Q14&lt;&gt;"",Q14,O14)</x:f>
        <x:v>2</x:v>
      </x:c>
      <x:c r="S14" s="29" t="str"/>
    </x:row>
    <x:row r="15" ht="54" customHeight="1">
      <x:c r="A15" s="17" t="str">
        <x:v>csq001-r14</x:v>
      </x:c>
      <x:c r="B15" s="17" t="str">
        <x:v>csq001</x:v>
      </x:c>
      <x:c r="C15" s="17" t="str">
        <x:v>natural_language_processing</x:v>
      </x:c>
      <x:c r="D15" s="17" t="str">
        <x:v>rag_evaluation</x:v>
      </x:c>
      <x:c r="E15" s="27" t="str">
        <x:v>What are the main methods for evaluating retrieval-augmented generation systems, and which retrieval and generation dimensions do they measure?</x:v>
      </x:c>
      <x:c r="F15" s="22" t="n">
        <x:v>14</x:v>
      </x:c>
      <x:c r="G15" s="17" t="str">
        <x:v>arXiv:2510.25518</x:v>
      </x:c>
      <x:c r="H15" s="27" t="str">
        <x:v>Retrieval Augmented Generation (RAG) for Fintech: Agentic Design and Evaluation</x:v>
      </x:c>
      <x:c r="I15" s="17" t="str">
        <x:v>Thomas Cook; Richard Osuagwu; Liman Tsatiashvili; Vrynsia Vrynsia; Koustav Ghosal; Maraim Masoud; Riccardo Mattivi</x:v>
      </x:c>
      <x:c r="J15" s="22" t="n">
        <x:v>2025</x:v>
      </x:c>
      <x:c r="K15" s="27" t="str">
        <x:v>Retrieval-Augmented Generation (RAG) systems often face limitations in specialized domains such as fintech, where domain-specific ontologies, dense terminology, and acronyms complicate effective retrieval and synthesis. This paper introduces an agentic RAG architecture designed to address these challenges through a modular pipeline of specialized agents. The proposed system supports intelligent query reformulation, iterative sub-query decomposition guided by keyphrase extraction, contextual acronym resolution, and cross-encoder-based context re-ranking. We evaluate our approach against a standard RAG baseline using a curated dataset of 85 question--answer--reference triples derived from an enterprise fintech knowledge base. Experimental results demonstrate that the agentic RAG system outperforms the baseline in retrieval precision and relevance, albeit with increased latency. These findings suggest that structured, multi-agent methodologies offer a promising direction for enhancing retrieval robustness in complex, domain-specific settings.</x:v>
      </x:c>
      <x:c r="L15" s="17" t="str">
        <x:v>http://arxiv.org/abs/2510.25518v1</x:v>
      </x:c>
      <x:c r="M15" s="23" t="n">
        <x:v>0.5293594156684862</x:v>
      </x:c>
      <x:c r="N15" s="17" t="str">
        <x:v>qwen3-rerank-no-instruct-20260727-125006-results.jsonl</x:v>
      </x:c>
      <x:c r="O15" s="24" t="str">
        <x:v>1</x:v>
      </x:c>
      <x:c r="P15" s="28" t="str">
        <x:v>主要提出金融RAG架构，仅用检索精度、相关性和延迟验证。</x:v>
      </x:c>
      <x:c r="Q15" s="25" t="str"/>
      <x:c r="R15" s="24" t="str">
        <x:f>IF(Q15&lt;&gt;"",Q15,O15)</x:f>
        <x:v>1</x:v>
      </x:c>
      <x:c r="S15" s="29" t="str"/>
    </x:row>
    <x:row r="16" ht="54" customHeight="1">
      <x:c r="A16" s="17" t="str">
        <x:v>csq001-r15</x:v>
      </x:c>
      <x:c r="B16" s="17" t="str">
        <x:v>csq001</x:v>
      </x:c>
      <x:c r="C16" s="17" t="str">
        <x:v>natural_language_processing</x:v>
      </x:c>
      <x:c r="D16" s="17" t="str">
        <x:v>rag_evaluation</x:v>
      </x:c>
      <x:c r="E16" s="27" t="str">
        <x:v>What are the main methods for evaluating retrieval-augmented generation systems, and which retrieval and generation dimensions do they measure?</x:v>
      </x:c>
      <x:c r="F16" s="22" t="n">
        <x:v>15</x:v>
      </x:c>
      <x:c r="G16" s="17" t="str">
        <x:v>arXiv:2505.21072</x:v>
      </x:c>
      <x:c r="H16" s="27" t="str">
        <x:v>Faithfulness-Aware Uncertainty Quantification for Fact-Checking the Output of Retrieval Augmented Generation</x:v>
      </x:c>
      <x:c r="I16" s="17" t="str">
        <x:v>Ekaterina Fadeeva; Aleksandr Rubashevskii; Dzianis Piatrashyn; Roman Vashurin; Shehzaad Dhuliawala; Artem Shelmanov; Timothy Baldwin; Preslav Nakov; Mrinmaya Sachan; Maxim Panov</x:v>
      </x:c>
      <x:c r="J16" s="22" t="n">
        <x:v>2025</x:v>
      </x:c>
      <x:c r="K16" s="27" t="str">
        <x:v>Large Language Models (LLMs) enhanced with retrieval, an approach known as Retrieval-Augmented Generation (RAG), have achieved strong performance in open-domain question answering. However, RAG remains prone to hallucinations: factually incorrect outputs may arise from inaccuracies in the model's internal knowledge and the retrieved context. Existing approaches to mitigating hallucinations often conflate factuality with faithfulness to the retrieved evidence, incorrectly labeling factually correct statements as hallucinations if they are not explicitly supported by the retrieval. In this paper, we introduce FRANQ, a new method for hallucination detection in RAG outputs. FRANQ applies distinct uncertainty quantification (UQ) techniques to estimate factuality, conditioning on whether a statement is faithful to the retrieved context. To evaluate FRANQ and competing UQ methods, we construct a new long-form question answering dataset annotated for both factuality and faithfulness, combining automated labeling with manual validation of challenging cases. Extensive experiments across multiple datasets, tasks, and LLMs show that FRANQ achieves more accurate detection of factual errors in RAG-generated responses compared to existing approaches.</x:v>
      </x:c>
      <x:c r="L16" s="17" t="str">
        <x:v>http://arxiv.org/abs/2505.21072v5</x:v>
      </x:c>
      <x:c r="M16" s="23" t="n">
        <x:v>0.5186533233376325</x:v>
      </x:c>
      <x:c r="N16" s="17" t="str">
        <x:v>qwen3-rerank-no-instruct-20260727-125006-results.jsonl</x:v>
      </x:c>
      <x:c r="O16" s="24" t="str">
        <x:v>2</x:v>
      </x:c>
      <x:c r="P16" s="28" t="str">
        <x:v>区分事实性与检索证据忠实性，并评估RAG输出幻觉检测。</x:v>
      </x:c>
      <x:c r="Q16" s="25" t="str"/>
      <x:c r="R16" s="24" t="str">
        <x:f>IF(Q16&lt;&gt;"",Q16,O16)</x:f>
        <x:v>2</x:v>
      </x:c>
      <x:c r="S16" s="29" t="str"/>
    </x:row>
    <x:row r="17" ht="54" customHeight="1">
      <x:c r="A17" s="17" t="str">
        <x:v>csq001-r16</x:v>
      </x:c>
      <x:c r="B17" s="17" t="str">
        <x:v>csq001</x:v>
      </x:c>
      <x:c r="C17" s="17" t="str">
        <x:v>natural_language_processing</x:v>
      </x:c>
      <x:c r="D17" s="17" t="str">
        <x:v>rag_evaluation</x:v>
      </x:c>
      <x:c r="E17" s="27" t="str">
        <x:v>What are the main methods for evaluating retrieval-augmented generation systems, and which retrieval and generation dimensions do they measure?</x:v>
      </x:c>
      <x:c r="F17" s="22" t="n">
        <x:v>16</x:v>
      </x:c>
      <x:c r="G17" s="17" t="str">
        <x:v>arXiv:2502.11228</x:v>
      </x:c>
      <x:c r="H17" s="27" t="str">
        <x:v>Vendi-RAG: Adaptively Trading-Off Diversity And Quality Significantly Improves Retrieval Augmented Generation With LLMs</x:v>
      </x:c>
      <x:c r="I17" s="17" t="str">
        <x:v>Mohammad Reza Rezaei; Adji Bousso Dieng</x:v>
      </x:c>
      <x:c r="J17" s="22" t="n">
        <x:v>2025</x:v>
      </x:c>
      <x:c r="K17" s="27" t="str">
        <x:v>Retrieval-augmented generation (RAG) enhances large language models (LLMs) for domain-specific question-answering (QA) tasks by leveraging external knowledge sources. However, traditional RAG systems primarily focus on relevance-based retrieval and often struggle with redundancy, especially when reasoning requires connecting information from multiple sources. This paper introduces Vendi-RAG, a framework based on an iterative process that jointly optimizes retrieval diversity and answer quality. This joint optimization leads to significantly higher accuracy for multi-hop QA tasks. Vendi-RAG leverages the Vendi Score (VS), a flexible similarity-based diversity metric, to promote semantic diversity in document retrieval. It then uses an LLM judge that evaluates candidate answers, generated after a reasoning step, and outputs a score that the retriever uses to balance relevance and diversity among the retrieved documents during each iteration. Experiments on three challenging datasets -- HotpotQA, MuSiQue, and 2WikiMultiHopQA -- demonstrate Vendi-RAG's effectiveness in multi-hop reasoning tasks. The framework achieves significant accuracy improvements over traditional single-step and multi-step RAG approaches, with accuracy increases reaching up to +4.2% on HotpotQA, +4.1% on 2WikiMultiHopQA, and +1.3% on MuSiQue compared to Adaptive-RAG, the current best baseline. The benefits of Vendi-RAG are even more pronounced as the number of retrieved documents increases. Finally, we evaluated Vendi-RAG across different LLM backbones, including GPT-3.5, GPT-4, and GPT-4o-mini, and observed consistent improvements, demonstrating that the framework's advantages are model-agnostic.</x:v>
      </x:c>
      <x:c r="L17" s="17" t="str">
        <x:v>http://arxiv.org/abs/2502.11228v2</x:v>
      </x:c>
      <x:c r="M17" s="23" t="n">
        <x:v>0.49400598362259823</x:v>
      </x:c>
      <x:c r="N17" s="17" t="str">
        <x:v>qwen3-rerank-no-instruct-20260727-125006-results.jsonl</x:v>
      </x:c>
      <x:c r="O17" s="24" t="str">
        <x:v>1</x:v>
      </x:c>
      <x:c r="P17" s="28" t="str">
        <x:v>以相关性、多样性和答案裁判优化RAG，评价是内部优化信号。</x:v>
      </x:c>
      <x:c r="Q17" s="25" t="str"/>
      <x:c r="R17" s="24" t="str">
        <x:f>IF(Q17&lt;&gt;"",Q17,O17)</x:f>
        <x:v>1</x:v>
      </x:c>
      <x:c r="S17" s="29" t="str"/>
    </x:row>
    <x:row r="18" ht="54" customHeight="1">
      <x:c r="A18" s="17" t="str">
        <x:v>csq001-r17</x:v>
      </x:c>
      <x:c r="B18" s="17" t="str">
        <x:v>csq001</x:v>
      </x:c>
      <x:c r="C18" s="17" t="str">
        <x:v>natural_language_processing</x:v>
      </x:c>
      <x:c r="D18" s="17" t="str">
        <x:v>rag_evaluation</x:v>
      </x:c>
      <x:c r="E18" s="27" t="str">
        <x:v>What are the main methods for evaluating retrieval-augmented generation systems, and which retrieval and generation dimensions do they measure?</x:v>
      </x:c>
      <x:c r="F18" s="22" t="n">
        <x:v>17</x:v>
      </x:c>
      <x:c r="G18" s="17" t="str">
        <x:v>arXiv:2411.18583</x:v>
      </x:c>
      <x:c r="H18" s="27" t="str">
        <x:v>Automated Literature Review Using NLP Techniques and LLM-Based Retrieval-Augmented Generation</x:v>
      </x:c>
      <x:c r="I18" s="17" t="str">
        <x:v>Nurshat Fateh Ali; Md. Mahdi Mohtasim; Shakil Mosharrof; T. Gopi Krishna</x:v>
      </x:c>
      <x:c r="J18" s="22" t="n">
        <x:v>2024</x:v>
      </x:c>
      <x:c r="K18" s="27" t="str">
        <x:v>This research presents and compares multiple approaches to automate the generation of literature reviews using several Natural Language Processing (NLP) techniques and retrieval-augmented generation (RAG) with a Large Language Model (LLM). The ever-increasing number of research articles provides a huge challenge for manual literature review. It has resulted in an increased demand for automation. Developing a system capable of automatically generating the literature reviews from only the PDF files as input is the primary objective of this research work. The effectiveness of several Natural Language Processing (NLP) strategies, such as the frequency-based method (spaCy), the transformer model (Simple T5), and retrieval-augmented generation (RAG) with Large Language Model (GPT-3.5-turbo), is evaluated to meet the primary objective. The SciTLDR dataset is chosen for this research experiment and three distinct techniques are utilized to implement three different systems for auto-generating the literature reviews. The ROUGE scores are used for the evaluation of all three systems. Based on the evaluation, the Large Language Model GPT-3.5-turbo achieved the highest ROUGE-1 score, 0.364. The transformer model comes in second place and spaCy is at the last position. Finally, a graphical user interface is created for the best system based on the large language model.</x:v>
      </x:c>
      <x:c r="L18" s="17" t="str">
        <x:v>http://arxiv.org/abs/2411.18583v1</x:v>
      </x:c>
      <x:c r="M18" s="23" t="n">
        <x:v>0.48049841827521106</x:v>
      </x:c>
      <x:c r="N18" s="17" t="str">
        <x:v>qwen3-rerank-no-instruct-20260727-125006-results.jsonl</x:v>
      </x:c>
      <x:c r="O18" s="24" t="str">
        <x:v>0</x:v>
      </x:c>
      <x:c r="P18" s="28" t="str">
        <x:v>只用ROUGE比较自动文献综述系统，未评估RAG检索或生成维度。</x:v>
      </x:c>
      <x:c r="Q18" s="25" t="str"/>
      <x:c r="R18" s="24" t="str">
        <x:f>IF(Q18&lt;&gt;"",Q18,O18)</x:f>
        <x:v>0</x:v>
      </x:c>
      <x:c r="S18" s="29" t="str"/>
    </x:row>
    <x:row r="19" ht="54" customHeight="1">
      <x:c r="A19" s="17" t="str">
        <x:v>csq001-r18</x:v>
      </x:c>
      <x:c r="B19" s="17" t="str">
        <x:v>csq001</x:v>
      </x:c>
      <x:c r="C19" s="17" t="str">
        <x:v>natural_language_processing</x:v>
      </x:c>
      <x:c r="D19" s="17" t="str">
        <x:v>rag_evaluation</x:v>
      </x:c>
      <x:c r="E19" s="27" t="str">
        <x:v>What are the main methods for evaluating retrieval-augmented generation systems, and which retrieval and generation dimensions do they measure?</x:v>
      </x:c>
      <x:c r="F19" s="22" t="n">
        <x:v>18</x:v>
      </x:c>
      <x:c r="G19" s="17" t="str">
        <x:v>arXiv:2405.17706</x:v>
      </x:c>
      <x:c r="H19" s="27" t="str">
        <x:v>Video Enriched Retrieval Augmented Generation Using Aligned Video Captions</x:v>
      </x:c>
      <x:c r="I19" s="17" t="str">
        <x:v>Kevin Dela Rosa</x:v>
      </x:c>
      <x:c r="J19" s="22" t="n">
        <x:v>2024</x:v>
      </x:c>
      <x:c r="K19" s="27" t="str">
        <x:v>In this work, we propose the use of "aligned visual captions" as a mechanism for integrating information contained within videos into retrieval augmented generation (RAG) based chat assistant systems. These captions are able to describe the visual and audio content of videos in a large corpus while having the advantage of being in a textual format that is both easy to reason about &amp; incorporate into large language model (LLM) prompts, but also typically require less multimedia content to be inserted into the multimodal LLM context window, where typical configurations can aggressively fill up the context window by sampling video frames from the source video. Furthermore, visual captions can be adapted to specific use cases by prompting the original foundational model / captioner for particular visual details or fine tuning. In hopes of helping advancing progress in this area, we curate a dataset and describe automatic evaluation procedures on common RAG tasks.</x:v>
      </x:c>
      <x:c r="L19" s="17" t="str">
        <x:v>http://arxiv.org/abs/2405.17706v1</x:v>
      </x:c>
      <x:c r="M19" s="23" t="n">
        <x:v>0.4714574218331788</x:v>
      </x:c>
      <x:c r="N19" s="17" t="str">
        <x:v>qwen3-rerank-no-instruct-20260727-125006-results.jsonl</x:v>
      </x:c>
      <x:c r="O19" s="24" t="str">
        <x:v>1</x:v>
      </x:c>
      <x:c r="P19" s="28" t="str">
        <x:v>视频RAG应用附带自动评估流程，但摘要未说明具体维度。</x:v>
      </x:c>
      <x:c r="Q19" s="25" t="str"/>
      <x:c r="R19" s="24" t="str">
        <x:f>IF(Q19&lt;&gt;"",Q19,O19)</x:f>
        <x:v>1</x:v>
      </x:c>
      <x:c r="S19" s="29" t="str"/>
    </x:row>
    <x:row r="20" ht="54" customHeight="1">
      <x:c r="A20" s="17" t="str">
        <x:v>csq001-r19</x:v>
      </x:c>
      <x:c r="B20" s="17" t="str">
        <x:v>csq001</x:v>
      </x:c>
      <x:c r="C20" s="17" t="str">
        <x:v>natural_language_processing</x:v>
      </x:c>
      <x:c r="D20" s="17" t="str">
        <x:v>rag_evaluation</x:v>
      </x:c>
      <x:c r="E20" s="27" t="str">
        <x:v>What are the main methods for evaluating retrieval-augmented generation systems, and which retrieval and generation dimensions do they measure?</x:v>
      </x:c>
      <x:c r="F20" s="22" t="n">
        <x:v>19</x:v>
      </x:c>
      <x:c r="G20" s="17" t="str">
        <x:v>arXiv:2510.22344</x:v>
      </x:c>
      <x:c r="H20" s="27" t="str">
        <x:v>FAIR-RAG: Faithful Adaptive Iterative Refinement for Retrieval-Augmented Generation</x:v>
      </x:c>
      <x:c r="I20" s="17" t="str">
        <x:v>Mohammad Aghajani Asl; Majid Asgari-Bidhendi; Behrooz Minaei-Bidgoli</x:v>
      </x:c>
      <x:c r="J20" s="22" t="n">
        <x:v>2025</x:v>
      </x:c>
      <x:c r="K20" s="27" t="str">
        <x:v>While Retrieval-Augmented Generation (RAG) mitigates hallucination and knowledge staleness in Large Language Models (LLMs), existing frameworks often falter on complex, multi-hop queries that require synthesizing information from disparate sources. Current advanced RAG methods, employing iterative or adaptive strategies, lack a robust mechanism to systematically identify and fill evidence gaps, often propagating noise or failing to gather a comprehensive context. We introduce FAIR-RAG, a novel agentic framework that transforms the standard RAG pipeline into a dynamic, evidence-driven reasoning process. At its core is an Iterative Refinement Cycle governed by a module we term Structured Evidence Assessment (SEA). The SEA acts as an analytical gating mechanism: it deconstructs the initial query into a checklist of required findings and audits the aggregated evidence to identify confirmed facts and, critically, explicit informational gaps. These gaps provide a precise signal to an Adaptive Query Refinement agent, which generates new, targeted sub-queries to retrieve missing information. This cycle repeats until the evidence is verified as sufficient, ensuring a comprehensive context for a final, strictly faithful generation. We conducted experiments on challenging multi-hop QA benchmarks, including HotpotQA, 2WikiMultiHopQA, and MusiQue. In a unified experimental setup, FAIR-RAG significantly outperforms strong baselines. On HotpotQA, it achieves an F1-score of 0.453 -- an absolute improvement of 8.3 points over the strongest iterative baseline -- establishing a new state-of-the-art for this class of methods on these benchmarks. Our work demonstrates that a structured, evidence-driven refinement process with explicit gap analysis is crucial for unlocking reliable and accurate reasoning in advanced RAG systems for complex, knowledge-intensive tasks.</x:v>
      </x:c>
      <x:c r="L20" s="17" t="str">
        <x:v>http://arxiv.org/abs/2510.22344v1</x:v>
      </x:c>
      <x:c r="M20" s="23" t="n">
        <x:v>0.4702788811542417</x:v>
      </x:c>
      <x:c r="N20" s="17" t="str">
        <x:v>qwen3-rerank-no-instruct-20260727-125006-results.jsonl</x:v>
      </x:c>
      <x:c r="O20" s="24" t="str">
        <x:v>1</x:v>
      </x:c>
      <x:c r="P20" s="28" t="str">
        <x:v>结构化证据评估用于迭代控制，并非外部RAG评价框架。</x:v>
      </x:c>
      <x:c r="Q20" s="25" t="str"/>
      <x:c r="R20" s="24" t="str">
        <x:f>IF(Q20&lt;&gt;"",Q20,O20)</x:f>
        <x:v>1</x:v>
      </x:c>
      <x:c r="S20" s="29" t="str"/>
    </x:row>
    <x:row r="21" ht="54" customHeight="1">
      <x:c r="A21" s="17" t="str">
        <x:v>csq001-r20</x:v>
      </x:c>
      <x:c r="B21" s="17" t="str">
        <x:v>csq001</x:v>
      </x:c>
      <x:c r="C21" s="17" t="str">
        <x:v>natural_language_processing</x:v>
      </x:c>
      <x:c r="D21" s="17" t="str">
        <x:v>rag_evaluation</x:v>
      </x:c>
      <x:c r="E21" s="27" t="str">
        <x:v>What are the main methods for evaluating retrieval-augmented generation systems, and which retrieval and generation dimensions do they measure?</x:v>
      </x:c>
      <x:c r="F21" s="22" t="n">
        <x:v>20</x:v>
      </x:c>
      <x:c r="G21" s="17" t="str">
        <x:v>arXiv:2412.05838</x:v>
      </x:c>
      <x:c r="H21" s="27" t="str">
        <x:v>A Collaborative Multi-Agent Approach to Retrieval-Augmented Generation Across Diverse Data</x:v>
      </x:c>
      <x:c r="I21" s="17" t="str">
        <x:v>Aniruddha Salve; Saba Attar; Mahesh Deshmukh; Sayali Shivpuje; Arnab Mitra Utsab</x:v>
      </x:c>
      <x:c r="J21" s="22" t="n">
        <x:v>2024</x:v>
      </x:c>
      <x:c r="K21" s="27" t="str">
        <x:v>Retrieval-Augmented Generation (RAG) enhances Large Language Models (LLMs) by incorporating external, domain-specific data into the generative process. While LLMs are highly capable, they often rely on static, pre-trained datasets, limiting their ability to integrate dynamic or private data. Traditional RAG systems typically use a single-agent architecture to handle query generation, data retrieval, and response synthesis. However, this approach becomes inefficient when dealing with diverse data sources, such as relational databases, document stores, and graph databases, often leading to performance bottlenecks and reduced accuracy. This paper proposes a multi-agent RAG system to address these limitations. Specialized agents, each optimized for a specific data source, handle query generation for relational, NoSQL, and document-based systems. These agents collaborate within a modular framework, with query execution delegated to an environment designed for compatibility across various database types. This distributed approach enhances query efficiency, reduces token overhead, and improves response accuracy by ensuring that each agent focuses on its specialized task. The proposed system is scalable and adaptable, making it ideal for generative AI workflows that require integration with diverse, dynamic, or private data sources. By leveraging specialized agents and a modular execution environment, the system provides an efficient and robust solution for handling complex, heterogeneous data environments in generative AI applications.</x:v>
      </x:c>
      <x:c r="L21" s="17" t="str">
        <x:v>http://arxiv.org/abs/2412.05838v1</x:v>
      </x:c>
      <x:c r="M21" s="23" t="n">
        <x:v>0.4615299596476247</x:v>
      </x:c>
      <x:c r="N21" s="17" t="str">
        <x:v>qwen3-rerank-no-instruct-20260727-125006-results.jsonl</x:v>
      </x:c>
      <x:c r="O21" s="24" t="str">
        <x:v>0</x:v>
      </x:c>
      <x:c r="P21" s="28" t="str">
        <x:v>核心是异构数据多代理RAG架构，没有评估方法贡献。</x:v>
      </x:c>
      <x:c r="Q21" s="25" t="str"/>
      <x:c r="R21" s="24" t="str">
        <x:f>IF(Q21&lt;&gt;"",Q21,O21)</x:f>
        <x:v>0</x:v>
      </x:c>
      <x:c r="S21" s="29" t="str"/>
    </x:row>
    <x:row r="22" ht="54" customHeight="1">
      <x:c r="A22" s="17" t="str">
        <x:v>csq002-r01</x:v>
      </x:c>
      <x:c r="B22" s="17" t="str">
        <x:v>csq002</x:v>
      </x:c>
      <x:c r="C22" s="17" t="str">
        <x:v>natural_language_processing</x:v>
      </x:c>
      <x:c r="D22" s="17" t="str">
        <x:v>llm_inference</x:v>
      </x:c>
      <x:c r="E22" s="27" t="str">
        <x:v>How do speculative decoding, model quantization, and KV-cache optimization differ as methods for accelerating large language model inference?</x:v>
      </x:c>
      <x:c r="F22" s="22" t="n">
        <x:v>1</x:v>
      </x:c>
      <x:c r="G22" s="17" t="str">
        <x:v>arXiv:2502.10424</x:v>
      </x:c>
      <x:c r="H22" s="27" t="str">
        <x:v>QuantSpec: Self-Speculative Decoding with Hierarchical Quantized KV Cache</x:v>
      </x:c>
      <x:c r="I22" s="17" t="str">
        <x:v>Rishabh Tiwari; Haocheng Xi; Aditya Tomar; Coleman Hooper; Sehoon Kim; Maxwell Horton; Mahyar Najibi; Michael W. Mahoney; Kurt Keutzer; Amir Gholami</x:v>
      </x:c>
      <x:c r="J22" s="22" t="n">
        <x:v>2025</x:v>
      </x:c>
      <x:c r="K22" s="27" t="str">
        <x:v>Large Language Models (LLMs) are increasingly being deployed on edge devices for long-context settings, creating a growing need for fast and efficient long-context inference. In these scenarios, the Key-Value (KV) cache is the primary bottleneck in terms of both GPU memory and latency, as the full KV cache must be loaded for each decoding step. While speculative decoding is a widely accepted technique to accelerate autoregressive decoding, existing methods often struggle to achieve significant speedups due to inefficient KV cache optimization strategies and result in low acceptance rates. To address these challenges, we propose a novel self-speculative decoding framework, QuantSpec, where the draft model shares the architecture of the target model but employs a hierarchical 4-bit quantized KV cache and 4-bit quantized weights for acceleration. QuantSpec maintains high acceptance rates ($&gt;$90%) and reliably provides consistent end-to-end speedups upto $\sim2.5\times$, outperforming other self-speculative decoding methods that use sparse KV cache for long-context LLM inference. QuantSpec also reduces the memory requirements by $\sim 1.3\times$ compared to these alternatives.</x:v>
      </x:c>
      <x:c r="L22" s="17" t="str">
        <x:v>http://arxiv.org/abs/2502.10424v1</x:v>
      </x:c>
      <x:c r="M22" s="23" t="n">
        <x:v>0.9764996705039852</x:v>
      </x:c>
      <x:c r="N22" s="17" t="str">
        <x:v>qwen3-rerank-no-instruct-20260727-125006-results.jsonl</x:v>
      </x:c>
      <x:c r="O22" s="24" t="str">
        <x:v>2</x:v>
      </x:c>
      <x:c r="P22" s="28" t="str">
        <x:v>结合分层量化KV缓存与自推测解码，直接比较内存和速度。</x:v>
      </x:c>
      <x:c r="Q22" s="25" t="str"/>
      <x:c r="R22" s="24" t="str">
        <x:f>IF(Q22&lt;&gt;"",Q22,O22)</x:f>
        <x:v>2</x:v>
      </x:c>
      <x:c r="S22" s="29" t="str"/>
    </x:row>
    <x:row r="23" ht="54" customHeight="1">
      <x:c r="A23" s="17" t="str">
        <x:v>csq002-r02</x:v>
      </x:c>
      <x:c r="B23" s="17" t="str">
        <x:v>csq002</x:v>
      </x:c>
      <x:c r="C23" s="17" t="str">
        <x:v>natural_language_processing</x:v>
      </x:c>
      <x:c r="D23" s="17" t="str">
        <x:v>llm_inference</x:v>
      </x:c>
      <x:c r="E23" s="27" t="str">
        <x:v>How do speculative decoding, model quantization, and KV-cache optimization differ as methods for accelerating large language model inference?</x:v>
      </x:c>
      <x:c r="F23" s="22" t="n">
        <x:v>2</x:v>
      </x:c>
      <x:c r="G23" s="17" t="str">
        <x:v>arXiv:2410.11305</x:v>
      </x:c>
      <x:c r="H23" s="27" t="str">
        <x:v>QSpec: Speculative Decoding with Complementary Quantization Schemes</x:v>
      </x:c>
      <x:c r="I23" s="17" t="str">
        <x:v>Juntao Zhao; Wenhao Lu; Sheng Wang; Lingpeng Kong; Chuan Wu</x:v>
      </x:c>
      <x:c r="J23" s="22" t="n">
        <x:v>2024</x:v>
      </x:c>
      <x:c r="K23" s="27" t="str">
        <x:v>Quantization is widely adopted to accelerate inference and reduce memory consumption in large language models (LLMs). While activation-weight joint quantization enables efficient low-precision decoding, it suffers from substantial performance degradation on multi-step reasoning tasks. We propose QSpec, a novel quantization paradigm that decouples efficiency from quality by integrating two complementary schemes via speculative decoding: low-precision joint quantization for fast drafting and high-precision weight-only quantization for accurate verification. QSpec reuses both weights and KV cache across stages, enabling near-zero-cost switching without retraining or auxiliary models. Compared to high-precision baselines, QSpec achieves up to 1.64x speedup without quality degradation, and outperforms state-of-the-art speculative decoding methods by up to 1.55x in batched settings. Furthermore, QSpec supports plug-and-play deployment and generalizes well across model scales, quantization methods, and workloads. These properties make QSpec a practical and scalable solution for high-fidelity quantized LLM serving under memory-constrained scenarios. Our code is available at https://github.com/hku-netexplo-lab/QSpec.</x:v>
      </x:c>
      <x:c r="L23" s="17" t="str">
        <x:v>http://arxiv.org/abs/2410.11305v3</x:v>
      </x:c>
      <x:c r="M23" s="23" t="n">
        <x:v>0.9203883595653932</x:v>
      </x:c>
      <x:c r="N23" s="17" t="str">
        <x:v>qwen3-rerank-no-instruct-20260727-125006-results.jsonl</x:v>
      </x:c>
      <x:c r="O23" s="24" t="str">
        <x:v>2</x:v>
      </x:c>
      <x:c r="P23" s="28" t="str">
        <x:v>用低精度草稿与高精度验证融合量化和推测解码。</x:v>
      </x:c>
      <x:c r="Q23" s="25" t="str"/>
      <x:c r="R23" s="24" t="str">
        <x:f>IF(Q23&lt;&gt;"",Q23,O23)</x:f>
        <x:v>2</x:v>
      </x:c>
      <x:c r="S23" s="29" t="str"/>
    </x:row>
    <x:row r="24" ht="54" customHeight="1">
      <x:c r="A24" s="17" t="str">
        <x:v>csq002-r03</x:v>
      </x:c>
      <x:c r="B24" s="17" t="str">
        <x:v>csq002</x:v>
      </x:c>
      <x:c r="C24" s="17" t="str">
        <x:v>natural_language_processing</x:v>
      </x:c>
      <x:c r="D24" s="17" t="str">
        <x:v>llm_inference</x:v>
      </x:c>
      <x:c r="E24" s="27" t="str">
        <x:v>How do speculative decoding, model quantization, and KV-cache optimization differ as methods for accelerating large language model inference?</x:v>
      </x:c>
      <x:c r="F24" s="22" t="n">
        <x:v>3</x:v>
      </x:c>
      <x:c r="G24" s="17" t="str">
        <x:v>arXiv:2309.08168</x:v>
      </x:c>
      <x:c r="H24" s="27" t="str">
        <x:v>Draft &amp; Verify: Lossless Large Language Model Acceleration via Self-Speculative Decoding</x:v>
      </x:c>
      <x:c r="I24" s="17" t="str">
        <x:v>Jun Zhang; Jue Wang; Huan Li; Lidan Shou; Ke Chen; Gang Chen; Sharad Mehrotra</x:v>
      </x:c>
      <x:c r="J24" s="22" t="n">
        <x:v>2023</x:v>
      </x:c>
      <x:c r="K24" s="27" t="str">
        <x:v>We present a novel inference scheme, self-speculative decoding, for accelerating Large Language Models (LLMs) without the need for an auxiliary model. This approach is characterized by a two-stage process: drafting and verification. The drafting stage generates draft tokens at a slightly lower quality but more quickly, which is achieved by selectively skipping certain intermediate layers during drafting. Subsequently, the verification stage employs the original LLM to validate those draft output tokens in one forward pass. This process ensures the final output remains identical to that produced by the unaltered LLM. Moreover, the proposed method requires no additional neural network training and no extra memory footprint, making it a plug-and-play and cost-effective solution for inference acceleration. Benchmarks with LLaMA-2 and its variants demonstrated a speedup up to 1.99$\times$.</x:v>
      </x:c>
      <x:c r="L24" s="17" t="str">
        <x:v>http://arxiv.org/abs/2309.08168v2</x:v>
      </x:c>
      <x:c r="M24" s="23" t="n">
        <x:v>0.9063493724792095</x:v>
      </x:c>
      <x:c r="N24" s="17" t="str">
        <x:v>qwen3-rerank-no-instruct-20260727-125006-results.jsonl</x:v>
      </x:c>
      <x:c r="O24" s="24" t="str">
        <x:v>2</x:v>
      </x:c>
      <x:c r="P24" s="28" t="str">
        <x:v>自推测解码是问题所列核心无损加速路线。</x:v>
      </x:c>
      <x:c r="Q24" s="25" t="str"/>
      <x:c r="R24" s="24" t="str">
        <x:f>IF(Q24&lt;&gt;"",Q24,O24)</x:f>
        <x:v>2</x:v>
      </x:c>
      <x:c r="S24" s="29" t="str"/>
    </x:row>
    <x:row r="25" ht="54" customHeight="1">
      <x:c r="A25" s="17" t="str">
        <x:v>csq002-r04</x:v>
      </x:c>
      <x:c r="B25" s="17" t="str">
        <x:v>csq002</x:v>
      </x:c>
      <x:c r="C25" s="17" t="str">
        <x:v>natural_language_processing</x:v>
      </x:c>
      <x:c r="D25" s="17" t="str">
        <x:v>llm_inference</x:v>
      </x:c>
      <x:c r="E25" s="27" t="str">
        <x:v>How do speculative decoding, model quantization, and KV-cache optimization differ as methods for accelerating large language model inference?</x:v>
      </x:c>
      <x:c r="F25" s="22" t="n">
        <x:v>4</x:v>
      </x:c>
      <x:c r="G25" s="17" t="str">
        <x:v>arXiv:2509.18344</x:v>
      </x:c>
      <x:c r="H25" s="27" t="str">
        <x:v>Speculate Deep and Accurate: Lossless and Training-Free Acceleration for Offloaded LLMs via Substitute Speculative Decoding</x:v>
      </x:c>
      <x:c r="I25" s="17" t="str">
        <x:v>Pei-Shuo Wang; Jian-Jia Chen; Chun-Che Yang; Chi-Chih Chang; Ning-Chi Huang; Mohamed S. Abdelfattah; Kai-Chiang Wu</x:v>
      </x:c>
      <x:c r="J25" s="22" t="n">
        <x:v>2025</x:v>
      </x:c>
      <x:c r="K25" s="27" t="str">
        <x:v>The immense model sizes of large language models (LLMs) challenge deployment on memory-limited consumer GPUs. Although model compression and parameter offloading are common strategies to address memory limitations, compression can degrade quality, and offloading maintains quality but suffers from slow inference. Speculative decoding presents a promising avenue to accelerate parameter offloading, utilizing a fast draft model to propose multiple draft tokens, which are then verified by the target LLM in parallel with a single forward pass. This method reduces the time-consuming data transfers in forward passes that involve offloaded weight transfers. Existing methods often rely on pretrained weights of the same family, but require additional training to align with custom-trained models. Moreover, approaches that involve draft model training usually yield only modest speedups. This limitation arises from insufficient alignment with the target model, preventing higher token acceptance lengths. To address these challenges and achieve greater speedups, we propose SubSpec, a plug-and-play method to accelerate parameter offloading that is lossless and training-free. SubSpec constructs a highly aligned draft model by generating low-bit quantized substitute layers from offloaded target LLM portions. Additionally, our method shares the remaining GPU-resident layers and the KV-Cache, further reducing memory overhead and enhance alignment. SubSpec achieves a high average acceptance length, delivering 9.1x speedup for Qwen2.5 7B on MT-Bench (8GB VRAM limit) and an average of 12.5x speedup for Qwen2.5 32B on popular generation benchmarks (24GB VRAM limit).</x:v>
      </x:c>
      <x:c r="L25" s="17" t="str">
        <x:v>http://arxiv.org/abs/2509.18344v2</x:v>
      </x:c>
      <x:c r="M25" s="23" t="n">
        <x:v>0.8839076333299336</x:v>
      </x:c>
      <x:c r="N25" s="17" t="str">
        <x:v>qwen3-rerank-no-instruct-20260727-125006-results.jsonl</x:v>
      </x:c>
      <x:c r="O25" s="24" t="str">
        <x:v>2</x:v>
      </x:c>
      <x:c r="P25" s="28" t="str">
        <x:v>以量化替代层构造草稿模型加速卸载LLM推理。</x:v>
      </x:c>
      <x:c r="Q25" s="25" t="str"/>
      <x:c r="R25" s="24" t="str">
        <x:f>IF(Q25&lt;&gt;"",Q25,O25)</x:f>
        <x:v>2</x:v>
      </x:c>
      <x:c r="S25" s="29" t="str"/>
    </x:row>
    <x:row r="26" ht="54" customHeight="1">
      <x:c r="A26" s="17" t="str">
        <x:v>csq002-r05</x:v>
      </x:c>
      <x:c r="B26" s="17" t="str">
        <x:v>csq002</x:v>
      </x:c>
      <x:c r="C26" s="17" t="str">
        <x:v>natural_language_processing</x:v>
      </x:c>
      <x:c r="D26" s="17" t="str">
        <x:v>llm_inference</x:v>
      </x:c>
      <x:c r="E26" s="27" t="str">
        <x:v>How do speculative decoding, model quantization, and KV-cache optimization differ as methods for accelerating large language model inference?</x:v>
      </x:c>
      <x:c r="F26" s="22" t="n">
        <x:v>5</x:v>
      </x:c>
      <x:c r="G26" s="17" t="str">
        <x:v>arXiv:2505.08600</x:v>
      </x:c>
      <x:c r="H26" s="27" t="str">
        <x:v>Automatic Task Detection and Heterogeneous LLM Speculative Decoding</x:v>
      </x:c>
      <x:c r="I26" s="17" t="str">
        <x:v>Danying Ge; Jianhua Gao; Qizhi Jiang; Yifei Feng; Weixing Ji</x:v>
      </x:c>
      <x:c r="J26" s="22" t="n">
        <x:v>2025</x:v>
      </x:c>
      <x:c r="K26" s="27" t="str">
        <x:v>Speculative decoding, which combines a draft model with a target model, has emerged as an effective approach to accelerate large language model (LLM) inference. However, existing methods often face a trade-off between the acceptance rate and decoding speed in downstream tasks due to the limited capacity of the draft model, making it difficult to ensure efficiency across diverse tasks. To address this problem, we propose a speculative decoding algorithm tailored for downstream task optimization. It includes an automatic task partitioning and assigning method, which automatically categorizes downstream tasks into different sub-tasks and assigns them to a set of heterogeneous draft models. Each draft model is aligned with the target model using task-specific data, thereby enhancing the consistency of inference results. In addition, our proposed method incorporates an online lightweight prompt classifier to dynamically route prompts to the appropriate draft model. Experimental results demonstrate that the proposed method improves draft accuracy by 6% to 50% over vanilla speculative decoding, while achieving a speedup of 1.10x to 2.64x in LLM inference.</x:v>
      </x:c>
      <x:c r="L26" s="17" t="str">
        <x:v>http://arxiv.org/abs/2505.08600v1</x:v>
      </x:c>
      <x:c r="M26" s="23" t="n">
        <x:v>0.8528426913773284</x:v>
      </x:c>
      <x:c r="N26" s="17" t="str">
        <x:v>qwen3-rerank-no-instruct-20260727-125006-results.jsonl</x:v>
      </x:c>
      <x:c r="O26" s="24" t="str">
        <x:v>2</x:v>
      </x:c>
      <x:c r="P26" s="28" t="str">
        <x:v>研究异构LLM草稿选择和任务检测的推测解码。</x:v>
      </x:c>
      <x:c r="Q26" s="25" t="str"/>
      <x:c r="R26" s="24" t="str">
        <x:f>IF(Q26&lt;&gt;"",Q26,O26)</x:f>
        <x:v>2</x:v>
      </x:c>
      <x:c r="S26" s="29" t="str"/>
    </x:row>
    <x:row r="27" ht="54" customHeight="1">
      <x:c r="A27" s="17" t="str">
        <x:v>csq002-r06</x:v>
      </x:c>
      <x:c r="B27" s="17" t="str">
        <x:v>csq002</x:v>
      </x:c>
      <x:c r="C27" s="17" t="str">
        <x:v>natural_language_processing</x:v>
      </x:c>
      <x:c r="D27" s="17" t="str">
        <x:v>llm_inference</x:v>
      </x:c>
      <x:c r="E27" s="27" t="str">
        <x:v>How do speculative decoding, model quantization, and KV-cache optimization differ as methods for accelerating large language model inference?</x:v>
      </x:c>
      <x:c r="F27" s="22" t="n">
        <x:v>6</x:v>
      </x:c>
      <x:c r="G27" s="17" t="str">
        <x:v>arXiv:2308.04623</x:v>
      </x:c>
      <x:c r="H27" s="27" t="str">
        <x:v>Accelerating LLM Inference with Staged Speculative Decoding</x:v>
      </x:c>
      <x:c r="I27" s="17" t="str">
        <x:v>Benjamin Spector; Chris Re</x:v>
      </x:c>
      <x:c r="J27" s="22" t="n">
        <x:v>2023</x:v>
      </x:c>
      <x:c r="K27" s="27" t="str">
        <x:v>Recent advances with large language models (LLM) illustrate their diverse capabilities. We propose a novel algorithm, staged speculative decoding, to accelerate LLM inference in small-batch, on-device scenarios. We address the low arithmetic intensity of small-batch inference by improving upon previous work in speculative decoding. First, we restructure the speculative batch as a tree, which reduces generation costs and increases the expected tokens per batch. Second, we add a second stage of speculative decoding. Taken together, we reduce single-batch decoding latency by 3.16x with a 762M parameter GPT-2-L model while perfectly preserving output quality.</x:v>
      </x:c>
      <x:c r="L27" s="17" t="str">
        <x:v>http://arxiv.org/abs/2308.04623v1</x:v>
      </x:c>
      <x:c r="M27" s="23" t="n">
        <x:v>0.8268096054874684</x:v>
      </x:c>
      <x:c r="N27" s="17" t="str">
        <x:v>qwen3-rerank-no-instruct-20260727-125006-results.jsonl</x:v>
      </x:c>
      <x:c r="O27" s="24" t="str">
        <x:v>2</x:v>
      </x:c>
      <x:c r="P27" s="28" t="str">
        <x:v>分阶段推测解码直接属于LLM推理加速方法。</x:v>
      </x:c>
      <x:c r="Q27" s="25" t="str"/>
      <x:c r="R27" s="24" t="str">
        <x:f>IF(Q27&lt;&gt;"",Q27,O27)</x:f>
        <x:v>2</x:v>
      </x:c>
      <x:c r="S27" s="29" t="str"/>
    </x:row>
    <x:row r="28" ht="54" customHeight="1">
      <x:c r="A28" s="17" t="str">
        <x:v>csq002-r07</x:v>
      </x:c>
      <x:c r="B28" s="17" t="str">
        <x:v>csq002</x:v>
      </x:c>
      <x:c r="C28" s="17" t="str">
        <x:v>natural_language_processing</x:v>
      </x:c>
      <x:c r="D28" s="17" t="str">
        <x:v>llm_inference</x:v>
      </x:c>
      <x:c r="E28" s="27" t="str">
        <x:v>How do speculative decoding, model quantization, and KV-cache optimization differ as methods for accelerating large language model inference?</x:v>
      </x:c>
      <x:c r="F28" s="22" t="n">
        <x:v>7</x:v>
      </x:c>
      <x:c r="G28" s="17" t="str">
        <x:v>arXiv:2510.18672</x:v>
      </x:c>
      <x:c r="H28" s="27" t="str">
        <x:v>Reasoning Language Model Inference Serving Unveiled: An Empirical Study</x:v>
      </x:c>
      <x:c r="I28" s="17" t="str">
        <x:v>Qi Li; Junpan Wu; Xiang Liu; Yuxin Wang; Zeyu Li; Zhenheng Tang; Yuhan Chen; Shaohuai Shi; Xiaowen Chu</x:v>
      </x:c>
      <x:c r="J28" s="22" t="n">
        <x:v>2025</x:v>
      </x:c>
      <x:c r="K28" s="27" t="str">
        <x:v>The reasoning large language model (RLLM) has been proven competitive in solving complex reasoning tasks such as mathematics, coding, compared to general LLM. However, the serving performance and behavior of RLLM remains unexplored, which may undermine the deployment and utilization of RLLM in real-world scenario. To close this gap, in this paper, we conduct a comprehensive study of RLLM service. We first perform a pilot study on comparing the serving performance between RLLM and traditional LLM and reveal that there are several distinct differences regarding serving behavior: (1) significant memory usage and fluctuations; (2) straggler requests; (3) adaptive running time; (4) domain preference. Then we further investigate whether existing inference optimization techniques are valid for RLLM. Our main takeaways are that model quantization methods and speculative decoding can improve service system efficiency with small compromise to RLLM accuracy, while prefix caching, KV cache quantization may even degrade accuracy or serving performance for small RLLM. Lastly, we conduct evaluation under real world workload modeled by Gamma distribution to verify our findings. Empirical results of real world workload evaluation across different dataset are aligned with our main findings regarding RLLM serving. We hope our work can provide the research community and industry with insights to advance RLLM inference serving.</x:v>
      </x:c>
      <x:c r="L28" s="17" t="str">
        <x:v>http://arxiv.org/abs/2510.18672v1</x:v>
      </x:c>
      <x:c r="M28" s="23" t="n">
        <x:v>0.8197946746041759</x:v>
      </x:c>
      <x:c r="N28" s="17" t="str">
        <x:v>qwen3-rerank-no-instruct-20260727-125006-results.jsonl</x:v>
      </x:c>
      <x:c r="O28" s="24" t="str">
        <x:v>1</x:v>
      </x:c>
      <x:c r="P28" s="28" t="str">
        <x:v>提供推理服务瓶颈实证背景，但不专门比较三类加速机制。</x:v>
      </x:c>
      <x:c r="Q28" s="25" t="str"/>
      <x:c r="R28" s="24" t="str">
        <x:f>IF(Q28&lt;&gt;"",Q28,O28)</x:f>
        <x:v>1</x:v>
      </x:c>
      <x:c r="S28" s="29" t="str"/>
    </x:row>
    <x:row r="29" ht="54" customHeight="1">
      <x:c r="A29" s="17" t="str">
        <x:v>csq002-r08</x:v>
      </x:c>
      <x:c r="B29" s="17" t="str">
        <x:v>csq002</x:v>
      </x:c>
      <x:c r="C29" s="17" t="str">
        <x:v>natural_language_processing</x:v>
      </x:c>
      <x:c r="D29" s="17" t="str">
        <x:v>llm_inference</x:v>
      </x:c>
      <x:c r="E29" s="27" t="str">
        <x:v>How do speculative decoding, model quantization, and KV-cache optimization differ as methods for accelerating large language model inference?</x:v>
      </x:c>
      <x:c r="F29" s="22" t="n">
        <x:v>8</x:v>
      </x:c>
      <x:c r="G29" s="17" t="str">
        <x:v>arXiv:2402.01528</x:v>
      </x:c>
      <x:c r="H29" s="27" t="str">
        <x:v>Decoding Speculative Decoding</x:v>
      </x:c>
      <x:c r="I29" s="17" t="str">
        <x:v>Minghao Yan; Saurabh Agarwal; Shivaram Venkataraman</x:v>
      </x:c>
      <x:c r="J29" s="22" t="n">
        <x:v>2024</x:v>
      </x:c>
      <x:c r="K29" s="27" t="str">
        <x:v>Speculative Decoding is a widely used technique to speed up inference for Large Language Models (LLMs) without sacrificing quality. When performing inference, speculative decoding uses a smaller draft model to generate speculative tokens and then uses the target LLM to verify those draft tokens. The speedup provided by speculative decoding heavily depends on the choice of the draft model. In this work, we perform a detailed study comprising over 350 experiments with LLaMA-65B and OPT-66B using speculative decoding and delineate the factors that affect the performance gain provided by speculative decoding. Our experiments indicate that the performance of speculative decoding depends heavily on the latency of the draft model, and the draft model's capability in language modeling does not correlate strongly with its performance in speculative decoding. Based on these insights we explore a new design space for draft models and design hardware-efficient draft models for speculative decoding. Our newly designed draft model can provide 111% higher throughput than existing draft models and our approach generalizes further to all LLaMA models (1/2/3.1) and supervised fine-tuned models.</x:v>
      </x:c>
      <x:c r="L29" s="17" t="str">
        <x:v>http://arxiv.org/abs/2402.01528v4</x:v>
      </x:c>
      <x:c r="M29" s="23" t="n">
        <x:v>0.8166344365178476</x:v>
      </x:c>
      <x:c r="N29" s="17" t="str">
        <x:v>qwen3-rerank-no-instruct-20260727-125006-results.jsonl</x:v>
      </x:c>
      <x:c r="O29" s="24" t="str">
        <x:v>2</x:v>
      </x:c>
      <x:c r="P29" s="28" t="str">
        <x:v>解析推测解码机制、性能来源和限制。</x:v>
      </x:c>
      <x:c r="Q29" s="25" t="str"/>
      <x:c r="R29" s="24" t="str">
        <x:f>IF(Q29&lt;&gt;"",Q29,O29)</x:f>
        <x:v>2</x:v>
      </x:c>
      <x:c r="S29" s="29" t="str"/>
    </x:row>
    <x:row r="30" ht="54" customHeight="1">
      <x:c r="A30" s="17" t="str">
        <x:v>csq002-r09</x:v>
      </x:c>
      <x:c r="B30" s="17" t="str">
        <x:v>csq002</x:v>
      </x:c>
      <x:c r="C30" s="17" t="str">
        <x:v>natural_language_processing</x:v>
      </x:c>
      <x:c r="D30" s="17" t="str">
        <x:v>llm_inference</x:v>
      </x:c>
      <x:c r="E30" s="27" t="str">
        <x:v>How do speculative decoding, model quantization, and KV-cache optimization differ as methods for accelerating large language model inference?</x:v>
      </x:c>
      <x:c r="F30" s="22" t="n">
        <x:v>9</x:v>
      </x:c>
      <x:c r="G30" s="17" t="str">
        <x:v>arXiv:2506.22396</x:v>
      </x:c>
      <x:c r="H30" s="27" t="str">
        <x:v>QuickSilver -- Speeding up LLM Inference through Dynamic Token Halting, KV Skipping, Contextual Token Fusion, and Adaptive Matryoshka Quantization</x:v>
      </x:c>
      <x:c r="I30" s="17" t="str">
        <x:v>Danush Khanna; Aditya Kumar Guru; Srivarshinee Sridhar; Zidan Ahmed; Rubhav Bahirwani; Meetu Malhotra; Vinija Jain; Aman Chadha; Amitava Das; Kripabandhu Ghosh</x:v>
      </x:c>
      <x:c r="J30" s="22" t="n">
        <x:v>2025</x:v>
      </x:c>
      <x:c r="K30" s="27" t="str">
        <x:v>Inference accounts for the majority of latency and energy consumption in large language model (LLM) deployments, often exceeding 90% of total cost. While training-time efficiency has seen extensive progress, runtime optimization remains a key bottleneck, particularly under autoregressive decoding. Existing approaches -- such as pruning, quantization, early exits, and speculative decoding -- often require retraining, architectural changes, or disrupt decoding compatibility. We introduce QuickSilver, a modular, token-level framework that enables semantic adaptivity at inference time without altering model weights or structure. QuickSilver integrates four synergistic mechanisms: (i) Dynamic Token Halting, which halts computation for tokens with converged representations; (ii) KV Cache Skipping, which selectively suppresses memory writes to reduce attention overhead; and (iii) Contextual Token Fusion, which collapses redundant tokens into shared paths to shrink sequence length. Unlike speculative decoding or MoE routing, QuickSilver operates entirely on frozen, dense models and requires no auxiliary networks. Applied to GPT-2 and Llama-2 across WikiText-103 and C4, QuickSilver achieves up to 39.6% FLOP reduction with negligible perplexity degradation (&lt;=0.2).</x:v>
      </x:c>
      <x:c r="L30" s="17" t="str">
        <x:v>http://arxiv.org/abs/2506.22396v1</x:v>
      </x:c>
      <x:c r="M30" s="23" t="n">
        <x:v>0.802047804286274</x:v>
      </x:c>
      <x:c r="N30" s="17" t="str">
        <x:v>qwen3-rerank-no-instruct-20260727-125006-results.jsonl</x:v>
      </x:c>
      <x:c r="O30" s="24" t="str">
        <x:v>2</x:v>
      </x:c>
      <x:c r="P30" s="28" t="str">
        <x:v>联合KV跳过、token融合和自适应量化等推理加速策略。</x:v>
      </x:c>
      <x:c r="Q30" s="25" t="str"/>
      <x:c r="R30" s="24" t="str">
        <x:f>IF(Q30&lt;&gt;"",Q30,O30)</x:f>
        <x:v>2</x:v>
      </x:c>
      <x:c r="S30" s="29" t="str"/>
    </x:row>
    <x:row r="31" ht="54" customHeight="1">
      <x:c r="A31" s="17" t="str">
        <x:v>csq002-r10</x:v>
      </x:c>
      <x:c r="B31" s="17" t="str">
        <x:v>csq002</x:v>
      </x:c>
      <x:c r="C31" s="17" t="str">
        <x:v>natural_language_processing</x:v>
      </x:c>
      <x:c r="D31" s="17" t="str">
        <x:v>llm_inference</x:v>
      </x:c>
      <x:c r="E31" s="27" t="str">
        <x:v>How do speculative decoding, model quantization, and KV-cache optimization differ as methods for accelerating large language model inference?</x:v>
      </x:c>
      <x:c r="F31" s="22" t="n">
        <x:v>10</x:v>
      </x:c>
      <x:c r="G31" s="17" t="str">
        <x:v>arXiv:2512.13194</x:v>
      </x:c>
      <x:c r="H31" s="27" t="str">
        <x:v>Efficient Adaptive Rejection Sampling for Accelerating Speculative Decoding in Large Language Models</x:v>
      </x:c>
      <x:c r="I31" s="17" t="str">
        <x:v>Chendong Sun; Ali Mao; Lei Xu; mingmin Chen</x:v>
      </x:c>
      <x:c r="J31" s="22" t="n">
        <x:v>2025</x:v>
      </x:c>
      <x:c r="K31" s="27" t="str">
        <x:v>Speculative Decoding is a prominent technique for accelerating the autoregressive inference of large language models (LLMs) by employing a fast draft model to propose candidate token sequences and a large target model to verify them in parallel. However, its core component -- the rejection sampling mechanism -- relies on a fixed, context-independent random threshold. This leads to a significant "random rejection" problem in high-uncertainty generation scenarios, where plausible candidate tokens are frequently rejected due to random chance, undermining inference efficiency. This paper introduces Efficient Adaptive Rejection Sampling (EARS), a novel method that dynamically adjusts the acceptance threshold by incorporating the target model's own predictive uncertainty, measured as 1 - max(P_target). By introducing a tolerance term proportional to this uncertainty, EARS intelligently relaxes the acceptance criterion when the model is uncertain, effectively reducing random rejections while maintaining strict standards when the model is confident. Experiments on creative writing and open-domain QA tasks demonstrate that EARS significantly enhances the efficiency of speculative decoding, achieving up to an 18.12% increase in throughput with a negligible 0.84% accuracy drop on the GSM8K benchmark. The method requires no modifications to model architectures and can be seamlessly integrated into existing speculative decoding frameworks.</x:v>
      </x:c>
      <x:c r="L31" s="17" t="str">
        <x:v>http://arxiv.org/abs/2512.13194v3</x:v>
      </x:c>
      <x:c r="M31" s="23" t="n">
        <x:v>0.7994878542753492</x:v>
      </x:c>
      <x:c r="N31" s="17" t="str">
        <x:v>qwen3-rerank-no-instruct-20260727-125006-results.jsonl</x:v>
      </x:c>
      <x:c r="O31" s="24" t="str">
        <x:v>2</x:v>
      </x:c>
      <x:c r="P31" s="28" t="str">
        <x:v>改进推测解码的拒绝采样效率和接受过程。</x:v>
      </x:c>
      <x:c r="Q31" s="25" t="str"/>
      <x:c r="R31" s="24" t="str">
        <x:f>IF(Q31&lt;&gt;"",Q31,O31)</x:f>
        <x:v>2</x:v>
      </x:c>
      <x:c r="S31" s="29" t="str"/>
    </x:row>
    <x:row r="32" ht="54" customHeight="1">
      <x:c r="A32" s="17" t="str">
        <x:v>csq002-r11</x:v>
      </x:c>
      <x:c r="B32" s="17" t="str">
        <x:v>csq002</x:v>
      </x:c>
      <x:c r="C32" s="17" t="str">
        <x:v>natural_language_processing</x:v>
      </x:c>
      <x:c r="D32" s="17" t="str">
        <x:v>llm_inference</x:v>
      </x:c>
      <x:c r="E32" s="27" t="str">
        <x:v>How do speculative decoding, model quantization, and KV-cache optimization differ as methods for accelerating large language model inference?</x:v>
      </x:c>
      <x:c r="F32" s="22" t="n">
        <x:v>11</x:v>
      </x:c>
      <x:c r="G32" s="17" t="str">
        <x:v>arXiv:2310.07177</x:v>
      </x:c>
      <x:c r="H32" s="27" t="str">
        <x:v>Online Speculative Decoding</x:v>
      </x:c>
      <x:c r="I32" s="17" t="str">
        <x:v>Xiaoxuan Liu; Lanxiang Hu; Peter Bailis; Alvin Cheung; Zhijie Deng; Ion Stoica; Hao Zhang</x:v>
      </x:c>
      <x:c r="J32" s="22" t="n">
        <x:v>2023</x:v>
      </x:c>
      <x:c r="K32" s="27" t="str">
        <x:v>Speculative decoding is a pivotal technique to accelerate the inference of large language models (LLMs) by employing a smaller draft model to predict the target model's outputs. However, its efficacy can be limited due to the low predictive accuracy of the draft model, particularly when faced with diverse text inputs and a significant capability gap between the draft and target models. We introduce online speculative decoding to address this challenge. The main idea is to continuously update the (multiple) draft model(s) on observed user query data. Adapting to query distribution mitigates the shifts between the training distribution of the draft model and the query distribution, enabling the draft model to more accurately predict the target model's outputs. We develop a prototype of online speculative decoding based on knowledge distillation and evaluate it using both synthetic and real query data. The results show a substantial increase in the token acceptance rate by 0.1 to 0.65, bringing 1.42x to 2.17x latency reduction. Our code is available at https://github.com/LiuXiaoxuanPKU/OSD.</x:v>
      </x:c>
      <x:c r="L32" s="17" t="str">
        <x:v>http://arxiv.org/abs/2310.07177v4</x:v>
      </x:c>
      <x:c r="M32" s="23" t="n">
        <x:v>0.7659432995517476</x:v>
      </x:c>
      <x:c r="N32" s="17" t="str">
        <x:v>qwen3-rerank-no-instruct-20260727-125006-results.jsonl</x:v>
      </x:c>
      <x:c r="O32" s="24" t="str">
        <x:v>2</x:v>
      </x:c>
      <x:c r="P32" s="28" t="str">
        <x:v>在线适配草稿模型以提高推测解码效率。</x:v>
      </x:c>
      <x:c r="Q32" s="25" t="str"/>
      <x:c r="R32" s="24" t="str">
        <x:f>IF(Q32&lt;&gt;"",Q32,O32)</x:f>
        <x:v>2</x:v>
      </x:c>
      <x:c r="S32" s="29" t="str"/>
    </x:row>
    <x:row r="33" ht="54" customHeight="1">
      <x:c r="A33" s="17" t="str">
        <x:v>csq002-r12</x:v>
      </x:c>
      <x:c r="B33" s="17" t="str">
        <x:v>csq002</x:v>
      </x:c>
      <x:c r="C33" s="17" t="str">
        <x:v>natural_language_processing</x:v>
      </x:c>
      <x:c r="D33" s="17" t="str">
        <x:v>llm_inference</x:v>
      </x:c>
      <x:c r="E33" s="27" t="str">
        <x:v>How do speculative decoding, model quantization, and KV-cache optimization differ as methods for accelerating large language model inference?</x:v>
      </x:c>
      <x:c r="F33" s="22" t="n">
        <x:v>12</x:v>
      </x:c>
      <x:c r="G33" s="17" t="str">
        <x:v>arXiv:2401.07851</x:v>
      </x:c>
      <x:c r="H33" s="27" t="str">
        <x:v>Unlocking Efficiency in Large Language Model Inference: A Comprehensive Survey of Speculative Decoding</x:v>
      </x:c>
      <x:c r="I33" s="17" t="str">
        <x:v>Heming Xia; Zhe Yang; Qingxiu Dong; Peiyi Wang; Yongqi Li; Tao Ge; Tianyu Liu; Wenjie Li; Zhifang Sui</x:v>
      </x:c>
      <x:c r="J33" s="22" t="n">
        <x:v>2024</x:v>
      </x:c>
      <x:c r="K33" s="27" t="str">
        <x:v>To mitigate the high inference latency stemming from autoregressive decoding in Large Language Models (LLMs), Speculative Decoding has emerged as a novel decoding paradigm for LLM inference. In each decoding step, this method first drafts several future tokens efficiently and then verifies them in parallel. Unlike autoregressive decoding, Speculative Decoding facilitates the simultaneous decoding of multiple tokens per step, thereby accelerating inference. This paper presents a comprehensive overview and analysis of this promising decoding paradigm. We begin by providing a formal definition and formulation of Speculative Decoding. Then, we organize in-depth discussions on its key facets, such as drafter selection and verification strategies. Furthermore, we present a comparative analysis of leading methods under third-party testing environments. We aim for this work to serve as a catalyst for further research on Speculative Decoding, ultimately contributing to more efficient LLM inference.</x:v>
      </x:c>
      <x:c r="L33" s="17" t="str">
        <x:v>http://arxiv.org/abs/2401.07851v3</x:v>
      </x:c>
      <x:c r="M33" s="23" t="n">
        <x:v>0.7594531105455121</x:v>
      </x:c>
      <x:c r="N33" s="17" t="str">
        <x:v>qwen3-rerank-no-instruct-20260727-125006-results.jsonl</x:v>
      </x:c>
      <x:c r="O33" s="24" t="str">
        <x:v>2</x:v>
      </x:c>
      <x:c r="P33" s="28" t="str">
        <x:v>系统综述推测解码加速方法及效率权衡。</x:v>
      </x:c>
      <x:c r="Q33" s="25" t="str"/>
      <x:c r="R33" s="24" t="str">
        <x:f>IF(Q33&lt;&gt;"",Q33,O33)</x:f>
        <x:v>2</x:v>
      </x:c>
      <x:c r="S33" s="29" t="str"/>
    </x:row>
    <x:row r="34" ht="54" customHeight="1">
      <x:c r="A34" s="17" t="str">
        <x:v>csq002-r13</x:v>
      </x:c>
      <x:c r="B34" s="17" t="str">
        <x:v>csq002</x:v>
      </x:c>
      <x:c r="C34" s="17" t="str">
        <x:v>natural_language_processing</x:v>
      </x:c>
      <x:c r="D34" s="17" t="str">
        <x:v>llm_inference</x:v>
      </x:c>
      <x:c r="E34" s="27" t="str">
        <x:v>How do speculative decoding, model quantization, and KV-cache optimization differ as methods for accelerating large language model inference?</x:v>
      </x:c>
      <x:c r="F34" s="22" t="n">
        <x:v>13</x:v>
      </x:c>
      <x:c r="G34" s="17" t="str">
        <x:v>arXiv:2404.08856</x:v>
      </x:c>
      <x:c r="H34" s="27" t="str">
        <x:v>On Speculative Decoding for Multimodal Large Language Models</x:v>
      </x:c>
      <x:c r="I34" s="17" t="str">
        <x:v>Mukul Gagrani; Raghavv Goel; Wonseok Jeon; Junyoung Park; Mingu Lee; Christopher Lott</x:v>
      </x:c>
      <x:c r="J34" s="22" t="n">
        <x:v>2024</x:v>
      </x:c>
      <x:c r="K34" s="27" t="str">
        <x:v>Inference with Multimodal Large Language Models (MLLMs) is slow due to their large-language-model backbone which suffers from memory bandwidth bottleneck and generates tokens auto-regressively. In this paper, we explore the application of speculative decoding to enhance the inference efficiency of MLLMs, specifically the LLaVA 7B model. We show that a language-only model can serve as a good draft model for speculative decoding with LLaVA 7B, bypassing the need for image tokens and their associated processing components from the draft model. Our experiments across three different tasks show that speculative decoding can achieve a memory-bound speedup of up to 2.37$\times$ using a 115M parameter language model that we trained from scratch. Additionally, we introduce a compact LLaVA draft model incorporating an image adapter, which shows marginal performance gains in image captioning while maintaining comparable results in other tasks.</x:v>
      </x:c>
      <x:c r="L34" s="17" t="str">
        <x:v>http://arxiv.org/abs/2404.08856v1</x:v>
      </x:c>
      <x:c r="M34" s="23" t="n">
        <x:v>0.7545335225478681</x:v>
      </x:c>
      <x:c r="N34" s="17" t="str">
        <x:v>qwen3-rerank-no-instruct-20260727-125006-results.jsonl</x:v>
      </x:c>
      <x:c r="O34" s="24" t="str">
        <x:v>2</x:v>
      </x:c>
      <x:c r="P34" s="28" t="str">
        <x:v>评估多模态LLM使用语言或视觉草稿的推测解码。</x:v>
      </x:c>
      <x:c r="Q34" s="25" t="str"/>
      <x:c r="R34" s="24" t="str">
        <x:f>IF(Q34&lt;&gt;"",Q34,O34)</x:f>
        <x:v>2</x:v>
      </x:c>
      <x:c r="S34" s="29" t="str"/>
    </x:row>
    <x:row r="35" ht="54" customHeight="1">
      <x:c r="A35" s="17" t="str">
        <x:v>csq002-r14</x:v>
      </x:c>
      <x:c r="B35" s="17" t="str">
        <x:v>csq002</x:v>
      </x:c>
      <x:c r="C35" s="17" t="str">
        <x:v>natural_language_processing</x:v>
      </x:c>
      <x:c r="D35" s="17" t="str">
        <x:v>llm_inference</x:v>
      </x:c>
      <x:c r="E35" s="27" t="str">
        <x:v>How do speculative decoding, model quantization, and KV-cache optimization differ as methods for accelerating large language model inference?</x:v>
      </x:c>
      <x:c r="F35" s="22" t="n">
        <x:v>14</x:v>
      </x:c>
      <x:c r="G35" s="17" t="str">
        <x:v>arXiv:2502.17421</x:v>
      </x:c>
      <x:c r="H35" s="27" t="str">
        <x:v>LongSpec: Long-Context Lossless Speculative Decoding with Efficient Drafting and Verification</x:v>
      </x:c>
      <x:c r="I35" s="17" t="str">
        <x:v>Penghui Yang; Cunxiao Du; Fengzhuo Zhang; Haonan Wang; Tianyu Pang; Chao Du; Bo An</x:v>
      </x:c>
      <x:c r="J35" s="22" t="n">
        <x:v>2025</x:v>
      </x:c>
      <x:c r="K35" s="27" t="str">
        <x:v>As Large Language Models (LLMs) can now process extremely long contexts, efficient inference over these extended inputs has become increasingly important, especially for emerging applications like LLM agents that highly depend on this capability. Speculative decoding (SD) offers a promising lossless acceleration technique compared to lossy alternatives such as quantization and model cascades. However, most state-of-the-art SD methods are trained on short texts (typically fewer than 4k tokens), making them unsuitable for long-context scenarios. Specifically, adapting these methods to long contexts presents three key challenges: (1) the excessive memory demands posed by draft models due to large Key-Value (KV) cache; (2) performance degradation resulting from the mismatch between short-context training and long-context inference; and (3) inefficiencies in tree attention mechanisms when managing long token sequences. This work introduces LongSpec, a framework that addresses these challenges through three core innovations: a memory-efficient draft model with a constant-sized KV cache; novel position indices that mitigate the training-inference mismatch; and an attention aggregation strategy that combines fast prefix computation with standard tree attention to enable efficient decoding. Experimental results confirm the effectiveness of LongSpec, achieving up to a 3.26x speedup over strong Flash Attention baselines across five long-context understanding datasets, as well as a 2.25x reduction in wall-clock time on the AIME24 long reasoning task with the QwQ model, demonstrating significant latency improvements for long-context applications. The code is available at https://github.com/sail-sg/LongSpec.</x:v>
      </x:c>
      <x:c r="L35" s="17" t="str">
        <x:v>http://arxiv.org/abs/2502.17421v4</x:v>
      </x:c>
      <x:c r="M35" s="23" t="n">
        <x:v>0.7412747487341487</x:v>
      </x:c>
      <x:c r="N35" s="17" t="str">
        <x:v>qwen3-rerank-no-instruct-20260727-125006-results.jsonl</x:v>
      </x:c>
      <x:c r="O35" s="24" t="str">
        <x:v>2</x:v>
      </x:c>
      <x:c r="P35" s="28" t="str">
        <x:v>面向长上下文优化草稿KV缓存和并行验证。</x:v>
      </x:c>
      <x:c r="Q35" s="25" t="str"/>
      <x:c r="R35" s="24" t="str">
        <x:f>IF(Q35&lt;&gt;"",Q35,O35)</x:f>
        <x:v>2</x:v>
      </x:c>
      <x:c r="S35" s="29" t="str"/>
    </x:row>
    <x:row r="36" ht="54" customHeight="1">
      <x:c r="A36" s="17" t="str">
        <x:v>csq002-r15</x:v>
      </x:c>
      <x:c r="B36" s="17" t="str">
        <x:v>csq002</x:v>
      </x:c>
      <x:c r="C36" s="17" t="str">
        <x:v>natural_language_processing</x:v>
      </x:c>
      <x:c r="D36" s="17" t="str">
        <x:v>llm_inference</x:v>
      </x:c>
      <x:c r="E36" s="27" t="str">
        <x:v>How do speculative decoding, model quantization, and KV-cache optimization differ as methods for accelerating large language model inference?</x:v>
      </x:c>
      <x:c r="F36" s="22" t="n">
        <x:v>15</x:v>
      </x:c>
      <x:c r="G36" s="17" t="str">
        <x:v>arXiv:2412.00061</x:v>
      </x:c>
      <x:c r="H36" s="27" t="str">
        <x:v>Speculative Decoding with CTC-based Draft Model for LLM Inference Acceleration</x:v>
      </x:c>
      <x:c r="I36" s="17" t="str">
        <x:v>Zhuofan Wen; Shangtong Gui; Yang Feng</x:v>
      </x:c>
      <x:c r="J36" s="22" t="n">
        <x:v>2024</x:v>
      </x:c>
      <x:c r="K36" s="27" t="str">
        <x:v>Inference acceleration of large language models (LLMs) has been put forward in many application scenarios and speculative decoding has shown its advantage in addressing inference acceleration. Speculative decoding usually introduces a draft model to assist the base LLM where the draft model produces drafts and the base LLM verifies the draft for acceptance or rejection. In this framework, the final inference speed is decided by the decoding speed of the draft model and the acceptance rate of the draft provided by the draft model. Currently the widely used draft models usually generate draft tokens for the next several positions in a non-autoregressive way without considering the correlations between draft tokens. Therefore, it has a high decoding speed but an unsatisfactory acceptance rate. In this paper, we focus on how to improve the performance of the draft model and aim to accelerate inference via a high acceptance rate. To this end, we propose a CTC-based draft model which strengthens the correlations between draft tokens during the draft phase, thereby generating higher-quality draft candidate sequences. Experiment results show that compared to strong baselines, the proposed method can achieve a higher acceptance rate and hence a faster inference speed.</x:v>
      </x:c>
      <x:c r="L36" s="17" t="str">
        <x:v>http://arxiv.org/abs/2412.00061v1</x:v>
      </x:c>
      <x:c r="M36" s="23" t="n">
        <x:v>0.7373475747983417</x:v>
      </x:c>
      <x:c r="N36" s="17" t="str">
        <x:v>qwen3-rerank-no-instruct-20260727-125006-results.jsonl</x:v>
      </x:c>
      <x:c r="O36" s="24" t="str">
        <x:v>2</x:v>
      </x:c>
      <x:c r="P36" s="28" t="str">
        <x:v>CTC草稿提高候选接受率以加速推测解码。</x:v>
      </x:c>
      <x:c r="Q36" s="25" t="str"/>
      <x:c r="R36" s="24" t="str">
        <x:f>IF(Q36&lt;&gt;"",Q36,O36)</x:f>
        <x:v>2</x:v>
      </x:c>
      <x:c r="S36" s="29" t="str"/>
    </x:row>
    <x:row r="37" ht="54" customHeight="1">
      <x:c r="A37" s="17" t="str">
        <x:v>csq002-r16</x:v>
      </x:c>
      <x:c r="B37" s="17" t="str">
        <x:v>csq002</x:v>
      </x:c>
      <x:c r="C37" s="17" t="str">
        <x:v>natural_language_processing</x:v>
      </x:c>
      <x:c r="D37" s="17" t="str">
        <x:v>llm_inference</x:v>
      </x:c>
      <x:c r="E37" s="27" t="str">
        <x:v>How do speculative decoding, model quantization, and KV-cache optimization differ as methods for accelerating large language model inference?</x:v>
      </x:c>
      <x:c r="F37" s="22" t="n">
        <x:v>16</x:v>
      </x:c>
      <x:c r="G37" s="17" t="str">
        <x:v>arXiv:2407.01955</x:v>
      </x:c>
      <x:c r="H37" s="27" t="str">
        <x:v>S2D: Sorted Speculative Decoding For More Efficient Deployment of Nested Large Language Models</x:v>
      </x:c>
      <x:c r="I37" s="17" t="str">
        <x:v>Parsa Kavehzadeh; Mohammadreza Pourreza; Mojtaba Valipour; Tinashu Zhu; Haoli Bai; Ali Ghodsi; Boxing Chen; Mehdi Rezagholizadeh</x:v>
      </x:c>
      <x:c r="J37" s="22" t="n">
        <x:v>2024</x:v>
      </x:c>
      <x:c r="K37" s="27" t="str">
        <x:v>Deployment of autoregressive large language models (LLMs) is costly, and as these models increase in size, the associated costs will become even more considerable. Consequently, different methods have been proposed to accelerate the token generation process and reduce costs. Speculative decoding (SD) is among the most promising approaches to speed up the LLM decoding process by verifying multiple tokens in parallel and using an auxiliary smaller draft model to generate the possible tokens. In SD, usually, one draft model is used to serve a specific target model; however, in practice, LLMs are diverse, and we might need to deal with many target models or more than one target model simultaneously. In this scenario, it is not clear which draft model should be used for which target model, and searching among different draft models or training customized draft models can further increase deployment costs. In this paper, we first introduce a novel multi-target scenario for the deployment of draft models for faster inference. Then, we present a novel, more efficient sorted speculative decoding mechanism that outperforms regular baselines in multi-target settings. We evaluated our method on Spec-Bench in different settings, including base models such as Vicuna 7B, 13B, and LLama Chat 70B. Our results suggest that our draft models perform better than baselines for multiple target models at the same time.</x:v>
      </x:c>
      <x:c r="L37" s="17" t="str">
        <x:v>http://arxiv.org/abs/2407.01955v1</x:v>
      </x:c>
      <x:c r="M37" s="23" t="n">
        <x:v>0.7250579799360446</x:v>
      </x:c>
      <x:c r="N37" s="17" t="str">
        <x:v>qwen3-rerank-no-instruct-20260727-125006-results.jsonl</x:v>
      </x:c>
      <x:c r="O37" s="24" t="str">
        <x:v>2</x:v>
      </x:c>
      <x:c r="P37" s="28" t="str">
        <x:v>排序式推测解码用于嵌套模型高效部署。</x:v>
      </x:c>
      <x:c r="Q37" s="25" t="str"/>
      <x:c r="R37" s="24" t="str">
        <x:f>IF(Q37&lt;&gt;"",Q37,O37)</x:f>
        <x:v>2</x:v>
      </x:c>
      <x:c r="S37" s="29" t="str"/>
    </x:row>
    <x:row r="38" ht="54" customHeight="1">
      <x:c r="A38" s="17" t="str">
        <x:v>csq002-r17</x:v>
      </x:c>
      <x:c r="B38" s="17" t="str">
        <x:v>csq002</x:v>
      </x:c>
      <x:c r="C38" s="17" t="str">
        <x:v>natural_language_processing</x:v>
      </x:c>
      <x:c r="D38" s="17" t="str">
        <x:v>llm_inference</x:v>
      </x:c>
      <x:c r="E38" s="27" t="str">
        <x:v>How do speculative decoding, model quantization, and KV-cache optimization differ as methods for accelerating large language model inference?</x:v>
      </x:c>
      <x:c r="F38" s="22" t="n">
        <x:v>17</x:v>
      </x:c>
      <x:c r="G38" s="17" t="str">
        <x:v>arXiv:2505.14260</x:v>
      </x:c>
      <x:c r="H38" s="27" t="str">
        <x:v>Speculative Decoding Reimagined for Multimodal Large Language Models</x:v>
      </x:c>
      <x:c r="I38" s="17" t="str">
        <x:v>Luxi Lin; Zhihang Lin; Zhanpeng Zeng; Rongrong Ji</x:v>
      </x:c>
      <x:c r="J38" s="22" t="n">
        <x:v>2025</x:v>
      </x:c>
      <x:c r="K38" s="27" t="str">
        <x:v>This paper introduces Multimodal Speculative Decoding (MSD) to accelerate Multimodal Large Language Models (MLLMs) inference. Speculative decoding has been shown to accelerate Large Language Models (LLMs) without sacrificing accuracy. However, current speculative decoding methods for MLLMs fail to achieve the same speedup as they do for LLMs. To address this, we reimagine speculative decoding specifically for MLLMs. Our analysis of MLLM characteristics reveals two key design principles for MSD: (1) Text and visual tokens have fundamentally different characteristics and need to be processed separately during drafting. (2) Both language modeling ability and visual perception capability are crucial for the draft model. For the first principle, MSD decouples text and visual tokens in the draft model, allowing each to be handled based on its own characteristics. For the second principle, MSD uses a two-stage training strategy: In stage one, the draft model is trained on text-only instruction-tuning datasets to improve its language modeling ability. In stage two, MSD gradually introduces multimodal data to enhance the visual perception capability of the draft model. Experiments show that MSD boosts inference speed by up to $2.29\times$ for LLaVA-1.5-7B and up to $2.46\times$ for LLaVA-1.5-13B on multimodal benchmarks, demonstrating its effectiveness. Our code is available at https://github.com/Lyn-Lucy/MSD.</x:v>
      </x:c>
      <x:c r="L38" s="17" t="str">
        <x:v>http://arxiv.org/abs/2505.14260v1</x:v>
      </x:c>
      <x:c r="M38" s="23" t="n">
        <x:v>0.6742490547803792</x:v>
      </x:c>
      <x:c r="N38" s="17" t="str">
        <x:v>qwen3-rerank-no-instruct-20260727-125006-results.jsonl</x:v>
      </x:c>
      <x:c r="O38" s="24" t="str">
        <x:v>2</x:v>
      </x:c>
      <x:c r="P38" s="28" t="str">
        <x:v>重新设计多模态LLM推测解码，直接覆盖核心方法。</x:v>
      </x:c>
      <x:c r="Q38" s="25" t="str"/>
      <x:c r="R38" s="24" t="str">
        <x:f>IF(Q38&lt;&gt;"",Q38,O38)</x:f>
        <x:v>2</x:v>
      </x:c>
      <x:c r="S38" s="29" t="str"/>
    </x:row>
    <x:row r="39" ht="54" customHeight="1">
      <x:c r="A39" s="17" t="str">
        <x:v>csq002-r18</x:v>
      </x:c>
      <x:c r="B39" s="17" t="str">
        <x:v>csq002</x:v>
      </x:c>
      <x:c r="C39" s="17" t="str">
        <x:v>natural_language_processing</x:v>
      </x:c>
      <x:c r="D39" s="17" t="str">
        <x:v>llm_inference</x:v>
      </x:c>
      <x:c r="E39" s="27" t="str">
        <x:v>How do speculative decoding, model quantization, and KV-cache optimization differ as methods for accelerating large language model inference?</x:v>
      </x:c>
      <x:c r="F39" s="22" t="n">
        <x:v>18</x:v>
      </x:c>
      <x:c r="G39" s="17" t="str">
        <x:v>arXiv:2503.05096</x:v>
      </x:c>
      <x:c r="H39" s="27" t="str">
        <x:v>AdaSpec: Adaptive Speculative Decoding for Fast, SLO-Aware Large Language Model Serving</x:v>
      </x:c>
      <x:c r="I39" s="17" t="str">
        <x:v>Kaiyu Huang; Hao Wu; Zhubo Shi; Han Zou; Minchen Yu; Qingjiang Shi</x:v>
      </x:c>
      <x:c r="J39" s="22" t="n">
        <x:v>2025</x:v>
      </x:c>
      <x:c r="K39" s="27" t="str">
        <x:v>Cloud-based Large Language Model (LLM) services often face challenges in achieving low inference latency and meeting Service Level Objectives (SLOs) under dynamic request patterns. Speculative decoding, which exploits lightweight models for drafting and LLMs for verification, has emerged as a compelling technique to accelerate LLM inference. However, existing speculative decoding solutions often fail to adapt to fluctuating workloads and dynamic system environments, resulting in impaired performance and SLO violations. In this paper, we introduce AdaSpec, an efficient LLM inference system that dynamically adjusts speculative strategies according to real-time request loads and system configurations. AdaSpec proposes a theoretical model to analyze and predict the efficiency of speculative strategies across diverse scenarios. Additionally, it implements intelligent drafting and verification algorithms to maximize performance while ensuring high SLO attainment. Experimental results on real-world LLM service traces demonstrate that AdaSpec consistently meets SLOs and achieves substantial performance improvements, delivering up to 66% speedup compared to state-of-the-art speculative inference systems. The source code is publicly available at https://github.com/cerebellumking/AdaSpec</x:v>
      </x:c>
      <x:c r="L39" s="17" t="str">
        <x:v>http://arxiv.org/abs/2503.05096v2</x:v>
      </x:c>
      <x:c r="M39" s="23" t="n">
        <x:v>0.6719184381356363</x:v>
      </x:c>
      <x:c r="N39" s="17" t="str">
        <x:v>qwen3-rerank-no-instruct-20260727-125006-results.jsonl</x:v>
      </x:c>
      <x:c r="O39" s="24" t="str">
        <x:v>2</x:v>
      </x:c>
      <x:c r="P39" s="28" t="str">
        <x:v>自适应推测长度和服务目标以优化推理延迟。</x:v>
      </x:c>
      <x:c r="Q39" s="25" t="str"/>
      <x:c r="R39" s="24" t="str">
        <x:f>IF(Q39&lt;&gt;"",Q39,O39)</x:f>
        <x:v>2</x:v>
      </x:c>
      <x:c r="S39" s="29" t="str"/>
    </x:row>
    <x:row r="40" ht="54" customHeight="1">
      <x:c r="A40" s="17" t="str">
        <x:v>csq002-r19</x:v>
      </x:c>
      <x:c r="B40" s="17" t="str">
        <x:v>csq002</x:v>
      </x:c>
      <x:c r="C40" s="17" t="str">
        <x:v>natural_language_processing</x:v>
      </x:c>
      <x:c r="D40" s="17" t="str">
        <x:v>llm_inference</x:v>
      </x:c>
      <x:c r="E40" s="27" t="str">
        <x:v>How do speculative decoding, model quantization, and KV-cache optimization differ as methods for accelerating large language model inference?</x:v>
      </x:c>
      <x:c r="F40" s="22" t="n">
        <x:v>19</x:v>
      </x:c>
      <x:c r="G40" s="17" t="str">
        <x:v>arXiv:2511.01695</x:v>
      </x:c>
      <x:c r="H40" s="27" t="str">
        <x:v>Collaborative Large Language Model Inference via Resource-Aware Parallel Speculative Decoding</x:v>
      </x:c>
      <x:c r="I40" s="17" t="str">
        <x:v>Jungyeon Koh; Hyun Jong Yang</x:v>
      </x:c>
      <x:c r="J40" s="22" t="n">
        <x:v>2025</x:v>
      </x:c>
      <x:c r="K40" s="27" t="str">
        <x:v>The growing demand for on-device large language model (LLM) inference highlights the need for efficient mobile edge computing (MEC) solutions, especially in resource-constrained settings. Speculative decoding offers a promising solution by partitioning token generation between a lightweight draft model on mobile devices and a powerful target model on edge servers, but suffers from communication overhead and asynchronous delays. This paper is the first to propose a unified framework that jointly optimizes user association and resource allocation (UARA) to support efficient parallel speculative decoding. We solve the UARA problem using a multi-agent deep reinforcement learning algorithm. To evaluate our approach under realistic conditions, we conduct experiments using the Sionna simulator. Results show that our method achieves up to 28.0% and an average of 23.7% reduction in end-to-end latency without compromising inference accuracy, enabling scalable and low-latency LLM services in MEC systems.</x:v>
      </x:c>
      <x:c r="L40" s="17" t="str">
        <x:v>http://arxiv.org/abs/2511.01695v4</x:v>
      </x:c>
      <x:c r="M40" s="23" t="n">
        <x:v>0.652466801211856</x:v>
      </x:c>
      <x:c r="N40" s="17" t="str">
        <x:v>qwen3-rerank-no-instruct-20260727-125006-results.jsonl</x:v>
      </x:c>
      <x:c r="O40" s="24" t="str">
        <x:v>2</x:v>
      </x:c>
      <x:c r="P40" s="28" t="str">
        <x:v>资源感知并行推测解码直接研究部署加速。</x:v>
      </x:c>
      <x:c r="Q40" s="25" t="str"/>
      <x:c r="R40" s="24" t="str">
        <x:f>IF(Q40&lt;&gt;"",Q40,O40)</x:f>
        <x:v>2</x:v>
      </x:c>
      <x:c r="S40" s="29" t="str"/>
    </x:row>
    <x:row r="41" ht="54" customHeight="1">
      <x:c r="A41" s="17" t="str">
        <x:v>csq002-r20</x:v>
      </x:c>
      <x:c r="B41" s="17" t="str">
        <x:v>csq002</x:v>
      </x:c>
      <x:c r="C41" s="17" t="str">
        <x:v>natural_language_processing</x:v>
      </x:c>
      <x:c r="D41" s="17" t="str">
        <x:v>llm_inference</x:v>
      </x:c>
      <x:c r="E41" s="27" t="str">
        <x:v>How do speculative decoding, model quantization, and KV-cache optimization differ as methods for accelerating large language model inference?</x:v>
      </x:c>
      <x:c r="F41" s="22" t="n">
        <x:v>20</x:v>
      </x:c>
      <x:c r="G41" s="17" t="str">
        <x:v>arXiv:2508.06297</x:v>
      </x:c>
      <x:c r="H41" s="27" t="str">
        <x:v>KV Cache Compression for Inference Efficiency in LLMs: A Review</x:v>
      </x:c>
      <x:c r="I41" s="17" t="str">
        <x:v>Yanyu Liu; Jingying Fu; Sixiang Liu; Yitian Zou; You Fu; Jiehan Zhou; Shouhua Zhang</x:v>
      </x:c>
      <x:c r="J41" s="22" t="n">
        <x:v>2025</x:v>
      </x:c>
      <x:c r="K41" s="27" t="str">
        <x:v>Withtherapid advancement of large language models (LLMs), the context length for inference has been continuously increasing, leading to an exponential growth in the demand for Key-Value (KV) caching. This has resulted in a significant memory bottleneck, limiting the inference efficiency and scalability of the models. Therefore, optimizing the KV cache during inference is crucial for enhancing performance and efficiency. This review systematically examines current KV cache optimization techniques, including compression strategies such as selective token strategies, quantization, and attention compression. We evaluate the effectiveness, trade-offs, and application scenarios of these methods, providing a comprehensive analysis of their impact on memory usage and inference speed. We focus on identifying the limitations and challenges of existing methods, such as compatibility issues with different models and tasks. Additionally, this review highlights future research directions, including hybrid optimization techniques, adaptive dynamic strategies, and software-hardware co-design. These approaches aim to improve inference efficiency and promote the practical application of large language models.</x:v>
      </x:c>
      <x:c r="L41" s="17" t="str">
        <x:v>http://arxiv.org/abs/2508.06297v1</x:v>
      </x:c>
      <x:c r="M41" s="23" t="n">
        <x:v>0.6495823939673249</x:v>
      </x:c>
      <x:c r="N41" s="17" t="str">
        <x:v>qwen3-rerank-no-instruct-20260727-125006-results.jsonl</x:v>
      </x:c>
      <x:c r="O41" s="24" t="str">
        <x:v>2</x:v>
      </x:c>
      <x:c r="P41" s="28" t="str">
        <x:v>综述KV缓存选择、量化和注意力压缩及其内存速度权衡。</x:v>
      </x:c>
      <x:c r="Q41" s="25" t="str"/>
      <x:c r="R41" s="24" t="str">
        <x:f>IF(Q41&lt;&gt;"",Q41,O41)</x:f>
        <x:v>2</x:v>
      </x:c>
      <x:c r="S41" s="29" t="str"/>
    </x:row>
    <x:row r="42" ht="54" customHeight="1">
      <x:c r="A42" s="17" t="str">
        <x:v>csq003-r01</x:v>
      </x:c>
      <x:c r="B42" s="17" t="str">
        <x:v>csq003</x:v>
      </x:c>
      <x:c r="C42" s="17" t="str">
        <x:v>natural_language_processing</x:v>
      </x:c>
      <x:c r="D42" s="17" t="str">
        <x:v>hallucination_evaluation</x:v>
      </x:c>
      <x:c r="E42" s="27" t="str">
        <x:v>Which automatic and human evaluation methods are used to measure hallucination and factual consistency in large language models, and what evidence exists about their reliability?</x:v>
      </x:c>
      <x:c r="F42" s="22" t="n">
        <x:v>1</x:v>
      </x:c>
      <x:c r="G42" s="17" t="str">
        <x:v>arXiv:2402.10770</x:v>
      </x:c>
      <x:c r="H42" s="27" t="str">
        <x:v>How Reliable Are Automatic Evaluation Methods for Instruction-Tuned LLMs?</x:v>
      </x:c>
      <x:c r="I42" s="17" t="str">
        <x:v>Ehsan Doostmohammadi; Oskar Holmström; Marco Kuhlmann</x:v>
      </x:c>
      <x:c r="J42" s="22" t="n">
        <x:v>2024</x:v>
      </x:c>
      <x:c r="K42" s="27" t="str">
        <x:v>Work on instruction-tuned Large Language Models (LLMs) has used automatic methods based on text overlap and LLM judgments as cost-effective alternatives to human evaluation. In this paper, we perform a meta-evaluation of such methods and assess their reliability across a broad range of tasks. In evaluating how well automatic methods align with human evaluations, correlation metrics are the most commonly employed method despite their inherent limitations when dealing with ties and different scales. To address these shortcomings, we use Pairwise Accuracy as an alternative to standard correlation measures. We observe that while automatic evaluation methods can approximate human ratings under specific conditions, their validity is highly context-dependent. Specifically, the simple ROUGE-L metric correlates very well with human ratings for short-answer English tasks but is unreliable in free-form generation tasks and cross-lingual scenarios. The effectiveness of the more advanced method of using GPT-4 as a judge diminishes significantly if reference answers are not included in the prompt, which is the scenario where this method has the potential to provide the most value compared to other metrics. Our findings enhance the understanding of how automatic methods should be applied and interpreted when developing and evaluating instruction-tuned LLMs.</x:v>
      </x:c>
      <x:c r="L42" s="17" t="str">
        <x:v>http://arxiv.org/abs/2402.10770v4</x:v>
      </x:c>
      <x:c r="M42" s="23" t="n">
        <x:v>0.9660258923122078</x:v>
      </x:c>
      <x:c r="N42" s="17" t="str">
        <x:v>qwen3-rerank-no-instruct-20260727-125006-results.jsonl</x:v>
      </x:c>
      <x:c r="O42" s="24" t="str">
        <x:v>1</x:v>
      </x:c>
      <x:c r="P42" s="28" t="str">
        <x:v>元评估通用自动指标可靠性，但并非事实性或幻觉专门研究。</x:v>
      </x:c>
      <x:c r="Q42" s="25" t="str"/>
      <x:c r="R42" s="24" t="str">
        <x:f>IF(Q42&lt;&gt;"",Q42,O42)</x:f>
        <x:v>1</x:v>
      </x:c>
      <x:c r="S42" s="29" t="str"/>
    </x:row>
    <x:row r="43" ht="54" customHeight="1">
      <x:c r="A43" s="17" t="str">
        <x:v>csq003-r02</x:v>
      </x:c>
      <x:c r="B43" s="17" t="str">
        <x:v>csq003</x:v>
      </x:c>
      <x:c r="C43" s="17" t="str">
        <x:v>natural_language_processing</x:v>
      </x:c>
      <x:c r="D43" s="17" t="str">
        <x:v>hallucination_evaluation</x:v>
      </x:c>
      <x:c r="E43" s="27" t="str">
        <x:v>Which automatic and human evaluation methods are used to measure hallucination and factual consistency in large language models, and what evidence exists about their reliability?</x:v>
      </x:c>
      <x:c r="F43" s="22" t="n">
        <x:v>2</x:v>
      </x:c>
      <x:c r="G43" s="17" t="str">
        <x:v>arXiv:2506.13639</x:v>
      </x:c>
      <x:c r="H43" s="27" t="str">
        <x:v>An Empirical Study of LLM-as-a-Judge: How Design Choices Impact Evaluation Reliability</x:v>
      </x:c>
      <x:c r="I43" s="17" t="str">
        <x:v>Yusuke Yamauchi; Taro Yano; Masafumi Oyamada</x:v>
      </x:c>
      <x:c r="J43" s="22" t="n">
        <x:v>2025</x:v>
      </x:c>
      <x:c r="K43" s="27" t="str">
        <x:v>As large language models (LLMs) continue to advance, reliable evaluation methods are essential particularly for open-ended, instruction-following tasks. LLM-as-a-Judge enables automatic evaluation using LLMs as evaluators, but its reliability remains uncertain. In this work, we analyze key factors affecting its trustworthiness, focusing on alignment with human judgments and evaluation consistency. Using BIGGENBench and EvalBiasBench, we study the effects of evaluation design, decoding strategies, and Chain-of-Tought (CoT) reasoning in evaluation. Our results show that evaluation criteria are critical for reliability, non-deterministic sampling improves alignment with human preferences over deterministic evaluation, and CoT reasoning offers minimal gains when clear evaluation criteria are present.</x:v>
      </x:c>
      <x:c r="L43" s="17" t="str">
        <x:v>http://arxiv.org/abs/2506.13639v1</x:v>
      </x:c>
      <x:c r="M43" s="23" t="n">
        <x:v>0.8978248762522869</x:v>
      </x:c>
      <x:c r="N43" s="17" t="str">
        <x:v>qwen3-rerank-no-instruct-20260727-125006-results.jsonl</x:v>
      </x:c>
      <x:c r="O43" s="24" t="str">
        <x:v>1</x:v>
      </x:c>
      <x:c r="P43" s="28" t="str">
        <x:v>分析通用LLM裁判设计对可靠性的影响，可作自动评估背景。</x:v>
      </x:c>
      <x:c r="Q43" s="25" t="str"/>
      <x:c r="R43" s="24" t="str">
        <x:f>IF(Q43&lt;&gt;"",Q43,O43)</x:f>
        <x:v>1</x:v>
      </x:c>
      <x:c r="S43" s="29" t="str"/>
    </x:row>
    <x:row r="44" ht="54" customHeight="1">
      <x:c r="A44" s="17" t="str">
        <x:v>csq003-r03</x:v>
      </x:c>
      <x:c r="B44" s="17" t="str">
        <x:v>csq003</x:v>
      </x:c>
      <x:c r="C44" s="17" t="str">
        <x:v>natural_language_processing</x:v>
      </x:c>
      <x:c r="D44" s="17" t="str">
        <x:v>hallucination_evaluation</x:v>
      </x:c>
      <x:c r="E44" s="27" t="str">
        <x:v>Which automatic and human evaluation methods are used to measure hallucination and factual consistency in large language models, and what evidence exists about their reliability?</x:v>
      </x:c>
      <x:c r="F44" s="22" t="n">
        <x:v>3</x:v>
      </x:c>
      <x:c r="G44" s="17" t="str">
        <x:v>arXiv:2211.08412</x:v>
      </x:c>
      <x:c r="H44" s="27" t="str">
        <x:v>Evaluating the Factual Consistency of Large Language Models Through News Summarization</x:v>
      </x:c>
      <x:c r="I44" s="17" t="str">
        <x:v>Derek Tam; Anisha Mascarenhas; Shiyue Zhang; Sarah Kwan; Mohit Bansal; Colin Raffel</x:v>
      </x:c>
      <x:c r="J44" s="22" t="n">
        <x:v>2022</x:v>
      </x:c>
      <x:c r="K44" s="27" t="str">
        <x:v>While large language models (LLMs) have proven to be effective on a large variety of tasks, they are also known to hallucinate information. To measure whether an LLM prefers factually consistent continuations of its input, we propose a new benchmark called FIB(Factual Inconsistency Benchmark) that focuses on the task of summarization. Specifically, our benchmark involves comparing the scores an LLM assigns to a factually consistent versus a factually inconsistent summary for an input news article. For factually consistent summaries, we use human-written reference summaries that we manually verify as factually consistent. To generate summaries that are factually inconsistent, we generate summaries from a suite of summarization models that we have manually annotated as factually inconsistent. A model's factual consistency is then measured according to its accuracy, i.e.\ the proportion of documents where it assigns a higher score to the factually consistent summary. To validate the usefulness of FIB, we evaluate 23 large language models ranging from 1B to 176B parameters from six different model families including BLOOM and OPT. We find that existing LLMs generally assign a higher score to factually consistent summaries than to factually inconsistent summaries. However, if the factually inconsistent summaries occur verbatim in the document, then LLMs assign a higher score to these factually inconsistent summaries than factually consistent summaries. We validate design choices in our benchmark including the scoring method and source of distractor summaries. Our code and benchmark data can be found at https://github.com/r-three/fib.</x:v>
      </x:c>
      <x:c r="L44" s="17" t="str">
        <x:v>http://arxiv.org/abs/2211.08412v2</x:v>
      </x:c>
      <x:c r="M44" s="23" t="n">
        <x:v>0.8958493213045059</x:v>
      </x:c>
      <x:c r="N44" s="17" t="str">
        <x:v>qwen3-rerank-no-instruct-20260727-125006-results.jsonl</x:v>
      </x:c>
      <x:c r="O44" s="24" t="str">
        <x:v>2</x:v>
      </x:c>
      <x:c r="P44" s="28" t="str">
        <x:v>以人工核验摘要构建并验证事实一致性基准。</x:v>
      </x:c>
      <x:c r="Q44" s="25" t="str"/>
      <x:c r="R44" s="24" t="str">
        <x:f>IF(Q44&lt;&gt;"",Q44,O44)</x:f>
        <x:v>2</x:v>
      </x:c>
      <x:c r="S44" s="29" t="str"/>
    </x:row>
    <x:row r="45" ht="54" customHeight="1">
      <x:c r="A45" s="17" t="str">
        <x:v>csq003-r04</x:v>
      </x:c>
      <x:c r="B45" s="17" t="str">
        <x:v>csq003</x:v>
      </x:c>
      <x:c r="C45" s="17" t="str">
        <x:v>natural_language_processing</x:v>
      </x:c>
      <x:c r="D45" s="17" t="str">
        <x:v>hallucination_evaluation</x:v>
      </x:c>
      <x:c r="E45" s="27" t="str">
        <x:v>Which automatic and human evaluation methods are used to measure hallucination and factual consistency in large language models, and what evidence exists about their reliability?</x:v>
      </x:c>
      <x:c r="F45" s="22" t="n">
        <x:v>4</x:v>
      </x:c>
      <x:c r="G45" s="17" t="str">
        <x:v>arXiv:2505.23799</x:v>
      </x:c>
      <x:c r="H45" s="27" t="str">
        <x:v>Estimating LLM Consistency: A User Baseline vs Surrogate Metrics</x:v>
      </x:c>
      <x:c r="I45" s="17" t="str">
        <x:v>Xiaoyuan Wu; Weiran Lin; Omer Akgul; Lujo Bauer</x:v>
      </x:c>
      <x:c r="J45" s="22" t="n">
        <x:v>2025</x:v>
      </x:c>
      <x:c r="K45" s="27" t="str">
        <x:v>Large language models (LLMs) are prone to hallucinations and sensitive to prompt perturbations, often resulting in inconsistent or unreliable generated text. Different methods have been proposed to mitigate such hallucinations and fragility, one of which is to measure the consistency of LLM responses -- the model's confidence in the response or likelihood of generating a similar response when resampled. In previous work, measuring LLM response consistency often relied on calculating the probability of a response appearing within a pool of resampled responses, analyzing internal states, or evaluating logits of responses. However, it was not clear how well these approaches approximated users' perceptions of consistency of LLM responses. To find out, we performed a user study ($n=2,976$) demonstrating that current methods for measuring LLM response consistency typically do not align well with humans' perceptions of LLM consistency. We propose a logit-based ensemble method for estimating LLM consistency and show that our method matches the performance of the best-performing existing metric in estimating human ratings of LLM consistency. Our results suggest that methods for estimating LLM consistency without human evaluation are sufficiently imperfect to warrant broader use of evaluation with human input; this would avoid misjudging the adequacy of models because of the imperfections of automated consistency metrics.</x:v>
      </x:c>
      <x:c r="L45" s="17" t="str">
        <x:v>http://arxiv.org/abs/2505.23799v4</x:v>
      </x:c>
      <x:c r="M45" s="23" t="n">
        <x:v>0.8922451224402275</x:v>
      </x:c>
      <x:c r="N45" s="17" t="str">
        <x:v>qwen3-rerank-no-instruct-20260727-125006-results.jsonl</x:v>
      </x:c>
      <x:c r="O45" s="24" t="str">
        <x:v>1</x:v>
      </x:c>
      <x:c r="P45" s="28" t="str">
        <x:v>研究用户基线与代理指标的一致性，事实性焦点不明确。</x:v>
      </x:c>
      <x:c r="Q45" s="25" t="str"/>
      <x:c r="R45" s="24" t="str">
        <x:f>IF(Q45&lt;&gt;"",Q45,O45)</x:f>
        <x:v>1</x:v>
      </x:c>
      <x:c r="S45" s="29" t="str"/>
    </x:row>
    <x:row r="46" ht="54" customHeight="1">
      <x:c r="A46" s="17" t="str">
        <x:v>csq003-r05</x:v>
      </x:c>
      <x:c r="B46" s="17" t="str">
        <x:v>csq003</x:v>
      </x:c>
      <x:c r="C46" s="17" t="str">
        <x:v>natural_language_processing</x:v>
      </x:c>
      <x:c r="D46" s="17" t="str">
        <x:v>hallucination_evaluation</x:v>
      </x:c>
      <x:c r="E46" s="27" t="str">
        <x:v>Which automatic and human evaluation methods are used to measure hallucination and factual consistency in large language models, and what evidence exists about their reliability?</x:v>
      </x:c>
      <x:c r="F46" s="22" t="n">
        <x:v>5</x:v>
      </x:c>
      <x:c r="G46" s="17" t="str">
        <x:v>arXiv:2402.13249</x:v>
      </x:c>
      <x:c r="H46" s="27" t="str">
        <x:v>TofuEval: Evaluating Hallucinations of LLMs on Topic-Focused Dialogue Summarization</x:v>
      </x:c>
      <x:c r="I46" s="17" t="str">
        <x:v>Liyan Tang; Igor Shalyminov; Amy Wing-mei Wong; Jon Burnsky; Jake W. Vincent; Yu'an Yang; Siffi Singh; Song Feng; Hwanjun Song; Hang Su; Lijia Sun; Yi Zhang; Saab Mansour; Kathleen McKeown</x:v>
      </x:c>
      <x:c r="J46" s="22" t="n">
        <x:v>2024</x:v>
      </x:c>
      <x:c r="K46" s="27" t="str">
        <x:v>Single document news summarization has seen substantial progress on faithfulness in recent years, driven by research on the evaluation of factual consistency, or hallucinations. We ask whether these advances carry over to other text summarization domains. We propose a new evaluation benchmark on topic-focused dialogue summarization, generated by LLMs of varying sizes. We provide binary sentence-level human annotations of the factual consistency of these summaries along with detailed explanations of factually inconsistent sentences. Our analysis shows that existing LLMs hallucinate significant amounts of factual errors in the dialogue domain, regardless of the model's size. On the other hand, when LLMs, including GPT-4, serve as binary factual evaluators, they perform poorly and can be outperformed by prevailing state-of-the-art specialized factuality evaluation metrics. Finally, we conducted an analysis of hallucination types with a curated error taxonomy. We find that there are diverse errors and error distributions in model-generated summaries and that non-LLM based metrics can capture all error types better than LLM-based evaluators.</x:v>
      </x:c>
      <x:c r="L46" s="17" t="str">
        <x:v>http://arxiv.org/abs/2402.13249v2</x:v>
      </x:c>
      <x:c r="M46" s="23" t="n">
        <x:v>0.8780902836048079</x:v>
      </x:c>
      <x:c r="N46" s="17" t="str">
        <x:v>qwen3-rerank-no-instruct-20260727-125006-results.jsonl</x:v>
      </x:c>
      <x:c r="O46" s="24" t="str">
        <x:v>2</x:v>
      </x:c>
      <x:c r="P46" s="28" t="str">
        <x:v>专门评估主题聚焦对话摘要的LLM幻觉。</x:v>
      </x:c>
      <x:c r="Q46" s="25" t="str"/>
      <x:c r="R46" s="24" t="str">
        <x:f>IF(Q46&lt;&gt;"",Q46,O46)</x:f>
        <x:v>2</x:v>
      </x:c>
      <x:c r="S46" s="29" t="str"/>
    </x:row>
    <x:row r="47" ht="54" customHeight="1">
      <x:c r="A47" s="17" t="str">
        <x:v>csq003-r06</x:v>
      </x:c>
      <x:c r="B47" s="17" t="str">
        <x:v>csq003</x:v>
      </x:c>
      <x:c r="C47" s="17" t="str">
        <x:v>natural_language_processing</x:v>
      </x:c>
      <x:c r="D47" s="17" t="str">
        <x:v>hallucination_evaluation</x:v>
      </x:c>
      <x:c r="E47" s="27" t="str">
        <x:v>Which automatic and human evaluation methods are used to measure hallucination and factual consistency in large language models, and what evidence exists about their reliability?</x:v>
      </x:c>
      <x:c r="F47" s="22" t="n">
        <x:v>6</x:v>
      </x:c>
      <x:c r="G47" s="17" t="str">
        <x:v>arXiv:2404.08008</x:v>
      </x:c>
      <x:c r="H47" s="27" t="str">
        <x:v>Sample-Efficient Human Evaluation of Large Language Models via Maximum Discrepancy Competition</x:v>
      </x:c>
      <x:c r="I47" s="17" t="str">
        <x:v>Kehua Feng; Keyan Ding; Hongzhi Tan; Kede Ma; Zhihua Wang; Shuangquan Guo; Yuzhou Cheng; Ge Sun; Guozhou Zheng; Qiang Zhang; Huajun Chen</x:v>
      </x:c>
      <x:c r="J47" s="22" t="n">
        <x:v>2024</x:v>
      </x:c>
      <x:c r="K47" s="27" t="str">
        <x:v>Reliable evaluation of large language models (LLMs) is impeded by two key challenges: objective metrics often fail to reflect human perception of natural language, and exhaustive human labeling is prohibitively expensive. Here, we propose a sample-efficient human evaluation method for LLMs based on the principle of MAximum Discrepancy (MAD) Competition. Our method automatically and adaptively selects a compact set of input instructions that maximize semantic discrepancy between pairs of LLM responses. Human evaluators then perform three-alternative forced choices on these paired responses, which are aggregated into a global ranking using Elo rating. We apply our approach to compare eight widely used LLMs across four tasks: scientific knowledge understanding, mathematical reasoning, creative and functional writing, and code generation and explanation. Experimental results show that our sample-efficient evaluation method recovers "gold-standard" model rankings with a handful of MAD-selected instructions, reveals respective strengths and weaknesses of each LLM, and offers nuanced insights to guide future LLM development. Code is available at https://github.com/weiji-Feng/MAD-Eval .</x:v>
      </x:c>
      <x:c r="L47" s="17" t="str">
        <x:v>http://arxiv.org/abs/2404.08008v2</x:v>
      </x:c>
      <x:c r="M47" s="23" t="n">
        <x:v>0.8435039567864825</x:v>
      </x:c>
      <x:c r="N47" s="17" t="str">
        <x:v>qwen3-rerank-no-instruct-20260727-125006-results.jsonl</x:v>
      </x:c>
      <x:c r="O47" s="24" t="str">
        <x:v>1</x:v>
      </x:c>
      <x:c r="P47" s="28" t="str">
        <x:v>改进LLM人工评价样本效率，但不专门测量事实性。</x:v>
      </x:c>
      <x:c r="Q47" s="25" t="str"/>
      <x:c r="R47" s="24" t="str">
        <x:f>IF(Q47&lt;&gt;"",Q47,O47)</x:f>
        <x:v>1</x:v>
      </x:c>
      <x:c r="S47" s="29" t="str"/>
    </x:row>
    <x:row r="48" ht="54" customHeight="1">
      <x:c r="A48" s="17" t="str">
        <x:v>csq003-r07</x:v>
      </x:c>
      <x:c r="B48" s="17" t="str">
        <x:v>csq003</x:v>
      </x:c>
      <x:c r="C48" s="17" t="str">
        <x:v>natural_language_processing</x:v>
      </x:c>
      <x:c r="D48" s="17" t="str">
        <x:v>hallucination_evaluation</x:v>
      </x:c>
      <x:c r="E48" s="27" t="str">
        <x:v>Which automatic and human evaluation methods are used to measure hallucination and factual consistency in large language models, and what evidence exists about their reliability?</x:v>
      </x:c>
      <x:c r="F48" s="22" t="n">
        <x:v>7</x:v>
      </x:c>
      <x:c r="G48" s="17" t="str">
        <x:v>arXiv:2311.00681</x:v>
      </x:c>
      <x:c r="H48" s="27" t="str">
        <x:v>Are Large Language Models Reliable Judges? A Study on the Factuality Evaluation Capabilities of LLMs</x:v>
      </x:c>
      <x:c r="I48" s="17" t="str">
        <x:v>Xue-Yong Fu; Md Tahmid Rahman Laskar; Cheng Chen; Shashi Bhushan TN</x:v>
      </x:c>
      <x:c r="J48" s="22" t="n">
        <x:v>2023</x:v>
      </x:c>
      <x:c r="K48" s="27" t="str">
        <x:v>In recent years, Large Language Models (LLMs) have gained immense attention due to their notable emergent capabilities, surpassing those seen in earlier language models. A particularly intriguing application of LLMs is their role as evaluators for texts produced by various generative models. In this study, we delve into the potential of LLMs as reliable assessors of factual consistency in summaries generated by text-generation models. Initially, we introduce an innovative approach for factuality assessment using LLMs. This entails employing a singular LLM for the entirety of the question-answering-based factuality scoring process. Following this, we examine the efficacy of various LLMs in direct factuality scoring, benchmarking them against traditional measures and human annotations. Contrary to initial expectations, our results indicate a lack of significant correlations between factuality metrics and human evaluations, specifically for GPT-4 and PaLM-2. Notable correlations were only observed with GPT-3.5 across two factuality subcategories. These consistent findings across various factual error categories suggest a fundamental limitation in the current LLMs' capability to accurately gauge factuality. This version presents the information more concisely while maintaining the main points and findings of the original text.</x:v>
      </x:c>
      <x:c r="L48" s="17" t="str">
        <x:v>http://arxiv.org/abs/2311.00681v1</x:v>
      </x:c>
      <x:c r="M48" s="23" t="n">
        <x:v>0.8208050703165866</x:v>
      </x:c>
      <x:c r="N48" s="17" t="str">
        <x:v>qwen3-rerank-no-instruct-20260727-125006-results.jsonl</x:v>
      </x:c>
      <x:c r="O48" s="24" t="str">
        <x:v>2</x:v>
      </x:c>
      <x:c r="P48" s="28" t="str">
        <x:v>比较LLM事实性裁判、传统指标和人工标注的相关性。</x:v>
      </x:c>
      <x:c r="Q48" s="25" t="str"/>
      <x:c r="R48" s="24" t="str">
        <x:f>IF(Q48&lt;&gt;"",Q48,O48)</x:f>
        <x:v>2</x:v>
      </x:c>
      <x:c r="S48" s="29" t="str"/>
    </x:row>
    <x:row r="49" ht="54" customHeight="1">
      <x:c r="A49" s="17" t="str">
        <x:v>csq003-r08</x:v>
      </x:c>
      <x:c r="B49" s="17" t="str">
        <x:v>csq003</x:v>
      </x:c>
      <x:c r="C49" s="17" t="str">
        <x:v>natural_language_processing</x:v>
      </x:c>
      <x:c r="D49" s="17" t="str">
        <x:v>hallucination_evaluation</x:v>
      </x:c>
      <x:c r="E49" s="27" t="str">
        <x:v>Which automatic and human evaluation methods are used to measure hallucination and factual consistency in large language models, and what evidence exists about their reliability?</x:v>
      </x:c>
      <x:c r="F49" s="22" t="n">
        <x:v>8</x:v>
      </x:c>
      <x:c r="G49" s="17" t="str">
        <x:v>arXiv:2503.08890</x:v>
      </x:c>
      <x:c r="H49" s="27" t="str">
        <x:v>PlainQAFact: Retrieval-augmented Factual Consistency Evaluation Metric for Biomedical Plain Language Summarization</x:v>
      </x:c>
      <x:c r="I49" s="17" t="str">
        <x:v>Zhiwen You; Yue Guo</x:v>
      </x:c>
      <x:c r="J49" s="22" t="n">
        <x:v>2025</x:v>
      </x:c>
      <x:c r="K49" s="27" t="str">
        <x:v>Hallucinated outputs from large language models (LLMs) pose risks in the medical domain, especially for lay audiences making health-related decisions. Existing automatic factual consistency evaluation methods, such as entailment- and question-answering (QA) -based, struggle with plain language summarization (PLS) due to elaborative explanation phenomenon, which introduces external content (e.g., definitions, background, examples) absent from the scientific abstract to enhance comprehension. To address this, we introduce PlainQAFact, an automatic factual consistency evaluation metric trained on a fine-grained, human-annotated dataset PlainFact, for evaluating factual consistency of both source-simplified and elaborately explained sentences. PlainQAFact first classifies sentence type, then applies a retrieval-augmented QA scoring method. Empirical results show that existing evaluation metrics fail to evaluate the factual consistency in PLS, especially for elaborative explanations, whereas PlainQAFact consistently outperforms them across all evaluation settings. We further analyze PlainQAFact's effectiveness across external knowledge sources, answer extraction strategies, answer overlap measures, and document granularity levels, refining its overall factual consistency assessment. Taken together, our work presents a sentence-aware, retrieval-augmented metric targeted at elaborative explanations in biomedical PLS tasks, providing the community with both a new benchmark and a practical evaluation tool to advance reliable and safe plain language communication in the medical domain. PlainQAFact and PlainFact are available at: https://github.com/zhiwenyou103/PlainQAFact</x:v>
      </x:c>
      <x:c r="L49" s="17" t="str">
        <x:v>http://arxiv.org/abs/2503.08890v4</x:v>
      </x:c>
      <x:c r="M49" s="23" t="n">
        <x:v>0.8168027841713601</x:v>
      </x:c>
      <x:c r="N49" s="17" t="str">
        <x:v>qwen3-rerank-no-instruct-20260727-125006-results.jsonl</x:v>
      </x:c>
      <x:c r="O49" s="24" t="str">
        <x:v>2</x:v>
      </x:c>
      <x:c r="P49" s="28" t="str">
        <x:v>提出生物医学简明摘要事实一致性自动指标及人工数据。</x:v>
      </x:c>
      <x:c r="Q49" s="25" t="str"/>
      <x:c r="R49" s="24" t="str">
        <x:f>IF(Q49&lt;&gt;"",Q49,O49)</x:f>
        <x:v>2</x:v>
      </x:c>
      <x:c r="S49" s="29" t="str"/>
    </x:row>
    <x:row r="50" ht="54" customHeight="1">
      <x:c r="A50" s="17" t="str">
        <x:v>csq003-r09</x:v>
      </x:c>
      <x:c r="B50" s="17" t="str">
        <x:v>csq003</x:v>
      </x:c>
      <x:c r="C50" s="17" t="str">
        <x:v>natural_language_processing</x:v>
      </x:c>
      <x:c r="D50" s="17" t="str">
        <x:v>hallucination_evaluation</x:v>
      </x:c>
      <x:c r="E50" s="27" t="str">
        <x:v>Which automatic and human evaluation methods are used to measure hallucination and factual consistency in large language models, and what evidence exists about their reliability?</x:v>
      </x:c>
      <x:c r="F50" s="22" t="n">
        <x:v>9</x:v>
      </x:c>
      <x:c r="G50" s="17" t="str">
        <x:v>arXiv:2512.21635</x:v>
      </x:c>
      <x:c r="H50" s="27" t="str">
        <x:v>Heaven-Sent or Hell-Bent? Benchmarking the Intelligence and Defectiveness of LLM Hallucinations</x:v>
      </x:c>
      <x:c r="I50" s="17" t="str">
        <x:v>Chengxu Yang; Jingling Yuan; Siqi Cai; Jiawei Jiang; Chuang Hu</x:v>
      </x:c>
      <x:c r="J50" s="22" t="n">
        <x:v>2025</x:v>
      </x:c>
      <x:c r="K50" s="27" t="str">
        <x:v>Hallucinations in large language models (LLMs) are commonly regarded as errors to be minimized. However, recent perspectives suggest that some hallucinations may encode creative or epistemically valuable content, a dimension that remains underquantified in current literature. Existing hallucination detection methods primarily focus on factual consistency, struggling to handle heterogeneous scientific tasks and balance creativity with accuracy. To address these challenges, we propose HIC-Bench, a novel evaluation framework that categorizes hallucinations into Intelligent Hallucinations (IH) and Defective Hallucinations (DH), enabling systematic investigation of their interplay in LLM creativity. HIC-Bench features three core characteristics: (1) Structured IH/DH Assessment. using a multi-dimensional metric matrix integrating Torrance Tests of Creative Thinking (TTCT) metrics (Originality, Feasibility, Value) with hallucination-specific dimensions (scientific plausibility, factual deviation); (2) Cross-Domain Applicability. spanning ten scientific domains with open-ended innovation tasks; and (3) Dynamic Prompt Optimization. leveraging the Dynamic Hallucination Prompt (DHP) to guide models toward creative and reliable outputs. The evaluation process employs multiple LLM judges, averaging scores to mitigate bias, with human annotators verifying IH/DH classifications. Experimental results reveal a nonlinear relationship between IH and DH, demonstrating that creativity and correctness can be jointly optimized. These insights position IH as a catalyst for creativity and reveal the ability of LLM hallucinations to drive scientific innovation.Additionally, the HIC-Bench offers a valuable platform for advancing research into the creative intelligence of LLM hallucinations.</x:v>
      </x:c>
      <x:c r="L50" s="17" t="str">
        <x:v>http://arxiv.org/abs/2512.21635v2</x:v>
      </x:c>
      <x:c r="M50" s="23" t="n">
        <x:v>0.8055455134096721</x:v>
      </x:c>
      <x:c r="N50" s="17" t="str">
        <x:v>qwen3-rerank-no-instruct-20260727-125006-results.jsonl</x:v>
      </x:c>
      <x:c r="O50" s="24" t="str">
        <x:v>2</x:v>
      </x:c>
      <x:c r="P50" s="28" t="str">
        <x:v>构建并分析LLM幻觉能力与缺陷的评测基准。</x:v>
      </x:c>
      <x:c r="Q50" s="25" t="str"/>
      <x:c r="R50" s="24" t="str">
        <x:f>IF(Q50&lt;&gt;"",Q50,O50)</x:f>
        <x:v>2</x:v>
      </x:c>
      <x:c r="S50" s="29" t="str"/>
    </x:row>
    <x:row r="51" ht="54" customHeight="1">
      <x:c r="A51" s="17" t="str">
        <x:v>csq003-r10</x:v>
      </x:c>
      <x:c r="B51" s="17" t="str">
        <x:v>csq003</x:v>
      </x:c>
      <x:c r="C51" s="17" t="str">
        <x:v>natural_language_processing</x:v>
      </x:c>
      <x:c r="D51" s="17" t="str">
        <x:v>hallucination_evaluation</x:v>
      </x:c>
      <x:c r="E51" s="27" t="str">
        <x:v>Which automatic and human evaluation methods are used to measure hallucination and factual consistency in large language models, and what evidence exists about their reliability?</x:v>
      </x:c>
      <x:c r="F51" s="22" t="n">
        <x:v>10</x:v>
      </x:c>
      <x:c r="G51" s="17" t="str">
        <x:v>arXiv:2310.06271</x:v>
      </x:c>
      <x:c r="H51" s="27" t="str">
        <x:v>Towards Mitigating Hallucination in Large Language Models via Self-Reflection</x:v>
      </x:c>
      <x:c r="I51" s="17" t="str">
        <x:v>Ziwei Ji; Tiezheng Yu; Yan Xu; Nayeon Lee; Etsuko Ishii; Pascale Fung</x:v>
      </x:c>
      <x:c r="J51" s="22" t="n">
        <x:v>2023</x:v>
      </x:c>
      <x:c r="K51" s="27" t="str">
        <x:v>Large language models (LLMs) have shown promise for generative and knowledge-intensive tasks including question-answering (QA) tasks. However, the practical deployment still faces challenges, notably the issue of "hallucination", where models generate plausible-sounding but unfaithful or nonsensical information. This issue becomes particularly critical in the medical domain due to the uncommon professional concepts and potential social risks involved. This paper analyses the phenomenon of hallucination in medical generative QA systems using widely adopted LLMs and datasets. Our investigation centers on the identification and comprehension of common problematic answers, with a specific emphasis on hallucination. To tackle this challenge, we present an interactive self-reflection methodology that incorporates knowledge acquisition and answer generation. Through this feedback process, our approach steadily enhances the factuality, consistency, and entailment of the generated answers. Consequently, we harness the interactivity and multitasking ability of LLMs and produce progressively more precise and accurate answers. Experimental results on both automatic and human evaluation demonstrate the superiority of our approach in hallucination reduction compared to baselines.</x:v>
      </x:c>
      <x:c r="L51" s="17" t="str">
        <x:v>http://arxiv.org/abs/2310.06271v1</x:v>
      </x:c>
      <x:c r="M51" s="23" t="n">
        <x:v>0.7880552826675338</x:v>
      </x:c>
      <x:c r="N51" s="17" t="str">
        <x:v>qwen3-rerank-no-instruct-20260727-125006-results.jsonl</x:v>
      </x:c>
      <x:c r="O51" s="24" t="str">
        <x:v>1</x:v>
      </x:c>
      <x:c r="P51" s="28" t="str">
        <x:v>核心是自反思缓解幻觉，自动和人评仅用于验证效果。</x:v>
      </x:c>
      <x:c r="Q51" s="25" t="str"/>
      <x:c r="R51" s="24" t="str">
        <x:f>IF(Q51&lt;&gt;"",Q51,O51)</x:f>
        <x:v>1</x:v>
      </x:c>
      <x:c r="S51" s="29" t="str"/>
    </x:row>
    <x:row r="52" ht="54" customHeight="1">
      <x:c r="A52" s="17" t="str">
        <x:v>csq003-r11</x:v>
      </x:c>
      <x:c r="B52" s="17" t="str">
        <x:v>csq003</x:v>
      </x:c>
      <x:c r="C52" s="17" t="str">
        <x:v>natural_language_processing</x:v>
      </x:c>
      <x:c r="D52" s="17" t="str">
        <x:v>hallucination_evaluation</x:v>
      </x:c>
      <x:c r="E52" s="27" t="str">
        <x:v>Which automatic and human evaluation methods are used to measure hallucination and factual consistency in large language models, and what evidence exists about their reliability?</x:v>
      </x:c>
      <x:c r="F52" s="22" t="n">
        <x:v>11</x:v>
      </x:c>
      <x:c r="G52" s="17" t="str">
        <x:v>arXiv:2404.06579</x:v>
      </x:c>
      <x:c r="H52" s="27" t="str">
        <x:v>Less is More for Improving Automatic Evaluation of Factual Consistency</x:v>
      </x:c>
      <x:c r="I52" s="17" t="str">
        <x:v>Tong Wang; Ninad Kulkarni; Yanjun Qi</x:v>
      </x:c>
      <x:c r="J52" s="22" t="n">
        <x:v>2024</x:v>
      </x:c>
      <x:c r="K52" s="27" t="str">
        <x:v>Assessing the factual consistency of automatically generated texts in relation to source context is crucial for developing reliable natural language generation applications. Recent literature proposes AlignScore which uses a unified alignment model to evaluate factual consistency and substantially outperforms previous methods across many benchmark tasks. In this paper, we take a closer look of datasets used in AlignScore and uncover an unexpected finding: utilizing a smaller number of data points can actually improve performance. We process the original AlignScore training dataset to remove noise, augment with robustness-enhanced samples, and utilize a subset comprising 10\% of the data to train an improved factual consistency evaluation model, we call LIM-RA (Less Is More for Robust AlignScore). LIM-RA demonstrates superior performance, consistently outperforming AlignScore and other strong baselines like ChatGPT across four benchmarks (two utilizing traditional natural language generation datasets and two focused on large language model outputs). Our experiments show that LIM-RA achieves the highest score on 24 of the 33 test datasets, while staying competitive on the rest, establishing the new state-of-the-art benchmarks.</x:v>
      </x:c>
      <x:c r="L52" s="17" t="str">
        <x:v>http://arxiv.org/abs/2404.06579v1</x:v>
      </x:c>
      <x:c r="M52" s="23" t="n">
        <x:v>0.7861201232641347</x:v>
      </x:c>
      <x:c r="N52" s="17" t="str">
        <x:v>qwen3-rerank-no-instruct-20260727-125006-results.jsonl</x:v>
      </x:c>
      <x:c r="O52" s="24" t="str">
        <x:v>2</x:v>
      </x:c>
      <x:c r="P52" s="28" t="str">
        <x:v>直接改进并检验事实一致性自动评价方法。</x:v>
      </x:c>
      <x:c r="Q52" s="25" t="str"/>
      <x:c r="R52" s="24" t="str">
        <x:f>IF(Q52&lt;&gt;"",Q52,O52)</x:f>
        <x:v>2</x:v>
      </x:c>
      <x:c r="S52" s="29" t="str"/>
    </x:row>
    <x:row r="53" ht="54" customHeight="1">
      <x:c r="A53" s="17" t="str">
        <x:v>csq003-r12</x:v>
      </x:c>
      <x:c r="B53" s="17" t="str">
        <x:v>csq003</x:v>
      </x:c>
      <x:c r="C53" s="17" t="str">
        <x:v>natural_language_processing</x:v>
      </x:c>
      <x:c r="D53" s="17" t="str">
        <x:v>hallucination_evaluation</x:v>
      </x:c>
      <x:c r="E53" s="27" t="str">
        <x:v>Which automatic and human evaluation methods are used to measure hallucination and factual consistency in large language models, and what evidence exists about their reliability?</x:v>
      </x:c>
      <x:c r="F53" s="22" t="n">
        <x:v>12</x:v>
      </x:c>
      <x:c r="G53" s="17" t="str">
        <x:v>arXiv:2305.11747</x:v>
      </x:c>
      <x:c r="H53" s="27" t="str">
        <x:v>HaluEval: A Large-Scale Hallucination Evaluation Benchmark for Large Language Models</x:v>
      </x:c>
      <x:c r="I53" s="17" t="str">
        <x:v>Junyi Li; Xiaoxue Cheng; Wayne Xin Zhao; Jian-Yun Nie; Ji-Rong Wen</x:v>
      </x:c>
      <x:c r="J53" s="22" t="n">
        <x:v>2023</x:v>
      </x:c>
      <x:c r="K53" s="27" t="str">
        <x:v>Large language models (LLMs), such as ChatGPT, are prone to generate hallucinations, i.e., content that conflicts with the source or cannot be verified by the factual knowledge. To understand what types of content and to which extent LLMs are apt to hallucinate, we introduce the Hallucination Evaluation benchmark for Large Language Models (HaluEval), a large collection of generated and human-annotated hallucinated samples for evaluating the performance of LLMs in recognizing hallucination. To generate these samples, we propose a ChatGPT-based two-step framework, i.e., sampling-then-filtering. Besides, we also hire some human labelers to annotate the hallucinations in ChatGPT responses. The empirical results suggest that ChatGPT is likely to generate hallucinated content in specific topics by fabricating unverifiable information (i.e., about $19.5\%$ responses). Moreover, existing LLMs face great challenges in recognizing the hallucinations in texts. However, our experiments also prove that providing external knowledge or adding reasoning steps can help LLMs recognize hallucinations. Our benchmark can be accessed at https://github.com/RUCAIBox/HaluEval.</x:v>
      </x:c>
      <x:c r="L53" s="17" t="str">
        <x:v>http://arxiv.org/abs/2305.11747v3</x:v>
      </x:c>
      <x:c r="M53" s="23" t="n">
        <x:v>0.7860248755532213</x:v>
      </x:c>
      <x:c r="N53" s="17" t="str">
        <x:v>qwen3-rerank-no-instruct-20260727-125006-results.jsonl</x:v>
      </x:c>
      <x:c r="O53" s="24" t="str">
        <x:v>2</x:v>
      </x:c>
      <x:c r="P53" s="28" t="str">
        <x:v>HaluEval是大规模LLM幻觉评价基准。</x:v>
      </x:c>
      <x:c r="Q53" s="25" t="str"/>
      <x:c r="R53" s="24" t="str">
        <x:f>IF(Q53&lt;&gt;"",Q53,O53)</x:f>
        <x:v>2</x:v>
      </x:c>
      <x:c r="S53" s="29" t="str"/>
    </x:row>
    <x:row r="54" ht="54" customHeight="1">
      <x:c r="A54" s="17" t="str">
        <x:v>csq003-r13</x:v>
      </x:c>
      <x:c r="B54" s="17" t="str">
        <x:v>csq003</x:v>
      </x:c>
      <x:c r="C54" s="17" t="str">
        <x:v>natural_language_processing</x:v>
      </x:c>
      <x:c r="D54" s="17" t="str">
        <x:v>hallucination_evaluation</x:v>
      </x:c>
      <x:c r="E54" s="27" t="str">
        <x:v>Which automatic and human evaluation methods are used to measure hallucination and factual consistency in large language models, and what evidence exists about their reliability?</x:v>
      </x:c>
      <x:c r="F54" s="22" t="n">
        <x:v>13</x:v>
      </x:c>
      <x:c r="G54" s="17" t="str">
        <x:v>arXiv:2510.13852</x:v>
      </x:c>
      <x:c r="H54" s="27" t="str">
        <x:v>ConsistencyAI: A Benchmark to Assess LLMs' Factual Consistency When Responding to Different Demographic Groups</x:v>
      </x:c>
      <x:c r="I54" s="17" t="str">
        <x:v>Peter Banyas; Shristi Sharma; Alistair Simmons; Atharva Vispute</x:v>
      </x:c>
      <x:c r="J54" s="22" t="n">
        <x:v>2025</x:v>
      </x:c>
      <x:c r="K54" s="27" t="str">
        <x:v>Is an LLM telling you different facts than it's telling me? This paper introduces ConsistencyAI, an independent benchmark for measuring the factual consistency of large language models (LLMs) for different personas. ConsistencyAI tests whether, when users of different demographics ask identical questions, the model responds with factually inconsistent answers. Designed without involvement from LLM providers, this benchmark offers impartial evaluation and accountability. In our experiment, we queried 19 LLMs with prompts that requested 5 facts for each of 15 topics. We repeated this query 100 times for each LLM, each time adding prompt context from a different persona selected from a subset of personas modeling the general population. We processed the responses into sentence embeddings, computed cross-persona cosine similarity, and computed the weighted average of cross-persona cosine similarity to calculate factual consistency scores. In 100-persona experiments, scores ranged from 0.9065 to 0.7896, and the mean was 0.8656, which we adopt as a benchmark threshold. xAI's Grok-3 is most consistent, while several lightweight models rank lowest. Consistency varies by topic: the job market is least consistent, G7 world leaders most consistent, and issues like vaccines or the Israeli-Palestinian conflict diverge by provider. These results show that both the provider and the topic shape the factual consistency. We release our code and interactive demo to support reproducible evaluation and encourage persona-invariant prompting strategies.</x:v>
      </x:c>
      <x:c r="L54" s="17" t="str">
        <x:v>http://arxiv.org/abs/2510.13852v2</x:v>
      </x:c>
      <x:c r="M54" s="23" t="n">
        <x:v>0.7812225556355312</x:v>
      </x:c>
      <x:c r="N54" s="17" t="str">
        <x:v>qwen3-rerank-no-instruct-20260727-125006-results.jsonl</x:v>
      </x:c>
      <x:c r="O54" s="24" t="str">
        <x:v>2</x:v>
      </x:c>
      <x:c r="P54" s="28" t="str">
        <x:v>以跨人口角色回答差异测量LLM事实一致性。</x:v>
      </x:c>
      <x:c r="Q54" s="25" t="str"/>
      <x:c r="R54" s="24" t="str">
        <x:f>IF(Q54&lt;&gt;"",Q54,O54)</x:f>
        <x:v>2</x:v>
      </x:c>
      <x:c r="S54" s="29" t="str"/>
    </x:row>
    <x:row r="55" ht="54" customHeight="1">
      <x:c r="A55" s="17" t="str">
        <x:v>csq003-r14</x:v>
      </x:c>
      <x:c r="B55" s="17" t="str">
        <x:v>csq003</x:v>
      </x:c>
      <x:c r="C55" s="17" t="str">
        <x:v>natural_language_processing</x:v>
      </x:c>
      <x:c r="D55" s="17" t="str">
        <x:v>hallucination_evaluation</x:v>
      </x:c>
      <x:c r="E55" s="27" t="str">
        <x:v>Which automatic and human evaluation methods are used to measure hallucination and factual consistency in large language models, and what evidence exists about their reliability?</x:v>
      </x:c>
      <x:c r="F55" s="22" t="n">
        <x:v>14</x:v>
      </x:c>
      <x:c r="G55" s="17" t="str">
        <x:v>arXiv:2412.00543</x:v>
      </x:c>
      <x:c r="H55" s="27" t="str">
        <x:v>Evaluating the Consistency of LLM Evaluators</x:v>
      </x:c>
      <x:c r="I55" s="17" t="str">
        <x:v>Noah Lee; Jiwoo Hong; James Thorne</x:v>
      </x:c>
      <x:c r="J55" s="22" t="n">
        <x:v>2024</x:v>
      </x:c>
      <x:c r="K55" s="27" t="str">
        <x:v>Large language models (LLMs) have shown potential as general evaluators along with the evident benefits of speed and cost. While their correlation against human annotators has been widely studied, consistency as evaluators is still understudied, raising concerns about the reliability of LLM evaluators. In this paper, we conduct extensive studies on the two aspects of consistency in LLM evaluations, Self-Consistency (SC) and Inter-scale Consistency (IC), on different scoring scales and criterion granularity with open-source and proprietary models. Our comprehensive analysis demonstrates that strong proprietary models are not necessarily consistent evaluators, highlighting the importance of considering consistency in assessing the capability of LLM evaluators.</x:v>
      </x:c>
      <x:c r="L55" s="17" t="str">
        <x:v>http://arxiv.org/abs/2412.00543v1</x:v>
      </x:c>
      <x:c r="M55" s="23" t="n">
        <x:v>0.7798121401405634</x:v>
      </x:c>
      <x:c r="N55" s="17" t="str">
        <x:v>qwen3-rerank-no-instruct-20260727-125006-results.jsonl</x:v>
      </x:c>
      <x:c r="O55" s="24" t="str">
        <x:v>1</x:v>
      </x:c>
      <x:c r="P55" s="28" t="str">
        <x:v>评估LLM评价器自身一致性，非事实一致性专门指标。</x:v>
      </x:c>
      <x:c r="Q55" s="25" t="str"/>
      <x:c r="R55" s="24" t="str">
        <x:f>IF(Q55&lt;&gt;"",Q55,O55)</x:f>
        <x:v>1</x:v>
      </x:c>
      <x:c r="S55" s="29" t="str"/>
    </x:row>
    <x:row r="56" ht="54" customHeight="1">
      <x:c r="A56" s="17" t="str">
        <x:v>csq003-r15</x:v>
      </x:c>
      <x:c r="B56" s="17" t="str">
        <x:v>csq003</x:v>
      </x:c>
      <x:c r="C56" s="17" t="str">
        <x:v>natural_language_processing</x:v>
      </x:c>
      <x:c r="D56" s="17" t="str">
        <x:v>hallucination_evaluation</x:v>
      </x:c>
      <x:c r="E56" s="27" t="str">
        <x:v>Which automatic and human evaluation methods are used to measure hallucination and factual consistency in large language models, and what evidence exists about their reliability?</x:v>
      </x:c>
      <x:c r="F56" s="22" t="n">
        <x:v>15</x:v>
      </x:c>
      <x:c r="G56" s="17" t="str">
        <x:v>arXiv:2502.13622</x:v>
      </x:c>
      <x:c r="H56" s="27" t="str">
        <x:v>REFIND at SemEval-2025 Task 3: Retrieval-Augmented Factuality Hallucination Detection in Large Language Models</x:v>
      </x:c>
      <x:c r="I56" s="17" t="str">
        <x:v>DongGeon Lee; Hwanjo Yu</x:v>
      </x:c>
      <x:c r="J56" s="22" t="n">
        <x:v>2025</x:v>
      </x:c>
      <x:c r="K56" s="27" t="str">
        <x:v>Hallucinations in large language model (LLM) outputs severely limit their reliability in knowledge-intensive tasks such as question answering. To address this challenge, we introduce REFIND (Retrieval-augmented Factuality hallucINation Detection), a novel framework that detects hallucinated spans within LLM outputs by directly leveraging retrieved documents. As part of the REFIND, we propose the Context Sensitivity Ratio (CSR), a novel metric that quantifies the sensitivity of LLM outputs to retrieved evidence. This innovative approach enables REFIND to efficiently and accurately detect hallucinations, setting it apart from existing methods. In the evaluation, REFIND demonstrated robustness across nine languages, including low-resource settings, and significantly outperformed baseline models, achieving superior IoU scores in identifying hallucinated spans. This work highlights the effectiveness of quantifying context sensitivity for hallucination detection, thereby paving the way for more reliable and trustworthy LLM applications across diverse languages. Our code is available at https://github.com/oneonlee/REFIND.</x:v>
      </x:c>
      <x:c r="L56" s="17" t="str">
        <x:v>http://arxiv.org/abs/2502.13622v2</x:v>
      </x:c>
      <x:c r="M56" s="23" t="n">
        <x:v>0.7717227691806527</x:v>
      </x:c>
      <x:c r="N56" s="17" t="str">
        <x:v>qwen3-rerank-no-instruct-20260727-125006-results.jsonl</x:v>
      </x:c>
      <x:c r="O56" s="24" t="str">
        <x:v>2</x:v>
      </x:c>
      <x:c r="P56" s="28" t="str">
        <x:v>以检索增强方法直接检测LLM事实性幻觉。</x:v>
      </x:c>
      <x:c r="Q56" s="25" t="str"/>
      <x:c r="R56" s="24" t="str">
        <x:f>IF(Q56&lt;&gt;"",Q56,O56)</x:f>
        <x:v>2</x:v>
      </x:c>
      <x:c r="S56" s="29" t="str"/>
    </x:row>
    <x:row r="57" ht="54" customHeight="1">
      <x:c r="A57" s="17" t="str">
        <x:v>csq003-r16</x:v>
      </x:c>
      <x:c r="B57" s="17" t="str">
        <x:v>csq003</x:v>
      </x:c>
      <x:c r="C57" s="17" t="str">
        <x:v>natural_language_processing</x:v>
      </x:c>
      <x:c r="D57" s="17" t="str">
        <x:v>hallucination_evaluation</x:v>
      </x:c>
      <x:c r="E57" s="27" t="str">
        <x:v>Which automatic and human evaluation methods are used to measure hallucination and factual consistency in large language models, and what evidence exists about their reliability?</x:v>
      </x:c>
      <x:c r="F57" s="22" t="n">
        <x:v>16</x:v>
      </x:c>
      <x:c r="G57" s="17" t="str">
        <x:v>arXiv:2506.06539</x:v>
      </x:c>
      <x:c r="H57" s="27" t="str">
        <x:v>Beyond Facts: Evaluating Intent Hallucination in Large Language Models</x:v>
      </x:c>
      <x:c r="I57" s="17" t="str">
        <x:v>Yijie Hao; Haofei Yu; Jiaxuan You</x:v>
      </x:c>
      <x:c r="J57" s="22" t="n">
        <x:v>2025</x:v>
      </x:c>
      <x:c r="K57" s="27" t="str">
        <x:v>When exposed to complex queries containing multiple conditions, today's large language models (LLMs) tend to produce responses that only partially satisfy the query while neglecting certain conditions. We therefore introduce the concept of Intent Hallucination. In this phenomenon, LLMs either omit (neglecting to address certain parts) or misinterpret (responding to invented query parts) elements of the given query, leading to intent hallucinated generation. To systematically evaluate intent hallucination, we introduce FAITHQA, a novel benchmark for intent hallucination that contains 20,068 problems, covering both query-only and retrieval-augmented generation (RAG) setups with varying topics and difficulty. FAITHQA is the first hallucination benchmark that goes beyond factual verification, tailored to identify the fundamental cause of intent hallucination. By evaluating various LLMs on FAITHQA, we find that (1) intent hallucination is a common issue even for state-of-the-art models, and (2) the phenomenon stems from omission or misinterpretation of LLMs. To facilitate future research, we introduce an automatic LLM generation evaluation metric, CONSTRAINT SCORE, for detecting intent hallucination. Human evaluation results demonstrate that CONSTRAINT SCORE is closer to human performance for intent hallucination compared to baselines.</x:v>
      </x:c>
      <x:c r="L57" s="17" t="str">
        <x:v>http://arxiv.org/abs/2506.06539v1</x:v>
      </x:c>
      <x:c r="M57" s="23" t="n">
        <x:v>0.7542713082807234</x:v>
      </x:c>
      <x:c r="N57" s="17" t="str">
        <x:v>qwen3-rerank-no-instruct-20260727-125006-results.jsonl</x:v>
      </x:c>
      <x:c r="O57" s="24" t="str">
        <x:v>2</x:v>
      </x:c>
      <x:c r="P57" s="28" t="str">
        <x:v>提出意图幻觉基准、自动约束分数及人工验证。</x:v>
      </x:c>
      <x:c r="Q57" s="25" t="str"/>
      <x:c r="R57" s="24" t="str">
        <x:f>IF(Q57&lt;&gt;"",Q57,O57)</x:f>
        <x:v>2</x:v>
      </x:c>
      <x:c r="S57" s="29" t="str"/>
    </x:row>
    <x:row r="58" ht="54" customHeight="1">
      <x:c r="A58" s="17" t="str">
        <x:v>csq003-r17</x:v>
      </x:c>
      <x:c r="B58" s="17" t="str">
        <x:v>csq003</x:v>
      </x:c>
      <x:c r="C58" s="17" t="str">
        <x:v>natural_language_processing</x:v>
      </x:c>
      <x:c r="D58" s="17" t="str">
        <x:v>hallucination_evaluation</x:v>
      </x:c>
      <x:c r="E58" s="27" t="str">
        <x:v>Which automatic and human evaluation methods are used to measure hallucination and factual consistency in large language models, and what evidence exists about their reliability?</x:v>
      </x:c>
      <x:c r="F58" s="22" t="n">
        <x:v>17</x:v>
      </x:c>
      <x:c r="G58" s="17" t="str">
        <x:v>arXiv:2411.19203</x:v>
      </x:c>
      <x:c r="H58" s="27" t="str">
        <x:v>An Extensive Evaluation of Factual Consistency in Large Language Models for Data-to-Text Generation</x:v>
      </x:c>
      <x:c r="I58" s="17" t="str">
        <x:v>Joy Mahapatra; Utpal Garain</x:v>
      </x:c>
      <x:c r="J58" s="22" t="n">
        <x:v>2024</x:v>
      </x:c>
      <x:c r="K58" s="27" t="str">
        <x:v>Large Language Models (LLMs) have shown exceptional performance across various Data-to-Text Generation (DTG) tasks. However, generating factually consistent text in DTG remains challenging for LLMs. Despite this, in-depth evaluations of LLM factual consistency for DTG remain missing in the current literature. This paper addresses this gap by providing an extensive evaluation of factual consistency in LLMs for DTG. Our evaluation covers five widely used DTG datasets (E2E, ViGGo, WikiTableText, DART, and WebNLG) and five prominent LLM families (T5, BART, OPT, BLOOM, and Llama 2). To ensure a thorough evaluation of factual consistency, we use four state-of-the-art automatic metrics and include essential human assessments. Our extensive evaluations reveals three key findings regarding factual consistency in LLMs for DTG. First, Llama 2 often excels in generating factually consistent text, although smaller models like T5 and BART can achieve strong factual consistency on larger, lexically less-diverse datasets. Second, the average rate of change (AROC) indicates that increasing model size (number of model trainable parameters) generally enhances factual consistency of LLMs in DTG. Third, we observe that source-reference divergence (i.e., when the reference text diverges semantically from the source) typically reduces the factual consistency of LLMs in DTG.</x:v>
      </x:c>
      <x:c r="L58" s="17" t="str">
        <x:v>http://arxiv.org/abs/2411.19203v1</x:v>
      </x:c>
      <x:c r="M58" s="23" t="n">
        <x:v>0.7533180147427073</x:v>
      </x:c>
      <x:c r="N58" s="17" t="str">
        <x:v>qwen3-rerank-no-instruct-20260727-125006-results.jsonl</x:v>
      </x:c>
      <x:c r="O58" s="24" t="str">
        <x:v>2</x:v>
      </x:c>
      <x:c r="P58" s="28" t="str">
        <x:v>联合自动指标与人工评估系统研究数据到文本事实一致性。</x:v>
      </x:c>
      <x:c r="Q58" s="25" t="str"/>
      <x:c r="R58" s="24" t="str">
        <x:f>IF(Q58&lt;&gt;"",Q58,O58)</x:f>
        <x:v>2</x:v>
      </x:c>
      <x:c r="S58" s="29" t="str"/>
    </x:row>
    <x:row r="59" ht="54" customHeight="1">
      <x:c r="A59" s="17" t="str">
        <x:v>csq003-r18</x:v>
      </x:c>
      <x:c r="B59" s="17" t="str">
        <x:v>csq003</x:v>
      </x:c>
      <x:c r="C59" s="17" t="str">
        <x:v>natural_language_processing</x:v>
      </x:c>
      <x:c r="D59" s="17" t="str">
        <x:v>hallucination_evaluation</x:v>
      </x:c>
      <x:c r="E59" s="27" t="str">
        <x:v>Which automatic and human evaluation methods are used to measure hallucination and factual consistency in large language models, and what evidence exists about their reliability?</x:v>
      </x:c>
      <x:c r="F59" s="22" t="n">
        <x:v>18</x:v>
      </x:c>
      <x:c r="G59" s="17" t="str">
        <x:v>arXiv:2405.18638</x:v>
      </x:c>
      <x:c r="H59" s="27" t="str">
        <x:v>ConSiDERS-The-Human Evaluation Framework: Rethinking Human Evaluation for Generative Large Language Models</x:v>
      </x:c>
      <x:c r="I59" s="17" t="str">
        <x:v>Aparna Elangovan; Ling Liu; Lei Xu; Sravan Bodapati; Dan Roth</x:v>
      </x:c>
      <x:c r="J59" s="22" t="n">
        <x:v>2024</x:v>
      </x:c>
      <x:c r="K59" s="27" t="str">
        <x:v>In this position paper, we argue that human evaluation of generative large language models (LLMs) should be a multidisciplinary undertaking that draws upon insights from disciplines such as user experience research and human behavioral psychology to ensure that the experimental design and results are reliable. The conclusions from these evaluations, thus, must consider factors such as usability, aesthetics, and cognitive biases. We highlight how cognitive biases can conflate fluent information and truthfulness, and how cognitive uncertainty affects the reliability of rating scores such as Likert. Furthermore, the evaluation should differentiate the capabilities and weaknesses of increasingly powerful large language models -- which requires effective test sets. The scalability of human evaluation is also crucial to wider adoption. Hence, to design an effective human evaluation system in the age of generative NLP, we propose the ConSiDERS-The-Human evaluation framework consisting of 6 pillars -- Consistency, Scoring Criteria, Differentiating, User Experience, Responsible, and Scalability.</x:v>
      </x:c>
      <x:c r="L59" s="17" t="str">
        <x:v>http://arxiv.org/abs/2405.18638v2</x:v>
      </x:c>
      <x:c r="M59" s="23" t="n">
        <x:v>0.7363878120577457</x:v>
      </x:c>
      <x:c r="N59" s="17" t="str">
        <x:v>qwen3-rerank-no-instruct-20260727-125006-results.jsonl</x:v>
      </x:c>
      <x:c r="O59" s="24" t="str">
        <x:v>1</x:v>
      </x:c>
      <x:c r="P59" s="28" t="str">
        <x:v>提出通用人评可靠性框架，可支持事实性人评设计。</x:v>
      </x:c>
      <x:c r="Q59" s="25" t="str"/>
      <x:c r="R59" s="24" t="str">
        <x:f>IF(Q59&lt;&gt;"",Q59,O59)</x:f>
        <x:v>1</x:v>
      </x:c>
      <x:c r="S59" s="29" t="str"/>
    </x:row>
    <x:row r="60" ht="54" customHeight="1">
      <x:c r="A60" s="17" t="str">
        <x:v>csq003-r19</x:v>
      </x:c>
      <x:c r="B60" s="17" t="str">
        <x:v>csq003</x:v>
      </x:c>
      <x:c r="C60" s="17" t="str">
        <x:v>natural_language_processing</x:v>
      </x:c>
      <x:c r="D60" s="17" t="str">
        <x:v>hallucination_evaluation</x:v>
      </x:c>
      <x:c r="E60" s="27" t="str">
        <x:v>Which automatic and human evaluation methods are used to measure hallucination and factual consistency in large language models, and what evidence exists about their reliability?</x:v>
      </x:c>
      <x:c r="F60" s="22" t="n">
        <x:v>19</x:v>
      </x:c>
      <x:c r="G60" s="17" t="str">
        <x:v>arXiv:2403.18802</x:v>
      </x:c>
      <x:c r="H60" s="27" t="str">
        <x:v>Long-form factuality in large language models</x:v>
      </x:c>
      <x:c r="I60" s="17" t="str">
        <x:v>Jerry Wei; Chengrun Yang; Xinying Song; Yifeng Lu; Nathan Hu; Jie Huang; Dustin Tran; Daiyi Peng; Ruibo Liu; Da Huang; Cosmo Du; Quoc V. Le</x:v>
      </x:c>
      <x:c r="J60" s="22" t="n">
        <x:v>2024</x:v>
      </x:c>
      <x:c r="K60" s="27" t="str">
        <x:v>Large language models (LLMs) often generate content that contains factual errors when responding to fact-seeking prompts on open-ended topics. To benchmark a model's long-form factuality in open domains, we first use GPT-4 to generate LongFact, a prompt set comprising thousands of questions spanning 38 topics. We then propose that LLM agents can be used as automated evaluators for long-form factuality through a method which we call Search-Augmented Factuality Evaluator (SAFE). SAFE utilizes an LLM to break down a long-form response into a set of individual facts and to evaluate the accuracy of each fact using a multi-step reasoning process comprising sending search queries to Google Search and determining whether a fact is supported by the search results. Furthermore, we propose extending F1 score as an aggregated metric for long-form factuality. To do so, we balance the percentage of supported facts in a response (precision) with the percentage of provided facts relative to a hyperparameter representing a user's preferred response length (recall). Empirically, we demonstrate that LLM agents can outperform crowdsourced human annotators - on a set of ~16k individual facts, SAFE agrees with crowdsourced human annotators 72% of the time, and on a random subset of 100 disagreement cases, SAFE wins 76% of the time. At the same time, SAFE is more than 20 times cheaper than human annotators. We also benchmark thirteen language models on LongFact across four model families (Gemini, GPT, Claude, and PaLM-2), finding that larger language models generally achieve better long-form factuality. LongFact, SAFE, and all experimental code are available at https://github.com/google-deepmind/long-form-factuality.</x:v>
      </x:c>
      <x:c r="L60" s="17" t="str">
        <x:v>http://arxiv.org/abs/2403.18802v4</x:v>
      </x:c>
      <x:c r="M60" s="23" t="n">
        <x:v>0.7314920830034256</x:v>
      </x:c>
      <x:c r="N60" s="17" t="str">
        <x:v>qwen3-rerank-no-instruct-20260727-125006-results.jsonl</x:v>
      </x:c>
      <x:c r="O60" s="24" t="str">
        <x:v>2</x:v>
      </x:c>
      <x:c r="P60" s="28" t="str">
        <x:v>提出搜索增强长文本事实性评估并与众包人工比较。</x:v>
      </x:c>
      <x:c r="Q60" s="25" t="str"/>
      <x:c r="R60" s="24" t="str">
        <x:f>IF(Q60&lt;&gt;"",Q60,O60)</x:f>
        <x:v>2</x:v>
      </x:c>
      <x:c r="S60" s="29" t="str"/>
    </x:row>
    <x:row r="61" ht="54" customHeight="1">
      <x:c r="A61" s="17" t="str">
        <x:v>csq003-r20</x:v>
      </x:c>
      <x:c r="B61" s="17" t="str">
        <x:v>csq003</x:v>
      </x:c>
      <x:c r="C61" s="17" t="str">
        <x:v>natural_language_processing</x:v>
      </x:c>
      <x:c r="D61" s="17" t="str">
        <x:v>hallucination_evaluation</x:v>
      </x:c>
      <x:c r="E61" s="27" t="str">
        <x:v>Which automatic and human evaluation methods are used to measure hallucination and factual consistency in large language models, and what evidence exists about their reliability?</x:v>
      </x:c>
      <x:c r="F61" s="22" t="n">
        <x:v>20</x:v>
      </x:c>
      <x:c r="G61" s="17" t="str">
        <x:v>arXiv:2305.11171</x:v>
      </x:c>
      <x:c r="H61" s="27" t="str">
        <x:v>TrueTeacher: Learning Factual Consistency Evaluation with Large Language Models</x:v>
      </x:c>
      <x:c r="I61" s="17" t="str">
        <x:v>Zorik Gekhman; Jonathan Herzig; Roee Aharoni; Chen Elkind; Idan Szpektor</x:v>
      </x:c>
      <x:c r="J61" s="22" t="n">
        <x:v>2023</x:v>
      </x:c>
      <x:c r="K61" s="27" t="str">
        <x:v>Factual consistency evaluation is often conducted using Natural Language Inference (NLI) models, yet these models exhibit limited success in evaluating summaries. Previous work improved such models with synthetic training data. However, the data is typically based on perturbed human-written summaries, which often differ in their characteristics from real model-generated summaries and have limited coverage of possible factual errors. Alternatively, large language models (LLMs) have recently shown promising results in directly evaluating generative tasks, but are too computationally expensive for practical use. Motivated by these limitations, we introduce TrueTeacher, a method for generating synthetic data by annotating diverse model-generated summaries using a LLM. Unlike prior work, TrueTeacher does not rely on human-written summaries, and is multilingual by nature. Experiments on the TRUE benchmark show that a student model trained using our data, substantially outperforms both the state-of-the-art model with similar capacity, and the LLM teacher. In a systematic study, we compare TrueTeacher to existing synthetic data generation methods and demonstrate its superiority and robustness to domain-shift. We also show that our method generalizes to multilingual scenarios. Lastly, we release our large scale synthetic dataset (1.4M examples), generated using TrueTeacher, and a checkpoint trained on this data.</x:v>
      </x:c>
      <x:c r="L61" s="17" t="str">
        <x:v>http://arxiv.org/abs/2305.11171v3</x:v>
      </x:c>
      <x:c r="M61" s="23" t="n">
        <x:v>0.7219572380723577</x:v>
      </x:c>
      <x:c r="N61" s="17" t="str">
        <x:v>qwen3-rerank-no-instruct-20260727-125006-results.jsonl</x:v>
      </x:c>
      <x:c r="O61" s="24" t="str">
        <x:v>2</x:v>
      </x:c>
      <x:c r="P61" s="28" t="str">
        <x:v>用LLM生成监督训练事实一致性评价器。</x:v>
      </x:c>
      <x:c r="Q61" s="25" t="str"/>
      <x:c r="R61" s="24" t="str">
        <x:f>IF(Q61&lt;&gt;"",Q61,O61)</x:f>
        <x:v>2</x:v>
      </x:c>
      <x:c r="S61" s="29" t="str"/>
    </x:row>
    <x:row r="62" ht="54" customHeight="1">
      <x:c r="A62" s="17" t="str">
        <x:v>csq004-r01</x:v>
      </x:c>
      <x:c r="B62" s="17" t="str">
        <x:v>csq004</x:v>
      </x:c>
      <x:c r="C62" s="17" t="str">
        <x:v>natural_language_processing</x:v>
      </x:c>
      <x:c r="D62" s="17" t="str">
        <x:v>llm_as_a_judge</x:v>
      </x:c>
      <x:c r="E62" s="27" t="str">
        <x:v>What limitations and biases have been identified in LLM-as-a-judge evaluation, and which mitigation strategies have been proposed?</x:v>
      </x:c>
      <x:c r="F62" s="22" t="n">
        <x:v>1</x:v>
      </x:c>
      <x:c r="G62" s="17" t="str">
        <x:v>arXiv:2509.21117</x:v>
      </x:c>
      <x:c r="H62" s="27" t="str">
        <x:v>TrustJudge: Inconsistencies of LLM-as-a-Judge and How to Alleviate Them</x:v>
      </x:c>
      <x:c r="I62" s="17" t="str">
        <x:v>Yidong Wang; Yunze Song; Tingyuan Zhu; Xuanwang Zhang; Zhuohao Yu; Hao Chen; Chiyu Song; Qiufeng Wang; Cunxiang Wang; Zhen Wu; Xinyu Dai; Yue Zhang; Wei Ye; Shikun Zhang</x:v>
      </x:c>
      <x:c r="J62" s="22" t="n">
        <x:v>2025</x:v>
      </x:c>
      <x:c r="K62" s="27" t="str">
        <x:v>The adoption of Large Language Models (LLMs) as automated evaluators (LLM-as-a-judge) has revealed critical inconsistencies in current evaluation frameworks. We identify two fundamental types of inconsistencies: (1) Score-Comparison Inconsistency, where lower-rated responses outperform higher-scored ones in pairwise comparisons, and (2) Pairwise Transitivity Inconsistency, manifested through circular preference chains (A&gt;B&gt;C&gt;A) and equivalence contradictions (A=B=C\neq A). We argue that these issues come from information loss in discrete rating systems and ambiguous tie judgments during pairwise evaluation. We propose TrustJudge, a probabilistic framework that addresses these limitations through two key innovations: 1) distribution-sensitive scoring that computes continuous expectations from discrete rating probabilities, preserving information entropy for more precise scoring, and 2) likelihood-aware aggregation that resolves transitivity violations using bidirectional preference probabilities or perplexity. We also formalize the theoretical limitations of current LLM-as-a-judge frameworks and demonstrate how TrustJudge's components overcome them. When evaluated with Llama-3.1-70B-Instruct as judge using our dataset, TrustJudge reduces Score-Comparison inconsistency by 8.43% (from 23.32% to 14.89%) and Pairwise Transitivity inconsistency by 10.82% (from 15.22% to 4.40%), while maintaining higher evaluation accuracy. Our work provides the first systematic analysis of evaluation framework inconsistencies in LLM-as-a-judge paradigms, offering both theoretical insights and practical solutions for reliable automated assessment. The framework demonstrates consistent improvements across various model architectures and scales, enabling more trustworthy LLM evaluation without requiring additional training or human annotations. The codes can be found at https://github.com/TrustJudge/TrustJudge.</x:v>
      </x:c>
      <x:c r="L62" s="17" t="str">
        <x:v>http://arxiv.org/abs/2509.21117v2</x:v>
      </x:c>
      <x:c r="M62" s="23" t="n">
        <x:v>0.9772308250383483</x:v>
      </x:c>
      <x:c r="N62" s="17" t="str">
        <x:v>qwen3-rerank-no-instruct-20260727-125006-results.jsonl</x:v>
      </x:c>
      <x:c r="O62" s="24" t="str">
        <x:v>2</x:v>
      </x:c>
      <x:c r="P62" s="28" t="str">
        <x:v>识别LLM裁判不一致并提出针对性缓解。</x:v>
      </x:c>
      <x:c r="Q62" s="25" t="str"/>
      <x:c r="R62" s="24" t="str">
        <x:f>IF(Q62&lt;&gt;"",Q62,O62)</x:f>
        <x:v>2</x:v>
      </x:c>
      <x:c r="S62" s="29" t="str"/>
    </x:row>
    <x:row r="63" ht="54" customHeight="1">
      <x:c r="A63" s="17" t="str">
        <x:v>csq004-r02</x:v>
      </x:c>
      <x:c r="B63" s="17" t="str">
        <x:v>csq004</x:v>
      </x:c>
      <x:c r="C63" s="17" t="str">
        <x:v>natural_language_processing</x:v>
      </x:c>
      <x:c r="D63" s="17" t="str">
        <x:v>llm_as_a_judge</x:v>
      </x:c>
      <x:c r="E63" s="27" t="str">
        <x:v>What limitations and biases have been identified in LLM-as-a-judge evaluation, and which mitigation strategies have been proposed?</x:v>
      </x:c>
      <x:c r="F63" s="22" t="n">
        <x:v>2</x:v>
      </x:c>
      <x:c r="G63" s="17" t="str">
        <x:v>arXiv:2506.10403</x:v>
      </x:c>
      <x:c r="H63" s="27" t="str">
        <x:v>Time To Impeach LLM-as-a-Judge: Programs are the Future of Evaluation</x:v>
      </x:c>
      <x:c r="I63" s="17" t="str">
        <x:v>Tzu-Heng Huang; Harit Vishwakarma; Frederic Sala</x:v>
      </x:c>
      <x:c r="J63" s="22" t="n">
        <x:v>2025</x:v>
      </x:c>
      <x:c r="K63" s="27" t="str">
        <x:v>Large language models (LLMs) are widely used to evaluate the quality of LLM generations and responses, but this leads to significant challenges: high API costs, uncertain reliability, inflexible pipelines, and inherent biases. To address these, we introduce PAJAMA (Program-As-a-Judge for Automated Model Assessment), a new alternative that uses LLMs to synthesize executable judging programs instead of directly scoring responses. These synthesized programs can be stored and run locally, costing orders of magnitude less while providing interpretable, and auditable judging logic that can be easily adapted. Program-based judges mitigate biases, improving judgment consistency by 15.83% and reducing biased responses by 23.7% on average compared to a Qwen2.5-14B-based LLM-as-a-judge. When program judgments are distilled into a model, PAJAMA outperforms LLM-as-a-judge on the challenging CHAT-HARD subset of RewardBench, outperforming metrics by 2.19% on Prometheus and 8.67% on the JudgeLM dataset, all at three orders of magnitude lower cost.</x:v>
      </x:c>
      <x:c r="L63" s="17" t="str">
        <x:v>http://arxiv.org/abs/2506.10403v1</x:v>
      </x:c>
      <x:c r="M63" s="23" t="n">
        <x:v>0.9772308250383483</x:v>
      </x:c>
      <x:c r="N63" s="17" t="str">
        <x:v>qwen3-rerank-no-instruct-20260727-125006-results.jsonl</x:v>
      </x:c>
      <x:c r="O63" s="24" t="str">
        <x:v>2</x:v>
      </x:c>
      <x:c r="P63" s="28" t="str">
        <x:v>批判LLM裁判局限并提出程序化评价替代方案。</x:v>
      </x:c>
      <x:c r="Q63" s="25" t="str"/>
      <x:c r="R63" s="24" t="str">
        <x:f>IF(Q63&lt;&gt;"",Q63,O63)</x:f>
        <x:v>2</x:v>
      </x:c>
      <x:c r="S63" s="29" t="str"/>
    </x:row>
    <x:row r="64" ht="54" customHeight="1">
      <x:c r="A64" s="17" t="str">
        <x:v>csq004-r03</x:v>
      </x:c>
      <x:c r="B64" s="17" t="str">
        <x:v>csq004</x:v>
      </x:c>
      <x:c r="C64" s="17" t="str">
        <x:v>natural_language_processing</x:v>
      </x:c>
      <x:c r="D64" s="17" t="str">
        <x:v>llm_as_a_judge</x:v>
      </x:c>
      <x:c r="E64" s="27" t="str">
        <x:v>What limitations and biases have been identified in LLM-as-a-judge evaluation, and which mitigation strategies have been proposed?</x:v>
      </x:c>
      <x:c r="F64" s="22" t="n">
        <x:v>3</x:v>
      </x:c>
      <x:c r="G64" s="17" t="str">
        <x:v>arXiv:2410.02736</x:v>
      </x:c>
      <x:c r="H64" s="27" t="str">
        <x:v>Justice or Prejudice? Quantifying Biases in LLM-as-a-Judge</x:v>
      </x:c>
      <x:c r="I64" s="17" t="str">
        <x:v>Jiayi Ye; Yanbo Wang; Yue Huang; Dongping Chen; Qihui Zhang; Nuno Moniz; Tian Gao; Werner Geyer; Chao Huang; Pin-Yu Chen; Nitesh V Chawla; Xiangliang Zhang</x:v>
      </x:c>
      <x:c r="J64" s="22" t="n">
        <x:v>2024</x:v>
      </x:c>
      <x:c r="K64" s="27" t="str">
        <x:v>LLM-as-a-Judge has been widely utilized as an evaluation method in various benchmarks and served as supervised rewards in model training. However, despite their excellence in many domains, potential issues are under-explored, undermining their reliability and the scope of their utility. Therefore, we identify 12 key potential biases and propose a new automated bias quantification framework-CALM-which systematically quantifies and analyzes each type of bias in LLM-as-a-Judge by using automated and principle-guided modification. Our experiments cover multiple popular language models, and the results indicate that while advanced models have achieved commendable overall performance, significant biases persist in certain specific tasks. Empirical results suggest that there remains room for improvement in the reliability of LLM-as-a-Judge. Moreover, we also discuss the explicit and implicit influence of these biases and give some suggestions for the reliable application of LLM-as-a-Judge. Our work highlights the need for stakeholders to address these issues and remind users to exercise caution in LLM-as-a-Judge applications.</x:v>
      </x:c>
      <x:c r="L64" s="17" t="str">
        <x:v>http://arxiv.org/abs/2410.02736v2</x:v>
      </x:c>
      <x:c r="M64" s="23" t="n">
        <x:v>0.965128156961256</x:v>
      </x:c>
      <x:c r="N64" s="17" t="str">
        <x:v>qwen3-rerank-no-instruct-20260727-125006-results.jsonl</x:v>
      </x:c>
      <x:c r="O64" s="24" t="str">
        <x:v>2</x:v>
      </x:c>
      <x:c r="P64" s="28" t="str">
        <x:v>系统量化多类LLM裁判偏差并给出应用建议。</x:v>
      </x:c>
      <x:c r="Q64" s="25" t="str"/>
      <x:c r="R64" s="24" t="str">
        <x:f>IF(Q64&lt;&gt;"",Q64,O64)</x:f>
        <x:v>2</x:v>
      </x:c>
      <x:c r="S64" s="29" t="str"/>
    </x:row>
    <x:row r="65" ht="54" customHeight="1">
      <x:c r="A65" s="17" t="str">
        <x:v>csq004-r04</x:v>
      </x:c>
      <x:c r="B65" s="17" t="str">
        <x:v>csq004</x:v>
      </x:c>
      <x:c r="C65" s="17" t="str">
        <x:v>natural_language_processing</x:v>
      </x:c>
      <x:c r="D65" s="17" t="str">
        <x:v>llm_as_a_judge</x:v>
      </x:c>
      <x:c r="E65" s="27" t="str">
        <x:v>What limitations and biases have been identified in LLM-as-a-judge evaluation, and which mitigation strategies have been proposed?</x:v>
      </x:c>
      <x:c r="F65" s="22" t="n">
        <x:v>4</x:v>
      </x:c>
      <x:c r="G65" s="17" t="str">
        <x:v>arXiv:2512.16041</x:v>
      </x:c>
      <x:c r="H65" s="27" t="str">
        <x:v>Are We on the Right Way to Assessing LLM-as-a-Judge?</x:v>
      </x:c>
      <x:c r="I65" s="17" t="str">
        <x:v>Yuanning Feng; Sinan Wang; Zhengxiang Cheng; Yao Wan; Dongping Chen</x:v>
      </x:c>
      <x:c r="J65" s="22" t="n">
        <x:v>2025</x:v>
      </x:c>
      <x:c r="K65" s="27" t="str">
        <x:v>LLM-as-a-Judge has been widely adopted as an evaluation method and served as supervised rewards in model training. However, existing benchmarks for LLM-as-a-Judge are mainly relying on human-annotated ground truth, which introduces human bias that undermines the assessment of reliability and imposes scalability constraints. To overcome these limitations, we introduce Sage, a novel evaluation suite that assesses the quality of LLM judges without necessitating any human annotation. Inspired by axioms of rational choice theory, Sage introduces two new lenses for measuring LLM-as-a-Judge: local self-consistency (pair-wise preference stability) and global logical consistency (transitivity across a full set of preferences). We curate a dataset of 650 questions by combining structured benchmark problems with real-world user queries. Our experiments demonstrate both the stability of our metrics and their high correlation with supervised benchmarks like LLMBar and RewardBench2, confirming Sage's reliability as an evaluation suite for the robustness and accuracy of LLM-as-a-Judge. Based on Sage, we reveal that current state-of-the-art LLMs exhibit significant reliability problems when acting as judges in both scoring and pairwise settings; even the top-performing models, Gemini-2.5-Pro and GPT-5, fail to maintain consistent preferences in nearly a quarter of difficult cases. We attribute this to a new phenomenon called situational preference, which explains why explicit rubrics or criteria can help the model judge consistently across answer pairs. Our further analysis shows that finetuned LLM-as-a-Judge is a feasible method to boost performance, and the panel-based judge as well as deep reasoning can enhance the judging consistency. We also find substantial inconsistency in human judgments, which indicates that human annotation may not be a reliable gold standard.</x:v>
      </x:c>
      <x:c r="L65" s="17" t="str">
        <x:v>http://arxiv.org/abs/2512.16041v1</x:v>
      </x:c>
      <x:c r="M65" s="23" t="n">
        <x:v>0.9606744336420413</x:v>
      </x:c>
      <x:c r="N65" s="17" t="str">
        <x:v>qwen3-rerank-no-instruct-20260727-125006-results.jsonl</x:v>
      </x:c>
      <x:c r="O65" s="24" t="str">
        <x:v>2</x:v>
      </x:c>
      <x:c r="P65" s="28" t="str">
        <x:v>揭示情境偏好和一致性问题并评估准则、面板等缓解。</x:v>
      </x:c>
      <x:c r="Q65" s="25" t="str"/>
      <x:c r="R65" s="24" t="str">
        <x:f>IF(Q65&lt;&gt;"",Q65,O65)</x:f>
        <x:v>2</x:v>
      </x:c>
      <x:c r="S65" s="29" t="str"/>
    </x:row>
    <x:row r="66" ht="54" customHeight="1">
      <x:c r="A66" s="17" t="str">
        <x:v>csq004-r05</x:v>
      </x:c>
      <x:c r="B66" s="17" t="str">
        <x:v>csq004</x:v>
      </x:c>
      <x:c r="C66" s="17" t="str">
        <x:v>natural_language_processing</x:v>
      </x:c>
      <x:c r="D66" s="17" t="str">
        <x:v>llm_as_a_judge</x:v>
      </x:c>
      <x:c r="E66" s="27" t="str">
        <x:v>What limitations and biases have been identified in LLM-as-a-judge evaluation, and which mitigation strategies have been proposed?</x:v>
      </x:c>
      <x:c r="F66" s="22" t="n">
        <x:v>5</x:v>
      </x:c>
      <x:c r="G66" s="17" t="str">
        <x:v>arXiv:2510.12462</x:v>
      </x:c>
      <x:c r="H66" s="27" t="str">
        <x:v>Evaluating and Mitigating LLM-as-a-judge Bias in Communication Systems</x:v>
      </x:c>
      <x:c r="I66" s="17" t="str">
        <x:v>Jiaxin Gao; Chen Chen; Yanwen Jia; Xueluan Gong; Kwok-Yan Lam; Qian Wang</x:v>
      </x:c>
      <x:c r="J66" s="22" t="n">
        <x:v>2025</x:v>
      </x:c>
      <x:c r="K66" s="27" t="str">
        <x:v>Large Language Models (LLMs) are increasingly being used to autonomously evaluate the quality of content in communication systems, e.g., to assess responses in telecom customer support chatbots. However, the impartiality of these AI "judges" is not guaranteed, and any biases in their evaluation criteria could skew outcomes and undermine user trust. In this paper, we systematically investigate judgment biases across 6 LLM-as-a-judge models spanning both prompt-based and fine-tuned judges under the pointwise scoring setting, encompassing 11 types of biases that cover both implicit and explicit forms. We observed that state-of-the-art LLM judges demonstrate robustness to biased inputs, generally assigning them lower scores than the corresponding clean samples. We further found that fine-tuning an LLM on high-scoring yet biased responses can significantly degrade its performance, highlighting the risk of training on biased data. We also discovered that the judged scores correlate with task difficulty: a challenging dataset like GPQA yields lower average scores, whereas an open-ended reasoning dataset (e.g., JudgeLM-val) sees higher average scores. Finally, we proposed four potential mitigation strategies to ensure fair and reliable AI judging in practical communication scenarios.</x:v>
      </x:c>
      <x:c r="L66" s="17" t="str">
        <x:v>http://arxiv.org/abs/2510.12462v3</x:v>
      </x:c>
      <x:c r="M66" s="23" t="n">
        <x:v>0.9599384597845279</x:v>
      </x:c>
      <x:c r="N66" s="17" t="str">
        <x:v>qwen3-rerank-no-instruct-20260727-125006-results.jsonl</x:v>
      </x:c>
      <x:c r="O66" s="24" t="str">
        <x:v>2</x:v>
      </x:c>
      <x:c r="P66" s="28" t="str">
        <x:v>研究十一类裁判偏差并提出四类缓解策略。</x:v>
      </x:c>
      <x:c r="Q66" s="25" t="str"/>
      <x:c r="R66" s="24" t="str">
        <x:f>IF(Q66&lt;&gt;"",Q66,O66)</x:f>
        <x:v>2</x:v>
      </x:c>
      <x:c r="S66" s="29" t="str"/>
    </x:row>
    <x:row r="67" ht="54" customHeight="1">
      <x:c r="A67" s="17" t="str">
        <x:v>csq004-r06</x:v>
      </x:c>
      <x:c r="B67" s="17" t="str">
        <x:v>csq004</x:v>
      </x:c>
      <x:c r="C67" s="17" t="str">
        <x:v>natural_language_processing</x:v>
      </x:c>
      <x:c r="D67" s="17" t="str">
        <x:v>llm_as_a_judge</x:v>
      </x:c>
      <x:c r="E67" s="27" t="str">
        <x:v>What limitations and biases have been identified in LLM-as-a-judge evaluation, and which mitigation strategies have been proposed?</x:v>
      </x:c>
      <x:c r="F67" s="22" t="n">
        <x:v>6</x:v>
      </x:c>
      <x:c r="G67" s="17" t="str">
        <x:v>arXiv:2505.19176</x:v>
      </x:c>
      <x:c r="H67" s="27" t="str">
        <x:v>Assistant-Guided Mitigation of Teacher Preference Bias in LLM-as-a-Judge</x:v>
      </x:c>
      <x:c r="I67" s="17" t="str">
        <x:v>Zhuo Liu; Moxin Li; Xun Deng; Qifan Wang; Fuli Feng</x:v>
      </x:c>
      <x:c r="J67" s="22" t="n">
        <x:v>2025</x:v>
      </x:c>
      <x:c r="K67" s="27" t="str">
        <x:v>LLM-as-a-Judge employs large language models (LLMs), such as GPT-4, to evaluate the quality of LLM-generated responses, gaining popularity for its cost-effectiveness and strong alignment with human evaluations. However, training proxy judge models using evaluation data generated by powerful teacher models introduces a critical yet previously overlooked issue: teacher preference bias, where the proxy judge model learns a biased preference for responses from the teacher model. To tackle this problem, we propose a novel setting that incorporates an additional assistant model, which is not biased toward the teacher model's responses, to complement the training data. Building on this setup, we introduce AGDe-Judge, a three-stage framework designed to debias from both the labels and feedbacks in the training data. Extensive experiments demonstrate that AGDe-Judge effectively reduces teacher preference bias while maintaining strong performance across six evaluation benchmarks. Code is available at https://github.com/Liuz233/AGDe-Judge.</x:v>
      </x:c>
      <x:c r="L67" s="17" t="str">
        <x:v>http://arxiv.org/abs/2505.19176v3</x:v>
      </x:c>
      <x:c r="M67" s="23" t="n">
        <x:v>0.9554413651670838</x:v>
      </x:c>
      <x:c r="N67" s="17" t="str">
        <x:v>qwen3-rerank-no-instruct-20260727-125006-results.jsonl</x:v>
      </x:c>
      <x:c r="O67" s="24" t="str">
        <x:v>2</x:v>
      </x:c>
      <x:c r="P67" s="28" t="str">
        <x:v>识别教师偏好偏差并提出助手参与的三阶段去偏。</x:v>
      </x:c>
      <x:c r="Q67" s="25" t="str"/>
      <x:c r="R67" s="24" t="str">
        <x:f>IF(Q67&lt;&gt;"",Q67,O67)</x:f>
        <x:v>2</x:v>
      </x:c>
      <x:c r="S67" s="29" t="str"/>
    </x:row>
    <x:row r="68" ht="54" customHeight="1">
      <x:c r="A68" s="17" t="str">
        <x:v>csq004-r07</x:v>
      </x:c>
      <x:c r="B68" s="17" t="str">
        <x:v>csq004</x:v>
      </x:c>
      <x:c r="C68" s="17" t="str">
        <x:v>natural_language_processing</x:v>
      </x:c>
      <x:c r="D68" s="17" t="str">
        <x:v>llm_as_a_judge</x:v>
      </x:c>
      <x:c r="E68" s="27" t="str">
        <x:v>What limitations and biases have been identified in LLM-as-a-judge evaluation, and which mitigation strategies have been proposed?</x:v>
      </x:c>
      <x:c r="F68" s="22" t="n">
        <x:v>7</x:v>
      </x:c>
      <x:c r="G68" s="17" t="str">
        <x:v>arXiv:2408.13006</x:v>
      </x:c>
      <x:c r="H68" s="27" t="str">
        <x:v>Systematic Evaluation of LLM-as-a-Judge in LLM Alignment Tasks: Explainable Metrics and Diverse Prompt Templates</x:v>
      </x:c>
      <x:c r="I68" s="17" t="str">
        <x:v>Hui Wei; Shenghua He; Tian Xia; Fei Liu; Andy Wong; Jingyang Lin; Mei Han</x:v>
      </x:c>
      <x:c r="J68" s="22" t="n">
        <x:v>2024</x:v>
      </x:c>
      <x:c r="K68" s="27" t="str">
        <x:v>LLM-as-a-Judge has been widely applied to evaluate and compare different LLM alignmnet approaches (e.g., RLHF and DPO). However, concerns regarding its reliability have emerged, due to LLM judges' biases and inconsistent decision-making. Previous research has developed evaluation frameworks to assess reliability of LLM judges and their alignment with human preferences. However, the employed evaluation metrics often lack adequate explainability and fail to address LLM internal inconsistency. Additionally, existing studies inadequately explore the impact of various prompt templates when applying LLM-as-a-Judge methods, leading to potentially inconsistent comparisons between different alignment algorithms. In this work, we systematically evaluate LLM-as-a-Judge on alignment tasks by defining more theoretically interpretable evaluation metrics and explicitly mitigating LLM internal inconsistency from reliability metrics. We develop an open-source framework to evaluate, compare, and visualize the reliability and alignment of LLM judges, which facilitates practitioners to choose LLM judges for alignment tasks. In the experiments, we examine effects of diverse prompt templates on LLM-judge reliability and also demonstrate our developed framework by comparing various LLM judges on two common alignment datasets (i.e., TL;DR Summarization and HH-RLHF-Helpfulness). Our results indicate a significant impact of prompt templates on LLM judge performance, as well as a mediocre alignment level between the tested LLM judges and human evaluators.</x:v>
      </x:c>
      <x:c r="L68" s="17" t="str">
        <x:v>http://arxiv.org/abs/2408.13006v2</x:v>
      </x:c>
      <x:c r="M68" s="23" t="n">
        <x:v>0.9342031252378781</x:v>
      </x:c>
      <x:c r="N68" s="17" t="str">
        <x:v>qwen3-rerank-no-instruct-20260727-125006-results.jsonl</x:v>
      </x:c>
      <x:c r="O68" s="24" t="str">
        <x:v>2</x:v>
      </x:c>
      <x:c r="P68" s="28" t="str">
        <x:v>系统评估对齐任务裁判的提示敏感性和可解释指标。</x:v>
      </x:c>
      <x:c r="Q68" s="25" t="str"/>
      <x:c r="R68" s="24" t="str">
        <x:f>IF(Q68&lt;&gt;"",Q68,O68)</x:f>
        <x:v>2</x:v>
      </x:c>
      <x:c r="S68" s="29" t="str"/>
    </x:row>
    <x:row r="69" ht="54" customHeight="1">
      <x:c r="A69" s="17" t="str">
        <x:v>csq004-r08</x:v>
      </x:c>
      <x:c r="B69" s="17" t="str">
        <x:v>csq004</x:v>
      </x:c>
      <x:c r="C69" s="17" t="str">
        <x:v>natural_language_processing</x:v>
      </x:c>
      <x:c r="D69" s="17" t="str">
        <x:v>llm_as_a_judge</x:v>
      </x:c>
      <x:c r="E69" s="27" t="str">
        <x:v>What limitations and biases have been identified in LLM-as-a-judge evaluation, and which mitigation strategies have been proposed?</x:v>
      </x:c>
      <x:c r="F69" s="22" t="n">
        <x:v>8</x:v>
      </x:c>
      <x:c r="G69" s="17" t="str">
        <x:v>arXiv:2306.05685</x:v>
      </x:c>
      <x:c r="H69" s="27" t="str">
        <x:v>Judging LLM-as-a-Judge with MT-Bench and Chatbot Arena</x:v>
      </x:c>
      <x:c r="I69" s="17" t="str">
        <x:v>Lianmin Zheng; Wei-Lin Chiang; Ying Sheng; Siyuan Zhuang; Zhanghao Wu; Yonghao Zhuang; Zi Lin; Zhuohan Li; Dacheng Li; Eric P. Xing; Hao Zhang; Joseph E. Gonzalez; Ion Stoica</x:v>
      </x:c>
      <x:c r="J69" s="22" t="n">
        <x:v>2023</x:v>
      </x:c>
      <x:c r="K69" s="27" t="str">
        <x:v>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MT-bench, a multi-turn question set; and Chatbot Arena, a crowdsourced battle platform. Our results reveal that strong LLM judges like GPT-4 can match both controlled and crowdsourced human preferences well, achieving over 80% agreement, the same level of agreement between humans. Hence, LLM-as-a-judge is a scalable and explainable way to approximate human preferences, which are otherwise very expensive to obtain. Additionally, we show our benchmark and traditional benchmarks complement each other by evaluating several variants of LLaMA and Vicuna. The MT-bench questions, 3K expert votes, and 30K conversations with human preferences are publicly available at https://github.com/lm-sys/FastChat/tree/main/fastchat/llm_judge.</x:v>
      </x:c>
      <x:c r="L69" s="17" t="str">
        <x:v>http://arxiv.org/abs/2306.05685v4</x:v>
      </x:c>
      <x:c r="M69" s="23" t="n">
        <x:v>0.9332694357863782</x:v>
      </x:c>
      <x:c r="N69" s="17" t="str">
        <x:v>qwen3-rerank-no-instruct-20260727-125006-results.jsonl</x:v>
      </x:c>
      <x:c r="O69" s="24" t="str">
        <x:v>2</x:v>
      </x:c>
      <x:c r="P69" s="28" t="str">
        <x:v>用MT-Bench和Chatbot Arena验证LLM裁判可靠性。</x:v>
      </x:c>
      <x:c r="Q69" s="25" t="str"/>
      <x:c r="R69" s="24" t="str">
        <x:f>IF(Q69&lt;&gt;"",Q69,O69)</x:f>
        <x:v>2</x:v>
      </x:c>
      <x:c r="S69" s="29" t="str"/>
    </x:row>
    <x:row r="70" ht="54" customHeight="1">
      <x:c r="A70" s="17" t="str">
        <x:v>csq004-r09</x:v>
      </x:c>
      <x:c r="B70" s="17" t="str">
        <x:v>csq004</x:v>
      </x:c>
      <x:c r="C70" s="17" t="str">
        <x:v>natural_language_processing</x:v>
      </x:c>
      <x:c r="D70" s="17" t="str">
        <x:v>llm_as_a_judge</x:v>
      </x:c>
      <x:c r="E70" s="27" t="str">
        <x:v>What limitations and biases have been identified in LLM-as-a-judge evaluation, and which mitigation strategies have been proposed?</x:v>
      </x:c>
      <x:c r="F70" s="22" t="n">
        <x:v>9</x:v>
      </x:c>
      <x:c r="G70" s="17" t="str">
        <x:v>arXiv:2402.10669</x:v>
      </x:c>
      <x:c r="H70" s="27" t="str">
        <x:v>Humans or LLMs as the Judge? A Study on Judgement Biases</x:v>
      </x:c>
      <x:c r="I70" s="17" t="str">
        <x:v>Guiming Hardy Chen; Shunian Chen; Ziche Liu; Feng Jiang; Benyou Wang</x:v>
      </x:c>
      <x:c r="J70" s="22" t="n">
        <x:v>2024</x:v>
      </x:c>
      <x:c r="K70" s="27" t="str">
        <x:v>Adopting human and large language models (LLM) as judges (a.k.a human- and LLM-as-a-judge) for evaluating the performance of LLMs has recently gained attention. Nonetheless, this approach concurrently introduces potential biases from human and LLMs, questioning the reliability of the evaluation results. In this paper, we propose a novel framework that is free from referencing groundtruth annotations for investigating Misinformation Oversight Bias, Gender Bias, Authority Bias and Beauty Bias on LLM and human judges. We curate a dataset referring to the revised Bloom's Taxonomy and conduct thousands of evaluations. Results show that human and LLM judges are vulnerable to perturbations to various degrees, and that even the cutting-edge judges possess considerable biases. We further exploit these biases to conduct attacks on LLM judges. We hope that our work can notify the community of the bias and vulnerability of human- and LLM-as-a-judge, as well as the urgency of developing robust evaluation systems.</x:v>
      </x:c>
      <x:c r="L70" s="17" t="str">
        <x:v>http://arxiv.org/abs/2402.10669v5</x:v>
      </x:c>
      <x:c r="M70" s="23" t="n">
        <x:v>0.9288000125084386</x:v>
      </x:c>
      <x:c r="N70" s="17" t="str">
        <x:v>qwen3-rerank-no-instruct-20260727-125006-results.jsonl</x:v>
      </x:c>
      <x:c r="O70" s="24" t="str">
        <x:v>2</x:v>
      </x:c>
      <x:c r="P70" s="28" t="str">
        <x:v>直接比较人类和LLM裁判的多种判断偏差。</x:v>
      </x:c>
      <x:c r="Q70" s="25" t="str"/>
      <x:c r="R70" s="24" t="str">
        <x:f>IF(Q70&lt;&gt;"",Q70,O70)</x:f>
        <x:v>2</x:v>
      </x:c>
      <x:c r="S70" s="29" t="str"/>
    </x:row>
    <x:row r="71" ht="54" customHeight="1">
      <x:c r="A71" s="17" t="str">
        <x:v>csq004-r10</x:v>
      </x:c>
      <x:c r="B71" s="17" t="str">
        <x:v>csq004</x:v>
      </x:c>
      <x:c r="C71" s="17" t="str">
        <x:v>natural_language_processing</x:v>
      </x:c>
      <x:c r="D71" s="17" t="str">
        <x:v>llm_as_a_judge</x:v>
      </x:c>
      <x:c r="E71" s="27" t="str">
        <x:v>What limitations and biases have been identified in LLM-as-a-judge evaluation, and which mitigation strategies have been proposed?</x:v>
      </x:c>
      <x:c r="F71" s="22" t="n">
        <x:v>10</x:v>
      </x:c>
      <x:c r="G71" s="17" t="str">
        <x:v>arXiv:2504.07887</x:v>
      </x:c>
      <x:c r="H71" s="27" t="str">
        <x:v>Benchmarking Adversarial Robustness to Bias Elicitation in Large Language Models: Scalable Automated Assessment with LLM-as-a-Judge</x:v>
      </x:c>
      <x:c r="I71" s="17" t="str">
        <x:v>Riccardo Cantini; Alessio Orsino; Massimo Ruggiero; Domenico Talia</x:v>
      </x:c>
      <x:c r="J71" s="22" t="n">
        <x:v>2025</x:v>
      </x:c>
      <x:c r="K71" s="27" t="str">
        <x:v>The growing integration of Large Language Models (LLMs) into critical societal domains has raised concerns about embedded biases that can perpetuate stereotypes and undermine fairness. Such biases may stem from historical inequalities in training data, linguistic imbalances, or adversarial manipulation. Despite mitigation efforts, recent studies show that LLMs remain vulnerable to adversarial attacks that elicit biased outputs. This work proposes a scalable benchmarking framework to assess LLM robustness to adversarial bias elicitation. Our methodology involves: (i) systematically probing models across multiple tasks targeting diverse sociocultural biases, (ii) quantifying robustness through safety scores using an LLM-as-a-Judge approach, and (iii) employing jailbreak techniques to reveal safety vulnerabilities. To facilitate systematic benchmarking, we release a curated dataset of bias-related prompts, named CLEAR-Bias. Our analysis, identifying DeepSeek V3 as the most reliable judge LLM, reveals that bias resilience is uneven, with age, disability, and intersectional biases among the most prominent. Some small models outperform larger ones in safety, suggesting that training and architecture may matter more than scale. However, no model is fully robust to adversarial elicitation, with jailbreak attacks using low-resource languages or refusal suppression proving effective across model families. We also find that successive LLM generations exhibit slight safety gains, while models fine-tuned for the medical domain tend to be less safe than their general-purpose counterparts.</x:v>
      </x:c>
      <x:c r="L71" s="17" t="str">
        <x:v>http://arxiv.org/abs/2504.07887v2</x:v>
      </x:c>
      <x:c r="M71" s="23" t="n">
        <x:v>0.924552180127515</x:v>
      </x:c>
      <x:c r="N71" s="17" t="str">
        <x:v>qwen3-rerank-no-instruct-20260727-125006-results.jsonl</x:v>
      </x:c>
      <x:c r="O71" s="24" t="str">
        <x:v>1</x:v>
      </x:c>
      <x:c r="P71" s="28" t="str">
        <x:v>使用LLM裁判评测被测模型偏见，重点不是裁判自身偏差。</x:v>
      </x:c>
      <x:c r="Q71" s="25" t="str"/>
      <x:c r="R71" s="24" t="str">
        <x:f>IF(Q71&lt;&gt;"",Q71,O71)</x:f>
        <x:v>1</x:v>
      </x:c>
      <x:c r="S71" s="29" t="str"/>
    </x:row>
    <x:row r="72" ht="54" customHeight="1">
      <x:c r="A72" s="17" t="str">
        <x:v>csq004-r11</x:v>
      </x:c>
      <x:c r="B72" s="17" t="str">
        <x:v>csq004</x:v>
      </x:c>
      <x:c r="C72" s="17" t="str">
        <x:v>natural_language_processing</x:v>
      </x:c>
      <x:c r="D72" s="17" t="str">
        <x:v>llm_as_a_judge</x:v>
      </x:c>
      <x:c r="E72" s="27" t="str">
        <x:v>What limitations and biases have been identified in LLM-as-a-judge evaluation, and which mitigation strategies have been proposed?</x:v>
      </x:c>
      <x:c r="F72" s="22" t="n">
        <x:v>11</x:v>
      </x:c>
      <x:c r="G72" s="17" t="str">
        <x:v>arXiv:2503.05965</x:v>
      </x:c>
      <x:c r="H72" s="27" t="str">
        <x:v>Validating LLM-as-a-Judge Systems under Rating Indeterminacy</x:v>
      </x:c>
      <x:c r="I72" s="17" t="str">
        <x:v>Luke Guerdan; Solon Barocas; Kenneth Holstein; Hanna Wallach; Zhiwei Steven Wu; Alexandra Chouldechova</x:v>
      </x:c>
      <x:c r="J72" s="22" t="n">
        <x:v>2025</x:v>
      </x:c>
      <x:c r="K72" s="27" t="str">
        <x:v>The LLM-as-a-judge paradigm, in which a judge LLM system replaces human raters in rating the outputs of other generative AI (GenAI) systems, plays a critical role in scaling and standardizing GenAI evaluations. To validate such judge systems, evaluators assess human--judge agreement by first collecting multiple human ratings for each item in a validation corpus, then aggregating the ratings into a single, per-item gold label rating. For many items, however, rating criteria may admit multiple valid interpretations, so a human or LLM rater may deem multiple ratings "reasonable" or "correct." We call this condition rating indeterminacy. Problematically, many rating tasks that contain rating indeterminacy rely on forced-choice elicitation, whereby raters are instructed to select only one rating for each item. In this paper, we introduce a framework for validating LLM-as-a-judge systems under rating indeterminacy. We draw theoretical connections between different measures of judge system performance under different human--judge agreement metrics, and different rating elicitation and aggregation schemes. We demonstrate that differences in how humans and LLMs resolve rating indeterminacy when responding to forced-choice rating instructions can heavily bias LLM-as-a-judge validation. Through extensive experiments involving 11 real-world rating tasks and 9 commercial LLMs, we show that standard validation approaches that rely upon forced-choice ratings select judge systems that are highly suboptimal, performing as much as 31% worse than judge systems selected by our approach that uses multi-label "response set" ratings to account for rating indeterminacy. We conclude with concrete recommendations for more principled approaches to LLM-as-a-judge validation.</x:v>
      </x:c>
      <x:c r="L72" s="17" t="str">
        <x:v>http://arxiv.org/abs/2503.05965v4</x:v>
      </x:c>
      <x:c r="M72" s="23" t="n">
        <x:v>0.9209432268518687</x:v>
      </x:c>
      <x:c r="N72" s="17" t="str">
        <x:v>qwen3-rerank-no-instruct-20260727-125006-results.jsonl</x:v>
      </x:c>
      <x:c r="O72" s="24" t="str">
        <x:v>2</x:v>
      </x:c>
      <x:c r="P72" s="28" t="str">
        <x:v>分析评分不确定性导致的验证偏差并提出多标签协议。</x:v>
      </x:c>
      <x:c r="Q72" s="25" t="str"/>
      <x:c r="R72" s="24" t="str">
        <x:f>IF(Q72&lt;&gt;"",Q72,O72)</x:f>
        <x:v>2</x:v>
      </x:c>
      <x:c r="S72" s="29" t="str"/>
    </x:row>
    <x:row r="73" ht="54" customHeight="1">
      <x:c r="A73" s="17" t="str">
        <x:v>csq004-r12</x:v>
      </x:c>
      <x:c r="B73" s="17" t="str">
        <x:v>csq004</x:v>
      </x:c>
      <x:c r="C73" s="17" t="str">
        <x:v>natural_language_processing</x:v>
      </x:c>
      <x:c r="D73" s="17" t="str">
        <x:v>llm_as_a_judge</x:v>
      </x:c>
      <x:c r="E73" s="27" t="str">
        <x:v>What limitations and biases have been identified in LLM-as-a-judge evaluation, and which mitigation strategies have been proposed?</x:v>
      </x:c>
      <x:c r="F73" s="22" t="n">
        <x:v>12</x:v>
      </x:c>
      <x:c r="G73" s="17" t="str">
        <x:v>arXiv:2508.06225</x:v>
      </x:c>
      <x:c r="H73" s="27" t="str">
        <x:v>Overconfidence in LLM-as-a-Judge: Diagnosis and Confidence-Driven Solution</x:v>
      </x:c>
      <x:c r="I73" s="17" t="str">
        <x:v>Zailong Tian; Zhuoheng Han; Yanzhe Chen; Haozhe Xu; Xi Yang; Richeng Xuan; Houfeng Wang; Lizi Liao</x:v>
      </x:c>
      <x:c r="J73" s="22" t="n">
        <x:v>2025</x:v>
      </x:c>
      <x:c r="K73" s="27" t="str">
        <x:v>Large Language Models (LLMs) are widely used as automated judges, where practical value depends on both accuracy and trustworthy, risk-aware judgments. Existing approaches predominantly focus on accuracy, overlooking the necessity of well-calibrated confidence, which is vital for adaptive and reliable evaluation pipelines. In this work, we advocate a shift from accuracy-centric evaluation to confidence-driven, risk-aware LLM-as-a-Judge systems, emphasizing the necessity of well-calibrated confidence for trustworthy and adaptive evaluation. We systematically identify the Overconfidence Phenomenon in current LLM-as-a-Judges, where predicted confidence significantly overstates actual correctness, undermining reliability in practical deployment. To quantify this phenomenon, we introduce TH-Score, a novel metric measuring confidence-accuracy alignment. Furthermore, we propose LLM-as-a-Fuser, an ensemble framework that transforms LLMs into reliable, risk-aware evaluators. Extensive experiments demonstrate that our approach substantially improves calibration and enables adaptive, confidence-driven evaluation pipelines, achieving superior reliability and accuracy compared to existing baselines.</x:v>
      </x:c>
      <x:c r="L73" s="17" t="str">
        <x:v>http://arxiv.org/abs/2508.06225v3</x:v>
      </x:c>
      <x:c r="M73" s="23" t="n">
        <x:v>0.9118221100994721</x:v>
      </x:c>
      <x:c r="N73" s="17" t="str">
        <x:v>qwen3-rerank-no-instruct-20260727-125006-results.jsonl</x:v>
      </x:c>
      <x:c r="O73" s="24" t="str">
        <x:v>2</x:v>
      </x:c>
      <x:c r="P73" s="28" t="str">
        <x:v>诊断LLM裁判过度自信并提出置信驱动方案。</x:v>
      </x:c>
      <x:c r="Q73" s="25" t="str"/>
      <x:c r="R73" s="24" t="str">
        <x:f>IF(Q73&lt;&gt;"",Q73,O73)</x:f>
        <x:v>2</x:v>
      </x:c>
      <x:c r="S73" s="29" t="str"/>
    </x:row>
    <x:row r="74" ht="54" customHeight="1">
      <x:c r="A74" s="17" t="str">
        <x:v>csq004-r13</x:v>
      </x:c>
      <x:c r="B74" s="17" t="str">
        <x:v>csq004</x:v>
      </x:c>
      <x:c r="C74" s="17" t="str">
        <x:v>natural_language_processing</x:v>
      </x:c>
      <x:c r="D74" s="17" t="str">
        <x:v>llm_as_a_judge</x:v>
      </x:c>
      <x:c r="E74" s="27" t="str">
        <x:v>What limitations and biases have been identified in LLM-as-a-judge evaluation, and which mitigation strategies have been proposed?</x:v>
      </x:c>
      <x:c r="F74" s="22" t="n">
        <x:v>13</x:v>
      </x:c>
      <x:c r="G74" s="17" t="str">
        <x:v>arXiv:2506.22316</x:v>
      </x:c>
      <x:c r="H74" s="27" t="str">
        <x:v>Evaluating Scoring Bias in LLM-as-a-Judge</x:v>
      </x:c>
      <x:c r="I74" s="17" t="str">
        <x:v>Qingquan Li; Shaoyu Dou; Kailai Shao; Chao Chen; Haixiang Hu</x:v>
      </x:c>
      <x:c r="J74" s="22" t="n">
        <x:v>2025</x:v>
      </x:c>
      <x:c r="K74" s="27" t="str">
        <x:v>The "LLM-as-a-Judge" paradigm, using Large Language Models (LLMs) as automated evaluators, is pivotal to LLM development, offering scalable feedback for complex tasks. However, the reliability of these judges is compromised by various biases. Existing research has heavily concentrated on biases in comparative evaluations. In contrast, scoring-based evaluations-which assign an absolute score and are often more practical in industrial applications-remain under-investigated. To address this gap, we undertake the first dedicated examination of scoring bias in LLM judges. We shift the focus from biases tied to the evaluation targets to those originating from the scoring prompt itself. We formally define scoring bias and identify three novel, previously unstudied types: rubric order bias, score ID bias, and reference answer score bias. We propose a comprehensive framework to quantify these biases, featuring a suite of multi-faceted metrics and an automatic data synthesis pipeline to create a tailored evaluation corpus. Our experiments empirically demonstrate that even the most advanced LLMs suffer from these substantial scoring biases. Our analysis yields actionable insights for designing more robust scoring prompts and mitigating these newly identified biases.</x:v>
      </x:c>
      <x:c r="L74" s="17" t="str">
        <x:v>http://arxiv.org/abs/2506.22316v4</x:v>
      </x:c>
      <x:c r="M74" s="23" t="n">
        <x:v>0.9116084548506995</x:v>
      </x:c>
      <x:c r="N74" s="17" t="str">
        <x:v>qwen3-rerank-no-instruct-20260727-125006-results.jsonl</x:v>
      </x:c>
      <x:c r="O74" s="24" t="str">
        <x:v>2</x:v>
      </x:c>
      <x:c r="P74" s="28" t="str">
        <x:v>识别评分提示造成的顺序、ID和参考分数偏差。</x:v>
      </x:c>
      <x:c r="Q74" s="25" t="str"/>
      <x:c r="R74" s="24" t="str">
        <x:f>IF(Q74&lt;&gt;"",Q74,O74)</x:f>
        <x:v>2</x:v>
      </x:c>
      <x:c r="S74" s="29" t="str"/>
    </x:row>
    <x:row r="75" ht="54" customHeight="1">
      <x:c r="A75" s="17" t="str">
        <x:v>csq004-r14</x:v>
      </x:c>
      <x:c r="B75" s="17" t="str">
        <x:v>csq004</x:v>
      </x:c>
      <x:c r="C75" s="17" t="str">
        <x:v>natural_language_processing</x:v>
      </x:c>
      <x:c r="D75" s="17" t="str">
        <x:v>llm_as_a_judge</x:v>
      </x:c>
      <x:c r="E75" s="27" t="str">
        <x:v>What limitations and biases have been identified in LLM-as-a-judge evaluation, and which mitigation strategies have been proposed?</x:v>
      </x:c>
      <x:c r="F75" s="22" t="n">
        <x:v>14</x:v>
      </x:c>
      <x:c r="G75" s="17" t="str">
        <x:v>arXiv:2509.26072</x:v>
      </x:c>
      <x:c r="H75" s="27" t="str">
        <x:v>The Silent Judge: Unacknowledged Shortcut Bias in LLM-as-a-Judge</x:v>
      </x:c>
      <x:c r="I75" s="17" t="str">
        <x:v>Arash Marioriyad; Mohammad Hossein Rohban; Mahdieh Soleymani Baghshah</x:v>
      </x:c>
      <x:c r="J75" s="22" t="n">
        <x:v>2025</x:v>
      </x:c>
      <x:c r="K75" s="27" t="str">
        <x:v>Large language models (LLMs) are increasingly deployed as automatic judges to evaluate system outputs in tasks such as summarization, dialogue, and creative writing. A faithful judge should base its verdicts solely on response quality and explicitly acknowledge the factors shaping its decision. We show that current LLM judges fail on both counts by relying on shortcuts introduced in the prompt. Our study uses two evaluation datasets: ELI5, a benchmark for long-form question answering, and LitBench, a recent benchmark for creative writing. Both datasets provide pairwise comparisons, where the evaluator must choose which of two responses is better. From each dataset we construct 100 pairwise judgment tasks and employ two widely used models, GPT-4o and Gemini-2.5-Flash, as evaluators in the role of LLM-as-a-judge. For each pair, we assign superficial cues to the responses, provenance cues indicating source identity (Human, Expert, LLM, or Unknown) and recency cues indicating temporal origin (Old, 1950 vs. New, 2025), while keeping the rest of the prompt fixed. Results reveal consistent verdict shifts: both models exhibit a strong recency bias, systematically favoring new responses over old, as well as a clear provenance hierarchy (Expert &gt; Human &gt; LLM &gt; Unknown). These biases are especially pronounced in GPT-4o and in the more subjective and open-ended LitBench domain. Crucially, cue acknowledgment is rare: justifications almost never reference the injected cues, instead rationalizing decisions in terms of content qualities. These findings demonstrate that current LLM-as-a-judge systems are shortcut-prone and unfaithful, undermining their reliability as evaluators in both research and deployment.</x:v>
      </x:c>
      <x:c r="L75" s="17" t="str">
        <x:v>http://arxiv.org/abs/2509.26072v2</x:v>
      </x:c>
      <x:c r="M75" s="23" t="n">
        <x:v>0.8945976510565969</x:v>
      </x:c>
      <x:c r="N75" s="17" t="str">
        <x:v>qwen3-rerank-no-instruct-20260727-125006-results.jsonl</x:v>
      </x:c>
      <x:c r="O75" s="24" t="str">
        <x:v>2</x:v>
      </x:c>
      <x:c r="P75" s="28" t="str">
        <x:v>揭示LLM裁判未被承认的捷径偏差。</x:v>
      </x:c>
      <x:c r="Q75" s="25" t="str"/>
      <x:c r="R75" s="24" t="str">
        <x:f>IF(Q75&lt;&gt;"",Q75,O75)</x:f>
        <x:v>2</x:v>
      </x:c>
      <x:c r="S75" s="29" t="str"/>
    </x:row>
    <x:row r="76" ht="54" customHeight="1">
      <x:c r="A76" s="17" t="str">
        <x:v>csq004-r15</x:v>
      </x:c>
      <x:c r="B76" s="17" t="str">
        <x:v>csq004</x:v>
      </x:c>
      <x:c r="C76" s="17" t="str">
        <x:v>natural_language_processing</x:v>
      </x:c>
      <x:c r="D76" s="17" t="str">
        <x:v>llm_as_a_judge</x:v>
      </x:c>
      <x:c r="E76" s="27" t="str">
        <x:v>What limitations and biases have been identified in LLM-as-a-judge evaluation, and which mitigation strategies have been proposed?</x:v>
      </x:c>
      <x:c r="F76" s="22" t="n">
        <x:v>15</x:v>
      </x:c>
      <x:c r="G76" s="17" t="str">
        <x:v>arXiv:2503.05061</x:v>
      </x:c>
      <x:c r="H76" s="27" t="str">
        <x:v>No Free Labels: Limitations of LLM-as-a-Judge Without Human Grounding</x:v>
      </x:c>
      <x:c r="I76" s="17" t="str">
        <x:v>Michael Krumdick; Charles Lovering; Varshini Reddy; Seth Ebner; Chris Tanner</x:v>
      </x:c>
      <x:c r="J76" s="22" t="n">
        <x:v>2025</x:v>
      </x:c>
      <x:c r="K76" s="27" t="str">
        <x:v>Reliable evaluation of large language models (LLMs) is critical as their deployment rapidly expands, particularly in high-stakes domains such as business and finance. The LLM-as-a-Judge framework, which uses prompted LLMs to evaluate response quality, is appealing due to its scalability, low cost, and strong correlations with human stylistic preferences. However, it remains unclear how accurately these methods can assess response quality in domains where correctness matters more than style. To address this gap, we introduce the Business and Finance Fundamentals Benchmark (BFF-Bench), a dataset of 160 challenging questions and long-form responses authored by financial professionals. These experts subsequently evaluated the correctness of 1,200 responses generated by a diverse set of LLMs on both BFF-Bench and a challenging subset of MT-Bench. With this expert-annotated dataset of judgments (VERDICTS), we analyze the agreement between a suite of automated grading methods and human experts. While we observe that LLM Judges are more reliable than other grading methods, our findings reveal a clear pattern in LLM Judge performance: when not provided with a correct reference, judges show high agreement with human experts only on questions the judges were able to correctly answer themselves. We demonstrate that providing the judges with expert-written references largely mitigates this issue, highlighting the limits of using LLM-as-a-Judge without any form of human verification.</x:v>
      </x:c>
      <x:c r="L76" s="17" t="str">
        <x:v>http://arxiv.org/abs/2503.05061v2</x:v>
      </x:c>
      <x:c r="M76" s="23" t="n">
        <x:v>0.8926311600126788</x:v>
      </x:c>
      <x:c r="N76" s="17" t="str">
        <x:v>qwen3-rerank-no-instruct-20260727-125006-results.jsonl</x:v>
      </x:c>
      <x:c r="O76" s="24" t="str">
        <x:v>2</x:v>
      </x:c>
      <x:c r="P76" s="28" t="str">
        <x:v>证明无人工参考时裁判受自身答题能力限制并给出缓解。</x:v>
      </x:c>
      <x:c r="Q76" s="25" t="str"/>
      <x:c r="R76" s="24" t="str">
        <x:f>IF(Q76&lt;&gt;"",Q76,O76)</x:f>
        <x:v>2</x:v>
      </x:c>
      <x:c r="S76" s="29" t="str"/>
    </x:row>
    <x:row r="77" ht="54" customHeight="1">
      <x:c r="A77" s="17" t="str">
        <x:v>csq004-r16</x:v>
      </x:c>
      <x:c r="B77" s="17" t="str">
        <x:v>csq004</x:v>
      </x:c>
      <x:c r="C77" s="17" t="str">
        <x:v>natural_language_processing</x:v>
      </x:c>
      <x:c r="D77" s="17" t="str">
        <x:v>llm_as_a_judge</x:v>
      </x:c>
      <x:c r="E77" s="27" t="str">
        <x:v>What limitations and biases have been identified in LLM-as-a-judge evaluation, and which mitigation strategies have been proposed?</x:v>
      </x:c>
      <x:c r="F77" s="22" t="n">
        <x:v>16</x:v>
      </x:c>
      <x:c r="G77" s="17" t="str">
        <x:v>arXiv:2503.00596</x:v>
      </x:c>
      <x:c r="H77" s="27" t="str">
        <x:v>BadJudge: Backdoor Vulnerabilities of LLM-as-a-Judge</x:v>
      </x:c>
      <x:c r="I77" s="17" t="str">
        <x:v>Terry Tong; Fei Wang; Zhe Zhao; Muhao Chen</x:v>
      </x:c>
      <x:c r="J77" s="22" t="n">
        <x:v>2025</x:v>
      </x:c>
      <x:c r="K77" s="27" t="str">
        <x:v>This paper proposes a novel backdoor threat attacking the LLM-as-a-Judge evaluation regime, where the adversary controls both the candidate and evaluator model. The backdoored evaluator victimizes benign users by unfairly assigning inflated scores to adversary. A trivial single token backdoor poisoning 1% of the evaluator training data triples the adversary's score with respect to their legitimate score. We systematically categorize levels of data access corresponding to three real-world settings, (1) web poisoning, (2) malicious annotator, and (3) weight poisoning. These regimes reflect a weak to strong escalation of data access that highly correlates with attack severity. Under the weakest assumptions - web poisoning (1), the adversary still induces a 20% score inflation. Likewise, in the (3) weight poisoning regime, the stronger assumptions enable the adversary to inflate their scores from 1.5/5 to 4.9/5. The backdoor threat generalizes across different evaluator architectures, trigger designs, evaluation tasks, and poisoning rates. By poisoning 10% of the evaluator training data, we control toxicity judges (Guardrails) to misclassify toxic prompts as non-toxic 89% of the time, and document reranker judges in RAG to rank the poisoned document first 97% of the time. LLM-as-a-Judge is uniquely positioned at the intersection of ethics and technology, where social implications of mislead model selection and evaluation constrain the available defensive tools. Amidst these challenges, model merging emerges as a principled tool to offset the backdoor, reducing ASR to near 0% whilst maintaining SOTA performance. Model merging's low computational cost and convenient integration into the current LLM Judge training pipeline position it as a promising avenue for backdoor mitigation in the LLM-as-a-Judge setting.</x:v>
      </x:c>
      <x:c r="L77" s="17" t="str">
        <x:v>http://arxiv.org/abs/2503.00596v1</x:v>
      </x:c>
      <x:c r="M77" s="23" t="n">
        <x:v>0.8696812183962919</x:v>
      </x:c>
      <x:c r="N77" s="17" t="str">
        <x:v>qwen3-rerank-no-instruct-20260727-125006-results.jsonl</x:v>
      </x:c>
      <x:c r="O77" s="24" t="str">
        <x:v>2</x:v>
      </x:c>
      <x:c r="P77" s="28" t="str">
        <x:v>揭示LLM裁判后门脆弱性并提出模型合并防御。</x:v>
      </x:c>
      <x:c r="Q77" s="25" t="str"/>
      <x:c r="R77" s="24" t="str">
        <x:f>IF(Q77&lt;&gt;"",Q77,O77)</x:f>
        <x:v>2</x:v>
      </x:c>
      <x:c r="S77" s="29" t="str"/>
    </x:row>
    <x:row r="78" ht="54" customHeight="1">
      <x:c r="A78" s="17" t="str">
        <x:v>csq004-r17</x:v>
      </x:c>
      <x:c r="B78" s="17" t="str">
        <x:v>csq004</x:v>
      </x:c>
      <x:c r="C78" s="17" t="str">
        <x:v>natural_language_processing</x:v>
      </x:c>
      <x:c r="D78" s="17" t="str">
        <x:v>llm_as_a_judge</x:v>
      </x:c>
      <x:c r="E78" s="27" t="str">
        <x:v>What limitations and biases have been identified in LLM-as-a-judge evaluation, and which mitigation strategies have been proposed?</x:v>
      </x:c>
      <x:c r="F78" s="22" t="n">
        <x:v>17</x:v>
      </x:c>
      <x:c r="G78" s="17" t="str">
        <x:v>arXiv:2505.14279</x:v>
      </x:c>
      <x:c r="H78" s="27" t="str">
        <x:v>YESciEval: Robust LLM-as-a-Judge for Scientific Question Answering</x:v>
      </x:c>
      <x:c r="I78" s="17" t="str">
        <x:v>Jennifer D'Souza; Hamed Babaei Giglou; Quentin Münch</x:v>
      </x:c>
      <x:c r="J78" s="22" t="n">
        <x:v>2025</x:v>
      </x:c>
      <x:c r="K78" s="27" t="str">
        <x:v>Large Language Models (LLMs) drive scientific question-answering on modern search engines, yet their evaluation robustness remains underexplored. We introduce YESciEval, an open-source framework that combines fine-grained rubric-based assessment with reinforcement learning to mitigate optimism bias in LLM evaluators. We release multidisciplinary scienceQ&amp;A datasets, including adversarial variants, with evaluation scores from multiple LLMs. Independent of proprietary models and human feedback, our approach enables scalable, cost-free evaluation. By advancing reliable LLM-as-a-judge models, this work supports AI alignment and fosters robust, transparent evaluation essential for scientific inquiry.</x:v>
      </x:c>
      <x:c r="L78" s="17" t="str">
        <x:v>http://arxiv.org/abs/2505.14279v2</x:v>
      </x:c>
      <x:c r="M78" s="23" t="n">
        <x:v>0.8468145621269443</x:v>
      </x:c>
      <x:c r="N78" s="17" t="str">
        <x:v>qwen3-rerank-no-instruct-20260727-125006-results.jsonl</x:v>
      </x:c>
      <x:c r="O78" s="24" t="str">
        <x:v>2</x:v>
      </x:c>
      <x:c r="P78" s="28" t="str">
        <x:v>以细粒度准则和强化学习缓解科学问答裁判乐观偏差。</x:v>
      </x:c>
      <x:c r="Q78" s="25" t="str"/>
      <x:c r="R78" s="24" t="str">
        <x:f>IF(Q78&lt;&gt;"",Q78,O78)</x:f>
        <x:v>2</x:v>
      </x:c>
      <x:c r="S78" s="29" t="str"/>
    </x:row>
    <x:row r="79" ht="54" customHeight="1">
      <x:c r="A79" s="17" t="str">
        <x:v>csq004-r18</x:v>
      </x:c>
      <x:c r="B79" s="17" t="str">
        <x:v>csq004</x:v>
      </x:c>
      <x:c r="C79" s="17" t="str">
        <x:v>natural_language_processing</x:v>
      </x:c>
      <x:c r="D79" s="17" t="str">
        <x:v>llm_as_a_judge</x:v>
      </x:c>
      <x:c r="E79" s="27" t="str">
        <x:v>What limitations and biases have been identified in LLM-as-a-judge evaluation, and which mitigation strategies have been proposed?</x:v>
      </x:c>
      <x:c r="F79" s="22" t="n">
        <x:v>18</x:v>
      </x:c>
      <x:c r="G79" s="17" t="str">
        <x:v>arXiv:2504.11972</x:v>
      </x:c>
      <x:c r="H79" s="27" t="str">
        <x:v>Reassessing Extractive QA Datasets at Scale: LLM-as-a-Judge and In-Depth Analyses</x:v>
      </x:c>
      <x:c r="I79" s="17" t="str">
        <x:v>Xanh Ho; Jiahao Huang; Florian Boudin; Akiko Aizawa</x:v>
      </x:c>
      <x:c r="J79" s="22" t="n">
        <x:v>2025</x:v>
      </x:c>
      <x:c r="K79" s="27" t="str">
        <x:v>Extractive QA tasks are commonly evaluated using Exact Match (EM) and F1-score, but these metrics often fail to reflect true model performance. Recent studies have proposed using large language models (LLMs) as judges (LLM-as-a-judge), yet they often lack comprehensive evaluation across datasets and overlook key factors such as sensitivity to answer types, prompt variations, and self-preference bias. In this work, we conduct a systematic study of LLM-as-a-judge across four extractive QA datasets and various prompt variations, assessing multiple LLM families in both answering and judging roles. Our results show that LLM-as-a-judge judgments correlate much more strongly with human evaluations than EM (0.22) and F1 (0.40), achieving correlations up to 0.85 with open-source models. Further analysis reveals that LLM-as-a-judge performs particularly well on number-related answers but faces challenges with more complex types, such as job titles. Contrary to findings in other NLP tasks, we observe no self-preference bias, even when the same model serves as both QA model and judge. Finally, we find that prompt phrasing has minimal impact, and zero-shot, context-free judging often yields the best evaluation performance.</x:v>
      </x:c>
      <x:c r="L79" s="17" t="str">
        <x:v>http://arxiv.org/abs/2504.11972v3</x:v>
      </x:c>
      <x:c r="M79" s="23" t="n">
        <x:v>0.8361230332297364</x:v>
      </x:c>
      <x:c r="N79" s="17" t="str">
        <x:v>qwen3-rerank-no-instruct-20260727-125006-results.jsonl</x:v>
      </x:c>
      <x:c r="O79" s="24" t="str">
        <x:v>2</x:v>
      </x:c>
      <x:c r="P79" s="28" t="str">
        <x:v>分析答案类型、提示变化和自偏好对QA裁判的影响。</x:v>
      </x:c>
      <x:c r="Q79" s="25" t="str"/>
      <x:c r="R79" s="24" t="str">
        <x:f>IF(Q79&lt;&gt;"",Q79,O79)</x:f>
        <x:v>2</x:v>
      </x:c>
      <x:c r="S79" s="29" t="str"/>
    </x:row>
    <x:row r="80" ht="54" customHeight="1">
      <x:c r="A80" s="17" t="str">
        <x:v>csq004-r19</x:v>
      </x:c>
      <x:c r="B80" s="17" t="str">
        <x:v>csq004</x:v>
      </x:c>
      <x:c r="C80" s="17" t="str">
        <x:v>natural_language_processing</x:v>
      </x:c>
      <x:c r="D80" s="17" t="str">
        <x:v>llm_as_a_judge</x:v>
      </x:c>
      <x:c r="E80" s="27" t="str">
        <x:v>What limitations and biases have been identified in LLM-as-a-judge evaluation, and which mitigation strategies have been proposed?</x:v>
      </x:c>
      <x:c r="F80" s="22" t="n">
        <x:v>19</x:v>
      </x:c>
      <x:c r="G80" s="17" t="str">
        <x:v>arXiv:2503.04381</x:v>
      </x:c>
      <x:c r="H80" s="27" t="str">
        <x:v>TRACT: Regression-Aware Fine-tuning Meets Chain-of-Thought Reasoning for LLM-as-a-Judge</x:v>
      </x:c>
      <x:c r="I80" s="17" t="str">
        <x:v>Cheng-Han Chiang; Hung-yi Lee; Michal Lukasik</x:v>
      </x:c>
      <x:c r="J80" s="22" t="n">
        <x:v>2025</x:v>
      </x:c>
      <x:c r="K80" s="27" t="str">
        <x:v>The LLM-as-a-judge paradigm uses large language models (LLMs) for automated text evaluation, where a numerical assessment is assigned by an LLM to the input text following scoring rubrics. Existing methods for LLM-as-a-judge use cross-entropy (CE) loss for fine-tuning, which neglects the numeric nature of score prediction. Recent work addresses numerical prediction limitations of LLM fine-tuning through regression-aware fine-tuning, which, however, does not consider chain-of-thought (CoT) reasoning for score prediction. In this paper, we introduce TRACT (Two-stage Regression-Aware fine-tuning with CoT), a method combining CoT reasoning with regression-aware training. TRACT consists of two stages: first, seed LLM is fine-tuned to generate CoTs, which serve as supervision for the second stage fine-tuning. The training objective of TRACT combines the CE loss for learning the CoT reasoning capabilities, and the regression-aware loss for the score prediction. Experiments across four LLM-as-a-judge datasets and two LLMs show that TRACT significantly outperforms existing methods. Extensive ablation studies validate the importance of each component in TRACT.</x:v>
      </x:c>
      <x:c r="L80" s="17" t="str">
        <x:v>http://arxiv.org/abs/2503.04381v2</x:v>
      </x:c>
      <x:c r="M80" s="23" t="n">
        <x:v>0.8203622440443932</x:v>
      </x:c>
      <x:c r="N80" s="17" t="str">
        <x:v>qwen3-rerank-no-instruct-20260727-125006-results.jsonl</x:v>
      </x:c>
      <x:c r="O80" s="24" t="str">
        <x:v>2</x:v>
      </x:c>
      <x:c r="P80" s="28" t="str">
        <x:v>以回归感知微调和思维链提升LLM裁判可靠性。</x:v>
      </x:c>
      <x:c r="Q80" s="25" t="str"/>
      <x:c r="R80" s="24" t="str">
        <x:f>IF(Q80&lt;&gt;"",Q80,O80)</x:f>
        <x:v>2</x:v>
      </x:c>
      <x:c r="S80" s="29" t="str"/>
    </x:row>
    <x:row r="81" ht="54" customHeight="1">
      <x:c r="A81" s="17" t="str">
        <x:v>csq004-r20</x:v>
      </x:c>
      <x:c r="B81" s="17" t="str">
        <x:v>csq004</x:v>
      </x:c>
      <x:c r="C81" s="17" t="str">
        <x:v>natural_language_processing</x:v>
      </x:c>
      <x:c r="D81" s="17" t="str">
        <x:v>llm_as_a_judge</x:v>
      </x:c>
      <x:c r="E81" s="27" t="str">
        <x:v>What limitations and biases have been identified in LLM-as-a-judge evaluation, and which mitigation strategies have been proposed?</x:v>
      </x:c>
      <x:c r="F81" s="22" t="n">
        <x:v>20</x:v>
      </x:c>
      <x:c r="G81" s="17" t="str">
        <x:v>arXiv:2410.05193</x:v>
      </x:c>
      <x:c r="H81" s="27" t="str">
        <x:v>RevisEval: Improving LLM-as-a-Judge via Response-Adapted References</x:v>
      </x:c>
      <x:c r="I81" s="17" t="str">
        <x:v>Qiyuan Zhang; Yufei Wang; Tiezheng YU; Yuxin Jiang; Chuhan Wu; Liangyou Li; Yasheng Wang; Xin Jiang; Lifeng Shang; Ruiming Tang; Fuyuan Lyu; Chen Ma</x:v>
      </x:c>
      <x:c r="J81" s="22" t="n">
        <x:v>2024</x:v>
      </x:c>
      <x:c r="K81" s="27" t="str">
        <x:v>With significant efforts in recent studies, LLM-as-a-Judge has become a cost-effective alternative to human evaluation for assessing text generation quality in a wide range of tasks. However, there still remains a reliability gap between LLM-as-a-Judge and human evaluation. One important reason is the lack of guided oracles in the evaluation process. Motivated by the role of reference pervasively used in classic text evaluation, we introduce RevisEval, a novel text generation evaluation paradigm via the response-adapted references. RevisEval is driven by the key observation that an ideal reference should maintain the necessary relevance to the response to be evaluated. Specifically, RevisEval leverages the text revision capabilities of large language models (LLMs) to adaptively revise the response, then treat the revised text as the reference (response-adapted reference) for the subsequent evaluation. Extensive experiments demonstrate that RevisEval outperforms traditional reference-free and reference-based evaluation paradigms that use LLM-as-a-Judge across NLG tasks and open-ended instruction-following tasks. More importantly, our response-adapted references can further boost the classical text metrics, e.g., BLEU and BERTScore, compared to traditional references and even rival the LLM-as-a-Judge. A detailed analysis is also conducted to confirm RevisEval's effectiveness in bias reduction, the impact of inference cost, and reference relevance.</x:v>
      </x:c>
      <x:c r="L81" s="17" t="str">
        <x:v>http://arxiv.org/abs/2410.05193v3</x:v>
      </x:c>
      <x:c r="M81" s="23" t="n">
        <x:v>0.8157873120999479</x:v>
      </x:c>
      <x:c r="N81" s="17" t="str">
        <x:v>qwen3-rerank-no-instruct-20260727-125006-results.jsonl</x:v>
      </x:c>
      <x:c r="O81" s="24" t="str">
        <x:v>2</x:v>
      </x:c>
      <x:c r="P81" s="28" t="str">
        <x:v>通过响应自适应参考缓解无参考裁判判断缺陷。</x:v>
      </x:c>
      <x:c r="Q81" s="25" t="str"/>
      <x:c r="R81" s="24" t="str">
        <x:f>IF(Q81&lt;&gt;"",Q81,O81)</x:f>
        <x:v>2</x:v>
      </x:c>
      <x:c r="S81" s="29" t="str"/>
    </x:row>
    <x:row r="82" ht="54" customHeight="1">
      <x:c r="A82" s="17" t="str">
        <x:v>csq005-r01</x:v>
      </x:c>
      <x:c r="B82" s="17" t="str">
        <x:v>csq005</x:v>
      </x:c>
      <x:c r="C82" s="17" t="str">
        <x:v>natural_language_processing</x:v>
      </x:c>
      <x:c r="D82" s="17" t="str">
        <x:v>long_context</x:v>
      </x:c>
      <x:c r="E82" s="27" t="str">
        <x:v>How have methods for extending the effective context length of transformer language models evolved, and what trade-offs do they make in memory, latency, and retrieval quality?</x:v>
      </x:c>
      <x:c r="F82" s="22" t="n">
        <x:v>1</x:v>
      </x:c>
      <x:c r="G82" s="17" t="str">
        <x:v>arXiv:2109.00301</x:v>
      </x:c>
      <x:c r="H82" s="27" t="str">
        <x:v>$\infty$-former: Infinite Memory Transformer</x:v>
      </x:c>
      <x:c r="I82" s="17" t="str">
        <x:v>Pedro Henrique Martins; Zita Marinho; André F. T. Martins</x:v>
      </x:c>
      <x:c r="J82" s="22" t="n">
        <x:v>2021</x:v>
      </x:c>
      <x:c r="K82" s="27" t="str">
        <x:v>Transformers are unable to model long-term memories effectively, since the amount of computation they need to perform grows with the context length. While variations of efficient transformers have been proposed, they all have a finite memory capacity and are forced to drop old information. In this paper, we propose the $\infty$-former, which extends the vanilla transformer with an unbounded long-term memory. By making use of a continuous-space attention mechanism to attend over the long-term memory, the $\infty$-former's attention complexity becomes independent of the context length, trading off memory length with precision. In order to control where precision is more important, $\infty$-former maintains "sticky memories" being able to model arbitrarily long contexts while keeping the computation budget fixed. Experiments on a synthetic sorting task, language modeling, and document grounded dialogue generation demonstrate the $\infty$-former's ability to retain information from long sequences.</x:v>
      </x:c>
      <x:c r="L82" s="17" t="str">
        <x:v>http://arxiv.org/abs/2109.00301v3</x:v>
      </x:c>
      <x:c r="M82" s="23" t="n">
        <x:v>0.815045557009981</x:v>
      </x:c>
      <x:c r="N82" s="17" t="str">
        <x:v>qwen3-rerank-no-instruct-20260727-125006-results.jsonl</x:v>
      </x:c>
      <x:c r="O82" s="24" t="str">
        <x:v>2</x:v>
      </x:c>
      <x:c r="P82" s="28" t="str">
        <x:v>以连续注意记忆实现理论无限上下文。</x:v>
      </x:c>
      <x:c r="Q82" s="25" t="str"/>
      <x:c r="R82" s="24" t="str">
        <x:f>IF(Q82&lt;&gt;"",Q82,O82)</x:f>
        <x:v>2</x:v>
      </x:c>
      <x:c r="S82" s="29" t="str"/>
    </x:row>
    <x:row r="83" ht="54" customHeight="1">
      <x:c r="A83" s="17" t="str">
        <x:v>csq005-r02</x:v>
      </x:c>
      <x:c r="B83" s="17" t="str">
        <x:v>csq005</x:v>
      </x:c>
      <x:c r="C83" s="17" t="str">
        <x:v>natural_language_processing</x:v>
      </x:c>
      <x:c r="D83" s="17" t="str">
        <x:v>long_context</x:v>
      </x:c>
      <x:c r="E83" s="27" t="str">
        <x:v>How have methods for extending the effective context length of transformer language models evolved, and what trade-offs do they make in memory, latency, and retrieval quality?</x:v>
      </x:c>
      <x:c r="F83" s="22" t="n">
        <x:v>2</x:v>
      </x:c>
      <x:c r="G83" s="17" t="str">
        <x:v>arXiv:2410.13166</x:v>
      </x:c>
      <x:c r="H83" s="27" t="str">
        <x:v>An Evolved Universal Transformer Memory</x:v>
      </x:c>
      <x:c r="I83" s="17" t="str">
        <x:v>Edoardo Cetin; Qi Sun; Tianyu Zhao; Yujin Tang</x:v>
      </x:c>
      <x:c r="J83" s="22" t="n">
        <x:v>2024</x:v>
      </x:c>
      <x:c r="K83" s="27" t="str">
        <x:v>Prior methods propose to offset the escalating costs of modern foundation models by dropping specific parts of their contexts with hand-designed rules, while attempting to preserve their original performance. We overcome this trade-off with Neural Attention Memory Models (NAMMs), introducing a learned network for memory management that improves both the performance and efficiency of transformers. We evolve NAMMs atop pre-trained transformers to provide different latent contexts focusing on the most relevant information for individual layers and attention heads. NAMMs are universally applicable to any model using self-attention as they condition exclusively on the values in the produced attention matrices. Learning NAMMs on a small set of problems, we achieve substantial performance improvements across multiple long-context benchmarks while cutting the model's input contexts up to a fraction of the original sizes. We show the generality of our conditioning enables zero-shot transfer of NAMMs trained only on language to entirely new transformer architectures even across input modalities, with their benefits carrying over to vision and reinforcement learning.</x:v>
      </x:c>
      <x:c r="L83" s="17" t="str">
        <x:v>http://arxiv.org/abs/2410.13166v4</x:v>
      </x:c>
      <x:c r="M83" s="23" t="n">
        <x:v>0.7745491435904178</x:v>
      </x:c>
      <x:c r="N83" s="17" t="str">
        <x:v>qwen3-rerank-no-instruct-20260727-125006-results.jsonl</x:v>
      </x:c>
      <x:c r="O83" s="24" t="str">
        <x:v>2</x:v>
      </x:c>
      <x:c r="P83" s="28" t="str">
        <x:v>演化式Transformer记忆直接扩展长期信息保留。</x:v>
      </x:c>
      <x:c r="Q83" s="25" t="str"/>
      <x:c r="R83" s="24" t="str">
        <x:f>IF(Q83&lt;&gt;"",Q83,O83)</x:f>
        <x:v>2</x:v>
      </x:c>
      <x:c r="S83" s="29" t="str"/>
    </x:row>
    <x:row r="84" ht="54" customHeight="1">
      <x:c r="A84" s="17" t="str">
        <x:v>csq005-r03</x:v>
      </x:c>
      <x:c r="B84" s="17" t="str">
        <x:v>csq005</x:v>
      </x:c>
      <x:c r="C84" s="17" t="str">
        <x:v>natural_language_processing</x:v>
      </x:c>
      <x:c r="D84" s="17" t="str">
        <x:v>long_context</x:v>
      </x:c>
      <x:c r="E84" s="27" t="str">
        <x:v>How have methods for extending the effective context length of transformer language models evolved, and what trade-offs do they make in memory, latency, and retrieval quality?</x:v>
      </x:c>
      <x:c r="F84" s="22" t="n">
        <x:v>3</x:v>
      </x:c>
      <x:c r="G84" s="17" t="str">
        <x:v>arXiv:2504.12526</x:v>
      </x:c>
      <x:c r="H84" s="27" t="str">
        <x:v>MOM: Memory-Efficient Offloaded Mini-Sequence Inference for Long Context Language Models</x:v>
      </x:c>
      <x:c r="I84" s="17" t="str">
        <x:v>Junyang Zhang; Tianyi Zhu; Cheng Luo; Anima Anandkumar</x:v>
      </x:c>
      <x:c r="J84" s="22" t="n">
        <x:v>2025</x:v>
      </x:c>
      <x:c r="K84" s="27" t="str">
        <x:v>Long-context language models exhibit impressive performance but remain challenging to deploy due to high GPU memory demands during inference. We propose Memory-efficient Offloaded Mini-sequence Inference (MOM), a method that partitions critical layers into smaller "mini-sequences" and integrates seamlessly with KV cache offloading. Experiments on various Llama, Qwen, and Mistral models demonstrate that MOM reduces peak memory usage by over 50\% on average. On Meta-Llama-3.2-8B, MOM extends the maximum context length from 155k to 455k tokens on a single A100 80GB GPU, while keeping outputs identical and not compromising accuracy. MOM also maintains highly competitive throughput due to minimal computational overhead and efficient last-layer processing. Compared to traditional chunked prefill methods, MOM achieves a 35\% greater context length extension. More importantly, our method drastically reduces prefill memory consumption, eliminating it as the longstanding dominant memory bottleneck during inference. This breakthrough fundamentally changes research priorities, redirecting future efforts from prefill-stage optimizations to improving decode-stage residual KV cache efficiency.</x:v>
      </x:c>
      <x:c r="L84" s="17" t="str">
        <x:v>http://arxiv.org/abs/2504.12526v1</x:v>
      </x:c>
      <x:c r="M84" s="23" t="n">
        <x:v>0.6395342162061461</x:v>
      </x:c>
      <x:c r="N84" s="17" t="str">
        <x:v>qwen3-rerank-no-instruct-20260727-125006-results.jsonl</x:v>
      </x:c>
      <x:c r="O84" s="24" t="str">
        <x:v>2</x:v>
      </x:c>
      <x:c r="P84" s="28" t="str">
        <x:v>通过小序列卸载降低长上下文推理内存。</x:v>
      </x:c>
      <x:c r="Q84" s="25" t="str"/>
      <x:c r="R84" s="24" t="str">
        <x:f>IF(Q84&lt;&gt;"",Q84,O84)</x:f>
        <x:v>2</x:v>
      </x:c>
      <x:c r="S84" s="29" t="str"/>
    </x:row>
    <x:row r="85" ht="54" customHeight="1">
      <x:c r="A85" s="17" t="str">
        <x:v>csq005-r04</x:v>
      </x:c>
      <x:c r="B85" s="17" t="str">
        <x:v>csq005</x:v>
      </x:c>
      <x:c r="C85" s="17" t="str">
        <x:v>natural_language_processing</x:v>
      </x:c>
      <x:c r="D85" s="17" t="str">
        <x:v>long_context</x:v>
      </x:c>
      <x:c r="E85" s="27" t="str">
        <x:v>How have methods for extending the effective context length of transformer language models evolved, and what trade-offs do they make in memory, latency, and retrieval quality?</x:v>
      </x:c>
      <x:c r="F85" s="22" t="n">
        <x:v>4</x:v>
      </x:c>
      <x:c r="G85" s="17" t="str">
        <x:v>arXiv:2402.11577</x:v>
      </x:c>
      <x:c r="H85" s="27" t="str">
        <x:v>Extensible Embedding: A Flexible Multipler For LLM's Context Length</x:v>
      </x:c>
      <x:c r="I85" s="17" t="str">
        <x:v>Ninglu Shao; Shitao Xiao; Zheng Liu; Peitian Zhang</x:v>
      </x:c>
      <x:c r="J85" s="22" t="n">
        <x:v>2024</x:v>
      </x:c>
      <x:c r="K85" s="27" t="str">
        <x:v>Large language models (LLMs) call for extension of context to handle many critical applications. However, the existing approaches are prone to expensive costs and inferior quality of context extension. In this work, we propose Extensible Embedding, which realizes high-quality extension of LLM's context with strong flexibility and cost-effectiveness. Extensible embedding stand as an enhancement of typical token embedding, which represents the information for an extensible scope of context instead of a single token. By leveraging such compact input units of higher information density, the LLM can access to a vast scope of context even with a small context window. Extensible embedding is systematically optimized in architecture and training method, which leads to multiple advantages. 1) High flexibility of context extension, which flexibly supports ad-hoc extension of diverse context lengths. 2) Strong sample efficiency of training, which enables the embedding model to be learned in a cost-effective way. 3) Superior compatibility with the existing LLMs, where the extensible embedding can be seamlessly introduced as a plug-in component. Comprehensive evaluations on long-context language modeling and understanding tasks verify extensible embedding as an effective, efficient, flexible, and compatible method to extend the LLM's context.</x:v>
      </x:c>
      <x:c r="L85" s="17" t="str">
        <x:v>http://arxiv.org/abs/2402.11577v1</x:v>
      </x:c>
      <x:c r="M85" s="23" t="n">
        <x:v>0.6357912001385827</x:v>
      </x:c>
      <x:c r="N85" s="17" t="str">
        <x:v>qwen3-rerank-no-instruct-20260727-125006-results.jsonl</x:v>
      </x:c>
      <x:c r="O85" s="24" t="str">
        <x:v>2</x:v>
      </x:c>
      <x:c r="P85" s="28" t="str">
        <x:v>提出可扩展嵌入直接放大LLM上下文长度。</x:v>
      </x:c>
      <x:c r="Q85" s="25" t="str"/>
      <x:c r="R85" s="24" t="str">
        <x:f>IF(Q85&lt;&gt;"",Q85,O85)</x:f>
        <x:v>2</x:v>
      </x:c>
      <x:c r="S85" s="29" t="str"/>
    </x:row>
    <x:row r="86" ht="54" customHeight="1">
      <x:c r="A86" s="17" t="str">
        <x:v>csq005-r05</x:v>
      </x:c>
      <x:c r="B86" s="17" t="str">
        <x:v>csq005</x:v>
      </x:c>
      <x:c r="C86" s="17" t="str">
        <x:v>natural_language_processing</x:v>
      </x:c>
      <x:c r="D86" s="17" t="str">
        <x:v>long_context</x:v>
      </x:c>
      <x:c r="E86" s="27" t="str">
        <x:v>How have methods for extending the effective context length of transformer language models evolved, and what trade-offs do they make in memory, latency, and retrieval quality?</x:v>
      </x:c>
      <x:c r="F86" s="22" t="n">
        <x:v>5</x:v>
      </x:c>
      <x:c r="G86" s="17" t="str">
        <x:v>arXiv:2308.10882</x:v>
      </x:c>
      <x:c r="H86" s="27" t="str">
        <x:v>Giraffe: Adventures in Expanding Context Lengths in LLMs</x:v>
      </x:c>
      <x:c r="I86" s="17" t="str">
        <x:v>Arka Pal; Deep Karkhanis; Manley Roberts; Samuel Dooley; Arvind Sundararajan; Siddartha Naidu</x:v>
      </x:c>
      <x:c r="J86" s="22" t="n">
        <x:v>2023</x:v>
      </x:c>
      <x:c r="K86" s="27" t="str">
        <x:v>Modern large language models (LLMs) that rely on attention mechanisms are typically trained with fixed context lengths which enforce upper limits on the length of input sequences that they can handle at evaluation time. To use these models on sequences longer than the train-time context length, one might employ techniques from the growing family of context length extrapolation methods -- most of which focus on modifying the system of positional encodings used in the attention mechanism to indicate where tokens or activations are located in the input sequence. We conduct a wide survey of existing methods of context length extrapolation on a base LLaMA or LLaMA 2 model, and introduce some of our own design as well -- in particular, a new truncation strategy for modifying the basis for the position encoding. We test these methods using three new evaluation tasks (FreeFormQA, AlteredNumericQA, and LongChat-Lines) as well as perplexity, which we find to be less fine-grained as a measure of long context performance of LLMs. We release the three tasks publicly as datasets on HuggingFace. We discover that linear scaling is the best method for extending context length, and show that further gains can be achieved by using longer scales at evaluation time. We also discover promising extrapolation capabilities in the truncated basis. To support further research in this area, we release three new 13B parameter long-context models which we call Giraffe: 4k and 16k context models trained from base LLaMA-13B, and a 32k context model trained from base LLaMA2-13B. We also release the code to replicate our results.</x:v>
      </x:c>
      <x:c r="L86" s="17" t="str">
        <x:v>http://arxiv.org/abs/2308.10882v1</x:v>
      </x:c>
      <x:c r="M86" s="23" t="n">
        <x:v>0.6351289932066881</x:v>
      </x:c>
      <x:c r="N86" s="17" t="str">
        <x:v>qwen3-rerank-no-instruct-20260727-125006-results.jsonl</x:v>
      </x:c>
      <x:c r="O86" s="24" t="str">
        <x:v>2</x:v>
      </x:c>
      <x:c r="P86" s="28" t="str">
        <x:v>系统探索位置扩展等LLM上下文窗口扩大方法。</x:v>
      </x:c>
      <x:c r="Q86" s="25" t="str"/>
      <x:c r="R86" s="24" t="str">
        <x:f>IF(Q86&lt;&gt;"",Q86,O86)</x:f>
        <x:v>2</x:v>
      </x:c>
      <x:c r="S86" s="29" t="str"/>
    </x:row>
    <x:row r="87" ht="54" customHeight="1">
      <x:c r="A87" s="17" t="str">
        <x:v>csq005-r06</x:v>
      </x:c>
      <x:c r="B87" s="17" t="str">
        <x:v>csq005</x:v>
      </x:c>
      <x:c r="C87" s="17" t="str">
        <x:v>natural_language_processing</x:v>
      </x:c>
      <x:c r="D87" s="17" t="str">
        <x:v>long_context</x:v>
      </x:c>
      <x:c r="E87" s="27" t="str">
        <x:v>How have methods for extending the effective context length of transformer language models evolved, and what trade-offs do they make in memory, latency, and retrieval quality?</x:v>
      </x:c>
      <x:c r="F87" s="22" t="n">
        <x:v>6</x:v>
      </x:c>
      <x:c r="G87" s="17" t="str">
        <x:v>arXiv:2312.03414</x:v>
      </x:c>
      <x:c r="H87" s="27" t="str">
        <x:v>Compressed Context Memory For Online Language Model Interaction</x:v>
      </x:c>
      <x:c r="I87" s="17" t="str">
        <x:v>Jang-Hyun Kim; Junyoung Yeom; Sangdoo Yun; Hyun Oh Song</x:v>
      </x:c>
      <x:c r="J87" s="22" t="n">
        <x:v>2023</x:v>
      </x:c>
      <x:c r="K87" s="27" t="str">
        <x:v>This paper presents a context key/value compression method for Transformer language models in online scenarios, where the context continually expands. As the context lengthens, the attention process demands increasing memory and computations, which in turn reduces the throughput of the language model. To address this challenge, we propose a compressed context memory system that continually compresses the accumulating attention key/value pairs into a compact memory space, facilitating language model inference in a limited memory space of computing environments. Our compression process involves integrating a lightweight conditional LoRA into the language model's forward pass during inference, without the need for fine-tuning the model's entire set of weights. We achieve efficient training by modeling the recursive compression process as a single parallelized forward computation. Through evaluations on conversation, personalization, and multi-task learning, we demonstrate that our approach achieves the performance level of a full context model with $5\times$ smaller context memory size. We further demonstrate the applicability of our approach in a streaming setting with an unlimited context length, outperforming the sliding window approach. Codes are available at https://github.com/snu-mllab/context-memory.</x:v>
      </x:c>
      <x:c r="L87" s="17" t="str">
        <x:v>http://arxiv.org/abs/2312.03414v2</x:v>
      </x:c>
      <x:c r="M87" s="23" t="n">
        <x:v>0.6319012473044634</x:v>
      </x:c>
      <x:c r="N87" s="17" t="str">
        <x:v>qwen3-rerank-no-instruct-20260727-125006-results.jsonl</x:v>
      </x:c>
      <x:c r="O87" s="24" t="str">
        <x:v>2</x:v>
      </x:c>
      <x:c r="P87" s="28" t="str">
        <x:v>压缩上下文记忆支持在线长交互并降低存储。</x:v>
      </x:c>
      <x:c r="Q87" s="25" t="str"/>
      <x:c r="R87" s="24" t="str">
        <x:f>IF(Q87&lt;&gt;"",Q87,O87)</x:f>
        <x:v>2</x:v>
      </x:c>
      <x:c r="S87" s="29" t="str"/>
    </x:row>
    <x:row r="88" ht="54" customHeight="1">
      <x:c r="A88" s="17" t="str">
        <x:v>csq005-r07</x:v>
      </x:c>
      <x:c r="B88" s="17" t="str">
        <x:v>csq005</x:v>
      </x:c>
      <x:c r="C88" s="17" t="str">
        <x:v>natural_language_processing</x:v>
      </x:c>
      <x:c r="D88" s="17" t="str">
        <x:v>long_context</x:v>
      </x:c>
      <x:c r="E88" s="27" t="str">
        <x:v>How have methods for extending the effective context length of transformer language models evolved, and what trade-offs do they make in memory, latency, and retrieval quality?</x:v>
      </x:c>
      <x:c r="F88" s="22" t="n">
        <x:v>7</x:v>
      </x:c>
      <x:c r="G88" s="17" t="str">
        <x:v>arXiv:2402.11573</x:v>
      </x:c>
      <x:c r="H88" s="27" t="str">
        <x:v>BGE Landmark Embedding: A Chunking-Free Embedding Method For Retrieval Augmented Long-Context Large Language Models</x:v>
      </x:c>
      <x:c r="I88" s="17" t="str">
        <x:v>Kun Luo; Zheng Liu; Shitao Xiao; Kang Liu</x:v>
      </x:c>
      <x:c r="J88" s="22" t="n">
        <x:v>2024</x:v>
      </x:c>
      <x:c r="K88" s="27" t="str">
        <x:v>Large language models (LLMs) call for extension of context to handle many critical applications. However, the existing approaches are prone to expensive costs and inferior quality of context extension. In this work, we proposeExtensible Embedding, which realizes high-quality extension of LLM's context with strong flexibility and cost-effectiveness. Extensible embedding stand as an enhancement of typical token embedding, which represents the information for an extensible scope of context instead of a single token. By leveraging such compact input units of higher information density, the LLM can access to a vast scope of context even with a small context window. Extensible embedding is systematically optimized in architecture and training method, which leads to multiple advantages. 1) High flexibility of context extension, which flexibly supports ad-hoc extension of diverse context lengths. 2) Strong sample efficiency of training, which enables the embedding model to be learned in a cost-effective way. 3) Superior compatibility with the existing LLMs, where the extensible embedding can be seamlessly introduced as a plug-in component. Comprehensive evaluations on long-context language modeling and understanding tasks verify extensible embedding as an effective, efficient, flexible, and compatible method to extend the LLM's context.</x:v>
      </x:c>
      <x:c r="L88" s="17" t="str">
        <x:v>http://arxiv.org/abs/2402.11573v1</x:v>
      </x:c>
      <x:c r="M88" s="23" t="n">
        <x:v>0.621447799436904</x:v>
      </x:c>
      <x:c r="N88" s="17" t="str">
        <x:v>qwen3-rerank-no-instruct-20260727-125006-results.jsonl</x:v>
      </x:c>
      <x:c r="O88" s="24" t="str">
        <x:v>2</x:v>
      </x:c>
      <x:c r="P88" s="28" t="str">
        <x:v>无分块检索嵌入连接RAG与长上下文，影响检索质量。</x:v>
      </x:c>
      <x:c r="Q88" s="25" t="str"/>
      <x:c r="R88" s="24" t="str">
        <x:f>IF(Q88&lt;&gt;"",Q88,O88)</x:f>
        <x:v>2</x:v>
      </x:c>
      <x:c r="S88" s="29" t="str"/>
    </x:row>
    <x:row r="89" ht="54" customHeight="1">
      <x:c r="A89" s="17" t="str">
        <x:v>csq005-r08</x:v>
      </x:c>
      <x:c r="B89" s="17" t="str">
        <x:v>csq005</x:v>
      </x:c>
      <x:c r="C89" s="17" t="str">
        <x:v>natural_language_processing</x:v>
      </x:c>
      <x:c r="D89" s="17" t="str">
        <x:v>long_context</x:v>
      </x:c>
      <x:c r="E89" s="27" t="str">
        <x:v>How have methods for extending the effective context length of transformer language models evolved, and what trade-offs do they make in memory, latency, and retrieval quality?</x:v>
      </x:c>
      <x:c r="F89" s="22" t="n">
        <x:v>8</x:v>
      </x:c>
      <x:c r="G89" s="17" t="str">
        <x:v>arXiv:2503.11816</x:v>
      </x:c>
      <x:c r="H89" s="27" t="str">
        <x:v>Key, Value, Compress: A Systematic Exploration of KV Cache Compression Techniques</x:v>
      </x:c>
      <x:c r="I89" s="17" t="str">
        <x:v>Neusha Javidnia; Bita Darvish Rouhani; Farinaz Koushanfar</x:v>
      </x:c>
      <x:c r="J89" s="22" t="n">
        <x:v>2025</x:v>
      </x:c>
      <x:c r="K89" s="27" t="str">
        <x:v>Large language models (LLMs) have demonstrated exceptional capabilities in generating text, images, and video content. However, as context length grows, the computational cost of attention increases quadratically with the number of tokens, presenting significant efficiency challenges. This paper presents an analysis of various Key-Value (KV) cache compression strategies, offering a comprehensive taxonomy that categorizes these methods by their underlying principles and implementation techniques. Furthermore, we evaluate their impact on performance and inference latency, providing critical insights into their effectiveness. Our findings highlight the trade-offs involved in KV cache compression and its influence on handling long-context scenarios, paving the way for more efficient LLM implementations.</x:v>
      </x:c>
      <x:c r="L89" s="17" t="str">
        <x:v>http://arxiv.org/abs/2503.11816v3</x:v>
      </x:c>
      <x:c r="M89" s="23" t="n">
        <x:v>0.594456583084255</x:v>
      </x:c>
      <x:c r="N89" s="17" t="str">
        <x:v>qwen3-rerank-no-instruct-20260727-125006-results.jsonl</x:v>
      </x:c>
      <x:c r="O89" s="24" t="str">
        <x:v>2</x:v>
      </x:c>
      <x:c r="P89" s="28" t="str">
        <x:v>系统分类KV缓存压缩及其性能和延迟权衡。</x:v>
      </x:c>
      <x:c r="Q89" s="25" t="str"/>
      <x:c r="R89" s="24" t="str">
        <x:f>IF(Q89&lt;&gt;"",Q89,O89)</x:f>
        <x:v>2</x:v>
      </x:c>
      <x:c r="S89" s="29" t="str"/>
    </x:row>
    <x:row r="90" ht="54" customHeight="1">
      <x:c r="A90" s="17" t="str">
        <x:v>csq005-r09</x:v>
      </x:c>
      <x:c r="B90" s="17" t="str">
        <x:v>csq005</x:v>
      </x:c>
      <x:c r="C90" s="17" t="str">
        <x:v>natural_language_processing</x:v>
      </x:c>
      <x:c r="D90" s="17" t="str">
        <x:v>long_context</x:v>
      </x:c>
      <x:c r="E90" s="27" t="str">
        <x:v>How have methods for extending the effective context length of transformer language models evolved, and what trade-offs do they make in memory, latency, and retrieval quality?</x:v>
      </x:c>
      <x:c r="F90" s="22" t="n">
        <x:v>9</x:v>
      </x:c>
      <x:c r="G90" s="17" t="str">
        <x:v>arXiv:2310.16450</x:v>
      </x:c>
      <x:c r="H90" s="27" t="str">
        <x:v>CLEX: Continuous Length Extrapolation for Large Language Models</x:v>
      </x:c>
      <x:c r="I90" s="17" t="str">
        <x:v>Guanzheng Chen; Xin Li; Zaiqiao Meng; Shangsong Liang; Lidong Bing</x:v>
      </x:c>
      <x:c r="J90" s="22" t="n">
        <x:v>2023</x:v>
      </x:c>
      <x:c r="K90" s="27" t="str">
        <x:v>Transformer-based Large Language Models (LLMs) are pioneering advances in many natural language processing tasks, however, their exceptional capabilities are restricted within the preset context window of Transformer. Position Embedding (PE) scaling methods, while effective in extending the context window to a specific length, demonstrate either notable limitations in their extrapolation abilities or sacrificing partial performance within the context window. Length extrapolation methods, although theoretically capable of extending the context window beyond the training sequence length, often underperform in practical long-context applications. To address these challenges, we propose Continuous Length EXtrapolation (CLEX) for LLMs. We generalise the PE scaling approaches to model the continuous dynamics by ordinary differential equations over the length scaling factor, thereby overcoming the constraints of current PE scaling methods designed for specific lengths. Moreover, by extending the dynamics to desired context lengths beyond the training sequence length, CLEX facilitates the length extrapolation with impressive performance in practical tasks. We demonstrate that CLEX can be seamlessly incorporated into LLMs equipped with Rotary Position Embedding, such as LLaMA and GPT-NeoX, with negligible impact on training and inference latency. Experimental results reveal that CLEX can effectively extend the context window to over 4x or almost 8x training length, with no deterioration in performance. Furthermore, when evaluated on the practical LongBench benchmark, our model trained on a 4k length exhibits competitive performance against state-of-the-art open-source models trained on context lengths up to 32k. Our code is available at https://github.com/DAMO-NLP-SG/CLEX.</x:v>
      </x:c>
      <x:c r="L90" s="17" t="str">
        <x:v>http://arxiv.org/abs/2310.16450v3</x:v>
      </x:c>
      <x:c r="M90" s="23" t="n">
        <x:v>0.5897961482665277</x:v>
      </x:c>
      <x:c r="N90" s="17" t="str">
        <x:v>qwen3-rerank-no-instruct-20260727-125006-results.jsonl</x:v>
      </x:c>
      <x:c r="O90" s="24" t="str">
        <x:v>2</x:v>
      </x:c>
      <x:c r="P90" s="28" t="str">
        <x:v>连续位置编码尺度实现长度外推且几乎不增延迟。</x:v>
      </x:c>
      <x:c r="Q90" s="25" t="str"/>
      <x:c r="R90" s="24" t="str">
        <x:f>IF(Q90&lt;&gt;"",Q90,O90)</x:f>
        <x:v>2</x:v>
      </x:c>
      <x:c r="S90" s="29" t="str"/>
    </x:row>
    <x:row r="91" ht="54" customHeight="1">
      <x:c r="A91" s="17" t="str">
        <x:v>csq005-r10</x:v>
      </x:c>
      <x:c r="B91" s="17" t="str">
        <x:v>csq005</x:v>
      </x:c>
      <x:c r="C91" s="17" t="str">
        <x:v>natural_language_processing</x:v>
      </x:c>
      <x:c r="D91" s="17" t="str">
        <x:v>long_context</x:v>
      </x:c>
      <x:c r="E91" s="27" t="str">
        <x:v>How have methods for extending the effective context length of transformer language models evolved, and what trade-offs do they make in memory, latency, and retrieval quality?</x:v>
      </x:c>
      <x:c r="F91" s="22" t="n">
        <x:v>10</x:v>
      </x:c>
      <x:c r="G91" s="17" t="str">
        <x:v>arXiv:2406.04670</x:v>
      </x:c>
      <x:c r="H91" s="27" t="str">
        <x:v>MATTER: Memory-Augmented Transformer Using Heterogeneous Knowledge Sources</x:v>
      </x:c>
      <x:c r="I91" s="17" t="str">
        <x:v>Dongkyu Lee; Chandana Satya Prakash; Jack FitzGerald; Jens Lehmann</x:v>
      </x:c>
      <x:c r="J91" s="22" t="n">
        <x:v>2024</x:v>
      </x:c>
      <x:c r="K91" s="27" t="str">
        <x:v>Leveraging external knowledge is crucial for achieving high performance in knowledge-intensive tasks, such as question answering. The retrieve-and-read approach is widely adopted for integrating external knowledge into a language model. However, this approach suffers from increased computational cost and latency due to the long context length, which grows proportionally with the number of retrieved knowledge. Furthermore, existing retrieval-augmented models typically retrieve information from a single type of knowledge source, limiting their scalability to diverse knowledge sources with varying structures. In this work, we introduce an efficient memory-augmented transformer called MATTER, designed to retrieve relevant knowledge from multiple heterogeneous knowledge sources. Specifically, our model retrieves and reads from both unstructured sources (paragraphs) and semi-structured sources (QA pairs) in the form of fixed-length neural memories. We demonstrate that our model outperforms existing efficient retrieval-augmented models on popular QA benchmarks in terms of both accuracy and speed. Furthermore, MATTER achieves competitive results compared to conventional read-and-retrieve models while having 100x throughput during inference.</x:v>
      </x:c>
      <x:c r="L91" s="17" t="str">
        <x:v>http://arxiv.org/abs/2406.04670v1</x:v>
      </x:c>
      <x:c r="M91" s="23" t="n">
        <x:v>0.5678717359960225</x:v>
      </x:c>
      <x:c r="N91" s="17" t="str">
        <x:v>qwen3-rerank-no-instruct-20260727-125006-results.jsonl</x:v>
      </x:c>
      <x:c r="O91" s="24" t="str">
        <x:v>2</x:v>
      </x:c>
      <x:c r="P91" s="28" t="str">
        <x:v>异构知识源的记忆增强Transformer直接支持长期信息利用。</x:v>
      </x:c>
      <x:c r="Q91" s="25" t="str"/>
      <x:c r="R91" s="24" t="str">
        <x:f>IF(Q91&lt;&gt;"",Q91,O91)</x:f>
        <x:v>2</x:v>
      </x:c>
      <x:c r="S91" s="29" t="str"/>
    </x:row>
    <x:row r="92" ht="54" customHeight="1">
      <x:c r="A92" s="17" t="str">
        <x:v>csq005-r11</x:v>
      </x:c>
      <x:c r="B92" s="17" t="str">
        <x:v>csq005</x:v>
      </x:c>
      <x:c r="C92" s="17" t="str">
        <x:v>natural_language_processing</x:v>
      </x:c>
      <x:c r="D92" s="17" t="str">
        <x:v>long_context</x:v>
      </x:c>
      <x:c r="E92" s="27" t="str">
        <x:v>How have methods for extending the effective context length of transformer language models evolved, and what trade-offs do they make in memory, latency, and retrieval quality?</x:v>
      </x:c>
      <x:c r="F92" s="22" t="n">
        <x:v>11</x:v>
      </x:c>
      <x:c r="G92" s="17" t="str">
        <x:v>arXiv:2511.04919</x:v>
      </x:c>
      <x:c r="H92" s="27" t="str">
        <x:v>BudgetMem: Learning Selective Memory Policies for Cost-Efficient Long-Context Processing in Language Models</x:v>
      </x:c>
      <x:c r="I92" s="17" t="str">
        <x:v>Chandra Vamsi Krishna Alla; Harish Naidu Gaddam; Manohar Kommi</x:v>
      </x:c>
      <x:c r="J92" s="22" t="n">
        <x:v>2025</x:v>
      </x:c>
      <x:c r="K92" s="27" t="str">
        <x:v>Large Language Models (LLMs) face significant computational and memory constraints when processing long contexts, despite growing demand for applications requiring reasoning over extensive documents, multi-session dialogues, and book length texts. While recent advances have extended context windows to 100K-1M tokens, such approaches incur prohibitive costs for resource constrained deployments. We propose BudgetMem, a novel memory augmented architecture that learns what to remember rather than remembering everything. Our system combines selective memory policies with feature based salience scoring (entity density, TF-IDF, discourse markers, position bias) to decide which information merits storage under strict budget constraints. Unlike existing retrieval augmented generation (RAG) systems that store all chunks, BudgetMem employs learned gating mechanisms coupled with BM25 sparse retrieval for efficient information access. Through comprehensive experiments on 700 question answer pairs across short (237 tokens) and long (5K-10K tokens) documents with Llama-3.2-3B-Instruct, we demonstrate that BudgetMem achieves remarkable results on long documents: only 1.0% F1 score degradation while saving 72.4% memory compared to baseline RAG. We validate our approach through budget sensitivity analysis (testing 7 budget ratios), naive baseline comparisons, and document length analysis, showing that BudgetMem's benefits increase with document length. Our work provides a practical pathway for deploying capable long context systems on modest hardware, democratizing access to advanced language understanding capabilities.</x:v>
      </x:c>
      <x:c r="L92" s="17" t="str">
        <x:v>http://arxiv.org/abs/2511.04919v2</x:v>
      </x:c>
      <x:c r="M92" s="23" t="n">
        <x:v>0.5533828743223301</x:v>
      </x:c>
      <x:c r="N92" s="17" t="str">
        <x:v>qwen3-rerank-no-instruct-20260727-125006-results.jsonl</x:v>
      </x:c>
      <x:c r="O92" s="24" t="str">
        <x:v>2</x:v>
      </x:c>
      <x:c r="P92" s="28" t="str">
        <x:v>学习选择性记忆策略以权衡长上下文质量与成本。</x:v>
      </x:c>
      <x:c r="Q92" s="25" t="str"/>
      <x:c r="R92" s="24" t="str">
        <x:f>IF(Q92&lt;&gt;"",Q92,O92)</x:f>
        <x:v>2</x:v>
      </x:c>
      <x:c r="S92" s="29" t="str"/>
    </x:row>
    <x:row r="93" ht="54" customHeight="1">
      <x:c r="A93" s="17" t="str">
        <x:v>csq005-r12</x:v>
      </x:c>
      <x:c r="B93" s="17" t="str">
        <x:v>csq005</x:v>
      </x:c>
      <x:c r="C93" s="17" t="str">
        <x:v>natural_language_processing</x:v>
      </x:c>
      <x:c r="D93" s="17" t="str">
        <x:v>long_context</x:v>
      </x:c>
      <x:c r="E93" s="27" t="str">
        <x:v>How have methods for extending the effective context length of transformer language models evolved, and what trade-offs do they make in memory, latency, and retrieval quality?</x:v>
      </x:c>
      <x:c r="F93" s="22" t="n">
        <x:v>12</x:v>
      </x:c>
      <x:c r="G93" s="17" t="str">
        <x:v>arXiv:2405.06067</x:v>
      </x:c>
      <x:c r="H93" s="27" t="str">
        <x:v>HMT: Hierarchical Memory Transformer for Efficient Long Context Language Processing</x:v>
      </x:c>
      <x:c r="I93" s="17" t="str">
        <x:v>Zifan He; Yingqi Cao; Zongyue Qin; Neha Prakriya; Yizhou Sun; Jason Cong</x:v>
      </x:c>
      <x:c r="J93" s="22" t="n">
        <x:v>2024</x:v>
      </x:c>
      <x:c r="K93" s="27" t="str">
        <x:v>Transformer-based large language models (LLM) have been widely used in language processing applications. However, due to the memory constraints of the devices, most of them restrict the context window. Even though recurrent models in previous works can memorize past tokens to enable unlimited context and maintain effectiveness, they have ``flat'' memory architectures. Such architectures have limitations in selecting and filtering information. Since humans are good at learning and self-adjustment, we believe that imitating brain memory hierarchy is beneficial for model memorization. Thus, we propose the Hierarchical Memory Transformer (HMT), a novel framework that facilitates a model's long-context processing ability by imitating human memorization behavior. Leveraging memory-augmented segment-level recurrence, we organize the memory hierarchy by preserving tokens from early input segments, passing memory embeddings along the sequence, and recalling relevant information from history. Evaluating general language modeling, question-answering tasks, and the summarization task, we show that HMT consistently improves the long-context processing ability of existing models. Furthermore, HMT achieves a comparable or superior generation quality to long-context LLMs with $2 \sim 57\times$ fewer parameters and $2.5 \sim 116\times$ less inference memory, significantly outperforming previous memory-augmented models. Code on Github: https://github.com/OswaldHe/HMT-pytorch.</x:v>
      </x:c>
      <x:c r="L93" s="17" t="str">
        <x:v>http://arxiv.org/abs/2405.06067v3</x:v>
      </x:c>
      <x:c r="M93" s="23" t="n">
        <x:v>0.5418919606428028</x:v>
      </x:c>
      <x:c r="N93" s="17" t="str">
        <x:v>qwen3-rerank-no-instruct-20260727-125006-results.jsonl</x:v>
      </x:c>
      <x:c r="O93" s="24" t="str">
        <x:v>2</x:v>
      </x:c>
      <x:c r="P93" s="28" t="str">
        <x:v>层次记忆和分段递归降低长上下文参数与推理内存。</x:v>
      </x:c>
      <x:c r="Q93" s="25" t="str"/>
      <x:c r="R93" s="24" t="str">
        <x:f>IF(Q93&lt;&gt;"",Q93,O93)</x:f>
        <x:v>2</x:v>
      </x:c>
      <x:c r="S93" s="29" t="str"/>
    </x:row>
    <x:row r="94" ht="54" customHeight="1">
      <x:c r="A94" s="17" t="str">
        <x:v>csq005-r13</x:v>
      </x:c>
      <x:c r="B94" s="17" t="str">
        <x:v>csq005</x:v>
      </x:c>
      <x:c r="C94" s="17" t="str">
        <x:v>natural_language_processing</x:v>
      </x:c>
      <x:c r="D94" s="17" t="str">
        <x:v>long_context</x:v>
      </x:c>
      <x:c r="E94" s="27" t="str">
        <x:v>How have methods for extending the effective context length of transformer language models evolved, and what trade-offs do they make in memory, latency, and retrieval quality?</x:v>
      </x:c>
      <x:c r="F94" s="22" t="n">
        <x:v>13</x:v>
      </x:c>
      <x:c r="G94" s="17" t="str">
        <x:v>arXiv:2505.22842</x:v>
      </x:c>
      <x:c r="H94" s="27" t="str">
        <x:v>Bayesian Attention Mechanism: A Probabilistic Framework for Positional Encoding and Context Length Extrapolation</x:v>
      </x:c>
      <x:c r="I94" s="17" t="str">
        <x:v>Arthur S. Bianchessi; Yasmin C. Aguirre; Rodrigo C. Barros; Lucas S. Kupssinskü</x:v>
      </x:c>
      <x:c r="J94" s="22" t="n">
        <x:v>2025</x:v>
      </x:c>
      <x:c r="K94" s="27" t="str">
        <x:v>Transformer-based language models rely on positional encoding (PE) to handle token order and support context length extrapolation. However, existing PE methods lack theoretical clarity and rely on limited evaluation metrics to substantiate their extrapolation claims. We propose the Bayesian Attention Mechanism (BAM), a theoretical framework that formulates positional encoding as a prior within a probabilistic model. BAM unifies existing methods (e.g., NoPE and ALiBi) and motivates a new Generalized Gaussian positional prior that substantially improves long-context generalization. Empirically, BAM enables accurate information retrieval at $500\times$ the training context length, outperforming previous state-of-the-art context length generalization in long context retrieval accuracy while maintaining comparable perplexity and introducing minimal additional parameters.</x:v>
      </x:c>
      <x:c r="L94" s="17" t="str">
        <x:v>http://arxiv.org/abs/2505.22842v4</x:v>
      </x:c>
      <x:c r="M94" s="23" t="n">
        <x:v>0.5357374549733684</x:v>
      </x:c>
      <x:c r="N94" s="17" t="str">
        <x:v>qwen3-rerank-no-instruct-20260727-125006-results.jsonl</x:v>
      </x:c>
      <x:c r="O94" s="24" t="str">
        <x:v>2</x:v>
      </x:c>
      <x:c r="P94" s="28" t="str">
        <x:v>概率位置先验显著扩展长度并保持检索准确性。</x:v>
      </x:c>
      <x:c r="Q94" s="25" t="str"/>
      <x:c r="R94" s="24" t="str">
        <x:f>IF(Q94&lt;&gt;"",Q94,O94)</x:f>
        <x:v>2</x:v>
      </x:c>
      <x:c r="S94" s="29" t="str"/>
    </x:row>
    <x:row r="95" ht="54" customHeight="1">
      <x:c r="A95" s="17" t="str">
        <x:v>csq005-r14</x:v>
      </x:c>
      <x:c r="B95" s="17" t="str">
        <x:v>csq005</x:v>
      </x:c>
      <x:c r="C95" s="17" t="str">
        <x:v>natural_language_processing</x:v>
      </x:c>
      <x:c r="D95" s="17" t="str">
        <x:v>long_context</x:v>
      </x:c>
      <x:c r="E95" s="27" t="str">
        <x:v>How have methods for extending the effective context length of transformer language models evolved, and what trade-offs do they make in memory, latency, and retrieval quality?</x:v>
      </x:c>
      <x:c r="F95" s="22" t="n">
        <x:v>14</x:v>
      </x:c>
      <x:c r="G95" s="17" t="str">
        <x:v>arXiv:2405.08944</x:v>
      </x:c>
      <x:c r="H95" s="27" t="str">
        <x:v>Challenges in Deploying Long-Context Transformers: A Theoretical Peak Performance Analysis</x:v>
      </x:c>
      <x:c r="I95" s="17" t="str">
        <x:v>Yao Fu</x:v>
      </x:c>
      <x:c r="J95" s="22" t="n">
        <x:v>2024</x:v>
      </x:c>
      <x:c r="K95" s="27" t="str">
        <x:v>Transformer-based long context generative models power emerging AI applications like hour-long video understanding and project-level coding agent. Deploying long context transformers (e.g., 100K to 10M tokens) is prohibitively expensive compared to short context (e.g., 4K tokens) model variants. Reducing the cost of long-context transformers is becoming a pressing research and engineering challenge starting from the year of 2024. This work describes a concurrent programming framework for quantitatively analyzing the efficiency challenges in serving multiple long-context requests under limited size of GPU high-bandwidth memory (HBM) regime. We give a detailed analysis of how all additional computational costs, compared to 4K context, trace back to \textit{one single source: the large size of the KV cache}. We use a 34B GPT-3.5 level model of 50K context on A100 NVLink as a running example, and describe how its large KV cache causes four types of deployment challenges: (1) prefilling long inputs takes much longer compute time and GPU memory than short inputs; (2) after prefilling, the large KV cache residing on the GPU HBM substantially restricts the number of concurrent users being served; (3) during decoding, repeatedly reading the KV cache from HBM to SM largely increases latency; (4) when KV cache memory overflows, swapping it from HBM to DDR causes significant context switching latency. We use this framework to analyze existing works and identify possibilities of combining them to build end-to-end systems. Overall, this work offers a foundational framework for analyzing long context transformer deployment and identifies directions towards reducing the inference cost of 1M context to be as cheap as 4K.</x:v>
      </x:c>
      <x:c r="L95" s="17" t="str">
        <x:v>http://arxiv.org/abs/2405.08944v1</x:v>
      </x:c>
      <x:c r="M95" s="23" t="n">
        <x:v>0.5283780279985552</x:v>
      </x:c>
      <x:c r="N95" s="17" t="str">
        <x:v>qwen3-rerank-no-instruct-20260727-125006-results.jsonl</x:v>
      </x:c>
      <x:c r="O95" s="24" t="str">
        <x:v>2</x:v>
      </x:c>
      <x:c r="P95" s="28" t="str">
        <x:v>理论分析长上下文Transformer部署的内存和性能上限。</x:v>
      </x:c>
      <x:c r="Q95" s="25" t="str"/>
      <x:c r="R95" s="24" t="str">
        <x:f>IF(Q95&lt;&gt;"",Q95,O95)</x:f>
        <x:v>2</x:v>
      </x:c>
      <x:c r="S95" s="29" t="str"/>
    </x:row>
    <x:row r="96" ht="54" customHeight="1">
      <x:c r="A96" s="17" t="str">
        <x:v>csq005-r15</x:v>
      </x:c>
      <x:c r="B96" s="17" t="str">
        <x:v>csq005</x:v>
      </x:c>
      <x:c r="C96" s="17" t="str">
        <x:v>natural_language_processing</x:v>
      </x:c>
      <x:c r="D96" s="17" t="str">
        <x:v>long_context</x:v>
      </x:c>
      <x:c r="E96" s="27" t="str">
        <x:v>How have methods for extending the effective context length of transformer language models evolved, and what trade-offs do they make in memory, latency, and retrieval quality?</x:v>
      </x:c>
      <x:c r="F96" s="22" t="n">
        <x:v>15</x:v>
      </x:c>
      <x:c r="G96" s="17" t="str">
        <x:v>arXiv:2408.05646</x:v>
      </x:c>
      <x:c r="H96" s="27" t="str">
        <x:v>Eigen Attention: Attention in Low-Rank Space for KV Cache Compression</x:v>
      </x:c>
      <x:c r="I96" s="17" t="str">
        <x:v>Utkarsh Saxena; Gobinda Saha; Sakshi Choudhary; Kaushik Roy</x:v>
      </x:c>
      <x:c r="J96" s="22" t="n">
        <x:v>2024</x:v>
      </x:c>
      <x:c r="K96" s="27" t="str">
        <x:v>Large language models (LLMs) represent a groundbreaking advancement in the domain of natural language processing due to their impressive reasoning abilities. Recently, there has been considerable interest in increasing the context lengths for these models to enhance their applicability to complex tasks. However, at long context lengths and large batch sizes, the key-value (KV) cache, which stores the attention keys and values, emerges as the new bottleneck in memory usage during inference. To address this, we propose Eigen Attention, which performs the attention operation in a low-rank space, thereby reducing the KV cache memory overhead. Our proposed approach is orthogonal to existing KV cache compression techniques and can be used synergistically with them. Through extensive experiments over OPT, MPT, and Llama model families, we demonstrate that Eigen Attention results in up to 40% reduction in KV cache sizes and up to 60% reduction in attention operation latency with minimal drop in performance. Code is available at https://github.com/UtkarshSaxena1/EigenAttn.</x:v>
      </x:c>
      <x:c r="L96" s="17" t="str">
        <x:v>http://arxiv.org/abs/2408.05646v2</x:v>
      </x:c>
      <x:c r="M96" s="23" t="n">
        <x:v>0.5126824888429082</x:v>
      </x:c>
      <x:c r="N96" s="17" t="str">
        <x:v>qwen3-rerank-no-instruct-20260727-125006-results.jsonl</x:v>
      </x:c>
      <x:c r="O96" s="24" t="str">
        <x:v>2</x:v>
      </x:c>
      <x:c r="P96" s="28" t="str">
        <x:v>低秩注意空间压缩KV缓存以降低长上下文开销。</x:v>
      </x:c>
      <x:c r="Q96" s="25" t="str"/>
      <x:c r="R96" s="24" t="str">
        <x:f>IF(Q96&lt;&gt;"",Q96,O96)</x:f>
        <x:v>2</x:v>
      </x:c>
      <x:c r="S96" s="29" t="str"/>
    </x:row>
    <x:row r="97" ht="54" customHeight="1">
      <x:c r="A97" s="17" t="str">
        <x:v>csq005-r16</x:v>
      </x:c>
      <x:c r="B97" s="17" t="str">
        <x:v>csq005</x:v>
      </x:c>
      <x:c r="C97" s="17" t="str">
        <x:v>natural_language_processing</x:v>
      </x:c>
      <x:c r="D97" s="17" t="str">
        <x:v>long_context</x:v>
      </x:c>
      <x:c r="E97" s="27" t="str">
        <x:v>How have methods for extending the effective context length of transformer language models evolved, and what trade-offs do they make in memory, latency, and retrieval quality?</x:v>
      </x:c>
      <x:c r="F97" s="22" t="n">
        <x:v>16</x:v>
      </x:c>
      <x:c r="G97" s="17" t="str">
        <x:v>arXiv:2405.18009</x:v>
      </x:c>
      <x:c r="H97" s="27" t="str">
        <x:v>Exploring Context Window of Large Language Models via Decomposed Positional Vectors</x:v>
      </x:c>
      <x:c r="I97" s="17" t="str">
        <x:v>Zican Dong; Junyi Li; Xin Men; Wayne Xin Zhao; Bingbing Wang; Zhen Tian; Weipeng Chen; Ji-Rong Wen</x:v>
      </x:c>
      <x:c r="J97" s="22" t="n">
        <x:v>2024</x:v>
      </x:c>
      <x:c r="K97" s="27" t="str">
        <x:v>Transformer-based large language models (LLMs) typically have a limited context window, resulting in significant performance degradation when processing text beyond the length of the context window. Extensive studies have been proposed to extend the context window and achieve length extrapolation of LLMs, but there is still a lack of in-depth interpretation of these approaches. In this study, we explore the positional information within and beyond the context window for deciphering the underlying mechanism of LLMs. By using a mean-based decomposition method, we disentangle positional vectors from hidden states of LLMs and analyze their formation and effect on attention. Furthermore, when texts exceed the context window, we analyze the change of positional vectors in two settings, i.e., direct extrapolation and context window extension. Based on our findings, we design two training-free context window extension methods, positional vector replacement and attention window extension. Experimental results show that our methods can effectively extend the context window length.</x:v>
      </x:c>
      <x:c r="L97" s="17" t="str">
        <x:v>http://arxiv.org/abs/2405.18009v2</x:v>
      </x:c>
      <x:c r="M97" s="23" t="n">
        <x:v>0.5061796005483762</x:v>
      </x:c>
      <x:c r="N97" s="17" t="str">
        <x:v>qwen3-rerank-no-instruct-20260727-125006-results.jsonl</x:v>
      </x:c>
      <x:c r="O97" s="24" t="str">
        <x:v>2</x:v>
      </x:c>
      <x:c r="P97" s="28" t="str">
        <x:v>分析位置向量并提出两种免训练窗口扩展方法。</x:v>
      </x:c>
      <x:c r="Q97" s="25" t="str"/>
      <x:c r="R97" s="24" t="str">
        <x:f>IF(Q97&lt;&gt;"",Q97,O97)</x:f>
        <x:v>2</x:v>
      </x:c>
      <x:c r="S97" s="29" t="str"/>
    </x:row>
    <x:row r="98" ht="54" customHeight="1">
      <x:c r="A98" s="17" t="str">
        <x:v>csq005-r17</x:v>
      </x:c>
      <x:c r="B98" s="17" t="str">
        <x:v>csq005</x:v>
      </x:c>
      <x:c r="C98" s="17" t="str">
        <x:v>natural_language_processing</x:v>
      </x:c>
      <x:c r="D98" s="17" t="str">
        <x:v>long_context</x:v>
      </x:c>
      <x:c r="E98" s="27" t="str">
        <x:v>How have methods for extending the effective context length of transformer language models evolved, and what trade-offs do they make in memory, latency, and retrieval quality?</x:v>
      </x:c>
      <x:c r="F98" s="22" t="n">
        <x:v>17</x:v>
      </x:c>
      <x:c r="G98" s="17" t="str">
        <x:v>arXiv:2310.03025</x:v>
      </x:c>
      <x:c r="H98" s="27" t="str">
        <x:v>Retrieval meets Long Context Large Language Models</x:v>
      </x:c>
      <x:c r="I98" s="17" t="str">
        <x:v>Peng Xu; Wei Ping; Xianchao Wu; Lawrence McAfee; Chen Zhu; Zihan Liu; Sandeep Subramanian; Evelina Bakhturina; Mohammad Shoeybi; Bryan Catanzaro</x:v>
      </x:c>
      <x:c r="J98" s="22" t="n">
        <x:v>2023</x:v>
      </x:c>
      <x:c r="K98" s="27" t="str">
        <x:v>Extending the context window of large language models (LLMs) is getting popular recently, while the solution of augmenting LLMs with retrieval has existed for years. The natural questions are: i) Retrieval-augmentation versus long context window, which one is better for downstream tasks? ii) Can both methods be combined to get the best of both worlds? In this work, we answer these questions by studying both solutions using two state-of-the-art pretrained LLMs, i.e., a proprietary 43B GPT and Llama2-70B. Perhaps surprisingly, we find that LLM with 4K context window using simple retrieval-augmentation at generation can achieve comparable performance to finetuned LLM with 16K context window via positional interpolation on long context tasks, while taking much less computation. More importantly, we demonstrate that retrieval can significantly improve the performance of LLMs regardless of their extended context window sizes. Our best model, retrieval-augmented Llama2-70B with 32K context window, outperforms GPT-3.5-turbo-16k and Davinci003 in terms of average score on nine long context tasks including question answering, query-based summarization, and in-context few-shot learning tasks. It also outperforms its non-retrieval Llama2-70B-32k baseline by a margin, while being much faster at generation. Our study provides general insights on the choice of retrieval-augmentation versus long context extension of LLM for practitioners.</x:v>
      </x:c>
      <x:c r="L98" s="17" t="str">
        <x:v>http://arxiv.org/abs/2310.03025v2</x:v>
      </x:c>
      <x:c r="M98" s="23" t="n">
        <x:v>0.503873886443022</x:v>
      </x:c>
      <x:c r="N98" s="17" t="str">
        <x:v>qwen3-rerank-no-instruct-20260727-125006-results.jsonl</x:v>
      </x:c>
      <x:c r="O98" s="24" t="str">
        <x:v>2</x:v>
      </x:c>
      <x:c r="P98" s="28" t="str">
        <x:v>直接研究检索与长上下文模型的互补及质量权衡。</x:v>
      </x:c>
      <x:c r="Q98" s="25" t="str"/>
      <x:c r="R98" s="24" t="str">
        <x:f>IF(Q98&lt;&gt;"",Q98,O98)</x:f>
        <x:v>2</x:v>
      </x:c>
      <x:c r="S98" s="29" t="str"/>
    </x:row>
    <x:row r="99" ht="54" customHeight="1">
      <x:c r="A99" s="17" t="str">
        <x:v>csq005-r18</x:v>
      </x:c>
      <x:c r="B99" s="17" t="str">
        <x:v>csq005</x:v>
      </x:c>
      <x:c r="C99" s="17" t="str">
        <x:v>natural_language_processing</x:v>
      </x:c>
      <x:c r="D99" s="17" t="str">
        <x:v>long_context</x:v>
      </x:c>
      <x:c r="E99" s="27" t="str">
        <x:v>How have methods for extending the effective context length of transformer language models evolved, and what trade-offs do they make in memory, latency, and retrieval quality?</x:v>
      </x:c>
      <x:c r="F99" s="22" t="n">
        <x:v>18</x:v>
      </x:c>
      <x:c r="G99" s="17" t="str">
        <x:v>arXiv:2508.18572</x:v>
      </x:c>
      <x:c r="H99" s="27" t="str">
        <x:v>Strata: Hierarchical Context Caching for Long Context Language Model Serving</x:v>
      </x:c>
      <x:c r="I99" s="17" t="str">
        <x:v>Zhiqiang Xie; Ziyi Xu; Mark Zhao; Yuwei An; Vikram Sharma Mailthody; Scott Mahlke; Michael Garland; Christos Kozyrakis</x:v>
      </x:c>
      <x:c r="J99" s="22" t="n">
        <x:v>2025</x:v>
      </x:c>
      <x:c r="K99" s="27" t="str">
        <x:v>Large Language Models (LLMs) with expanding context windows face significant performance hurdles. While caching key-value (KV) states is critical for avoiding redundant computation, the storage footprint of long-context caches quickly exceeds GPU memory capacity, forcing production systems to adopt hierarchical caching across memory hierarchies. However, transferring large cached contexts back to the GPU introduces severe performance bottlenecks: fragmented I/O from paged layouts prevents full bandwidth utilization, and existing schedulers fail to account for cache-loading delays, leaving systems loading-bound rather than compute-bound. We present Strata, a hierarchical context caching framework designed for efficient long context LLM serving. Strata introduces GPU-assisted I/O to combat KV cache fragmentation, decoupling GPU and CPU memory layouts and employs cache-aware request scheduling to balance compute with I/O latency and overlapping unavoidable stalls with complementary tasks. Built on SGLang and deployed in production, Strata achieves up to 5x lower Time-To-First-Token (TTFT) compared to vLLM + LMCache and 3.75x speedup over NVIDIA TensorRT-LLM on long-context benchmarks, without degrading short-context performance.</x:v>
      </x:c>
      <x:c r="L99" s="17" t="str">
        <x:v>http://arxiv.org/abs/2508.18572v1</x:v>
      </x:c>
      <x:c r="M99" s="23" t="n">
        <x:v>0.48912934903281846</x:v>
      </x:c>
      <x:c r="N99" s="17" t="str">
        <x:v>qwen3-rerank-no-instruct-20260727-125006-results.jsonl</x:v>
      </x:c>
      <x:c r="O99" s="24" t="str">
        <x:v>2</x:v>
      </x:c>
      <x:c r="P99" s="28" t="str">
        <x:v>层次上下文缓存用于降低长上下文服务成本和延迟。</x:v>
      </x:c>
      <x:c r="Q99" s="25" t="str"/>
      <x:c r="R99" s="24" t="str">
        <x:f>IF(Q99&lt;&gt;"",Q99,O99)</x:f>
        <x:v>2</x:v>
      </x:c>
      <x:c r="S99" s="29" t="str"/>
    </x:row>
    <x:row r="100" ht="54" customHeight="1">
      <x:c r="A100" s="17" t="str">
        <x:v>csq005-r19</x:v>
      </x:c>
      <x:c r="B100" s="17" t="str">
        <x:v>csq005</x:v>
      </x:c>
      <x:c r="C100" s="17" t="str">
        <x:v>natural_language_processing</x:v>
      </x:c>
      <x:c r="D100" s="17" t="str">
        <x:v>long_context</x:v>
      </x:c>
      <x:c r="E100" s="27" t="str">
        <x:v>How have methods for extending the effective context length of transformer language models evolved, and what trade-offs do they make in memory, latency, and retrieval quality?</x:v>
      </x:c>
      <x:c r="F100" s="22" t="n">
        <x:v>19</x:v>
      </x:c>
      <x:c r="G100" s="17" t="str">
        <x:v>arXiv:2512.17917</x:v>
      </x:c>
      <x:c r="H100" s="27" t="str">
        <x:v>KVReviver: Reversible KV Cache Compression with Sketch-Based Token Reconstruction</x:v>
      </x:c>
      <x:c r="I100" s="17" t="str">
        <x:v>Aomufei Yuan; Zhiming Wang; Ruijie Miao; Dayu Wang; Yuxuan Tian; Zihan Wang; Yebo Peng; Yuhan Wu; Bairen Yi; Xin Liu; Tong Yang</x:v>
      </x:c>
      <x:c r="J100" s="22" t="n">
        <x:v>2025</x:v>
      </x:c>
      <x:c r="K100" s="27" t="str">
        <x:v>As the context length of current large language models (LLMs) rapidly increases, the memory demand for the Key-Value (KV) cache is becoming a bottleneck for LLM deployment and batch processing. Traditional KV cache compression methods typically involve permanently evicting or irreversibly merging "less important" tokens with low attention scores. This approach results in the unrecoverable loss of token information, which we call Contextual Amnesia, significantly degrading the model's information retrieval capability. To address this issue, we propose KVReviver, a reversible KV cache compression method based on the sketch algorithm. This method allows reconstructing compressed tokens from an additional data structure, thus enabling full-scale computation within limited memory. Experiments showed that in 2k-length contexts, it requires only 10% of KV Cache budget while maintaining identical end-to-end inference accuracy. For 32k-length contexts, it achieves equivalent or comparable accuracy ~2% accuracy loss) using merely 25% of KV Cache budget.</x:v>
      </x:c>
      <x:c r="L100" s="17" t="str">
        <x:v>http://arxiv.org/abs/2512.17917v1</x:v>
      </x:c>
      <x:c r="M100" s="23" t="n">
        <x:v>0.48445751793453035</x:v>
      </x:c>
      <x:c r="N100" s="17" t="str">
        <x:v>qwen3-rerank-no-instruct-20260727-125006-results.jsonl</x:v>
      </x:c>
      <x:c r="O100" s="24" t="str">
        <x:v>2</x:v>
      </x:c>
      <x:c r="P100" s="28" t="str">
        <x:v>可逆KV压缩通过token重构权衡内存与信息保真。</x:v>
      </x:c>
      <x:c r="Q100" s="25" t="str"/>
      <x:c r="R100" s="24" t="str">
        <x:f>IF(Q100&lt;&gt;"",Q100,O100)</x:f>
        <x:v>2</x:v>
      </x:c>
      <x:c r="S100" s="29" t="str"/>
    </x:row>
    <x:row r="101" ht="54" customHeight="1">
      <x:c r="A101" s="17" t="str">
        <x:v>csq005-r20</x:v>
      </x:c>
      <x:c r="B101" s="17" t="str">
        <x:v>csq005</x:v>
      </x:c>
      <x:c r="C101" s="17" t="str">
        <x:v>natural_language_processing</x:v>
      </x:c>
      <x:c r="D101" s="17" t="str">
        <x:v>long_context</x:v>
      </x:c>
      <x:c r="E101" s="27" t="str">
        <x:v>How have methods for extending the effective context length of transformer language models evolved, and what trade-offs do they make in memory, latency, and retrieval quality?</x:v>
      </x:c>
      <x:c r="F101" s="22" t="n">
        <x:v>20</x:v>
      </x:c>
      <x:c r="G101" s="17" t="str">
        <x:v>arXiv:2407.01437</x:v>
      </x:c>
      <x:c r="H101" s="27" t="str">
        <x:v>Needle in the Haystack for Memory Based Large Language Models</x:v>
      </x:c>
      <x:c r="I101" s="17" t="str">
        <x:v>Elliot Nelson; Georgios Kollias; Payel Das; Subhajit Chaudhury; Soham Dan</x:v>
      </x:c>
      <x:c r="J101" s="22" t="n">
        <x:v>2024</x:v>
      </x:c>
      <x:c r="K101" s="27" t="str">
        <x:v>Current large language models (LLMs) often perform poorly on simple fact retrieval tasks. Here we investigate if coupling a dynamically adaptable external memory to a LLM can alleviate this problem. For this purpose, we test Larimar, a recently proposed language model architecture which uses an external associative memory, on long-context recall tasks including passkey and needle-in-the-haystack tests. We demonstrate that the external memory of Larimar, which allows fast write and read of an episode of text samples, can be used at test time to handle contexts much longer than those seen during training. We further show that the latent readouts from the memory (to which long contexts are written) control the decoder towards generating correct outputs, with the memory stored off of the GPU. Compared to existing transformer-based LLM architectures for long-context recall tasks that use larger parameter counts or modified attention mechanisms, a relatively smaller size Larimar is able to maintain strong performance without any task-specific training or training on longer contexts.</x:v>
      </x:c>
      <x:c r="L101" s="17" t="str">
        <x:v>http://arxiv.org/abs/2407.01437v2</x:v>
      </x:c>
      <x:c r="M101" s="23" t="n">
        <x:v>0.4786369673668027</x:v>
      </x:c>
      <x:c r="N101" s="17" t="str">
        <x:v>qwen3-rerank-no-instruct-20260727-125006-results.jsonl</x:v>
      </x:c>
      <x:c r="O101" s="24" t="str">
        <x:v>2</x:v>
      </x:c>
      <x:c r="P101" s="28" t="str">
        <x:v>外部记忆支持超训练长度检索并验证针检索质量。</x:v>
      </x:c>
      <x:c r="Q101" s="25" t="str"/>
      <x:c r="R101" s="24" t="str">
        <x:f>IF(Q101&lt;&gt;"",Q101,O101)</x:f>
        <x:v>2</x:v>
      </x:c>
      <x:c r="S101" s="29" t="str"/>
    </x:row>
    <x:row r="102" ht="54" customHeight="1">
      <x:c r="A102" s="17" t="str">
        <x:v>csq006-r01</x:v>
      </x:c>
      <x:c r="B102" s="17" t="str">
        <x:v>csq006</x:v>
      </x:c>
      <x:c r="C102" s="17" t="str">
        <x:v>machine_learning</x:v>
      </x:c>
      <x:c r="D102" s="17" t="str">
        <x:v>parameter_efficient_finetuning</x:v>
      </x:c>
      <x:c r="E102" s="27" t="str">
        <x:v>What are the main parameter-efficient fine-tuning methods, and how do they reduce trainable parameters while preserving downstream performance?</x:v>
      </x:c>
      <x:c r="F102" s="22" t="n">
        <x:v>1</x:v>
      </x:c>
      <x:c r="G102" s="17" t="str">
        <x:v>arXiv:2510.18940</x:v>
      </x:c>
      <x:c r="H102" s="27" t="str">
        <x:v>NeuroAda: Activating Each Neuron's Potential for Parameter-Efficient Fine-Tuning</x:v>
      </x:c>
      <x:c r="I102" s="17" t="str">
        <x:v>Zhi Zhang; Yixian Shen; Congfeng Cao; Ekaterina Shutova</x:v>
      </x:c>
      <x:c r="J102" s="22" t="n">
        <x:v>2025</x:v>
      </x:c>
      <x:c r="K102" s="27" t="str">
        <x:v>Existing parameter-efficient fine-tuning (PEFT) methods primarily fall into two categories: addition-based and selective in-situ adaptation. The former, such as LoRA, introduce additional modules to adapt the model to downstream tasks, offering strong memory efficiency. However, their representational capacity is often limited, making them less suitable for fine-grained adaptation. In contrast, the latter directly fine-tunes a carefully chosen subset of the original model parameters, allowing for more precise and effective adaptation, but at the cost of significantly increased memory consumption. To reconcile this trade-off, we propose NeuroAda, a novel PEFT method that enables fine-grained model finetuning while maintaining high memory efficiency. Our approach first identifies important parameters (i.e., connections within the network) as in selective adaptation, and then introduces bypass connections for these selected parameters. During finetuning, only the bypass connections are updated, leaving the original model parameters frozen. Empirical results on 23+ tasks spanning both natural language generation and understanding demonstrate that NeuroAda achieves state-of-the-art performance with as little as $\leq \textbf{0.02}\%$ trainable parameters, while reducing CUDA memory usage by up to 60%. We release our code here: https://github.com/FightingFighting/NeuroAda.git.</x:v>
      </x:c>
      <x:c r="L102" s="17" t="str">
        <x:v>http://arxiv.org/abs/2510.18940v1</x:v>
      </x:c>
      <x:c r="M102" s="23" t="n">
        <x:v>0.9487190180557625</x:v>
      </x:c>
      <x:c r="N102" s="17" t="str">
        <x:v>qwen3-rerank-no-instruct-20260727-125006-results.jsonl</x:v>
      </x:c>
      <x:c r="O102" s="24" t="str">
        <x:v>2</x:v>
      </x:c>
      <x:c r="P102" s="28" t="str">
        <x:v>通过神经元激活选择减少PEFT训练参数并保持适配能力。</x:v>
      </x:c>
      <x:c r="Q102" s="25" t="str"/>
      <x:c r="R102" s="24" t="str">
        <x:f>IF(Q102&lt;&gt;"",Q102,O102)</x:f>
        <x:v>2</x:v>
      </x:c>
      <x:c r="S102" s="29" t="str"/>
    </x:row>
    <x:row r="103" ht="54" customHeight="1">
      <x:c r="A103" s="17" t="str">
        <x:v>csq006-r02</x:v>
      </x:c>
      <x:c r="B103" s="17" t="str">
        <x:v>csq006</x:v>
      </x:c>
      <x:c r="C103" s="17" t="str">
        <x:v>machine_learning</x:v>
      </x:c>
      <x:c r="D103" s="17" t="str">
        <x:v>parameter_efficient_finetuning</x:v>
      </x:c>
      <x:c r="E103" s="27" t="str">
        <x:v>What are the main parameter-efficient fine-tuning methods, and how do they reduce trainable parameters while preserving downstream performance?</x:v>
      </x:c>
      <x:c r="F103" s="22" t="n">
        <x:v>2</x:v>
      </x:c>
      <x:c r="G103" s="17" t="str">
        <x:v>arXiv:2301.01821</x:v>
      </x:c>
      <x:c r="H103" s="27" t="str">
        <x:v>Parameter-Efficient Fine-Tuning Design Spaces</x:v>
      </x:c>
      <x:c r="I103" s="17" t="str">
        <x:v>Jiaao Chen; Aston Zhang; Xingjian Shi; Mu Li; Alex Smola; Diyi Yang</x:v>
      </x:c>
      <x:c r="J103" s="22" t="n">
        <x:v>2023</x:v>
      </x:c>
      <x:c r="K103" s="27" t="str">
        <x:v>Parameter-efficient fine-tuning aims to achieve performance comparable to fine-tuning, using fewer trainable parameters. Several strategies (e.g., Adapters, prefix tuning, BitFit, and LoRA) have been proposed. However, their designs are hand-crafted separately, and it remains unclear whether certain design patterns exist for parameter-efficient fine-tuning. Thus, we present a parameter-efficient fine-tuning design paradigm and discover design patterns that are applicable to different experimental settings. Instead of focusing on designing another individual tuning strategy, we introduce parameter-efficient fine-tuning design spaces that parameterize tuning structures and tuning strategies. Specifically, any design space is characterized by four components: layer grouping, trainable parameter allocation, tunable groups, and strategy assignment. Starting from an initial design space, we progressively refine the space based on the model quality of each design choice and make greedy selection at each stage over these four components. We discover the following design patterns: (i) group layers in a spindle pattern; (ii) allocate the number of trainable parameters to layers uniformly; (iii) tune all the groups; (iv) assign proper tuning strategies to different groups. These design patterns result in new parameter-efficient fine-tuning methods. We show experimentally that these methods consistently and significantly outperform investigated parameter-efficient fine-tuning strategies across different backbone models and different tasks in natural language processing.</x:v>
      </x:c>
      <x:c r="L103" s="17" t="str">
        <x:v>http://arxiv.org/abs/2301.01821v1</x:v>
      </x:c>
      <x:c r="M103" s="23" t="n">
        <x:v>0.9381651624541798</x:v>
      </x:c>
      <x:c r="N103" s="17" t="str">
        <x:v>qwen3-rerank-no-instruct-20260727-125006-results.jsonl</x:v>
      </x:c>
      <x:c r="O103" s="24" t="str">
        <x:v>2</x:v>
      </x:c>
      <x:c r="P103" s="28" t="str">
        <x:v>涵盖适配器、前缀、BitFit和LoRA并探索统一设计空间。</x:v>
      </x:c>
      <x:c r="Q103" s="25" t="str"/>
      <x:c r="R103" s="24" t="str">
        <x:f>IF(Q103&lt;&gt;"",Q103,O103)</x:f>
        <x:v>2</x:v>
      </x:c>
      <x:c r="S103" s="29" t="str"/>
    </x:row>
    <x:row r="104" ht="54" customHeight="1">
      <x:c r="A104" s="17" t="str">
        <x:v>csq006-r03</x:v>
      </x:c>
      <x:c r="B104" s="17" t="str">
        <x:v>csq006</x:v>
      </x:c>
      <x:c r="C104" s="17" t="str">
        <x:v>machine_learning</x:v>
      </x:c>
      <x:c r="D104" s="17" t="str">
        <x:v>parameter_efficient_finetuning</x:v>
      </x:c>
      <x:c r="E104" s="27" t="str">
        <x:v>What are the main parameter-efficient fine-tuning methods, and how do they reduce trainable parameters while preserving downstream performance?</x:v>
      </x:c>
      <x:c r="F104" s="22" t="n">
        <x:v>3</x:v>
      </x:c>
      <x:c r="G104" s="17" t="str">
        <x:v>arXiv:2512.04296</x:v>
      </x:c>
      <x:c r="H104" s="27" t="str">
        <x:v>GRASP: GRouped Activation Shared Parameterization for Parameter-Efficient Fine-Tuning and Robust Inference of Transformers</x:v>
      </x:c>
      <x:c r="I104" s="17" t="str">
        <x:v>Malyaban Bal; Abhronil Sengupta</x:v>
      </x:c>
      <x:c r="J104" s="22" t="n">
        <x:v>2025</x:v>
      </x:c>
      <x:c r="K104" s="27" t="str">
        <x:v>Parameter-efficient fine-tuning (PEFT) provides a scalable alternative to full-model adaptation by updating only a small subset of parameters in large pre-trained models. We introduce GRASP - GRouped Activation Shared Parameterization - a lightweight PEFT framework that partitions the D-dimensional token representations of selected layers into K &lt;&lt; D groups and learns a shared scaling and shifting vector for each group. This grouped modulation reduces the number of trainable parameters significantly while preserving the ability of the model to learn task-specific features. Building on this formulation, we further propose StochGRASP, which learns Gaussian distributions as perturbations to the pre-trained weights rather than deterministic values. This probabilistic parameterization along with a noise-aware loss function formulation enables modelling hardware-level variability in programmed weights and significantly improves robustness under non-ideal inference conditions-an important requirement for deployment on edge-based emerging AI hardware. Across GLUE (RoBERTa-base &amp; RoBERTa-large) and E2E NLG (GPT-2 Medium), GRASP matches or exceeds the performance of established PEFT methods while achieving an order of magnitude reduction in trainable parameters compared to LoRA and BitFit. Under varying levels of noise, StochGRASP consistently outperforms deterministic variants, demonstrating its suitability for energy-efficient and noise-prone hardware platforms.</x:v>
      </x:c>
      <x:c r="L104" s="17" t="str">
        <x:v>http://arxiv.org/abs/2512.04296v2</x:v>
      </x:c>
      <x:c r="M104" s="23" t="n">
        <x:v>0.9266926457144801</x:v>
      </x:c>
      <x:c r="N104" s="17" t="str">
        <x:v>qwen3-rerank-no-instruct-20260727-125006-results.jsonl</x:v>
      </x:c>
      <x:c r="O104" s="24" t="str">
        <x:v>2</x:v>
      </x:c>
      <x:c r="P104" s="28" t="str">
        <x:v>分组激活共享参数化直接提升PEFT参数效率与稳健推理。</x:v>
      </x:c>
      <x:c r="Q104" s="25" t="str"/>
      <x:c r="R104" s="24" t="str">
        <x:f>IF(Q104&lt;&gt;"",Q104,O104)</x:f>
        <x:v>2</x:v>
      </x:c>
      <x:c r="S104" s="29" t="str"/>
    </x:row>
    <x:row r="105" ht="54" customHeight="1">
      <x:c r="A105" s="17" t="str">
        <x:v>csq006-r04</x:v>
      </x:c>
      <x:c r="B105" s="17" t="str">
        <x:v>csq006</x:v>
      </x:c>
      <x:c r="C105" s="17" t="str">
        <x:v>machine_learning</x:v>
      </x:c>
      <x:c r="D105" s="17" t="str">
        <x:v>parameter_efficient_finetuning</x:v>
      </x:c>
      <x:c r="E105" s="27" t="str">
        <x:v>What are the main parameter-efficient fine-tuning methods, and how do they reduce trainable parameters while preserving downstream performance?</x:v>
      </x:c>
      <x:c r="F105" s="22" t="n">
        <x:v>4</x:v>
      </x:c>
      <x:c r="G105" s="17" t="str">
        <x:v>arXiv:2405.05493</x:v>
      </x:c>
      <x:c r="H105" s="27" t="str">
        <x:v>Parameter-Efficient Fine-Tuning With Adapters</x:v>
      </x:c>
      <x:c r="I105" s="17" t="str">
        <x:v>Keyu Chen; Yuan Pang; Zi Yang</x:v>
      </x:c>
      <x:c r="J105" s="22" t="n">
        <x:v>2024</x:v>
      </x:c>
      <x:c r="K105" s="27" t="str">
        <x:v>In the arena of language model fine-tuning, the traditional approaches, such as Domain-Adaptive Pretraining (DAPT) and Task-Adaptive Pretraining (TAPT), although effective, but computational intensive. This research introduces a novel adaptation method utilizing the UniPELT framework as a base and added a PromptTuning Layer, which significantly reduces the number of trainable parameters while maintaining competitive performance across various benchmarks. Our method employs adapters, which enable efficient transfer of pretrained models to new tasks with minimal retraining of the base model parameters. We evaluate our approach using three diverse datasets: the GLUE benchmark, a domain-specific dataset comprising four distinct areas, and the Stanford Question Answering Dataset 1.1 (SQuAD). Our results demonstrate that our customized adapter-based method achieves performance comparable to full model fine-tuning, DAPT+TAPT and UniPELT strategies while requiring fewer or equivalent amount of parameters. This parameter efficiency not only alleviates the computational burden but also expedites the adaptation process. The study underlines the potential of adapters in achieving high performance with significantly reduced resource consumption, suggesting a promising direction for future research in parameter-efficient fine-tuning.</x:v>
      </x:c>
      <x:c r="L105" s="17" t="str">
        <x:v>http://arxiv.org/abs/2405.05493v1</x:v>
      </x:c>
      <x:c r="M105" s="23" t="n">
        <x:v>0.921525743619879</x:v>
      </x:c>
      <x:c r="N105" s="17" t="str">
        <x:v>qwen3-rerank-no-instruct-20260727-125006-results.jsonl</x:v>
      </x:c>
      <x:c r="O105" s="24" t="str">
        <x:v>2</x:v>
      </x:c>
      <x:c r="P105" s="28" t="str">
        <x:v>适配器是冻结主干、仅训练新增小模块的代表PEFT方法。</x:v>
      </x:c>
      <x:c r="Q105" s="25" t="str"/>
      <x:c r="R105" s="24" t="str">
        <x:f>IF(Q105&lt;&gt;"",Q105,O105)</x:f>
        <x:v>2</x:v>
      </x:c>
      <x:c r="S105" s="29" t="str"/>
    </x:row>
    <x:row r="106" ht="54" customHeight="1">
      <x:c r="A106" s="17" t="str">
        <x:v>csq006-r05</x:v>
      </x:c>
      <x:c r="B106" s="17" t="str">
        <x:v>csq006</x:v>
      </x:c>
      <x:c r="C106" s="17" t="str">
        <x:v>machine_learning</x:v>
      </x:c>
      <x:c r="D106" s="17" t="str">
        <x:v>parameter_efficient_finetuning</x:v>
      </x:c>
      <x:c r="E106" s="27" t="str">
        <x:v>What are the main parameter-efficient fine-tuning methods, and how do they reduce trainable parameters while preserving downstream performance?</x:v>
      </x:c>
      <x:c r="F106" s="22" t="n">
        <x:v>5</x:v>
      </x:c>
      <x:c r="G106" s="17" t="str">
        <x:v>arXiv:2505.12579</x:v>
      </x:c>
      <x:c r="H106" s="27" t="str">
        <x:v>Adaptive parameter-efficient fine-tuning via Hessian-informed subset selection</x:v>
      </x:c>
      <x:c r="I106" s="17" t="str">
        <x:v>Shiyun Xu; Zhiqi Bu</x:v>
      </x:c>
      <x:c r="J106" s="22" t="n">
        <x:v>2025</x:v>
      </x:c>
      <x:c r="K106" s="27" t="str">
        <x:v>Parameter-efficient fine-tuning (PEFT) is a highly effective approach for adapting large pre-trained models to downstream tasks with minimal computational overhead. At the core, PEFT methods freeze most parameters and only trains a small subset (say $&lt;0.1\%$ of total parameters). Notably, different PEFT methods select different subsets, resulting in varying levels of performance. This variation prompts a key question: how to effectively select the most influential subset to train? We formulate the subset selection as a multi-task problem: maximizing the performance and minimizing the number of trainable parameters. We leverage a series of transformations -- including $ε$-constraint method and second-order Taylor approximation -- to arrive at the classical 0-1 knapsack problem, which we solve through the lens of Pareto optimality. Consequently, we propose AdaPEFT, a Hessian-informed PEFT that adapts to various tasks and models, in which the selected subset empirically transfers across training horizons and model sizes.</x:v>
      </x:c>
      <x:c r="L106" s="17" t="str">
        <x:v>http://arxiv.org/abs/2505.12579v1</x:v>
      </x:c>
      <x:c r="M106" s="23" t="n">
        <x:v>0.9031489726374577</x:v>
      </x:c>
      <x:c r="N106" s="17" t="str">
        <x:v>qwen3-rerank-no-instruct-20260727-125006-results.jsonl</x:v>
      </x:c>
      <x:c r="O106" s="24" t="str">
        <x:v>2</x:v>
      </x:c>
      <x:c r="P106" s="28" t="str">
        <x:v>以Hessian信息选择最有影响的极小参数子集。</x:v>
      </x:c>
      <x:c r="Q106" s="25" t="str"/>
      <x:c r="R106" s="24" t="str">
        <x:f>IF(Q106&lt;&gt;"",Q106,O106)</x:f>
        <x:v>2</x:v>
      </x:c>
      <x:c r="S106" s="29" t="str"/>
    </x:row>
    <x:row r="107" ht="54" customHeight="1">
      <x:c r="A107" s="17" t="str">
        <x:v>csq006-r06</x:v>
      </x:c>
      <x:c r="B107" s="17" t="str">
        <x:v>csq006</x:v>
      </x:c>
      <x:c r="C107" s="17" t="str">
        <x:v>machine_learning</x:v>
      </x:c>
      <x:c r="D107" s="17" t="str">
        <x:v>parameter_efficient_finetuning</x:v>
      </x:c>
      <x:c r="E107" s="27" t="str">
        <x:v>What are the main parameter-efficient fine-tuning methods, and how do they reduce trainable parameters while preserving downstream performance?</x:v>
      </x:c>
      <x:c r="F107" s="22" t="n">
        <x:v>6</x:v>
      </x:c>
      <x:c r="G107" s="17" t="str">
        <x:v>arXiv:2303.08566</x:v>
      </x:c>
      <x:c r="H107" s="27" t="str">
        <x:v>Sensitivity-Aware Visual Parameter-Efficient Fine-Tuning</x:v>
      </x:c>
      <x:c r="I107" s="17" t="str">
        <x:v>Haoyu He; Jianfei Cai; Jing Zhang; Dacheng Tao; Bohan Zhuang</x:v>
      </x:c>
      <x:c r="J107" s="22" t="n">
        <x:v>2023</x:v>
      </x:c>
      <x:c r="K107" s="27" t="str">
        <x:v>Visual Parameter-Efficient Fine-Tuning (PEFT) has become a powerful alternative for full fine-tuning so as to adapt pre-trained vision models to downstream tasks, which only tunes a small number of parameters while freezing the vast majority ones to ease storage burden and optimization difficulty. However, existing PEFT methods introduce trainable parameters to the same positions across different tasks depending solely on human heuristics and neglect the domain gaps. To this end, we study where to introduce and how to allocate trainable parameters by proposing a novel Sensitivity-aware visual Parameter-efficient fine-Tuning (SPT) scheme, which adaptively allocates trainable parameters to task-specific important positions given a desired tunable parameter budget. Specifically, our SPT first quickly identifies the sensitive parameters that require tuning for a given task in a data-dependent way. Next, our SPT further boosts the representational capability for the weight matrices whose number of sensitive parameters exceeds a pre-defined threshold by utilizing existing structured tuning methods, e.g., LoRA [23] or Adapter [22], to replace directly tuning the selected sensitive parameters (unstructured tuning) under the budget. Extensive experiments on a wide range of downstream recognition tasks show that our SPT is complementary to the existing PEFT methods and largely boosts their performance, e.g., SPT improves Adapter with supervised pre-trained ViT-B/16 backbone by 4.2% and 1.4% mean Top-1 accuracy, reaching SOTA performance on FGVC and VTAB-1k benchmarks, respectively. Source code is at https://github.com/ziplab/SPT</x:v>
      </x:c>
      <x:c r="L107" s="17" t="str">
        <x:v>http://arxiv.org/abs/2303.08566v2</x:v>
      </x:c>
      <x:c r="M107" s="23" t="n">
        <x:v>0.8956636252660491</x:v>
      </x:c>
      <x:c r="N107" s="17" t="str">
        <x:v>qwen3-rerank-no-instruct-20260727-125006-results.jsonl</x:v>
      </x:c>
      <x:c r="O107" s="24" t="str">
        <x:v>2</x:v>
      </x:c>
      <x:c r="P107" s="28" t="str">
        <x:v>按敏感度选择视觉模型调优参数以保持下游性能。</x:v>
      </x:c>
      <x:c r="Q107" s="25" t="str"/>
      <x:c r="R107" s="24" t="str">
        <x:f>IF(Q107&lt;&gt;"",Q107,O107)</x:f>
        <x:v>2</x:v>
      </x:c>
      <x:c r="S107" s="29" t="str"/>
    </x:row>
    <x:row r="108" ht="54" customHeight="1">
      <x:c r="A108" s="17" t="str">
        <x:v>csq006-r07</x:v>
      </x:c>
      <x:c r="B108" s="17" t="str">
        <x:v>csq006</x:v>
      </x:c>
      <x:c r="C108" s="17" t="str">
        <x:v>machine_learning</x:v>
      </x:c>
      <x:c r="D108" s="17" t="str">
        <x:v>parameter_efficient_finetuning</x:v>
      </x:c>
      <x:c r="E108" s="27" t="str">
        <x:v>What are the main parameter-efficient fine-tuning methods, and how do they reduce trainable parameters while preserving downstream performance?</x:v>
      </x:c>
      <x:c r="F108" s="22" t="n">
        <x:v>7</x:v>
      </x:c>
      <x:c r="G108" s="17" t="str">
        <x:v>arXiv:2503.05431</x:v>
      </x:c>
      <x:c r="H108" s="27" t="str">
        <x:v>Quantum-PEFT: Ultra parameter-efficient fine-tuning</x:v>
      </x:c>
      <x:c r="I108" s="17" t="str">
        <x:v>Toshiaki Koike-Akino; Francesco Tonin; Yongtao Wu; Frank Zhengqing Wu; Leyla Naz Candogan; Volkan Cevher</x:v>
      </x:c>
      <x:c r="J108" s="22" t="n">
        <x:v>2025</x:v>
      </x:c>
      <x:c r="K108" s="27" t="str">
        <x:v>This paper introduces Quantum-PEFT that leverages quantum computations for parameter-efficient fine-tuning (PEFT). Unlike other additive PEFT methods, such as low-rank adaptation (LoRA), Quantum-PEFT exploits an underlying full-rank yet surprisingly parameter efficient quantum unitary parameterization. With the use of Pauli parameterization, the number of trainable parameters grows only logarithmically with the ambient dimension, as opposed to linearly as in LoRA-based PEFT methods. Quantum-PEFT achieves vanishingly smaller number of trainable parameters than the lowest-rank LoRA as dimensions grow, enhancing parameter efficiency while maintaining a competitive performance. We apply Quantum-PEFT to several transfer learning benchmarks in language and vision, demonstrating significant advantages in parameter efficiency.</x:v>
      </x:c>
      <x:c r="L108" s="17" t="str">
        <x:v>http://arxiv.org/abs/2503.05431v1</x:v>
      </x:c>
      <x:c r="M108" s="23" t="n">
        <x:v>0.8953755659638797</x:v>
      </x:c>
      <x:c r="N108" s="17" t="str">
        <x:v>qwen3-rerank-no-instruct-20260727-125006-results.jsonl</x:v>
      </x:c>
      <x:c r="O108" s="24" t="str">
        <x:v>2</x:v>
      </x:c>
      <x:c r="P108" s="28" t="str">
        <x:v>量子酉参数化使训练参数随维度对数增长。</x:v>
      </x:c>
      <x:c r="Q108" s="25" t="str"/>
      <x:c r="R108" s="24" t="str">
        <x:f>IF(Q108&lt;&gt;"",Q108,O108)</x:f>
        <x:v>2</x:v>
      </x:c>
      <x:c r="S108" s="29" t="str"/>
    </x:row>
    <x:row r="109" ht="54" customHeight="1">
      <x:c r="A109" s="17" t="str">
        <x:v>csq006-r08</x:v>
      </x:c>
      <x:c r="B109" s="17" t="str">
        <x:v>csq006</x:v>
      </x:c>
      <x:c r="C109" s="17" t="str">
        <x:v>machine_learning</x:v>
      </x:c>
      <x:c r="D109" s="17" t="str">
        <x:v>parameter_efficient_finetuning</x:v>
      </x:c>
      <x:c r="E109" s="27" t="str">
        <x:v>What are the main parameter-efficient fine-tuning methods, and how do they reduce trainable parameters while preserving downstream performance?</x:v>
      </x:c>
      <x:c r="F109" s="22" t="n">
        <x:v>8</x:v>
      </x:c>
      <x:c r="G109" s="17" t="str">
        <x:v>arXiv:2511.21285</x:v>
      </x:c>
      <x:c r="H109" s="27" t="str">
        <x:v>PEFT-Bench: A Parameter-Efficient Fine-Tuning Methods Benchmark</x:v>
      </x:c>
      <x:c r="I109" s="17" t="str">
        <x:v>Robert Belanec; Branislav Pecher; Ivan Srba; Maria Bielikova</x:v>
      </x:c>
      <x:c r="J109" s="22" t="n">
        <x:v>2025</x:v>
      </x:c>
      <x:c r="K109" s="27" t="str">
        <x:v>Despite the state-of-the-art performance of Large Language Models (LLMs) achieved on many tasks, their massive scale often leads to high computational and environmental costs, limiting their accessibility. Parameter-Efficient Fine-Tuning (PEFT) methods address this challenge by reducing the number of trainable parameters while maintaining strong downstream performance. Despite the advances in PEFT methods, current evaluations remain limited (in terms of evaluated models and datasets) and difficult to reproduce. To bridge this gap, we introduce PEFT-Bench, a unified end-to-end benchmark for evaluating diverse PEFT methods on autoregressive LLMs. We demonstrate its usage across 27 NLP datasets and 7 PEFT methods. To account for different PEFT training and inference factors, we also introduce the PEFT Soft Cost Penalties (PSCP) metric, which takes trainable parameters, inference speed, and training memory usage into account.</x:v>
      </x:c>
      <x:c r="L109" s="17" t="str">
        <x:v>http://arxiv.org/abs/2511.21285v3</x:v>
      </x:c>
      <x:c r="M109" s="23" t="n">
        <x:v>0.8897903333504313</x:v>
      </x:c>
      <x:c r="N109" s="17" t="str">
        <x:v>qwen3-rerank-no-instruct-20260727-125006-results.jsonl</x:v>
      </x:c>
      <x:c r="O109" s="24" t="str">
        <x:v>2</x:v>
      </x:c>
      <x:c r="P109" s="28" t="str">
        <x:v>统一比较七类PEFT及参数、内存、速度和任务表现。</x:v>
      </x:c>
      <x:c r="Q109" s="25" t="str"/>
      <x:c r="R109" s="24" t="str">
        <x:f>IF(Q109&lt;&gt;"",Q109,O109)</x:f>
        <x:v>2</x:v>
      </x:c>
      <x:c r="S109" s="29" t="str"/>
    </x:row>
    <x:row r="110" ht="54" customHeight="1">
      <x:c r="A110" s="17" t="str">
        <x:v>csq006-r09</x:v>
      </x:c>
      <x:c r="B110" s="17" t="str">
        <x:v>csq006</x:v>
      </x:c>
      <x:c r="C110" s="17" t="str">
        <x:v>machine_learning</x:v>
      </x:c>
      <x:c r="D110" s="17" t="str">
        <x:v>parameter_efficient_finetuning</x:v>
      </x:c>
      <x:c r="E110" s="27" t="str">
        <x:v>What are the main parameter-efficient fine-tuning methods, and how do they reduce trainable parameters while preserving downstream performance?</x:v>
      </x:c>
      <x:c r="F110" s="22" t="n">
        <x:v>9</x:v>
      </x:c>
      <x:c r="G110" s="17" t="str">
        <x:v>arXiv:2505.20211</x:v>
      </x:c>
      <x:c r="H110" s="27" t="str">
        <x:v>PiCa: Parameter-Efficient Fine-Tuning with Column Space Projection</x:v>
      </x:c>
      <x:c r="I110" s="17" t="str">
        <x:v>Junseo Hwang; Wonguk Cho; Taesup Kim</x:v>
      </x:c>
      <x:c r="J110" s="22" t="n">
        <x:v>2025</x:v>
      </x:c>
      <x:c r="K110" s="27" t="str">
        <x:v>Fine-tuning large foundation models is essential for building expert models tailored to specialized tasks and domains, but fully updating billions of parameters is computationally prohibitive. Reducing the number of trainable parameters using Parameter-Efficient Fine-Tuning (PEFT), such as Low-Rank Adaptation (LoRA), is therefore crucial not only to reduce training costs but also to mitigate storage, caching, and serving overheads during deployment. Prior works, such as Singular Vectors-guided Fine-Tuning (SVFT), have shown that exploiting the geometry of pre-trained weights based on Singular Value Decomposition (SVD) can significantly improve parameter-efficiency, but they lack a solid theoretical foundation. In this paper, we introduce Parameter-Efficient Fine-Tuning with Column Space Projection (PiCa), a novel theoretically grounded PEFT method. We prove that projecting gradients onto the principal column space of pre-trained weights provides an effective inductive bias for adaptation and further enhance parameter efficiency through a novel weight-sharing strategy. Across diverse NLP and vision tasks, PiCa consistently outperforms state-of-the-art baselines under comparable or smaller parameter budgets, demonstrating both theoretical rigor and practical effectiveness.</x:v>
      </x:c>
      <x:c r="L110" s="17" t="str">
        <x:v>http://arxiv.org/abs/2505.20211v3</x:v>
      </x:c>
      <x:c r="M110" s="23" t="n">
        <x:v>0.881357435876696</x:v>
      </x:c>
      <x:c r="N110" s="17" t="str">
        <x:v>qwen3-rerank-no-instruct-20260727-125006-results.jsonl</x:v>
      </x:c>
      <x:c r="O110" s="24" t="str">
        <x:v>2</x:v>
      </x:c>
      <x:c r="P110" s="28" t="str">
        <x:v>用主列空间梯度投影和权重共享提升小预算性能。</x:v>
      </x:c>
      <x:c r="Q110" s="25" t="str"/>
      <x:c r="R110" s="24" t="str">
        <x:f>IF(Q110&lt;&gt;"",Q110,O110)</x:f>
        <x:v>2</x:v>
      </x:c>
      <x:c r="S110" s="29" t="str"/>
    </x:row>
    <x:row r="111" ht="54" customHeight="1">
      <x:c r="A111" s="17" t="str">
        <x:v>csq006-r10</x:v>
      </x:c>
      <x:c r="B111" s="17" t="str">
        <x:v>csq006</x:v>
      </x:c>
      <x:c r="C111" s="17" t="str">
        <x:v>machine_learning</x:v>
      </x:c>
      <x:c r="D111" s="17" t="str">
        <x:v>parameter_efficient_finetuning</x:v>
      </x:c>
      <x:c r="E111" s="27" t="str">
        <x:v>What are the main parameter-efficient fine-tuning methods, and how do they reduce trainable parameters while preserving downstream performance?</x:v>
      </x:c>
      <x:c r="F111" s="22" t="n">
        <x:v>10</x:v>
      </x:c>
      <x:c r="G111" s="17" t="str">
        <x:v>arXiv:2406.03792</x:v>
      </x:c>
      <x:c r="H111" s="27" t="str">
        <x:v>Light-PEFT: Lightening Parameter-Efficient Fine-Tuning via Early Pruning</x:v>
      </x:c>
      <x:c r="I111" s="17" t="str">
        <x:v>Naibin Gu; Peng Fu; Xiyu Liu; Bowen Shen; Zheng Lin; Weiping Wang</x:v>
      </x:c>
      <x:c r="J111" s="22" t="n">
        <x:v>2024</x:v>
      </x:c>
      <x:c r="K111" s="27" t="str">
        <x:v>Parameter-efficient fine-tuning (PEFT) has emerged as the predominant technique for fine-tuning in the era of large language models. However, existing PEFT methods still have inadequate training efficiency. Firstly, the utilization of large-scale foundation models during the training process is excessively redundant for certain fine-tuning tasks. Secondly, as the model size increases, the growth in trainable parameters of empirically added PEFT modules becomes non-negligible and redundant, leading to inefficiency. To achieve task-specific efficient fine-tuning, we propose the Light-PEFT framework, which includes two methods: Masked Early Pruning of the Foundation Model and Multi-Granularity Early Pruning of PEFT. The Light-PEFT framework allows for the simultaneous estimation of redundant parameters in both the foundation model and PEFT modules during the early stage of training. These parameters can then be pruned for more efficient fine-tuning. We validate our approach on GLUE, SuperGLUE, QA tasks, and various models. With Light-PEFT, parameters of the foundation model can be pruned by up to over 40%, while still controlling trainable parameters to be only 25% of the original PEFT method. Compared to utilizing the PEFT method directly, Light-PEFT achieves training and inference speedup, reduces memory usage, and maintains comparable performance and the plug-and-play feature of PEFT.</x:v>
      </x:c>
      <x:c r="L111" s="17" t="str">
        <x:v>http://arxiv.org/abs/2406.03792v1</x:v>
      </x:c>
      <x:c r="M111" s="23" t="n">
        <x:v>0.8732650357036805</x:v>
      </x:c>
      <x:c r="N111" s="17" t="str">
        <x:v>qwen3-rerank-no-instruct-20260727-125006-results.jsonl</x:v>
      </x:c>
      <x:c r="O111" s="24" t="str">
        <x:v>2</x:v>
      </x:c>
      <x:c r="P111" s="28" t="str">
        <x:v>早期剪枝主干和PEFT模块进一步减少训练参数。</x:v>
      </x:c>
      <x:c r="Q111" s="25" t="str"/>
      <x:c r="R111" s="24" t="str">
        <x:f>IF(Q111&lt;&gt;"",Q111,O111)</x:f>
        <x:v>2</x:v>
      </x:c>
      <x:c r="S111" s="29" t="str"/>
    </x:row>
    <x:row r="112" ht="54" customHeight="1">
      <x:c r="A112" s="17" t="str">
        <x:v>csq006-r11</x:v>
      </x:c>
      <x:c r="B112" s="17" t="str">
        <x:v>csq006</x:v>
      </x:c>
      <x:c r="C112" s="17" t="str">
        <x:v>machine_learning</x:v>
      </x:c>
      <x:c r="D112" s="17" t="str">
        <x:v>parameter_efficient_finetuning</x:v>
      </x:c>
      <x:c r="E112" s="27" t="str">
        <x:v>What are the main parameter-efficient fine-tuning methods, and how do they reduce trainable parameters while preserving downstream performance?</x:v>
      </x:c>
      <x:c r="F112" s="22" t="n">
        <x:v>11</x:v>
      </x:c>
      <x:c r="G112" s="17" t="str">
        <x:v>arXiv:2405.02596</x:v>
      </x:c>
      <x:c r="H112" s="27" t="str">
        <x:v>Random Masking Finds Winning Tickets for Parameter Efficient Fine-tuning</x:v>
      </x:c>
      <x:c r="I112" s="17" t="str">
        <x:v>Jing Xu; Jingzhao Zhang</x:v>
      </x:c>
      <x:c r="J112" s="22" t="n">
        <x:v>2024</x:v>
      </x:c>
      <x:c r="K112" s="27" t="str">
        <x:v>Fine-tuning large language models (LLM) can be costly. Parameter-efficient fine-tuning (PEFT) addresses the problems by training a fraction of the parameters, whose success reveals the expressiveness and flexibility of pretrained models. This paper studies the limit of PEFT, by further simplifying its design and reducing the number of trainable parameters beyond standard setups. To this end, we use Random Masking to fine-tune the pretrained model. Despite its simplicity, we show that Random Masking is surprisingly effective: with a larger-than-expected learning rate, Random Masking can match the performance of standard PEFT algorithms such as LoRA on various tasks, using fewer trainable parameters. We provide both empirical and theoretical explorations into the success of Random Masking. We show that masking induces a flatter loss landscape and more distant solutions, which allows for and necessitates large learning rates.</x:v>
      </x:c>
      <x:c r="L112" s="17" t="str">
        <x:v>http://arxiv.org/abs/2405.02596v1</x:v>
      </x:c>
      <x:c r="M112" s="23" t="n">
        <x:v>0.8488200373106831</x:v>
      </x:c>
      <x:c r="N112" s="17" t="str">
        <x:v>qwen3-rerank-no-instruct-20260727-125006-results.jsonl</x:v>
      </x:c>
      <x:c r="O112" s="24" t="str">
        <x:v>2</x:v>
      </x:c>
      <x:c r="P112" s="28" t="str">
        <x:v>随机掩码寻找少量可训练中奖子网络以高效适配。</x:v>
      </x:c>
      <x:c r="Q112" s="25" t="str"/>
      <x:c r="R112" s="24" t="str">
        <x:f>IF(Q112&lt;&gt;"",Q112,O112)</x:f>
        <x:v>2</x:v>
      </x:c>
      <x:c r="S112" s="29" t="str"/>
    </x:row>
    <x:row r="113" ht="54" customHeight="1">
      <x:c r="A113" s="17" t="str">
        <x:v>csq006-r12</x:v>
      </x:c>
      <x:c r="B113" s="17" t="str">
        <x:v>csq006</x:v>
      </x:c>
      <x:c r="C113" s="17" t="str">
        <x:v>machine_learning</x:v>
      </x:c>
      <x:c r="D113" s="17" t="str">
        <x:v>parameter_efficient_finetuning</x:v>
      </x:c>
      <x:c r="E113" s="27" t="str">
        <x:v>What are the main parameter-efficient fine-tuning methods, and how do they reduce trainable parameters while preserving downstream performance?</x:v>
      </x:c>
      <x:c r="F113" s="22" t="n">
        <x:v>12</x:v>
      </x:c>
      <x:c r="G113" s="17" t="str">
        <x:v>arXiv:2402.04009</x:v>
      </x:c>
      <x:c r="H113" s="27" t="str">
        <x:v>Low-rank Attention Side-Tuning for Parameter-Efficient Fine-Tuning</x:v>
      </x:c>
      <x:c r="I113" s="17" t="str">
        <x:v>Ningyuan Tang; Minghao Fu; Ke Zhu; Jianxin Wu</x:v>
      </x:c>
      <x:c r="J113" s="22" t="n">
        <x:v>2024</x:v>
      </x:c>
      <x:c r="K113" s="27" t="str">
        <x:v>In finetuning a large pretrained model to downstream tasks, parameter-efficient fine-tuning (PEFT) methods can effectively finetune pretrained models with few trainable parameters, but suffer from high GPU memory consumption and slow training speed. Because learnable parameters from these methods are entangled with the pretrained model, gradients related to the frozen pretrained model's parameters have to be computed and stored during finetuning. We propose Low-rank Attention Side-Tuning (LAST), which disentangles the trainable module from the pretrained model by freezing not only parameters but also outputs of the pretrained network. LAST trains a side-network composed of only low-rank self-attention modules. By viewing the pretrained model as a frozen feature extractor, the side-network takes intermediate output from the pretrained model and focus on learning task-specific knowledge. We also show that LAST can be highly parallel across multiple optimization objectives, making it very efficient in downstream task adaptation, for example, in finding optimal hyperparameters. LAST outperforms previous state-of-the-art methods on VTAB-1K and other visual adaptation tasks with roughly only 30\% of GPU memory footprint and 60\% of training time compared to existing PEFT methods, but achieves significantly higher accuracy.</x:v>
      </x:c>
      <x:c r="L113" s="17" t="str">
        <x:v>http://arxiv.org/abs/2402.04009v1</x:v>
      </x:c>
      <x:c r="M113" s="23" t="n">
        <x:v>0.8480897432932234</x:v>
      </x:c>
      <x:c r="N113" s="17" t="str">
        <x:v>qwen3-rerank-no-instruct-20260727-125006-results.jsonl</x:v>
      </x:c>
      <x:c r="O113" s="24" t="str">
        <x:v>2</x:v>
      </x:c>
      <x:c r="P113" s="28" t="str">
        <x:v>低秩注意力侧调优是典型新增小模块PEFT路线。</x:v>
      </x:c>
      <x:c r="Q113" s="25" t="str"/>
      <x:c r="R113" s="24" t="str">
        <x:f>IF(Q113&lt;&gt;"",Q113,O113)</x:f>
        <x:v>2</x:v>
      </x:c>
      <x:c r="S113" s="29" t="str"/>
    </x:row>
    <x:row r="114" ht="54" customHeight="1">
      <x:c r="A114" s="17" t="str">
        <x:v>csq006-r13</x:v>
      </x:c>
      <x:c r="B114" s="17" t="str">
        <x:v>csq006</x:v>
      </x:c>
      <x:c r="C114" s="17" t="str">
        <x:v>machine_learning</x:v>
      </x:c>
      <x:c r="D114" s="17" t="str">
        <x:v>parameter_efficient_finetuning</x:v>
      </x:c>
      <x:c r="E114" s="27" t="str">
        <x:v>What are the main parameter-efficient fine-tuning methods, and how do they reduce trainable parameters while preserving downstream performance?</x:v>
      </x:c>
      <x:c r="F114" s="22" t="n">
        <x:v>13</x:v>
      </x:c>
      <x:c r="G114" s="17" t="str">
        <x:v>arXiv:2506.12394</x:v>
      </x:c>
      <x:c r="H114" s="27" t="str">
        <x:v>LARGO: Low-Rank Regulated Gradient Projection for Robust Parameter Efficient Fine-Tuning</x:v>
      </x:c>
      <x:c r="I114" s="17" t="str">
        <x:v>Haotian Zhang; Liu Liu; Baosheng Yu; Jiayan Qiu; Yanwei Ren; Xianglong Liu</x:v>
      </x:c>
      <x:c r="J114" s="22" t="n">
        <x:v>2025</x:v>
      </x:c>
      <x:c r="K114" s="27" t="str">
        <x:v>The advent of parameter-efficient fine-tuning methods has significantly reduced the computational burden of adapting large-scale pretrained models to diverse downstream tasks. However, existing approaches often struggle to achieve robust performance under domain shifts while maintaining computational efficiency. To address this challenge, we propose Low-rAnk Regulated Gradient Projection (LARGO) algorithm that integrates dynamic constraints into low-rank adaptation methods. Specifically, LARGO incorporates parallel trainable gradient projections to dynamically regulate layer-wise updates, retaining the Out-Of-Distribution robustness of pretrained model while preserving inter-layer independence. Additionally, it ensures computational efficiency by mitigating the influence of gradient dependencies across layers during weight updates. Besides, through leveraging singular value decomposition of pretrained weights for structured initialization, we incorporate an SVD-based initialization strategy that minimizing deviation from pretrained knowledge. Through extensive experiments on diverse benchmarks, LARGO achieves state-of-the-art performance across in-domain and out-of-distribution scenarios, demonstrating improved robustness under domain shifts with significantly lower computational overhead compared to existing PEFT methods. The source code will be released soon.</x:v>
      </x:c>
      <x:c r="L114" s="17" t="str">
        <x:v>http://arxiv.org/abs/2506.12394v1</x:v>
      </x:c>
      <x:c r="M114" s="23" t="n">
        <x:v>0.8342156053490772</x:v>
      </x:c>
      <x:c r="N114" s="17" t="str">
        <x:v>qwen3-rerank-no-instruct-20260727-125006-results.jsonl</x:v>
      </x:c>
      <x:c r="O114" s="24" t="str">
        <x:v>2</x:v>
      </x:c>
      <x:c r="P114" s="28" t="str">
        <x:v>低秩正则梯度投影兼顾少参数适配和鲁棒性。</x:v>
      </x:c>
      <x:c r="Q114" s="25" t="str"/>
      <x:c r="R114" s="24" t="str">
        <x:f>IF(Q114&lt;&gt;"",Q114,O114)</x:f>
        <x:v>2</x:v>
      </x:c>
      <x:c r="S114" s="29" t="str"/>
    </x:row>
    <x:row r="115" ht="54" customHeight="1">
      <x:c r="A115" s="17" t="str">
        <x:v>csq006-r14</x:v>
      </x:c>
      <x:c r="B115" s="17" t="str">
        <x:v>csq006</x:v>
      </x:c>
      <x:c r="C115" s="17" t="str">
        <x:v>machine_learning</x:v>
      </x:c>
      <x:c r="D115" s="17" t="str">
        <x:v>parameter_efficient_finetuning</x:v>
      </x:c>
      <x:c r="E115" s="27" t="str">
        <x:v>What are the main parameter-efficient fine-tuning methods, and how do they reduce trainable parameters while preserving downstream performance?</x:v>
      </x:c>
      <x:c r="F115" s="22" t="n">
        <x:v>14</x:v>
      </x:c>
      <x:c r="G115" s="17" t="str">
        <x:v>arXiv:2310.03059</x:v>
      </x:c>
      <x:c r="H115" s="27" t="str">
        <x:v>Point-PEFT: Parameter-Efficient Fine-Tuning for 3D Pre-trained Models</x:v>
      </x:c>
      <x:c r="I115" s="17" t="str">
        <x:v>Yiwen Tang; Ray Zhang; Zoey Guo; Dong Wang; Zhigang Wang; Bin Zhao; Xuelong Li</x:v>
      </x:c>
      <x:c r="J115" s="22" t="n">
        <x:v>2023</x:v>
      </x:c>
      <x:c r="K115" s="27" t="str">
        <x:v>The popularity of pre-trained large models has revolutionized downstream tasks across diverse fields, such as language, vision, and multi-modality. To minimize the adaption cost for downstream tasks, many Parameter-Efficient Fine-Tuning (PEFT) techniques are proposed for language and 2D image pre-trained models. However, the specialized PEFT method for 3D pre-trained models is still under-explored. To this end, we introduce Point-PEFT, a novel framework for adapting point cloud pre-trained models with minimal learnable parameters. Specifically, for a pre-trained 3D model, we freeze most of its parameters, and only tune the newly added PEFT modules on downstream tasks, which consist of a Point-prior Prompt and a Geometry-aware Adapter. The Point-prior Prompt adopts a set of learnable prompt tokens, for which we propose to construct a memory bank with domain-specific knowledge, and utilize a parameter-free attention to enhance the prompt tokens. The Geometry-aware Adapter aims to aggregate point cloud features within spatial neighborhoods to capture fine-grained geometric information through local interactions. Extensive experiments indicate that our Point-PEFT can achieve better performance than the full fine-tuning on various downstream tasks, while using only 5% of the trainable parameters, demonstrating the efficiency and effectiveness of our approach. Code is released at https://github.com/Ivan-Tang-3D/Point-PEFT.</x:v>
      </x:c>
      <x:c r="L115" s="17" t="str">
        <x:v>http://arxiv.org/abs/2310.03059v8</x:v>
      </x:c>
      <x:c r="M115" s="23" t="n">
        <x:v>0.8288452371000601</x:v>
      </x:c>
      <x:c r="N115" s="17" t="str">
        <x:v>qwen3-rerank-no-instruct-20260727-125006-results.jsonl</x:v>
      </x:c>
      <x:c r="O115" s="24" t="str">
        <x:v>2</x:v>
      </x:c>
      <x:c r="P115" s="28" t="str">
        <x:v>冻结三维主干，仅训练提示和适配器即保持下游表现。</x:v>
      </x:c>
      <x:c r="Q115" s="25" t="str"/>
      <x:c r="R115" s="24" t="str">
        <x:f>IF(Q115&lt;&gt;"",Q115,O115)</x:f>
        <x:v>2</x:v>
      </x:c>
      <x:c r="S115" s="29" t="str"/>
    </x:row>
    <x:row r="116" ht="54" customHeight="1">
      <x:c r="A116" s="17" t="str">
        <x:v>csq006-r15</x:v>
      </x:c>
      <x:c r="B116" s="17" t="str">
        <x:v>csq006</x:v>
      </x:c>
      <x:c r="C116" s="17" t="str">
        <x:v>machine_learning</x:v>
      </x:c>
      <x:c r="D116" s="17" t="str">
        <x:v>parameter_efficient_finetuning</x:v>
      </x:c>
      <x:c r="E116" s="27" t="str">
        <x:v>What are the main parameter-efficient fine-tuning methods, and how do they reduce trainable parameters while preserving downstream performance?</x:v>
      </x:c>
      <x:c r="F116" s="22" t="n">
        <x:v>15</x:v>
      </x:c>
      <x:c r="G116" s="17" t="str">
        <x:v>arXiv:2501.08008</x:v>
      </x:c>
      <x:c r="H116" s="27" t="str">
        <x:v>TriAdaptLoRA: Brain-Inspired Triangular Adaptive Low-Rank Adaptation for Parameter-Efficient Fine-Tuning</x:v>
      </x:c>
      <x:c r="I116" s="17" t="str">
        <x:v>Yao Liang; Yuwei Wang; Yi Zeng</x:v>
      </x:c>
      <x:c r="J116" s="22" t="n">
        <x:v>2025</x:v>
      </x:c>
      <x:c r="K116" s="27" t="str">
        <x:v>The fine-tuning of Large Language Models (LLMs) is pivotal for achieving optimal performance across diverse downstream tasks. However, while full fine-tuning delivers superior results, it entails significant computational and resource costs. Parameter-Efficient Fine-Tuning (PEFT) methods, such as LoRA, address these challenges by reducing the number of trainable parameters, but they often struggle with rank adjustment efficiency and task-specific adaptability. We propose Triangular Adaptive Low-Rank Adaptation (TriAdaptLoRA), a novel PEFT framework inspired by neuroscience principles, which dynamically optimizes the allocation of trainable parameters. TriAdaptLoRA introduces three key innovations: 1) a triangular split of transformation matrices into lower and upper triangular components to maximize parameter utilization, 2) a parameter importance metric based on normalized Frobenius norms for efficient adaptation, and 3) an adaptive rank-growth strategy governed by dynamic thresholds, allowing flexible parameter allocation across training steps. Experiments conducted on a variety of natural language understanding and generation tasks demonstrate that TriAdaptLoRA consistently outperforms existing PEFT methods. It achieves superior performance, enhanced stability, and reduced computational overhead, particularly under linear threshold-driven rank growth. These results highlight its efficacy as a scalable and resource-efficient solution for fine-tuning LLMs.</x:v>
      </x:c>
      <x:c r="L116" s="17" t="str">
        <x:v>http://arxiv.org/abs/2501.08008v1</x:v>
      </x:c>
      <x:c r="M116" s="23" t="n">
        <x:v>0.8180562333325929</x:v>
      </x:c>
      <x:c r="N116" s="17" t="str">
        <x:v>qwen3-rerank-no-instruct-20260727-125006-results.jsonl</x:v>
      </x:c>
      <x:c r="O116" s="24" t="str">
        <x:v>2</x:v>
      </x:c>
      <x:c r="P116" s="28" t="str">
        <x:v>自适应低秩LoRA直接研究参数缩减与性能保持。</x:v>
      </x:c>
      <x:c r="Q116" s="25" t="str"/>
      <x:c r="R116" s="24" t="str">
        <x:f>IF(Q116&lt;&gt;"",Q116,O116)</x:f>
        <x:v>2</x:v>
      </x:c>
      <x:c r="S116" s="29" t="str"/>
    </x:row>
    <x:row r="117" ht="54" customHeight="1">
      <x:c r="A117" s="17" t="str">
        <x:v>csq006-r16</x:v>
      </x:c>
      <x:c r="B117" s="17" t="str">
        <x:v>csq006</x:v>
      </x:c>
      <x:c r="C117" s="17" t="str">
        <x:v>machine_learning</x:v>
      </x:c>
      <x:c r="D117" s="17" t="str">
        <x:v>parameter_efficient_finetuning</x:v>
      </x:c>
      <x:c r="E117" s="27" t="str">
        <x:v>What are the main parameter-efficient fine-tuning methods, and how do they reduce trainable parameters while preserving downstream performance?</x:v>
      </x:c>
      <x:c r="F117" s="22" t="n">
        <x:v>16</x:v>
      </x:c>
      <x:c r="G117" s="17" t="str">
        <x:v>arXiv:2401.16137</x:v>
      </x:c>
      <x:c r="H117" s="27" t="str">
        <x:v>X-PEFT: eXtremely Parameter-Efficient Fine-Tuning for Extreme Multi-Profile Scenarios</x:v>
      </x:c>
      <x:c r="I117" s="17" t="str">
        <x:v>Namju Kwak; Taesup Kim</x:v>
      </x:c>
      <x:c r="J117" s="22" t="n">
        <x:v>2024</x:v>
      </x:c>
      <x:c r="K117" s="27" t="str">
        <x:v>Parameter-efficient fine-tuning (PEFT) techniques, such as adapter tuning, aim to fine-tune a pre-trained language model (PLM) using a minimal number of parameters for a specific task or profile. Although adapter tuning provides increased parameter efficiency compared to full-model fine-tuning, it introduces a small set of additional parameters attached to a PLM for each profile. This can become problematic in practical applications with multiple profiles, particularly when a significant increase in the number of profiles linearly boosts the total number of additional parameters. To mitigate this issue, we introduce X-PEFT, a novel PEFT method that leverages a multitude of given adapters by fine-tuning an extremely small set of compact tensors for a new profile, which serve as binary masks to adaptively select the given adapters. To efficiently validate our proposed method, we implement it using a large number of trained or untrained (random) adapters. We evaluate the performance of X-PEFT through LaMP and GLUE tasks and demonstrate that it either matches or surpasses the effectiveness of conventional adapter tuning, despite reducing the memory requirements per profile by a factor of 10,000 compared to it.</x:v>
      </x:c>
      <x:c r="L117" s="17" t="str">
        <x:v>http://arxiv.org/abs/2401.16137v1</x:v>
      </x:c>
      <x:c r="M117" s="23" t="n">
        <x:v>0.7881036904915044</x:v>
      </x:c>
      <x:c r="N117" s="17" t="str">
        <x:v>qwen3-rerank-no-instruct-20260727-125006-results.jsonl</x:v>
      </x:c>
      <x:c r="O117" s="24" t="str">
        <x:v>2</x:v>
      </x:c>
      <x:c r="P117" s="28" t="str">
        <x:v>用紧凑二值掩码复用适配器，大幅降低每配置参数。</x:v>
      </x:c>
      <x:c r="Q117" s="25" t="str"/>
      <x:c r="R117" s="24" t="str">
        <x:f>IF(Q117&lt;&gt;"",Q117,O117)</x:f>
        <x:v>2</x:v>
      </x:c>
      <x:c r="S117" s="29" t="str"/>
    </x:row>
    <x:row r="118" ht="54" customHeight="1">
      <x:c r="A118" s="17" t="str">
        <x:v>csq006-r17</x:v>
      </x:c>
      <x:c r="B118" s="17" t="str">
        <x:v>csq006</x:v>
      </x:c>
      <x:c r="C118" s="17" t="str">
        <x:v>machine_learning</x:v>
      </x:c>
      <x:c r="D118" s="17" t="str">
        <x:v>parameter_efficient_finetuning</x:v>
      </x:c>
      <x:c r="E118" s="27" t="str">
        <x:v>What are the main parameter-efficient fine-tuning methods, and how do they reduce trainable parameters while preserving downstream performance?</x:v>
      </x:c>
      <x:c r="F118" s="22" t="n">
        <x:v>17</x:v>
      </x:c>
      <x:c r="G118" s="17" t="str">
        <x:v>arXiv:2506.11042</x:v>
      </x:c>
      <x:c r="H118" s="27" t="str">
        <x:v>GenFT: A Generative Parameter-Efficient Fine-Tuning Method for Pretrained Foundation Models</x:v>
      </x:c>
      <x:c r="I118" s="17" t="str">
        <x:v>Guangning Xu; Baoquan Zhang; Michael. K. Ng</x:v>
      </x:c>
      <x:c r="J118" s="22" t="n">
        <x:v>2025</x:v>
      </x:c>
      <x:c r="K118" s="27" t="str">
        <x:v>Parameter-efficient fine-tuning (PEFT) has emerged as a resource-efficient strategy for adapting Pretrained Foundation Models (PFMs) by learning a small number of task-specific updates $ΔW$. Existing methods often learn $ΔW$ largely independently of pretrained weights $W_0$, or exploit $W_0$ mainly through initialization or simple reparameterization. To further leverage the structural information encoded in $W_0$, we propose Generative Parameter-Efficient Fine-Tuning (GenFT), a $W_0$-conditioned PEFT method that uses a deterministic weight generator to produce task-specific updates. Specifically, GenFT performs row and column transformations with nonlinear activations to extract structured patterns from $W_0$, and introduces a shared-specific decomposition to balance cross-layer information reuse and layer-specific flexibility. GenFT is simple and parameter-efficient, achieving competitive or better average performance across NLP and CV benchmarks. We further provide a pilot study on LLaMA-7B to examine its feasibility for generative models. The code is available at GitHub https://github.com/xuguangning1218/GenFT.</x:v>
      </x:c>
      <x:c r="L118" s="17" t="str">
        <x:v>http://arxiv.org/abs/2506.11042v2</x:v>
      </x:c>
      <x:c r="M118" s="23" t="n">
        <x:v>0.7833423649477679</x:v>
      </x:c>
      <x:c r="N118" s="17" t="str">
        <x:v>qwen3-rerank-no-instruct-20260727-125006-results.jsonl</x:v>
      </x:c>
      <x:c r="O118" s="24" t="str">
        <x:v>2</x:v>
      </x:c>
      <x:c r="P118" s="28" t="str">
        <x:v>提出生成式PEFT方法以少量可训练参数适配基础模型。</x:v>
      </x:c>
      <x:c r="Q118" s="25" t="str"/>
      <x:c r="R118" s="24" t="str">
        <x:f>IF(Q118&lt;&gt;"",Q118,O118)</x:f>
        <x:v>2</x:v>
      </x:c>
      <x:c r="S118" s="29" t="str"/>
    </x:row>
    <x:row r="119" ht="54" customHeight="1">
      <x:c r="A119" s="17" t="str">
        <x:v>csq006-r18</x:v>
      </x:c>
      <x:c r="B119" s="17" t="str">
        <x:v>csq006</x:v>
      </x:c>
      <x:c r="C119" s="17" t="str">
        <x:v>machine_learning</x:v>
      </x:c>
      <x:c r="D119" s="17" t="str">
        <x:v>parameter_efficient_finetuning</x:v>
      </x:c>
      <x:c r="E119" s="27" t="str">
        <x:v>What are the main parameter-efficient fine-tuning methods, and how do they reduce trainable parameters while preserving downstream performance?</x:v>
      </x:c>
      <x:c r="F119" s="22" t="n">
        <x:v>18</x:v>
      </x:c>
      <x:c r="G119" s="17" t="str">
        <x:v>arXiv:2409.16434</x:v>
      </x:c>
      <x:c r="H119" s="27" t="str">
        <x:v>Lessons and Insights from a Unifying Study of Parameter-Efficient Fine-Tuning (PEFT) in Visual Recognition</x:v>
      </x:c>
      <x:c r="I119" s="17" t="str">
        <x:v>Zheda Mai; Ping Zhang; Cheng-Hao Tu; Hong-You Chen; Li Zhang; Wei-Lun Chao</x:v>
      </x:c>
      <x:c r="J119" s="22" t="n">
        <x:v>2024</x:v>
      </x:c>
      <x:c r="K119" s="27" t="str">
        <x:v>Parameter-efficient fine-tuning (PEFT) has attracted significant attention due to the growth of pre-trained model sizes and the need to fine-tune (FT) them for superior downstream performance. Despite a surge in new PEFT methods, a systematic study to understand their performance and suitable application scenarios is lacking, leaving questions like "when to apply PEFT" and "which method to use" largely unanswered, especially in visual recognition. In this paper, we conduct a unifying empirical study of representative PEFT methods with Vision Transformers. We systematically tune their hyperparameters to fairly compare their accuracy on downstream tasks. Our study offers a practical user guide and unveils several new insights. First, if tuned carefully, different PEFT methods achieve similar accuracy in the low-shot benchmark VTAB-1K. This includes simple approaches like FT the bias terms that were reported inferior. Second, despite similar accuracy, we find that PEFT methods make different mistakes and high-confidence predictions, likely due to their different inductive biases. Such an inconsistency (or complementarity) opens up the opportunity for ensemble methods, and we make preliminary attempts at this. Third, going beyond the commonly used low-shot tasks, we find that PEFT is also useful in many-shot regimes, achieving comparable or better accuracy than full FT while using significantly fewer parameters. Lastly, we investigate PEFT's ability to preserve a pre-trained model's robustness to distribution shifts (e.g., CLIP). Perhaps not surprisingly, PEFT approaches outperform full FT alone. However, with weight-space ensembles, full FT can better balance target distribution and distribution shift performance, suggesting a future research direction for robust PEFT.</x:v>
      </x:c>
      <x:c r="L119" s="17" t="str">
        <x:v>http://arxiv.org/abs/2409.16434v5</x:v>
      </x:c>
      <x:c r="M119" s="23" t="n">
        <x:v>0.771075340179024</x:v>
      </x:c>
      <x:c r="N119" s="17" t="str">
        <x:v>qwen3-rerank-no-instruct-20260727-125006-results.jsonl</x:v>
      </x:c>
      <x:c r="O119" s="24" t="str">
        <x:v>2</x:v>
      </x:c>
      <x:c r="P119" s="28" t="str">
        <x:v>统一比较视觉PEFT的参数效率、准确率和分布鲁棒性。</x:v>
      </x:c>
      <x:c r="Q119" s="25" t="str"/>
      <x:c r="R119" s="24" t="str">
        <x:f>IF(Q119&lt;&gt;"",Q119,O119)</x:f>
        <x:v>2</x:v>
      </x:c>
      <x:c r="S119" s="29" t="str"/>
    </x:row>
    <x:row r="120" ht="54" customHeight="1">
      <x:c r="A120" s="17" t="str">
        <x:v>csq006-r19</x:v>
      </x:c>
      <x:c r="B120" s="17" t="str">
        <x:v>csq006</x:v>
      </x:c>
      <x:c r="C120" s="17" t="str">
        <x:v>machine_learning</x:v>
      </x:c>
      <x:c r="D120" s="17" t="str">
        <x:v>parameter_efficient_finetuning</x:v>
      </x:c>
      <x:c r="E120" s="27" t="str">
        <x:v>What are the main parameter-efficient fine-tuning methods, and how do they reduce trainable parameters while preserving downstream performance?</x:v>
      </x:c>
      <x:c r="F120" s="22" t="n">
        <x:v>19</x:v>
      </x:c>
      <x:c r="G120" s="17" t="str">
        <x:v>arXiv:2409.17834</x:v>
      </x:c>
      <x:c r="H120" s="27" t="str">
        <x:v>PEDRO: Parameter-Efficient Fine-tuning with Prompt DEpenDent Representation MOdification</x:v>
      </x:c>
      <x:c r="I120" s="17" t="str">
        <x:v>Tianfang Xie; Tianjing Li; Wei Zhu; Wei Han; Yi Zhao</x:v>
      </x:c>
      <x:c r="J120" s="22" t="n">
        <x:v>2024</x:v>
      </x:c>
      <x:c r="K120" s="27" t="str">
        <x:v>Due to their substantial sizes, large language models (LLMs) are typically deployed within a single-backbone multi-tenant framework. In this setup, a single instance of an LLM backbone must cater to multiple users or tasks through the application of various parameter-efficient fine-tuning (PEFT) models. Despite the availability of numerous effective PEFT techniques such as LoRA, there remains a need for a PEFT approach that achieves both high efficiency during inference and competitive performance on downstream tasks. In this research, we introduce a new and straightforward PEFT methodology named \underline{P}rompt D\underline{E}pen\underline{D}ent \underline{R}epresentation M\underline{O}dification (PEDRO). The proposed method involves integrating a lightweight vector generator into each Transformer layer, which generates vectors contingent upon the input prompts. These vectors then modify the hidden representations created by the LLM through a dot product operation, thereby influencing the semantic output and generated content of the model. Extensive experimentation across a variety of tasks indicates that: (a) PEDRO surpasses recent PEFT benchmarks when using a similar number of tunable parameters. (b) Under the single-backbone multi-tenant deployment model, PEDRO exhibits superior efficiency compared to LoRA, indicating significant industrial potential.</x:v>
      </x:c>
      <x:c r="L120" s="17" t="str">
        <x:v>http://arxiv.org/abs/2409.17834v1</x:v>
      </x:c>
      <x:c r="M120" s="23" t="n">
        <x:v>0.7615671145495861</x:v>
      </x:c>
      <x:c r="N120" s="17" t="str">
        <x:v>qwen3-rerank-no-instruct-20260727-125006-results.jsonl</x:v>
      </x:c>
      <x:c r="O120" s="24" t="str">
        <x:v>2</x:v>
      </x:c>
      <x:c r="P120" s="28" t="str">
        <x:v>提示依赖表征修改是针对输入自适应的PEFT方法。</x:v>
      </x:c>
      <x:c r="Q120" s="25" t="str"/>
      <x:c r="R120" s="24" t="str">
        <x:f>IF(Q120&lt;&gt;"",Q120,O120)</x:f>
        <x:v>2</x:v>
      </x:c>
      <x:c r="S120" s="29" t="str"/>
    </x:row>
    <x:row r="121" ht="54" customHeight="1">
      <x:c r="A121" s="17" t="str">
        <x:v>csq006-r20</x:v>
      </x:c>
      <x:c r="B121" s="17" t="str">
        <x:v>csq006</x:v>
      </x:c>
      <x:c r="C121" s="17" t="str">
        <x:v>machine_learning</x:v>
      </x:c>
      <x:c r="D121" s="17" t="str">
        <x:v>parameter_efficient_finetuning</x:v>
      </x:c>
      <x:c r="E121" s="27" t="str">
        <x:v>What are the main parameter-efficient fine-tuning methods, and how do they reduce trainable parameters while preserving downstream performance?</x:v>
      </x:c>
      <x:c r="F121" s="22" t="n">
        <x:v>20</x:v>
      </x:c>
      <x:c r="G121" s="17" t="str">
        <x:v>arXiv:2509.22020</x:v>
      </x:c>
      <x:c r="H121" s="27" t="str">
        <x:v>Task-Adaptive Parameter-Efficient Fine-Tuning for Weather Foundation Models</x:v>
      </x:c>
      <x:c r="I121" s="17" t="str">
        <x:v>Shilei Cao; Hehai Lin; Jiashun Cheng; Yang Liu; Guowen Li; Xuehe Wang; Juepeng Zheng; Haoyuan Liang; Meng Jin; Chengwei Qin; Hong Cheng; Haohuan Fu</x:v>
      </x:c>
      <x:c r="J121" s="22" t="n">
        <x:v>2025</x:v>
      </x:c>
      <x:c r="K121" s="27" t="str">
        <x:v>While recent advances in machine learning have equipped Weather Foundation Models (WFMs) with substantial generalization capabilities across diverse downstream tasks, the escalating computational requirements associated with their expanding scale increasingly hinder practical deployment. Current Parameter-Efficient Fine-Tuning (PEFT) methods, designed for vision or language tasks, fail to address the unique challenges of weather downstream tasks, such as variable heterogeneity, resolution diversity, and spatiotemporal coverage variations, leading to suboptimal performance when applied to WFMs. To bridge this gap, we introduce WeatherPEFT, a novel PEFT framework for WFMs incorporating two synergistic innovations. First, during the forward pass, Task-Adaptive Dynamic Prompting (TADP) dynamically injects the embedding weights within the encoder to the input tokens of the pre-trained backbone via internal and external pattern extraction, enabling context-aware feature recalibration for specific downstream tasks. Furthermore, during backpropagation, Stochastic Fisher-Guided Adaptive Selection (SFAS) not only leverages Fisher information to identify and update the most task-critical parameters, thereby preserving invariant pre-trained knowledge, but also introduces randomness to stabilize the selection. We demonstrate the effectiveness and efficiency of WeatherPEFT on three downstream tasks, where existing PEFT methods show significant gaps versus Full-Tuning, and WeatherPEFT achieves performance parity with Full-Tuning using fewer trainable parameters. The code of this work is available at https://github.com/ShileiCao/WeatherPEFT.</x:v>
      </x:c>
      <x:c r="L121" s="17" t="str">
        <x:v>http://arxiv.org/abs/2509.22020v2</x:v>
      </x:c>
      <x:c r="M121" s="23" t="n">
        <x:v>0.7469156953262456</x:v>
      </x:c>
      <x:c r="N121" s="17" t="str">
        <x:v>qwen3-rerank-no-instruct-20260727-125006-results.jsonl</x:v>
      </x:c>
      <x:c r="O121" s="24" t="str">
        <x:v>2</x:v>
      </x:c>
      <x:c r="P121" s="28" t="str">
        <x:v>动态提示和Fisher参数选择以少参数达到全量调优表现。</x:v>
      </x:c>
      <x:c r="Q121" s="25" t="str"/>
      <x:c r="R121" s="24" t="str">
        <x:f>IF(Q121&lt;&gt;"",Q121,O121)</x:f>
        <x:v>2</x:v>
      </x:c>
      <x:c r="S121" s="29" t="str"/>
    </x:row>
    <x:row r="122" ht="54" customHeight="1">
      <x:c r="A122" s="17" t="str">
        <x:v>csq007-r01</x:v>
      </x:c>
      <x:c r="B122" s="17" t="str">
        <x:v>csq007</x:v>
      </x:c>
      <x:c r="C122" s="17" t="str">
        <x:v>machine_learning</x:v>
      </x:c>
      <x:c r="D122" s="17" t="str">
        <x:v>federated_optimization</x:v>
      </x:c>
      <x:c r="E122" s="27" t="str">
        <x:v>How do major federated learning optimization methods address client heterogeneity and non-IID data, and how do their assumptions differ?</x:v>
      </x:c>
      <x:c r="F122" s="22" t="n">
        <x:v>1</x:v>
      </x:c>
      <x:c r="G122" s="17" t="str">
        <x:v>arXiv:2405.00579</x:v>
      </x:c>
      <x:c r="H122" s="27" t="str">
        <x:v>LEAP: Optimization Hierarchical Federated Learning on Non-IID Data with Coalition Formation Game</x:v>
      </x:c>
      <x:c r="I122" s="17" t="str">
        <x:v>Jianfeng Lu; Yue Chen; Shuqin Cao; Longbiao Chen; Wei Wang; Yun Xin</x:v>
      </x:c>
      <x:c r="J122" s="22" t="n">
        <x:v>2024</x:v>
      </x:c>
      <x:c r="K122" s="27" t="str">
        <x:v>Although Hierarchical Federated Learning (HFL) utilizes edge servers (ESs) to alleviate communication burdens, its model performance will be degraded by non-IID data and limited communication resources. Current works often assume that data is uniformly distributed, which however contradicts the heterogeneity of IoT. Solutions of additional model training to check the data distribution inevitably increases computational costs and the risk of privacy leakage. The challenges in solving these issues are how to reduce the impact of non-IID data without involving raw data and how to rationalize the communication resource allocation for addressing straggler problem. To tackle these challenges, we propose a novel optimization method based on coaLition formation gamE and grAdient Projection, called LEAP. Specifically, we combine edge data distribution with coalition formation game innovatively to adjust the correlations between clients and ESs dynamically, which ensures optimal correlations. We further capture the client heterogeneity to achieve the rational bandwidth allocation from coalition perception and determine the optimal transmission power within specified delay constraints at client level. Experimental results on four real datasets show that LEAP is able to achieve 20.62% improvement in model accuracy compared to the state-of-the-art baselines. Moreover, LEAP effectively reduce transmission energy consumption by at least about 2.24 times.</x:v>
      </x:c>
      <x:c r="L122" s="17" t="str">
        <x:v>http://arxiv.org/abs/2405.00579v1</x:v>
      </x:c>
      <x:c r="M122" s="23" t="n">
        <x:v>0.8553490424712231</x:v>
      </x:c>
      <x:c r="N122" s="17" t="str">
        <x:v>qwen3-rerank-no-instruct-20260727-125006-results.jsonl</x:v>
      </x:c>
      <x:c r="O122" s="24" t="str">
        <x:v>2</x:v>
      </x:c>
      <x:c r="P122" s="28" t="str">
        <x:v>用联盟形成博弈优化层次联邦学习的非IID训练。</x:v>
      </x:c>
      <x:c r="Q122" s="25" t="str"/>
      <x:c r="R122" s="24" t="str">
        <x:f>IF(Q122&lt;&gt;"",Q122,O122)</x:f>
        <x:v>2</x:v>
      </x:c>
      <x:c r="S122" s="29" t="str"/>
    </x:row>
    <x:row r="123" ht="54" customHeight="1">
      <x:c r="A123" s="17" t="str">
        <x:v>csq007-r02</x:v>
      </x:c>
      <x:c r="B123" s="17" t="str">
        <x:v>csq007</x:v>
      </x:c>
      <x:c r="C123" s="17" t="str">
        <x:v>machine_learning</x:v>
      </x:c>
      <x:c r="D123" s="17" t="str">
        <x:v>federated_optimization</x:v>
      </x:c>
      <x:c r="E123" s="27" t="str">
        <x:v>How do major federated learning optimization methods address client heterogeneity and non-IID data, and how do their assumptions differ?</x:v>
      </x:c>
      <x:c r="F123" s="22" t="n">
        <x:v>2</x:v>
      </x:c>
      <x:c r="G123" s="17" t="str">
        <x:v>arXiv:2509.22507</x:v>
      </x:c>
      <x:c r="H123" s="27" t="str">
        <x:v>Adaptive Dual-Mode Distillation with Incentive Schemes for Scalable, Heterogeneous Federated Learning on Non-IID Data</x:v>
      </x:c>
      <x:c r="I123" s="17" t="str">
        <x:v>Zahid Iqbal</x:v>
      </x:c>
      <x:c r="J123" s="22" t="n">
        <x:v>2025</x:v>
      </x:c>
      <x:c r="K123" s="27" t="str">
        <x:v>Federated Learning (FL) has emerged as a promising decentralized learning (DL) approach that enables the use of distributed data without compromising user privacy. However, FL poses several key challenges. First, it is frequently assumed that every client can train the same machine learning models, however, not all clients are able to meet this assumption because of differences in their business needs and computational resources. Second, statistical heterogeneity (a.k.a. non-IID data) poses a major challenge in FL, which can lead to lower global model performance. Third, while addressing these challenges, there is a need for a cost-effective incentive mechanism to encourage clients to participate in FL training. In response to these challenges, we propose several methodologies: DL-SH, which facilitates efficient, privacy-preserving, and communication-efficient learning in the context of statistical heterogeneity; DL-MH, designed to manage fully heterogeneous models while tackling statistical disparities; and I-DL-MH, an incentive-based extension of DL-MH that promotes client engagement in federated learning training by providing incentives within this complex federated learning framework. Comprehensive experiments were carried out to assess the performance and scalability of the proposed approaches across a range of complex experimental settings. This involved utilizing various model architectures, in diverse data distributions, including IID and several non-IID scenarios, as well as multiple datasets. Experimental results demonstrate that the proposed approaches significantly enhance accuracy and decrease communication costs while effectively addressing statistical heterogeneity and model heterogeneity in comparison to existing state-of-the-art approaches and baselines, with DL-SH improving global model accuracy by 153%, and I-DL-MH achieving a 225% improvement under non-IID conditions.</x:v>
      </x:c>
      <x:c r="L123" s="17" t="str">
        <x:v>http://arxiv.org/abs/2509.22507v1</x:v>
      </x:c>
      <x:c r="M123" s="23" t="n">
        <x:v>0.8087199799060397</x:v>
      </x:c>
      <x:c r="N123" s="17" t="str">
        <x:v>qwen3-rerank-no-instruct-20260727-125006-results.jsonl</x:v>
      </x:c>
      <x:c r="O123" s="24" t="str">
        <x:v>2</x:v>
      </x:c>
      <x:c r="P123" s="28" t="str">
        <x:v>自适应双模蒸馏和激励处理异质客户端非IID数据。</x:v>
      </x:c>
      <x:c r="Q123" s="25" t="str"/>
      <x:c r="R123" s="24" t="str">
        <x:f>IF(Q123&lt;&gt;"",Q123,O123)</x:f>
        <x:v>2</x:v>
      </x:c>
      <x:c r="S123" s="29" t="str"/>
    </x:row>
    <x:row r="124" ht="54" customHeight="1">
      <x:c r="A124" s="17" t="str">
        <x:v>csq007-r03</x:v>
      </x:c>
      <x:c r="B124" s="17" t="str">
        <x:v>csq007</x:v>
      </x:c>
      <x:c r="C124" s="17" t="str">
        <x:v>machine_learning</x:v>
      </x:c>
      <x:c r="D124" s="17" t="str">
        <x:v>federated_optimization</x:v>
      </x:c>
      <x:c r="E124" s="27" t="str">
        <x:v>How do major federated learning optimization methods address client heterogeneity and non-IID data, and how do their assumptions differ?</x:v>
      </x:c>
      <x:c r="F124" s="22" t="n">
        <x:v>3</x:v>
      </x:c>
      <x:c r="G124" s="17" t="str">
        <x:v>arXiv:2505.19605</x:v>
      </x:c>
      <x:c r="H124" s="27" t="str">
        <x:v>Kuramoto-FedAvg: Using Synchronization Dynamics to Improve Federated Learning Optimization under Statistical Heterogeneity</x:v>
      </x:c>
      <x:c r="I124" s="17" t="str">
        <x:v>Aggrey Muhebwa; Khotso Selialia; Fatima Anwar; Khalid K. Osman</x:v>
      </x:c>
      <x:c r="J124" s="22" t="n">
        <x:v>2025</x:v>
      </x:c>
      <x:c r="K124" s="27" t="str">
        <x:v>Federated learning on heterogeneous (non-IID) client data experiences slow convergence due to client drift. To address this challenge, we propose Kuramoto-FedAvg, a federated optimization algorithm that reframes the weight aggregation step as a synchronization problem inspired by the Kuramoto model of coupled oscillators. The server dynamically weighs each client's update based on its phase alignment with the global update, amplifying contributions that align with the global gradient direction while minimizing the impact of updates that are out of phase. We theoretically prove that this synchronization mechanism reduces client drift, providing a tighter convergence bound compared to the standard FedAvg under heterogeneous data distributions. Empirical validation supports our theoretical findings, showing that Kuramoto-FedAvg significantly accelerates convergence and improves accuracy across multiple benchmark datasets. Our work highlights the potential of coordination and synchronization-based strategies for managing gradient diversity and accelerating federated optimization in realistic non-IID settings.</x:v>
      </x:c>
      <x:c r="L124" s="17" t="str">
        <x:v>http://arxiv.org/abs/2505.19605v1</x:v>
      </x:c>
      <x:c r="M124" s="23" t="n">
        <x:v>0.7923949430617698</x:v>
      </x:c>
      <x:c r="N124" s="17" t="str">
        <x:v>qwen3-rerank-no-instruct-20260727-125006-results.jsonl</x:v>
      </x:c>
      <x:c r="O124" s="24" t="str">
        <x:v>2</x:v>
      </x:c>
      <x:c r="P124" s="28" t="str">
        <x:v>以同步相位加权更新缓解统计异质性的客户端漂移。</x:v>
      </x:c>
      <x:c r="Q124" s="25" t="str"/>
      <x:c r="R124" s="24" t="str">
        <x:f>IF(Q124&lt;&gt;"",Q124,O124)</x:f>
        <x:v>2</x:v>
      </x:c>
      <x:c r="S124" s="29" t="str"/>
    </x:row>
    <x:row r="125" ht="54" customHeight="1">
      <x:c r="A125" s="17" t="str">
        <x:v>csq007-r04</x:v>
      </x:c>
      <x:c r="B125" s="17" t="str">
        <x:v>csq007</x:v>
      </x:c>
      <x:c r="C125" s="17" t="str">
        <x:v>machine_learning</x:v>
      </x:c>
      <x:c r="D125" s="17" t="str">
        <x:v>federated_optimization</x:v>
      </x:c>
      <x:c r="E125" s="27" t="str">
        <x:v>How do major federated learning optimization methods address client heterogeneity and non-IID data, and how do their assumptions differ?</x:v>
      </x:c>
      <x:c r="F125" s="22" t="n">
        <x:v>4</x:v>
      </x:c>
      <x:c r="G125" s="17" t="str">
        <x:v>arXiv:2110.13388</x:v>
      </x:c>
      <x:c r="H125" s="27" t="str">
        <x:v>Semi-Supervised Federated Learning with non-IID Data: Algorithm and System Design</x:v>
      </x:c>
      <x:c r="I125" s="17" t="str">
        <x:v>Zhe Zhang; Shiyao Ma; Jiangtian Nie; Yi Wu; Qiang Yan; Xiaoke Xu; Dusit Niyato</x:v>
      </x:c>
      <x:c r="J125" s="22" t="n">
        <x:v>2021</x:v>
      </x:c>
      <x:c r="K125" s="27" t="str">
        <x:v>Federated Learning (FL) allows edge devices (or clients) to keep data locally while simultaneously training a shared high-quality global model. However, current research is generally based on an assumption that the training data of local clients have ground-truth. Furthermore, FL faces the challenge of statistical heterogeneity, i.e., the distribution of the client's local training data is non-independent identically distributed (non-IID). In this paper, we present a robust semi-supervised FL system design, where the system aims to solve the problem of data availability and non-IID in FL. In particular, this paper focuses on studying the labels-at-server scenario where there is only a limited amount of labeled data on the server and only unlabeled data on the clients. In our system design, we propose a novel method to tackle the problems, which we refer to as Federated Mixing (FedMix). FedMix improves the naive combination of FL and semi-supervised learning methods and designs parameter decomposition strategies for disjointed learning of labeled, unlabeled data, and global models. To alleviate the non-IID problem, we propose a novel aggregation rule based on the frequency of the client's participation in training, namely the FedFreq aggregation algorithm, which can adjust the weight of the corresponding local model according to this frequency. Extensive evaluations conducted on CIFAR-10 dataset show that the performance of our proposed method is significantly better than those of the current baseline. It is worth noting that our system is robust to different non-IID levels of client data.</x:v>
      </x:c>
      <x:c r="L125" s="17" t="str">
        <x:v>http://arxiv.org/abs/2110.13388v1</x:v>
      </x:c>
      <x:c r="M125" s="23" t="n">
        <x:v>0.7885298291725671</x:v>
      </x:c>
      <x:c r="N125" s="17" t="str">
        <x:v>qwen3-rerank-no-instruct-20260727-125006-results.jsonl</x:v>
      </x:c>
      <x:c r="O125" s="24" t="str">
        <x:v>2</x:v>
      </x:c>
      <x:c r="P125" s="28" t="str">
        <x:v>直接研究半监督联邦在非IID数据下的算法与系统。</x:v>
      </x:c>
      <x:c r="Q125" s="25" t="str"/>
      <x:c r="R125" s="24" t="str">
        <x:f>IF(Q125&lt;&gt;"",Q125,O125)</x:f>
        <x:v>2</x:v>
      </x:c>
      <x:c r="S125" s="29" t="str"/>
    </x:row>
    <x:row r="126" ht="54" customHeight="1">
      <x:c r="A126" s="17" t="str">
        <x:v>csq007-r05</x:v>
      </x:c>
      <x:c r="B126" s="17" t="str">
        <x:v>csq007</x:v>
      </x:c>
      <x:c r="C126" s="17" t="str">
        <x:v>machine_learning</x:v>
      </x:c>
      <x:c r="D126" s="17" t="str">
        <x:v>federated_optimization</x:v>
      </x:c>
      <x:c r="E126" s="27" t="str">
        <x:v>How do major federated learning optimization methods address client heterogeneity and non-IID data, and how do their assumptions differ?</x:v>
      </x:c>
      <x:c r="F126" s="22" t="n">
        <x:v>5</x:v>
      </x:c>
      <x:c r="G126" s="17" t="str">
        <x:v>arXiv:2106.09433</x:v>
      </x:c>
      <x:c r="H126" s="27" t="str">
        <x:v>Towards Heterogeneous Clients with Elastic Federated Learning</x:v>
      </x:c>
      <x:c r="I126" s="17" t="str">
        <x:v>Zichen Ma; Yu Lu; Zihan Lu; Wenye Li; Jinfeng Yi; Shuguang Cui</x:v>
      </x:c>
      <x:c r="J126" s="22" t="n">
        <x:v>2021</x:v>
      </x:c>
      <x:c r="K126" s="27" t="str">
        <x:v>Federated learning involves training machine learning models over devices or data silos, such as edge processors or data warehouses, while keeping the data local. Training in heterogeneous and potentially massive networks introduces bias into the system, which is originated from the non-IID data and the low participation rate in reality. In this paper, we propose Elastic Federated Learning (EFL), an unbiased algorithm to tackle the heterogeneity in the system, which makes the most informative parameters less volatile during training, and utilizes the incomplete local updates. It is an efficient and effective algorithm that compresses both upstream and downstream communications. Theoretically, the algorithm has convergence guarantee when training on the non-IID data at the low participation rate. Empirical experiments corroborate the competitive performance of EFL framework on the robustness and the efficiency.</x:v>
      </x:c>
      <x:c r="L126" s="17" t="str">
        <x:v>http://arxiv.org/abs/2106.09433v1</x:v>
      </x:c>
      <x:c r="M126" s="23" t="n">
        <x:v>0.7544162433652399</x:v>
      </x:c>
      <x:c r="N126" s="17" t="str">
        <x:v>qwen3-rerank-no-instruct-20260727-125006-results.jsonl</x:v>
      </x:c>
      <x:c r="O126" s="24" t="str">
        <x:v>2</x:v>
      </x:c>
      <x:c r="P126" s="28" t="str">
        <x:v>弹性联邦学习针对不同客户端模型或资源能力。</x:v>
      </x:c>
      <x:c r="Q126" s="25" t="str"/>
      <x:c r="R126" s="24" t="str">
        <x:f>IF(Q126&lt;&gt;"",Q126,O126)</x:f>
        <x:v>2</x:v>
      </x:c>
      <x:c r="S126" s="29" t="str"/>
    </x:row>
    <x:row r="127" ht="54" customHeight="1">
      <x:c r="A127" s="17" t="str">
        <x:v>csq007-r06</x:v>
      </x:c>
      <x:c r="B127" s="17" t="str">
        <x:v>csq007</x:v>
      </x:c>
      <x:c r="C127" s="17" t="str">
        <x:v>machine_learning</x:v>
      </x:c>
      <x:c r="D127" s="17" t="str">
        <x:v>federated_optimization</x:v>
      </x:c>
      <x:c r="E127" s="27" t="str">
        <x:v>How do major federated learning optimization methods address client heterogeneity and non-IID data, and how do their assumptions differ?</x:v>
      </x:c>
      <x:c r="F127" s="22" t="n">
        <x:v>6</x:v>
      </x:c>
      <x:c r="G127" s="17" t="str">
        <x:v>arXiv:2412.02781</x:v>
      </x:c>
      <x:c r="H127" s="27" t="str">
        <x:v>Methods with Local Steps and Random Reshuffling for Generally Smooth Non-Convex Federated Optimization</x:v>
      </x:c>
      <x:c r="I127" s="17" t="str">
        <x:v>Yury Demidovich; Petr Ostroukhov; Grigory Malinovsky; Samuel Horváth; Martin Takáč; Peter Richtárik; Eduard Gorbunov</x:v>
      </x:c>
      <x:c r="J127" s="22" t="n">
        <x:v>2024</x:v>
      </x:c>
      <x:c r="K127" s="27" t="str">
        <x:v>Non-convex Machine Learning problems typically do not adhere to the standard smoothness assumption. Based on empirical findings, Zhang et al. (2020b) proposed a more realistic generalized $(L_0, L_1)$-smoothness assumption, though it remains largely unexplored. Many existing algorithms designed for standard smooth problems need to be revised. However, in the context of Federated Learning, only a few works address this problem but rely on additional limiting assumptions. In this paper, we address this gap in the literature: we propose and analyze new methods with local steps, partial participation of clients, and Random Reshuffling without extra restrictive assumptions beyond generalized smoothness. The proposed methods are based on the proper interplay between clients' and server's stepsizes and gradient clipping. Furthermore, we perform the first analysis of these methods under the Polyak-Ł ojasiewicz condition. Our theory is consistent with the known results for standard smooth problems, and our experimental results support the theoretical insights.</x:v>
      </x:c>
      <x:c r="L127" s="17" t="str">
        <x:v>http://arxiv.org/abs/2412.02781v3</x:v>
      </x:c>
      <x:c r="M127" s="23" t="n">
        <x:v>0.7518272318445971</x:v>
      </x:c>
      <x:c r="N127" s="17" t="str">
        <x:v>qwen3-rerank-no-instruct-20260727-125006-results.jsonl</x:v>
      </x:c>
      <x:c r="O127" s="24" t="str">
        <x:v>2</x:v>
      </x:c>
      <x:c r="P127" s="28" t="str">
        <x:v>分析本地多步和随机重排在一般非凸联邦优化中的假设。</x:v>
      </x:c>
      <x:c r="Q127" s="25" t="str"/>
      <x:c r="R127" s="24" t="str">
        <x:f>IF(Q127&lt;&gt;"",Q127,O127)</x:f>
        <x:v>2</x:v>
      </x:c>
      <x:c r="S127" s="29" t="str"/>
    </x:row>
    <x:row r="128" ht="54" customHeight="1">
      <x:c r="A128" s="17" t="str">
        <x:v>csq007-r07</x:v>
      </x:c>
      <x:c r="B128" s="17" t="str">
        <x:v>csq007</x:v>
      </x:c>
      <x:c r="C128" s="17" t="str">
        <x:v>machine_learning</x:v>
      </x:c>
      <x:c r="D128" s="17" t="str">
        <x:v>federated_optimization</x:v>
      </x:c>
      <x:c r="E128" s="27" t="str">
        <x:v>How do major federated learning optimization methods address client heterogeneity and non-IID data, and how do their assumptions differ?</x:v>
      </x:c>
      <x:c r="F128" s="22" t="n">
        <x:v>7</x:v>
      </x:c>
      <x:c r="G128" s="17" t="str">
        <x:v>arXiv:2504.14694</x:v>
      </x:c>
      <x:c r="H128" s="27" t="str">
        <x:v>Learning Critically: Selective Self Distillation in Federated Learning on Non-IID Data</x:v>
      </x:c>
      <x:c r="I128" s="17" t="str">
        <x:v>Yuting He; Yiqiang Chen; XiaoDong Yang; Hanchao Yu; Yi-Hua Huang; Yang Gu</x:v>
      </x:c>
      <x:c r="J128" s="22" t="n">
        <x:v>2025</x:v>
      </x:c>
      <x:c r="K128" s="27" t="str">
        <x:v>Federated learning (FL) enables multiple clients to collaboratively train a global model while keeping local data decentralized. Data heterogeneity (non-IID) across clients has imposed significant challenges to FL, which makes local models re-optimize towards their own local optima and forget the global knowledge, resulting in performance degradation and convergence slowdown. Many existing works have attempted to address the non-IID issue by adding an extra global-model-based regularizing item to the local training but without an adaption scheme, which is not efficient enough to achieve high performance with deep learning models. In this paper, we propose a Selective Self-Distillation method for Federated learning (FedSSD), which imposes adaptive constraints on the local updates by self-distilling the global model's knowledge and selectively weighting it by evaluating the credibility at both the class and sample level. The convergence guarantee of FedSSD is theoretically analyzed and extensive experiments are conducted on three public benchmark datasets, which demonstrates that FedSSD achieves better generalization and robustness in fewer communication rounds, compared with other state-of-the-art FL methods.</x:v>
      </x:c>
      <x:c r="L128" s="17" t="str">
        <x:v>http://arxiv.org/abs/2504.14694v1</x:v>
      </x:c>
      <x:c r="M128" s="23" t="n">
        <x:v>0.729775579953103</x:v>
      </x:c>
      <x:c r="N128" s="17" t="str">
        <x:v>qwen3-rerank-no-instruct-20260727-125006-results.jsonl</x:v>
      </x:c>
      <x:c r="O128" s="24" t="str">
        <x:v>2</x:v>
      </x:c>
      <x:c r="P128" s="28" t="str">
        <x:v>可信度加权自蒸馏约束非IID本地更新并给出收敛保证。</x:v>
      </x:c>
      <x:c r="Q128" s="25" t="str"/>
      <x:c r="R128" s="24" t="str">
        <x:f>IF(Q128&lt;&gt;"",Q128,O128)</x:f>
        <x:v>2</x:v>
      </x:c>
      <x:c r="S128" s="29" t="str"/>
    </x:row>
    <x:row r="129" ht="54" customHeight="1">
      <x:c r="A129" s="17" t="str">
        <x:v>csq007-r08</x:v>
      </x:c>
      <x:c r="B129" s="17" t="str">
        <x:v>csq007</x:v>
      </x:c>
      <x:c r="C129" s="17" t="str">
        <x:v>machine_learning</x:v>
      </x:c>
      <x:c r="D129" s="17" t="str">
        <x:v>federated_optimization</x:v>
      </x:c>
      <x:c r="E129" s="27" t="str">
        <x:v>How do major federated learning optimization methods address client heterogeneity and non-IID data, and how do their assumptions differ?</x:v>
      </x:c>
      <x:c r="F129" s="22" t="n">
        <x:v>8</x:v>
      </x:c>
      <x:c r="G129" s="17" t="str">
        <x:v>arXiv:2102.07623</x:v>
      </x:c>
      <x:c r="H129" s="27" t="str">
        <x:v>FedBN: Federated Learning on Non-IID Features via Local Batch Normalization</x:v>
      </x:c>
      <x:c r="I129" s="17" t="str">
        <x:v>Xiaoxiao Li; Meirui Jiang; Xiaofei Zhang; Michael Kamp; Qi Dou</x:v>
      </x:c>
      <x:c r="J129" s="22" t="n">
        <x:v>2021</x:v>
      </x:c>
      <x:c r="K129" s="27" t="str">
        <x:v>The emerging paradigm of federated learning (FL) strives to enable collaborative training of deep models on the network edge without centrally aggregating raw data and hence improving data privacy. In most cases, the assumption of independent and identically distributed samples across local clients does not hold for federated learning setups. Under this setting, neural network training performance may vary significantly according to the data distribution and even hurt training convergence. Most of the previous work has focused on a difference in the distribution of labels or client shifts. Unlike those settings, we address an important problem of FL, e.g., different scanners/sensors in medical imaging, different scenery distribution in autonomous driving (highway vs. city), where local clients store examples with different distributions compared to other clients, which we denote as feature shift non-iid. In this work, we propose an effective method that uses local batch normalization to alleviate the feature shift before averaging models. The resulting scheme, called FedBN, outperforms both classical FedAvg, as well as the state-of-the-art for non-iid data (FedProx) on our extensive experiments. These empirical results are supported by a convergence analysis that shows in a simplified setting that FedBN has a faster convergence rate than FedAvg. Code is available at https://github.com/med-air/FedBN.</x:v>
      </x:c>
      <x:c r="L129" s="17" t="str">
        <x:v>http://arxiv.org/abs/2102.07623v2</x:v>
      </x:c>
      <x:c r="M129" s="23" t="n">
        <x:v>0.7169433731517543</x:v>
      </x:c>
      <x:c r="N129" s="17" t="str">
        <x:v>qwen3-rerank-no-instruct-20260727-125006-results.jsonl</x:v>
      </x:c>
      <x:c r="O129" s="24" t="str">
        <x:v>2</x:v>
      </x:c>
      <x:c r="P129" s="28" t="str">
        <x:v>FedBN针对特征偏移保留本地批归一化并分析收敛。</x:v>
      </x:c>
      <x:c r="Q129" s="25" t="str"/>
      <x:c r="R129" s="24" t="str">
        <x:f>IF(Q129&lt;&gt;"",Q129,O129)</x:f>
        <x:v>2</x:v>
      </x:c>
      <x:c r="S129" s="29" t="str"/>
    </x:row>
    <x:row r="130" ht="54" customHeight="1">
      <x:c r="A130" s="17" t="str">
        <x:v>csq007-r09</x:v>
      </x:c>
      <x:c r="B130" s="17" t="str">
        <x:v>csq007</x:v>
      </x:c>
      <x:c r="C130" s="17" t="str">
        <x:v>machine_learning</x:v>
      </x:c>
      <x:c r="D130" s="17" t="str">
        <x:v>federated_optimization</x:v>
      </x:c>
      <x:c r="E130" s="27" t="str">
        <x:v>How do major federated learning optimization methods address client heterogeneity and non-IID data, and how do their assumptions differ?</x:v>
      </x:c>
      <x:c r="F130" s="22" t="n">
        <x:v>9</x:v>
      </x:c>
      <x:c r="G130" s="17" t="str">
        <x:v>arXiv:2508.18060</x:v>
      </x:c>
      <x:c r="H130" s="27" t="str">
        <x:v>FedGreed: A Byzantine-Robust Loss-Based Aggregation Method for Federated Learning</x:v>
      </x:c>
      <x:c r="I130" s="17" t="str">
        <x:v>Emmanouil Kritharakis; Antonios Makris; Dusan Jakovetic; Konstantinos Tserpes</x:v>
      </x:c>
      <x:c r="J130" s="22" t="n">
        <x:v>2025</x:v>
      </x:c>
      <x:c r="K130" s="27" t="str">
        <x:v>Federated Learning (FL) enables collaborative model training across multiple clients while preserving data privacy by keeping local datasets on-device. In this work, we address FL settings where clients may behave adversarially, exhibiting Byzantine attacks, while the central server is trusted and equipped with a reference dataset. We propose FedGreed, a resilient aggregation strategy for federated learning that does not require any assumptions about the fraction of adversarial participants. FedGreed orders clients' local model updates based on their loss metrics evaluated against a trusted dataset on the server and greedily selects a subset of clients whose models exhibit the minimal evaluation loss. Unlike many existing approaches, our method is designed to operate reliably under heterogeneous (non-IID) data distributions, which are prevalent in real-world deployments. FedGreed exhibits convergence guarantees and bounded optimality gaps under strong adversarial behavior. Experimental evaluations on MNIST, FMNIST, and CIFAR-10 demonstrate that our method significantly outperforms standard and robust federated learning baselines, such as Mean, Trimmed Mean, Median, Krum, and Multi-Krum, in the majority of adversarial scenarios considered, including label flipping and Gaussian noise injection attacks. All experiments were conducted using the Flower federated learning framework.</x:v>
      </x:c>
      <x:c r="L130" s="17" t="str">
        <x:v>http://arxiv.org/abs/2508.18060v1</x:v>
      </x:c>
      <x:c r="M130" s="23" t="n">
        <x:v>0.7102925901648576</x:v>
      </x:c>
      <x:c r="N130" s="17" t="str">
        <x:v>qwen3-rerank-no-instruct-20260727-125006-results.jsonl</x:v>
      </x:c>
      <x:c r="O130" s="24" t="str">
        <x:v>1</x:v>
      </x:c>
      <x:c r="P130" s="28" t="str">
        <x:v>主要是拜占庭鲁棒聚合，非IID仅是防御条件而非核心异质性问题。</x:v>
      </x:c>
      <x:c r="Q130" s="25" t="str"/>
      <x:c r="R130" s="24" t="str">
        <x:f>IF(Q130&lt;&gt;"",Q130,O130)</x:f>
        <x:v>1</x:v>
      </x:c>
      <x:c r="S130" s="29" t="str"/>
    </x:row>
    <x:row r="131" ht="54" customHeight="1">
      <x:c r="A131" s="17" t="str">
        <x:v>csq007-r10</x:v>
      </x:c>
      <x:c r="B131" s="17" t="str">
        <x:v>csq007</x:v>
      </x:c>
      <x:c r="C131" s="17" t="str">
        <x:v>machine_learning</x:v>
      </x:c>
      <x:c r="D131" s="17" t="str">
        <x:v>federated_optimization</x:v>
      </x:c>
      <x:c r="E131" s="27" t="str">
        <x:v>How do major federated learning optimization methods address client heterogeneity and non-IID data, and how do their assumptions differ?</x:v>
      </x:c>
      <x:c r="F131" s="22" t="n">
        <x:v>10</x:v>
      </x:c>
      <x:c r="G131" s="17" t="str">
        <x:v>arXiv:2404.13237</x:v>
      </x:c>
      <x:c r="H131" s="27" t="str">
        <x:v>PAFedFV: Personalized and Asynchronous Federated Learning for Finger Vein Recognition</x:v>
      </x:c>
      <x:c r="I131" s="17" t="str">
        <x:v>Hengyu Mu; Jian Guo; Chong Han; Lijuan Sun</x:v>
      </x:c>
      <x:c r="J131" s="22" t="n">
        <x:v>2024</x:v>
      </x:c>
      <x:c r="K131" s="27" t="str">
        <x:v>With the increasing emphasis on user privacy protection, biometric recognition based on federated learning have become the latest research hotspot. However, traditional federated learning methods cannot be directly applied to finger vein recognition, due to heterogeneity of data and open-set verification. Therefore, only a few application cases have been proposed. And these methods still have two drawbacks. (1) Uniform model results in poor performance in some clients, as the finger vein data is highly heterogeneous and non-Independently Identically Distributed (non-IID). (2) On individual client, a large amount of time is underutilized, such as the time to wait for returning model from server. To address those problems, this paper proposes a Personalized and Asynchronous Federated Learning for Finger Vein Recognition (PAFedFV) framework. PAFedFV designs personalized model aggregation method to solve the heterogeneity among non-IID data. Meanwhile, it employs an asynchronized training module for clients to utilize their waiting time. Finally, extensive experiments on six finger vein datasets are conducted. Base on these experiment results, the impact of non-IID finger vein data on performance of federated learning are analyzed, and the superiority of PAFedFV in accuracy and robustness are demonstrated.</x:v>
      </x:c>
      <x:c r="L131" s="17" t="str">
        <x:v>http://arxiv.org/abs/2404.13237v1</x:v>
      </x:c>
      <x:c r="M131" s="23" t="n">
        <x:v>0.7056193902882227</x:v>
      </x:c>
      <x:c r="N131" s="17" t="str">
        <x:v>qwen3-rerank-no-instruct-20260727-125006-results.jsonl</x:v>
      </x:c>
      <x:c r="O131" s="24" t="str">
        <x:v>2</x:v>
      </x:c>
      <x:c r="P131" s="28" t="str">
        <x:v>个性化聚合处理非IID，并以异步训练应对客户端差异。</x:v>
      </x:c>
      <x:c r="Q131" s="25" t="str"/>
      <x:c r="R131" s="24" t="str">
        <x:f>IF(Q131&lt;&gt;"",Q131,O131)</x:f>
        <x:v>2</x:v>
      </x:c>
      <x:c r="S131" s="29" t="str"/>
    </x:row>
    <x:row r="132" ht="54" customHeight="1">
      <x:c r="A132" s="17" t="str">
        <x:v>csq007-r11</x:v>
      </x:c>
      <x:c r="B132" s="17" t="str">
        <x:v>csq007</x:v>
      </x:c>
      <x:c r="C132" s="17" t="str">
        <x:v>machine_learning</x:v>
      </x:c>
      <x:c r="D132" s="17" t="str">
        <x:v>federated_optimization</x:v>
      </x:c>
      <x:c r="E132" s="27" t="str">
        <x:v>How do major federated learning optimization methods address client heterogeneity and non-IID data, and how do their assumptions differ?</x:v>
      </x:c>
      <x:c r="F132" s="22" t="n">
        <x:v>11</x:v>
      </x:c>
      <x:c r="G132" s="17" t="str">
        <x:v>arXiv:2108.01903</x:v>
      </x:c>
      <x:c r="H132" s="27" t="str">
        <x:v>Personalized Federated Learning with Clustering: Non-IID Heart Rate Variability Data Application</x:v>
      </x:c>
      <x:c r="I132" s="17" t="str">
        <x:v>Joo Hun Yoo; Ha Min Son; Hyejun Jeong; Eun-Hye Jang; Ah Young Kim; Han Young Yu; Hong Jin Jeon; Tai-Myoung Chung</x:v>
      </x:c>
      <x:c r="J132" s="22" t="n">
        <x:v>2021</x:v>
      </x:c>
      <x:c r="K132" s="27" t="str">
        <x:v>While machine learning techniques are being applied to various fields for their exceptional ability to find complex relations in large datasets, the strengthening of regulations on data ownership and privacy is causing increasing difficulty in its application to medical data. In light of this, Federated Learning has recently been proposed as a solution to train on private data without breach of confidentiality. This conservation of privacy is particularly appealing in the field of healthcare, where patient data is highly confidential. However, many studies have shown that its assumption of Independent and Identically Distributed data is unrealistic for medical data. In this paper, we propose Personalized Federated Cluster Models, a hierarchical clustering-based FL process, to predict Major Depressive Disorder severity from Heart Rate Variability. By allowing clients to receive more personalized model, we address problems caused by non-IID data, showing an accuracy increase in severity prediction. This increase in performance may be sufficient to use Personalized Federated Cluster Models in many existing Federated Learning scenarios.</x:v>
      </x:c>
      <x:c r="L132" s="17" t="str">
        <x:v>http://arxiv.org/abs/2108.01903v3</x:v>
      </x:c>
      <x:c r="M132" s="23" t="n">
        <x:v>0.7035375573846459</x:v>
      </x:c>
      <x:c r="N132" s="17" t="str">
        <x:v>qwen3-rerank-no-instruct-20260727-125006-results.jsonl</x:v>
      </x:c>
      <x:c r="O132" s="24" t="str">
        <x:v>2</x:v>
      </x:c>
      <x:c r="P132" s="28" t="str">
        <x:v>聚类式个性化联邦直接按非IID客户端分组。</x:v>
      </x:c>
      <x:c r="Q132" s="25" t="str"/>
      <x:c r="R132" s="24" t="str">
        <x:f>IF(Q132&lt;&gt;"",Q132,O132)</x:f>
        <x:v>2</x:v>
      </x:c>
      <x:c r="S132" s="29" t="str"/>
    </x:row>
    <x:row r="133" ht="54" customHeight="1">
      <x:c r="A133" s="17" t="str">
        <x:v>csq007-r12</x:v>
      </x:c>
      <x:c r="B133" s="17" t="str">
        <x:v>csq007</x:v>
      </x:c>
      <x:c r="C133" s="17" t="str">
        <x:v>machine_learning</x:v>
      </x:c>
      <x:c r="D133" s="17" t="str">
        <x:v>federated_optimization</x:v>
      </x:c>
      <x:c r="E133" s="27" t="str">
        <x:v>How do major federated learning optimization methods address client heterogeneity and non-IID data, and how do their assumptions differ?</x:v>
      </x:c>
      <x:c r="F133" s="22" t="n">
        <x:v>12</x:v>
      </x:c>
      <x:c r="G133" s="17" t="str">
        <x:v>arXiv:1911.02134</x:v>
      </x:c>
      <x:c r="H133" s="27" t="str">
        <x:v>Asynchronous Online Federated Learning for Edge Devices with Non-IID Data</x:v>
      </x:c>
      <x:c r="I133" s="17" t="str">
        <x:v>Yujing Chen; Yue Ning; Martin Slawski; Huzefa Rangwala</x:v>
      </x:c>
      <x:c r="J133" s="22" t="n">
        <x:v>2019</x:v>
      </x:c>
      <x:c r="K133" s="27" t="str">
        <x:v>Federated learning (FL) is a machine learning paradigm where a shared central model is learned across distributed edge devices while the training data remains on these devices. Federated Averaging (FedAvg) is the leading optimization method for training non-convex models in this setting with a synchronized protocol. However, the assumptions made by FedAvg are not realistic given the heterogeneity of devices. In particular, the volume and distribution of collected data vary in the training process due to different sampling rates of edge devices. The edge devices themselves also vary in their available communication bandwidth and system configurations, such as memory, processor speed, and power requirements. This leads to vastly different training times as well as model/data transfer times. Furthermore, availability issues at edge devices can lead to a lack of contribution from specific edge devices to the federated model. In this paper, we present an Asynchronous Online Federated Learning (ASO-Fed) framework, where the edge devices perform online learning with continuous streaming local data and a central server aggregates model parameters from clients. Our framework updates the central model in an asynchronous manner to tackle the challenges associated with both varying computational loads at heterogeneous edge devices and edge devices that lag behind or dropout. We perform extensive experiments on a simulated benchmark image dataset and three real-world non-IID streaming datasets. The results demonstrate the effectiveness of \model~on converging fast and maintaining good prediction performance.</x:v>
      </x:c>
      <x:c r="L133" s="17" t="str">
        <x:v>http://arxiv.org/abs/1911.02134v3</x:v>
      </x:c>
      <x:c r="M133" s="23" t="n">
        <x:v>0.7015845829612848</x:v>
      </x:c>
      <x:c r="N133" s="17" t="str">
        <x:v>qwen3-rerank-no-instruct-20260727-125006-results.jsonl</x:v>
      </x:c>
      <x:c r="O133" s="24" t="str">
        <x:v>2</x:v>
      </x:c>
      <x:c r="P133" s="28" t="str">
        <x:v>异步在线联邦针对边缘客户端非IID与时序参与。</x:v>
      </x:c>
      <x:c r="Q133" s="25" t="str"/>
      <x:c r="R133" s="24" t="str">
        <x:f>IF(Q133&lt;&gt;"",Q133,O133)</x:f>
        <x:v>2</x:v>
      </x:c>
      <x:c r="S133" s="29" t="str"/>
    </x:row>
    <x:row r="134" ht="54" customHeight="1">
      <x:c r="A134" s="17" t="str">
        <x:v>csq007-r13</x:v>
      </x:c>
      <x:c r="B134" s="17" t="str">
        <x:v>csq007</x:v>
      </x:c>
      <x:c r="C134" s="17" t="str">
        <x:v>machine_learning</x:v>
      </x:c>
      <x:c r="D134" s="17" t="str">
        <x:v>federated_optimization</x:v>
      </x:c>
      <x:c r="E134" s="27" t="str">
        <x:v>How do major federated learning optimization methods address client heterogeneity and non-IID data, and how do their assumptions differ?</x:v>
      </x:c>
      <x:c r="F134" s="22" t="n">
        <x:v>13</x:v>
      </x:c>
      <x:c r="G134" s="17" t="str">
        <x:v>arXiv:2003.00295</x:v>
      </x:c>
      <x:c r="H134" s="27" t="str">
        <x:v>Adaptive Federated Optimization</x:v>
      </x:c>
      <x:c r="I134" s="17" t="str">
        <x:v>Sashank Reddi; Zachary Charles; Manzil Zaheer; Zachary Garrett; Keith Rush; Jakub Konečný; Sanjiv Kumar; H. Brendan McMahan</x:v>
      </x:c>
      <x:c r="J134" s="22" t="n">
        <x:v>2020</x:v>
      </x:c>
      <x:c r="K134" s="27" t="str">
        <x:v>Federated learning is a distributed machine learning paradigm in which a large number of clients coordinate with a central server to learn a model without sharing their own training data. Standard federated optimization methods such as Federated Averaging (FedAvg) are often difficult to tune and exhibit unfavorable convergence behavior. In non-federated settings, adaptive optimization methods have had notable success in combating such issues. In this work, we propose federated versions of adaptive optimizers, including Adagrad, Adam, and Yogi, and analyze their convergence in the presence of heterogeneous data for general non-convex settings. Our results highlight the interplay between client heterogeneity and communication efficiency. We also perform extensive experiments on these methods and show that the use of adaptive optimizers can significantly improve the performance of federated learning.</x:v>
      </x:c>
      <x:c r="L134" s="17" t="str">
        <x:v>http://arxiv.org/abs/2003.00295v5</x:v>
      </x:c>
      <x:c r="M134" s="23" t="n">
        <x:v>0.6962297256085127</x:v>
      </x:c>
      <x:c r="N134" s="17" t="str">
        <x:v>qwen3-rerank-no-instruct-20260727-125006-results.jsonl</x:v>
      </x:c>
      <x:c r="O134" s="24" t="str">
        <x:v>2</x:v>
      </x:c>
      <x:c r="P134" s="28" t="str">
        <x:v>联邦Adagrad、Adam和Yogi分析异质非凸数据收敛。</x:v>
      </x:c>
      <x:c r="Q134" s="25" t="str"/>
      <x:c r="R134" s="24" t="str">
        <x:f>IF(Q134&lt;&gt;"",Q134,O134)</x:f>
        <x:v>2</x:v>
      </x:c>
      <x:c r="S134" s="29" t="str"/>
    </x:row>
    <x:row r="135" ht="54" customHeight="1">
      <x:c r="A135" s="17" t="str">
        <x:v>csq007-r14</x:v>
      </x:c>
      <x:c r="B135" s="17" t="str">
        <x:v>csq007</x:v>
      </x:c>
      <x:c r="C135" s="17" t="str">
        <x:v>machine_learning</x:v>
      </x:c>
      <x:c r="D135" s="17" t="str">
        <x:v>federated_optimization</x:v>
      </x:c>
      <x:c r="E135" s="27" t="str">
        <x:v>How do major federated learning optimization methods address client heterogeneity and non-IID data, and how do their assumptions differ?</x:v>
      </x:c>
      <x:c r="F135" s="22" t="n">
        <x:v>14</x:v>
      </x:c>
      <x:c r="G135" s="17" t="str">
        <x:v>arXiv:2006.09637</x:v>
      </x:c>
      <x:c r="H135" s="27" t="str">
        <x:v>FedCD: Improving Performance in non-IID Federated Learning</x:v>
      </x:c>
      <x:c r="I135" s="17" t="str">
        <x:v>Kavya Kopparapu; Eric Lin; Jessica Zhao</x:v>
      </x:c>
      <x:c r="J135" s="22" t="n">
        <x:v>2020</x:v>
      </x:c>
      <x:c r="K135" s="27" t="str">
        <x:v>Federated learning has been widely applied to enable decentralized devices, which each have their own local data, to learn a shared model. However, learning from real-world data can be challenging, as it is rarely identically and independently distributed (IID) across edge devices (a key assumption for current high-performing and low-bandwidth algorithms). We present a novel approach, FedCD, which clones and deletes models to dynamically group devices with similar data. Experiments on the CIFAR-10 dataset show that FedCD achieves higher accuracy and faster convergence compared to a FedAvg baseline on non-IID data while incurring minimal computation, communication, and storage overheads.</x:v>
      </x:c>
      <x:c r="L135" s="17" t="str">
        <x:v>http://arxiv.org/abs/2006.09637v3</x:v>
      </x:c>
      <x:c r="M135" s="23" t="n">
        <x:v>0.6899366981618363</x:v>
      </x:c>
      <x:c r="N135" s="17" t="str">
        <x:v>qwen3-rerank-no-instruct-20260727-125006-results.jsonl</x:v>
      </x:c>
      <x:c r="O135" s="24" t="str">
        <x:v>2</x:v>
      </x:c>
      <x:c r="P135" s="28" t="str">
        <x:v>动态克隆删除模型以聚合相似分布客户端。</x:v>
      </x:c>
      <x:c r="Q135" s="25" t="str"/>
      <x:c r="R135" s="24" t="str">
        <x:f>IF(Q135&lt;&gt;"",Q135,O135)</x:f>
        <x:v>2</x:v>
      </x:c>
      <x:c r="S135" s="29" t="str"/>
    </x:row>
    <x:row r="136" ht="54" customHeight="1">
      <x:c r="A136" s="17" t="str">
        <x:v>csq007-r15</x:v>
      </x:c>
      <x:c r="B136" s="17" t="str">
        <x:v>csq007</x:v>
      </x:c>
      <x:c r="C136" s="17" t="str">
        <x:v>machine_learning</x:v>
      </x:c>
      <x:c r="D136" s="17" t="str">
        <x:v>federated_optimization</x:v>
      </x:c>
      <x:c r="E136" s="27" t="str">
        <x:v>How do major federated learning optimization methods address client heterogeneity and non-IID data, and how do their assumptions differ?</x:v>
      </x:c>
      <x:c r="F136" s="22" t="n">
        <x:v>15</x:v>
      </x:c>
      <x:c r="G136" s="17" t="str">
        <x:v>arXiv:2403.16460</x:v>
      </x:c>
      <x:c r="H136" s="27" t="str">
        <x:v>FedAC: An Adaptive Clustered Federated Learning Framework for Heterogeneous Data</x:v>
      </x:c>
      <x:c r="I136" s="17" t="str">
        <x:v>Yuxin Zhang; Haoyu Chen; Zheng Lin; Zhe Chen; Jin Zhao</x:v>
      </x:c>
      <x:c r="J136" s="22" t="n">
        <x:v>2024</x:v>
      </x:c>
      <x:c r="K136" s="27" t="str">
        <x:v>Clustered federated learning (CFL) is proposed to mitigate the performance deterioration stemming from data heterogeneity in federated learning (FL) by grouping similar clients for cluster-wise model training. However, current CFL methods struggle due to inadequate integration of global and intra-cluster knowledge and the absence of an efficient online model similarity metric, while treating the cluster count as a fixed hyperparameter limits flexibility and robustness. In this paper, we propose an adaptive CFL framework, named FedAC, which (1) efficiently integrates global knowledge into intra-cluster learning by decoupling neural networks and utilizing distinct aggregation methods for each submodule, significantly enhancing performance; (2) includes a costeffective online model similarity metric based on dimensionality reduction; (3) incorporates a cluster number fine-tuning module for improved adaptability and scalability in complex, heterogeneous environments. Extensive experiments show that FedAC achieves superior empirical performance, increasing the test accuracy by around 1.82% and 12.67% on CIFAR-10 and CIFAR-100 datasets, respectively, under different non-IID settings compared to SOTA methods.</x:v>
      </x:c>
      <x:c r="L136" s="17" t="str">
        <x:v>http://arxiv.org/abs/2403.16460v2</x:v>
      </x:c>
      <x:c r="M136" s="23" t="n">
        <x:v>0.6551618060533966</x:v>
      </x:c>
      <x:c r="N136" s="17" t="str">
        <x:v>qwen3-rerank-no-instruct-20260727-125006-results.jsonl</x:v>
      </x:c>
      <x:c r="O136" s="24" t="str">
        <x:v>2</x:v>
      </x:c>
      <x:c r="P136" s="28" t="str">
        <x:v>自适应聚类框架专门应对异质客户端数据。</x:v>
      </x:c>
      <x:c r="Q136" s="25" t="str"/>
      <x:c r="R136" s="24" t="str">
        <x:f>IF(Q136&lt;&gt;"",Q136,O136)</x:f>
        <x:v>2</x:v>
      </x:c>
      <x:c r="S136" s="29" t="str"/>
    </x:row>
    <x:row r="137" ht="54" customHeight="1">
      <x:c r="A137" s="17" t="str">
        <x:v>csq007-r16</x:v>
      </x:c>
      <x:c r="B137" s="17" t="str">
        <x:v>csq007</x:v>
      </x:c>
      <x:c r="C137" s="17" t="str">
        <x:v>machine_learning</x:v>
      </x:c>
      <x:c r="D137" s="17" t="str">
        <x:v>federated_optimization</x:v>
      </x:c>
      <x:c r="E137" s="27" t="str">
        <x:v>How do major federated learning optimization methods address client heterogeneity and non-IID data, and how do their assumptions differ?</x:v>
      </x:c>
      <x:c r="F137" s="22" t="n">
        <x:v>16</x:v>
      </x:c>
      <x:c r="G137" s="17" t="str">
        <x:v>arXiv:2504.01921</x:v>
      </x:c>
      <x:c r="H137" s="27" t="str">
        <x:v>Client Selection in Federated Learning with Data Heterogeneity and Network Latencies</x:v>
      </x:c>
      <x:c r="I137" s="17" t="str">
        <x:v>Harsh Vardhan; Xiaofan Yu; Tajana Rosing; Arya Mazumdar</x:v>
      </x:c>
      <x:c r="J137" s="22" t="n">
        <x:v>2025</x:v>
      </x:c>
      <x:c r="K137" s="27" t="str">
        <x:v>Federated learning (FL) is a distributed machine learning paradigm where multiple clients conduct local training based on their private data, then the updated models are sent to a central server for global aggregation. The practical convergence of FL is challenged by multiple factors, with the primary hurdle being the heterogeneity among clients. This heterogeneity manifests as data heterogeneity concerning local data distribution and latency heterogeneity during model transmission to the server. While prior research has introduced various efficient client selection methods to alleviate the negative impacts of either of these heterogeneities individually, efficient methods to handle real-world settings where both these heterogeneities exist simultaneously do not exist. In this paper, we propose two novel theoretically optimal client selection schemes that can handle both these heterogeneities. Our methods involve solving simple optimization problems every round obtained by minimizing the theoretical runtime to convergence. Empirical evaluations on 9 datasets with non-iid data distributions, 2 practical delay distributions, and non-convex neural network models demonstrate that our algorithms are at least competitive to and at most 20 times better than best existing baselines.</x:v>
      </x:c>
      <x:c r="L137" s="17" t="str">
        <x:v>http://arxiv.org/abs/2504.01921v1</x:v>
      </x:c>
      <x:c r="M137" s="23" t="n">
        <x:v>0.6531465947657186</x:v>
      </x:c>
      <x:c r="N137" s="17" t="str">
        <x:v>qwen3-rerank-no-instruct-20260727-125006-results.jsonl</x:v>
      </x:c>
      <x:c r="O137" s="24" t="str">
        <x:v>2</x:v>
      </x:c>
      <x:c r="P137" s="28" t="str">
        <x:v>联合数据异质性与网络延迟选择客户端，覆盖统计和系统假设。</x:v>
      </x:c>
      <x:c r="Q137" s="25" t="str"/>
      <x:c r="R137" s="24" t="str">
        <x:f>IF(Q137&lt;&gt;"",Q137,O137)</x:f>
        <x:v>2</x:v>
      </x:c>
      <x:c r="S137" s="29" t="str"/>
    </x:row>
    <x:row r="138" ht="54" customHeight="1">
      <x:c r="A138" s="17" t="str">
        <x:v>csq007-r17</x:v>
      </x:c>
      <x:c r="B138" s="17" t="str">
        <x:v>csq007</x:v>
      </x:c>
      <x:c r="C138" s="17" t="str">
        <x:v>machine_learning</x:v>
      </x:c>
      <x:c r="D138" s="17" t="str">
        <x:v>federated_optimization</x:v>
      </x:c>
      <x:c r="E138" s="27" t="str">
        <x:v>How do major federated learning optimization methods address client heterogeneity and non-IID data, and how do their assumptions differ?</x:v>
      </x:c>
      <x:c r="F138" s="22" t="n">
        <x:v>17</x:v>
      </x:c>
      <x:c r="G138" s="17" t="str">
        <x:v>arXiv:2210.08090</x:v>
      </x:c>
      <x:c r="H138" s="27" t="str">
        <x:v>Where to Begin? On the Impact of Pre-Training and Initialization in Federated Learning</x:v>
      </x:c>
      <x:c r="I138" s="17" t="str">
        <x:v>John Nguyen; Jianyu Wang; Kshitiz Malik; Maziar Sanjabi; Michael Rabbat</x:v>
      </x:c>
      <x:c r="J138" s="22" t="n">
        <x:v>2022</x:v>
      </x:c>
      <x:c r="K138" s="27" t="str">
        <x:v>An oft-cited challenge of federated learning is the presence of heterogeneity. \emph{Data heterogeneity} refers to the fact that data from different clients may follow very different distributions. \emph{System heterogeneity} refers to the fact that client devices have different system capabilities. A considerable number of federated optimization methods address this challenge. In the literature, empirical evaluations usually start federated training from random initialization. However, in many practical applications of federated learning, the server has access to proxy data for the training task that can be used to pre-train a model before starting federated training. We empirically study the impact of starting from a pre-trained model in federated learning using four standard federated learning benchmark datasets. Unsurprisingly, starting from a pre-trained model reduces the training time required to reach a target error rate and enables the training of more accurate models (up to 40\%) than is possible when starting from random initialization. Surprisingly, we also find that starting federated learning from a pre-trained initialization reduces the effect of both data and system heterogeneity. We recommend that future work proposing and evaluating federated optimization methods evaluate the performance when starting from random and pre-trained initializations. We also believe this study raises several questions for further work on understanding the role of heterogeneity in federated optimization.</x:v>
      </x:c>
      <x:c r="L138" s="17" t="str">
        <x:v>http://arxiv.org/abs/2210.08090v1</x:v>
      </x:c>
      <x:c r="M138" s="23" t="n">
        <x:v>0.6494043091283108</x:v>
      </x:c>
      <x:c r="N138" s="17" t="str">
        <x:v>qwen3-rerank-no-instruct-20260727-125006-results.jsonl</x:v>
      </x:c>
      <x:c r="O138" s="24" t="str">
        <x:v>2</x:v>
      </x:c>
      <x:c r="P138" s="28" t="str">
        <x:v>实证预训练初始化如何减轻数据和系统异质性。</x:v>
      </x:c>
      <x:c r="Q138" s="25" t="str"/>
      <x:c r="R138" s="24" t="str">
        <x:f>IF(Q138&lt;&gt;"",Q138,O138)</x:f>
        <x:v>2</x:v>
      </x:c>
      <x:c r="S138" s="29" t="str"/>
    </x:row>
    <x:row r="139" ht="54" customHeight="1">
      <x:c r="A139" s="17" t="str">
        <x:v>csq007-r18</x:v>
      </x:c>
      <x:c r="B139" s="17" t="str">
        <x:v>csq007</x:v>
      </x:c>
      <x:c r="C139" s="17" t="str">
        <x:v>machine_learning</x:v>
      </x:c>
      <x:c r="D139" s="17" t="str">
        <x:v>federated_optimization</x:v>
      </x:c>
      <x:c r="E139" s="27" t="str">
        <x:v>How do major federated learning optimization methods address client heterogeneity and non-IID data, and how do their assumptions differ?</x:v>
      </x:c>
      <x:c r="F139" s="22" t="n">
        <x:v>18</x:v>
      </x:c>
      <x:c r="G139" s="17" t="str">
        <x:v>arXiv:2501.17512</x:v>
      </x:c>
      <x:c r="H139" s="27" t="str">
        <x:v>A survey on Clustered Federated Learning: Taxonomy, Analysis and Applications</x:v>
      </x:c>
      <x:c r="I139" s="17" t="str">
        <x:v>Michael Ben Ali; Omar El-Rifai; Imen Megdiche; André Peninou; Olivier Teste</x:v>
      </x:c>
      <x:c r="J139" s="22" t="n">
        <x:v>2025</x:v>
      </x:c>
      <x:c r="K139" s="27" t="str">
        <x:v>As Federated Learning (FL) expands, the challenge of non-independent and identically distributed (non-IID) data becomes critical. Clustered Federated Learning (CFL) addresses this by training multiple specialized models, each representing a group of clients with similar data distributions. However, the term ''CFL'' has increasingly been applied to operational strategies unrelated to data heterogeneity, creating significant ambiguity. This survey provides a systematic review of the CFL literature and introduces a principled taxonomy that classifies algorithms into Server-side, Client-side, and Metadata-based approaches. Our analysis reveals a distinct dichotomy: while theoretical research prioritizes privacy-preserving Server/Client-side methods, real-world applications in IoT, Mobility, and Energy overwhelmingly favor Metadata-based efficiency. Furthermore, we explicitly distinguish ''Core CFL'' (grouping clients for non-IID data) from ''Clustered X FL'' (operational variants for system heterogeneity). Finally, we outline lessons learned and future directions to bridge the gap between theoretical privacy and practical efficiency.</x:v>
      </x:c>
      <x:c r="L139" s="17" t="str">
        <x:v>http://arxiv.org/abs/2501.17512v3</x:v>
      </x:c>
      <x:c r="M139" s="23" t="n">
        <x:v>0.6473530303067586</x:v>
      </x:c>
      <x:c r="N139" s="17" t="str">
        <x:v>qwen3-rerank-no-instruct-20260727-125006-results.jsonl</x:v>
      </x:c>
      <x:c r="O139" s="24" t="str">
        <x:v>2</x:v>
      </x:c>
      <x:c r="P139" s="28" t="str">
        <x:v>综述聚类联邦的分类、假设和非IID应用。</x:v>
      </x:c>
      <x:c r="Q139" s="25" t="str"/>
      <x:c r="R139" s="24" t="str">
        <x:f>IF(Q139&lt;&gt;"",Q139,O139)</x:f>
        <x:v>2</x:v>
      </x:c>
      <x:c r="S139" s="29" t="str"/>
    </x:row>
    <x:row r="140" ht="54" customHeight="1">
      <x:c r="A140" s="17" t="str">
        <x:v>csq007-r19</x:v>
      </x:c>
      <x:c r="B140" s="17" t="str">
        <x:v>csq007</x:v>
      </x:c>
      <x:c r="C140" s="17" t="str">
        <x:v>machine_learning</x:v>
      </x:c>
      <x:c r="D140" s="17" t="str">
        <x:v>federated_optimization</x:v>
      </x:c>
      <x:c r="E140" s="27" t="str">
        <x:v>How do major federated learning optimization methods address client heterogeneity and non-IID data, and how do their assumptions differ?</x:v>
      </x:c>
      <x:c r="F140" s="22" t="n">
        <x:v>19</x:v>
      </x:c>
      <x:c r="G140" s="17" t="str">
        <x:v>arXiv:2210.04505</x:v>
      </x:c>
      <x:c r="H140" s="27" t="str">
        <x:v>A Survey on Heterogeneous Federated Learning</x:v>
      </x:c>
      <x:c r="I140" s="17" t="str">
        <x:v>Dashan Gao; Xin Yao; Qiang Yang</x:v>
      </x:c>
      <x:c r="J140" s="22" t="n">
        <x:v>2022</x:v>
      </x:c>
      <x:c r="K140" s="27" t="str">
        <x:v>Federated learning (FL) has been proposed to protect data privacy and virtually assemble the isolated data silos by cooperatively training models among organizations without breaching privacy and security. However, FL faces heterogeneity from various aspects, including data space, statistical, and system heterogeneity. For example, collaborative organizations without conflict of interest often come from different areas and have heterogeneous data from different feature spaces. Participants may also want to train heterogeneous personalized local models due to non-IID and imbalanced data distribution and various resource-constrained devices. Therefore, heterogeneous FL is proposed to address the problem of heterogeneity in FL. In this survey, we comprehensively investigate the domain of heterogeneous FL in terms of data space, statistical, system, and model heterogeneity. We first give an overview of FL, including its definition and categorization. Then, We propose a precise taxonomy of heterogeneous FL settings for each type of heterogeneity according to the problem setting and learning objective. We also investigate the transfer learning methodologies to tackle the heterogeneity in FL. We further present the applications of heterogeneous FL. Finally, we highlight the challenges and opportunities and envision promising future research directions toward new framework design and trustworthy approaches.</x:v>
      </x:c>
      <x:c r="L140" s="17" t="str">
        <x:v>http://arxiv.org/abs/2210.04505v1</x:v>
      </x:c>
      <x:c r="M140" s="23" t="n">
        <x:v>0.6413928136819018</x:v>
      </x:c>
      <x:c r="N140" s="17" t="str">
        <x:v>qwen3-rerank-no-instruct-20260727-125006-results.jsonl</x:v>
      </x:c>
      <x:c r="O140" s="24" t="str">
        <x:v>2</x:v>
      </x:c>
      <x:c r="P140" s="28" t="str">
        <x:v>系统分类数据、统计、系统和模型异质性及其方法。</x:v>
      </x:c>
      <x:c r="Q140" s="25" t="str"/>
      <x:c r="R140" s="24" t="str">
        <x:f>IF(Q140&lt;&gt;"",Q140,O140)</x:f>
        <x:v>2</x:v>
      </x:c>
      <x:c r="S140" s="29" t="str"/>
    </x:row>
    <x:row r="141" ht="54" customHeight="1">
      <x:c r="A141" s="17" t="str">
        <x:v>csq007-r20</x:v>
      </x:c>
      <x:c r="B141" s="17" t="str">
        <x:v>csq007</x:v>
      </x:c>
      <x:c r="C141" s="17" t="str">
        <x:v>machine_learning</x:v>
      </x:c>
      <x:c r="D141" s="17" t="str">
        <x:v>federated_optimization</x:v>
      </x:c>
      <x:c r="E141" s="27" t="str">
        <x:v>How do major federated learning optimization methods address client heterogeneity and non-IID data, and how do their assumptions differ?</x:v>
      </x:c>
      <x:c r="F141" s="22" t="n">
        <x:v>20</x:v>
      </x:c>
      <x:c r="G141" s="17" t="str">
        <x:v>arXiv:2411.12377</x:v>
      </x:c>
      <x:c r="H141" s="27" t="str">
        <x:v>Non-IID data in Federated Learning: A Survey with Taxonomy, Metrics, Methods, Frameworks and Future Directions</x:v>
      </x:c>
      <x:c r="I141" s="17" t="str">
        <x:v>Daniel M. Jimenez G.; David Solans; Mikko Heikkila; Andrea Vitaletti; Nicolas Kourtellis; Aris Anagnostopoulos; Ioannis Chatzigiannakis</x:v>
      </x:c>
      <x:c r="J141" s="22" t="n">
        <x:v>2024</x:v>
      </x:c>
      <x:c r="K141" s="27" t="str">
        <x:v>Recent advances in machine learning have highlighted Federated Learning (FL) as a promising approach that enables multiple distributed users (so-called clients) to collectively train ML models without sharing their private data. While this privacy-preserving method shows potential, it struggles when data across clients is not independent and identically distributed (non-IID) data. The latter remains an unsolved challenge that can result in poorer model performance and slower training times. Despite the significance of non-IID data in FL, there is a lack of consensus among researchers about its classification and quantification. This technical survey aims to fill that gap by providing a detailed taxonomy for non-IID data, partition protocols, and metrics to quantify data heterogeneity. Additionally, we describe popular solutions to address non-IID data and standardized frameworks employed in FL with heterogeneous data. Based on our state-of-the-art survey, we present key lessons learned and suggest promising future research directions.</x:v>
      </x:c>
      <x:c r="L141" s="17" t="str">
        <x:v>http://arxiv.org/abs/2411.12377v2</x:v>
      </x:c>
      <x:c r="M141" s="23" t="n">
        <x:v>0.6354249197388018</x:v>
      </x:c>
      <x:c r="N141" s="17" t="str">
        <x:v>qwen3-rerank-no-instruct-20260727-125006-results.jsonl</x:v>
      </x:c>
      <x:c r="O141" s="24" t="str">
        <x:v>2</x:v>
      </x:c>
      <x:c r="P141" s="28" t="str">
        <x:v>系统给出非IID类型、度量、方法、框架和优缺点。</x:v>
      </x:c>
      <x:c r="Q141" s="25" t="str"/>
      <x:c r="R141" s="24" t="str">
        <x:f>IF(Q141&lt;&gt;"",Q141,O141)</x:f>
        <x:v>2</x:v>
      </x:c>
      <x:c r="S141" s="29" t="str"/>
    </x:row>
    <x:row r="142" ht="54" customHeight="1">
      <x:c r="A142" s="17" t="str">
        <x:v>csq008-r01</x:v>
      </x:c>
      <x:c r="B142" s="17" t="str">
        <x:v>csq008</x:v>
      </x:c>
      <x:c r="C142" s="17" t="str">
        <x:v>machine_learning</x:v>
      </x:c>
      <x:c r="D142" s="17" t="str">
        <x:v>uncertainty_calibration</x:v>
      </x:c>
      <x:c r="E142" s="27" t="str">
        <x:v>Which metrics and benchmark protocols are used to evaluate uncertainty calibration in deep neural networks, and what failure modes do these metrics miss?</x:v>
      </x:c>
      <x:c r="F142" s="22" t="n">
        <x:v>1</x:v>
      </x:c>
      <x:c r="G142" s="17" t="str">
        <x:v>arXiv:2203.07835</x:v>
      </x:c>
      <x:c r="H142" s="27" t="str">
        <x:v>Better Uncertainty Calibration via Proper Scores for Classification and Beyond</x:v>
      </x:c>
      <x:c r="I142" s="17" t="str">
        <x:v>Sebastian G. Gruber; Florian Buettner</x:v>
      </x:c>
      <x:c r="J142" s="22" t="n">
        <x:v>2022</x:v>
      </x:c>
      <x:c r="K142" s="27" t="str">
        <x:v>With model trustworthiness being crucial for sensitive real-world applications, practitioners are putting more and more focus on improving the uncertainty calibration of deep neural networks. Calibration errors are designed to quantify the reliability of probabilistic predictions but their estimators are usually biased and inconsistent. In this work, we introduce the framework of proper calibration errors, which relates every calibration error to a proper score and provides a respective upper bound with optimal estimation properties. This relationship can be used to reliably quantify the model calibration improvement. We theoretically and empirically demonstrate the shortcomings of commonly used estimators compared to our approach. Due to the wide applicability of proper scores, this gives a natural extension of recalibration beyond classification.</x:v>
      </x:c>
      <x:c r="L142" s="17" t="str">
        <x:v>http://arxiv.org/abs/2203.07835v4</x:v>
      </x:c>
      <x:c r="M142" s="23" t="n">
        <x:v>0.748373461477071</x:v>
      </x:c>
      <x:c r="N142" s="17" t="str">
        <x:v>qwen3-rerank-no-instruct-20260727-125006-results.jsonl</x:v>
      </x:c>
      <x:c r="O142" s="24" t="str">
        <x:v>2</x:v>
      </x:c>
      <x:c r="P142" s="28" t="str">
        <x:v>证明常用校准误差估计有偏不一致并提出proper-score框架。</x:v>
      </x:c>
      <x:c r="Q142" s="25" t="str"/>
      <x:c r="R142" s="24" t="str">
        <x:f>IF(Q142&lt;&gt;"",Q142,O142)</x:f>
        <x:v>2</x:v>
      </x:c>
      <x:c r="S142" s="29" t="str"/>
    </x:row>
    <x:row r="143" ht="54" customHeight="1">
      <x:c r="A143" s="17" t="str">
        <x:v>csq008-r02</x:v>
      </x:c>
      <x:c r="B143" s="17" t="str">
        <x:v>csq008</x:v>
      </x:c>
      <x:c r="C143" s="17" t="str">
        <x:v>machine_learning</x:v>
      </x:c>
      <x:c r="D143" s="17" t="str">
        <x:v>uncertainty_calibration</x:v>
      </x:c>
      <x:c r="E143" s="27" t="str">
        <x:v>Which metrics and benchmark protocols are used to evaluate uncertainty calibration in deep neural networks, and what failure modes do these metrics miss?</x:v>
      </x:c>
      <x:c r="F143" s="22" t="n">
        <x:v>2</x:v>
      </x:c>
      <x:c r="G143" s="17" t="str">
        <x:v>arXiv:2406.02411</x:v>
      </x:c>
      <x:c r="H143" s="27" t="str">
        <x:v>Decoupling of neural network calibration measures</x:v>
      </x:c>
      <x:c r="I143" s="17" t="str">
        <x:v>Dominik Werner Wolf; Prasannavenkatesh Balaji; Alexander Braun; Markus Ulrich</x:v>
      </x:c>
      <x:c r="J143" s="22" t="n">
        <x:v>2024</x:v>
      </x:c>
      <x:c r="K143" s="27" t="str">
        <x:v>A lot of effort is currently invested in safeguarding autonomous driving systems, which heavily rely on deep neural networks for computer vision. We investigate the coupling of different neural network calibration measures with a special focus on the Area Under the Sparsification Error curve (AUSE) metric. We elaborate on the well-known inconsistency in determining optimal calibration using the Expected Calibration Error (ECE) and we demonstrate similar issues for the AUSE, the Uncertainty Calibration Score (UCS), as well as the Uncertainty Calibration Error (UCE). We conclude that the current methodologies leave a degree of freedom, which prevents a unique model calibration for the homologation of safety-critical functionalities. Furthermore, we propose the AUSE as an indirect measure for the residual uncertainty, which is irreducible for a fixed network architecture and is driven by the stochasticity in the underlying data generation process (aleatoric contribution) as well as the limitation in the hypothesis space (epistemic contribution).</x:v>
      </x:c>
      <x:c r="L143" s="17" t="str">
        <x:v>http://arxiv.org/abs/2406.02411v2</x:v>
      </x:c>
      <x:c r="M143" s="23" t="n">
        <x:v>0.7362202553169227</x:v>
      </x:c>
      <x:c r="N143" s="17" t="str">
        <x:v>qwen3-rerank-no-instruct-20260727-125006-results.jsonl</x:v>
      </x:c>
      <x:c r="O143" s="24" t="str">
        <x:v>2</x:v>
      </x:c>
      <x:c r="P143" s="28" t="str">
        <x:v>揭示ECE、AUSE、UCS和UCE不一致及无法唯一确定校准。</x:v>
      </x:c>
      <x:c r="Q143" s="25" t="str"/>
      <x:c r="R143" s="24" t="str">
        <x:f>IF(Q143&lt;&gt;"",Q143,O143)</x:f>
        <x:v>2</x:v>
      </x:c>
      <x:c r="S143" s="29" t="str"/>
    </x:row>
    <x:row r="144" ht="54" customHeight="1">
      <x:c r="A144" s="17" t="str">
        <x:v>csq008-r03</x:v>
      </x:c>
      <x:c r="B144" s="17" t="str">
        <x:v>csq008</x:v>
      </x:c>
      <x:c r="C144" s="17" t="str">
        <x:v>machine_learning</x:v>
      </x:c>
      <x:c r="D144" s="17" t="str">
        <x:v>uncertainty_calibration</x:v>
      </x:c>
      <x:c r="E144" s="27" t="str">
        <x:v>Which metrics and benchmark protocols are used to evaluate uncertainty calibration in deep neural networks, and what failure modes do these metrics miss?</x:v>
      </x:c>
      <x:c r="F144" s="22" t="n">
        <x:v>3</x:v>
      </x:c>
      <x:c r="G144" s="17" t="str">
        <x:v>arXiv:2106.14662</x:v>
      </x:c>
      <x:c r="H144" s="27" t="str">
        <x:v>Improving Uncertainty Calibration of Deep Neural Networks via Truth Discovery and Geometric Optimization</x:v>
      </x:c>
      <x:c r="I144" s="17" t="str">
        <x:v>Chunwei Ma; Ziyun Huang; Jiayi Xian; Mingchen Gao; Jinhui Xu</x:v>
      </x:c>
      <x:c r="J144" s="22" t="n">
        <x:v>2021</x:v>
      </x:c>
      <x:c r="K144" s="27" t="str">
        <x:v>Deep Neural Networks (DNNs), despite their tremendous success in recent years, could still cast doubts on their predictions due to the intrinsic uncertainty associated with their learning process. Ensemble techniques and post-hoc calibrations are two types of approaches that have individually shown promise in improving the uncertainty calibration of DNNs. However, the synergistic effect of the two types of methods has not been well explored. In this paper, we propose a truth discovery framework to integrate ensemble-based and post-hoc calibration methods. Using the geometric variance of the ensemble candidates as a good indicator for sample uncertainty, we design an accuracy-preserving truth estimator with provably no accuracy drop. Furthermore, we show that post-hoc calibration can also be enhanced by truth discovery-regularized optimization. On large-scale datasets including CIFAR and ImageNet, our method shows consistent improvement against state-of-the-art calibration approaches on both histogram-based and kernel density-based evaluation metrics. Our codes are available at https://github.com/horsepurve/truly-uncertain.</x:v>
      </x:c>
      <x:c r="L144" s="17" t="str">
        <x:v>http://arxiv.org/abs/2106.14662v3</x:v>
      </x:c>
      <x:c r="M144" s="23" t="n">
        <x:v>0.7118024139071732</x:v>
      </x:c>
      <x:c r="N144" s="17" t="str">
        <x:v>qwen3-rerank-no-instruct-20260727-125006-results.jsonl</x:v>
      </x:c>
      <x:c r="O144" s="24" t="str">
        <x:v>1</x:v>
      </x:c>
      <x:c r="P144" s="28" t="str">
        <x:v>提出集成与后处理校准法，仅用既有指标验证。</x:v>
      </x:c>
      <x:c r="Q144" s="25" t="str"/>
      <x:c r="R144" s="24" t="str">
        <x:f>IF(Q144&lt;&gt;"",Q144,O144)</x:f>
        <x:v>1</x:v>
      </x:c>
      <x:c r="S144" s="29" t="str"/>
    </x:row>
    <x:row r="145" ht="54" customHeight="1">
      <x:c r="A145" s="17" t="str">
        <x:v>csq008-r04</x:v>
      </x:c>
      <x:c r="B145" s="17" t="str">
        <x:v>csq008</x:v>
      </x:c>
      <x:c r="C145" s="17" t="str">
        <x:v>machine_learning</x:v>
      </x:c>
      <x:c r="D145" s="17" t="str">
        <x:v>uncertainty_calibration</x:v>
      </x:c>
      <x:c r="E145" s="27" t="str">
        <x:v>Which metrics and benchmark protocols are used to evaluate uncertainty calibration in deep neural networks, and what failure modes do these metrics miss?</x:v>
      </x:c>
      <x:c r="F145" s="22" t="n">
        <x:v>4</x:v>
      </x:c>
      <x:c r="G145" s="17" t="str">
        <x:v>arXiv:2309.00464</x:v>
      </x:c>
      <x:c r="H145" s="27" t="str">
        <x:v>A Theoretical and Practical Framework for Evaluating Uncertainty Calibration in Object Detection</x:v>
      </x:c>
      <x:c r="I145" s="17" t="str">
        <x:v>Pedro Conde; Rui L. Lopes; Cristiano Premebida</x:v>
      </x:c>
      <x:c r="J145" s="22" t="n">
        <x:v>2023</x:v>
      </x:c>
      <x:c r="K145" s="27" t="str">
        <x:v>The proliferation of Deep Neural Networks has resulted in machine learning systems becoming increasingly more present in various real-world applications. Consequently, there is a growing demand for highly reliable models in many domains, making the problem of uncertainty calibration pivotal when considering the future of deep learning. This is especially true when considering object detection systems, that are commonly present in safety-critical applications such as autonomous driving, robotics and medical diagnosis. For this reason, this work presents a novel theoretical and practical framework to evaluate object detection systems in the context of uncertainty calibration. This encompasses a new comprehensive formulation of this concept through distinct formal definitions, and also three novel evaluation metrics derived from such theoretical foundation. The robustness of the proposed uncertainty calibration metrics is shown through a series of representative experiments.</x:v>
      </x:c>
      <x:c r="L145" s="17" t="str">
        <x:v>http://arxiv.org/abs/2309.00464v2</x:v>
      </x:c>
      <x:c r="M145" s="23" t="n">
        <x:v>0.700520158736115</x:v>
      </x:c>
      <x:c r="N145" s="17" t="str">
        <x:v>qwen3-rerank-no-instruct-20260727-125006-results.jsonl</x:v>
      </x:c>
      <x:c r="O145" s="24" t="str">
        <x:v>2</x:v>
      </x:c>
      <x:c r="P145" s="28" t="str">
        <x:v>为目标检测提出校准定义、三种指标和稳健实验协议。</x:v>
      </x:c>
      <x:c r="Q145" s="25" t="str"/>
      <x:c r="R145" s="24" t="str">
        <x:f>IF(Q145&lt;&gt;"",Q145,O145)</x:f>
        <x:v>2</x:v>
      </x:c>
      <x:c r="S145" s="29" t="str"/>
    </x:row>
    <x:row r="146" ht="54" customHeight="1">
      <x:c r="A146" s="17" t="str">
        <x:v>csq008-r05</x:v>
      </x:c>
      <x:c r="B146" s="17" t="str">
        <x:v>csq008</x:v>
      </x:c>
      <x:c r="C146" s="17" t="str">
        <x:v>machine_learning</x:v>
      </x:c>
      <x:c r="D146" s="17" t="str">
        <x:v>uncertainty_calibration</x:v>
      </x:c>
      <x:c r="E146" s="27" t="str">
        <x:v>Which metrics and benchmark protocols are used to evaluate uncertainty calibration in deep neural networks, and what failure modes do these metrics miss?</x:v>
      </x:c>
      <x:c r="F146" s="22" t="n">
        <x:v>5</x:v>
      </x:c>
      <x:c r="G146" s="17" t="str">
        <x:v>arXiv:2304.05104</x:v>
      </x:c>
      <x:c r="H146" s="27" t="str">
        <x:v>Approaching Test Time Augmentation in the Context of Uncertainty Calibration for Deep Neural Networks</x:v>
      </x:c>
      <x:c r="I146" s="17" t="str">
        <x:v>Pedro Conde; Tiago Barros; Rui L. Lopes; Cristiano Premebida; Urbano J. Nunes</x:v>
      </x:c>
      <x:c r="J146" s="22" t="n">
        <x:v>2023</x:v>
      </x:c>
      <x:c r="K146" s="27" t="str">
        <x:v>With the rise of Deep Neural Networks, machine learning systems are nowadays ubiquitous in a number of real-world applications, which bears the need for highly reliable models. This requires a thorough look not only at the accuracy of such systems, but also at their predictive uncertainty. Hence, we propose a novel technique (with two different variations, named M-ATTA and V-ATTA) based on test time augmentation, to improve the uncertainty calibration of deep models for image classification. By leveraging na adaptive weighting system, M/V-ATTA improves uncertainty calibration without affecting the model's accuracy. The performance of these techniques is evaluated by considering diverse metrics related to uncertainty calibration, demonstrating their robustness. Empirical results, obtained on CIFAR-10, CIFAR-100, Aerial Image Dataset, as well as in two different scenarios under distribution-shift, indicate that the proposed methods outperform several state-of-the-art post-hoc calibration techniques. Furthermore, the methods proposed also show improvements in terms of predictive entropy on out-of-distribution samples. Code for M/V-ATTA available at: https://github.com/pedrormconde/MV-ATTA</x:v>
      </x:c>
      <x:c r="L146" s="17" t="str">
        <x:v>http://arxiv.org/abs/2304.05104v2</x:v>
      </x:c>
      <x:c r="M146" s="23" t="n">
        <x:v>0.6719115960311008</x:v>
      </x:c>
      <x:c r="N146" s="17" t="str">
        <x:v>qwen3-rerank-no-instruct-20260727-125006-results.jsonl</x:v>
      </x:c>
      <x:c r="O146" s="24" t="str">
        <x:v>2</x:v>
      </x:c>
      <x:c r="P146" s="28" t="str">
        <x:v>跨数据集、分布偏移和多种指标评估测试时增强校准。</x:v>
      </x:c>
      <x:c r="Q146" s="25" t="str"/>
      <x:c r="R146" s="24" t="str">
        <x:f>IF(Q146&lt;&gt;"",Q146,O146)</x:f>
        <x:v>2</x:v>
      </x:c>
      <x:c r="S146" s="29" t="str"/>
    </x:row>
    <x:row r="147" ht="54" customHeight="1">
      <x:c r="A147" s="17" t="str">
        <x:v>csq008-r06</x:v>
      </x:c>
      <x:c r="B147" s="17" t="str">
        <x:v>csq008</x:v>
      </x:c>
      <x:c r="C147" s="17" t="str">
        <x:v>machine_learning</x:v>
      </x:c>
      <x:c r="D147" s="17" t="str">
        <x:v>uncertainty_calibration</x:v>
      </x:c>
      <x:c r="E147" s="27" t="str">
        <x:v>Which metrics and benchmark protocols are used to evaluate uncertainty calibration in deep neural networks, and what failure modes do these metrics miss?</x:v>
      </x:c>
      <x:c r="F147" s="22" t="n">
        <x:v>6</x:v>
      </x:c>
      <x:c r="G147" s="17" t="str">
        <x:v>arXiv:2210.02935</x:v>
      </x:c>
      <x:c r="H147" s="27" t="str">
        <x:v>A Review of Uncertainty Calibration in Pretrained Object Detectors</x:v>
      </x:c>
      <x:c r="I147" s="17" t="str">
        <x:v>Denis Huseljic; Marek Herde; Mehmet Muejde; Bernhard Sick</x:v>
      </x:c>
      <x:c r="J147" s="22" t="n">
        <x:v>2022</x:v>
      </x:c>
      <x:c r="K147" s="27" t="str">
        <x:v>In the field of deep learning based computer vision, the development of deep object detection has led to unique paradigms (e.g., two-stage or set-based) and architectures (e.g., Faster-RCNN or DETR) which enable outstanding performance on challenging benchmark datasets. Despite this, the trained object detectors typically do not reliably assess uncertainty regarding their own knowledge, and the quality of their probabilistic predictions is usually poor. As these are often used to make subsequent decisions, such inaccurate probabilistic predictions must be avoided. In this work, we investigate the uncertainty calibration properties of different pretrained object detection architectures in a multi-class setting. We propose a framework to ensure a fair, unbiased, and repeatable evaluation and conduct detailed analyses assessing the calibration under distributional changes (e.g., distributional shift and application to out-of-distribution data). Furthermore, by investigating the influence of different detector paradigms, post-processing steps, and suitable choices of metrics, we deliver novel insights into why poor detector calibration emerges. Based on these insights, we are able to improve the calibration of a detector by simply finetuning its last layer.</x:v>
      </x:c>
      <x:c r="L147" s="17" t="str">
        <x:v>http://arxiv.org/abs/2210.02935v1</x:v>
      </x:c>
      <x:c r="M147" s="23" t="n">
        <x:v>0.6643373209531909</x:v>
      </x:c>
      <x:c r="N147" s="17" t="str">
        <x:v>qwen3-rerank-no-instruct-20260727-125006-results.jsonl</x:v>
      </x:c>
      <x:c r="O147" s="24" t="str">
        <x:v>2</x:v>
      </x:c>
      <x:c r="P147" s="28" t="str">
        <x:v>综述预训练目标检测器校准方法、指标与评估设置。</x:v>
      </x:c>
      <x:c r="Q147" s="25" t="str"/>
      <x:c r="R147" s="24" t="str">
        <x:f>IF(Q147&lt;&gt;"",Q147,O147)</x:f>
        <x:v>2</x:v>
      </x:c>
      <x:c r="S147" s="29" t="str"/>
    </x:row>
    <x:row r="148" ht="54" customHeight="1">
      <x:c r="A148" s="17" t="str">
        <x:v>csq008-r07</x:v>
      </x:c>
      <x:c r="B148" s="17" t="str">
        <x:v>csq008</x:v>
      </x:c>
      <x:c r="C148" s="17" t="str">
        <x:v>machine_learning</x:v>
      </x:c>
      <x:c r="D148" s="17" t="str">
        <x:v>uncertainty_calibration</x:v>
      </x:c>
      <x:c r="E148" s="27" t="str">
        <x:v>Which metrics and benchmark protocols are used to evaluate uncertainty calibration in deep neural networks, and what failure modes do these metrics miss?</x:v>
      </x:c>
      <x:c r="F148" s="22" t="n">
        <x:v>7</x:v>
      </x:c>
      <x:c r="G148" s="17" t="str">
        <x:v>arXiv:2206.07795</x:v>
      </x:c>
      <x:c r="H148" s="27" t="str">
        <x:v>On Calibrated Model Uncertainty in Deep Learning</x:v>
      </x:c>
      <x:c r="I148" s="17" t="str">
        <x:v>Biraja Ghoshal; Allan Tucker</x:v>
      </x:c>
      <x:c r="J148" s="22" t="n">
        <x:v>2022</x:v>
      </x:c>
      <x:c r="K148" s="27" t="str">
        <x:v>Estimated uncertainty by approximate posteriors in Bayesian neural networks are prone to miscalibration, which leads to overconfident predictions in critical tasks that have a clear asymmetric cost or significant losses. Here, we extend the approximate inference for the loss-calibrated Bayesian framework to dropweights based Bayesian neural networks by maximising expected utility over a model posterior to calibrate uncertainty in deep learning. Furthermore, we show that decisions informed by loss-calibrated uncertainty can improve diagnostic performance to a greater extent than straightforward alternatives. We propose Maximum Uncertainty Calibration Error (MUCE) as a metric to measure calibrated confidence, in addition to its prediction especially for high-risk applications, where the goal is to minimise the worst-case deviation between error and estimated uncertainty. In experiments, we show the correlation between error in prediction and estimated uncertainty by interpreting Wasserstein distance as the accuracy of prediction. We evaluated the effectiveness of our approach to detecting Covid-19 from X-Ray images. Experimental results show that our method reduces miscalibration considerably, without impacting the models accuracy and improves reliability of computer-based diagnostics.</x:v>
      </x:c>
      <x:c r="L148" s="17" t="str">
        <x:v>http://arxiv.org/abs/2206.07795v1</x:v>
      </x:c>
      <x:c r="M148" s="23" t="n">
        <x:v>0.6562178884839093</x:v>
      </x:c>
      <x:c r="N148" s="17" t="str">
        <x:v>qwen3-rerank-no-instruct-20260727-125006-results.jsonl</x:v>
      </x:c>
      <x:c r="O148" s="24" t="str">
        <x:v>2</x:v>
      </x:c>
      <x:c r="P148" s="28" t="str">
        <x:v>直接研究深度学习模型不确定性何时可称为校准。</x:v>
      </x:c>
      <x:c r="Q148" s="25" t="str"/>
      <x:c r="R148" s="24" t="str">
        <x:f>IF(Q148&lt;&gt;"",Q148,O148)</x:f>
        <x:v>2</x:v>
      </x:c>
      <x:c r="S148" s="29" t="str"/>
    </x:row>
    <x:row r="149" ht="54" customHeight="1">
      <x:c r="A149" s="17" t="str">
        <x:v>csq008-r08</x:v>
      </x:c>
      <x:c r="B149" s="17" t="str">
        <x:v>csq008</x:v>
      </x:c>
      <x:c r="C149" s="17" t="str">
        <x:v>machine_learning</x:v>
      </x:c>
      <x:c r="D149" s="17" t="str">
        <x:v>uncertainty_calibration</x:v>
      </x:c>
      <x:c r="E149" s="27" t="str">
        <x:v>Which metrics and benchmark protocols are used to evaluate uncertainty calibration in deep neural networks, and what failure modes do these metrics miss?</x:v>
      </x:c>
      <x:c r="F149" s="22" t="n">
        <x:v>8</x:v>
      </x:c>
      <x:c r="G149" s="17" t="str">
        <x:v>arXiv:2206.13071</x:v>
      </x:c>
      <x:c r="H149" s="27" t="str">
        <x:v>Uncertainty Calibration for Deep Audio Classifiers</x:v>
      </x:c>
      <x:c r="I149" s="17" t="str">
        <x:v>Tong Ye; Shijing Si; Jianzong Wang; Ning Cheng; Jing Xiao</x:v>
      </x:c>
      <x:c r="J149" s="22" t="n">
        <x:v>2022</x:v>
      </x:c>
      <x:c r="K149" s="27" t="str">
        <x:v>Although deep Neural Networks (DNNs) have achieved tremendous success in audio classification tasks, their uncertainty calibration are still under-explored. A well-calibrated model should be accurate when it is certain about its prediction and indicate high uncertainty when it is likely to be inaccurate. In this work, we investigate the uncertainty calibration for deep audio classifiers. In particular, we empirically study the performance of popular calibration methods: (i) Monte Carlo Dropout, (ii) ensemble, (iii) focal loss, and (iv) spectral-normalized Gaussian process (SNGP), on audio classification datasets. To this end, we evaluate (i-iv) for the tasks of environment sound and music genre classification. Results indicate that uncalibrated deep audio classifiers may be over-confident, and SNGP performs the best and is very efficient on the two datasets of this paper.</x:v>
      </x:c>
      <x:c r="L149" s="17" t="str">
        <x:v>http://arxiv.org/abs/2206.13071v1</x:v>
      </x:c>
      <x:c r="M149" s="23" t="n">
        <x:v>0.6237860351005409</x:v>
      </x:c>
      <x:c r="N149" s="17" t="str">
        <x:v>qwen3-rerank-no-instruct-20260727-125006-results.jsonl</x:v>
      </x:c>
      <x:c r="O149" s="24" t="str">
        <x:v>1</x:v>
      </x:c>
      <x:c r="P149" s="28" t="str">
        <x:v>比较音频模型校准方法，但指标盲点不是核心。</x:v>
      </x:c>
      <x:c r="Q149" s="25" t="str"/>
      <x:c r="R149" s="24" t="str">
        <x:f>IF(Q149&lt;&gt;"",Q149,O149)</x:f>
        <x:v>1</x:v>
      </x:c>
      <x:c r="S149" s="29" t="str"/>
    </x:row>
    <x:row r="150" ht="54" customHeight="1">
      <x:c r="A150" s="17" t="str">
        <x:v>csq008-r09</x:v>
      </x:c>
      <x:c r="B150" s="17" t="str">
        <x:v>csq008</x:v>
      </x:c>
      <x:c r="C150" s="17" t="str">
        <x:v>machine_learning</x:v>
      </x:c>
      <x:c r="D150" s="17" t="str">
        <x:v>uncertainty_calibration</x:v>
      </x:c>
      <x:c r="E150" s="27" t="str">
        <x:v>Which metrics and benchmark protocols are used to evaluate uncertainty calibration in deep neural networks, and what failure modes do these metrics miss?</x:v>
      </x:c>
      <x:c r="F150" s="22" t="n">
        <x:v>9</x:v>
      </x:c>
      <x:c r="G150" s="17" t="str">
        <x:v>arXiv:2102.12182</x:v>
      </x:c>
      <x:c r="H150" s="27" t="str">
        <x:v>Parameterized Temperature Scaling for Boosting the Expressive Power in Post-Hoc Uncertainty Calibration</x:v>
      </x:c>
      <x:c r="I150" s="17" t="str">
        <x:v>Christian Tomani; Daniel Cremers; Florian Buettner</x:v>
      </x:c>
      <x:c r="J150" s="22" t="n">
        <x:v>2021</x:v>
      </x:c>
      <x:c r="K150" s="27" t="str">
        <x:v>We address the problem of uncertainty calibration and introduce a novel calibration method, Parametrized Temperature Scaling (PTS). Standard deep neural networks typically yield uncalibrated predictions, which can be transformed into calibrated confidence scores using post-hoc calibration methods. In this contribution, we demonstrate that the performance of accuracy-preserving state-of-the-art post-hoc calibrators is limited by their intrinsic expressive power. We generalize temperature scaling by computing prediction-specific temperatures, parameterized by a neural network. We show with extensive experiments that our novel accuracy-preserving approach consistently outperforms existing algorithms across a large number of model architectures, datasets and metrics.</x:v>
      </x:c>
      <x:c r="L150" s="17" t="str">
        <x:v>http://arxiv.org/abs/2102.12182v2</x:v>
      </x:c>
      <x:c r="M150" s="23" t="n">
        <x:v>0.58827913986053</x:v>
      </x:c>
      <x:c r="N150" s="17" t="str">
        <x:v>qwen3-rerank-no-instruct-20260727-125006-results.jsonl</x:v>
      </x:c>
      <x:c r="O150" s="24" t="str">
        <x:v>1</x:v>
      </x:c>
      <x:c r="P150" s="28" t="str">
        <x:v>提出参数化温度缩放，未研究评估指标失效。</x:v>
      </x:c>
      <x:c r="Q150" s="25" t="str"/>
      <x:c r="R150" s="24" t="str">
        <x:f>IF(Q150&lt;&gt;"",Q150,O150)</x:f>
        <x:v>1</x:v>
      </x:c>
      <x:c r="S150" s="29" t="str"/>
    </x:row>
    <x:row r="151" ht="54" customHeight="1">
      <x:c r="A151" s="17" t="str">
        <x:v>csq008-r10</x:v>
      </x:c>
      <x:c r="B151" s="17" t="str">
        <x:v>csq008</x:v>
      </x:c>
      <x:c r="C151" s="17" t="str">
        <x:v>machine_learning</x:v>
      </x:c>
      <x:c r="D151" s="17" t="str">
        <x:v>uncertainty_calibration</x:v>
      </x:c>
      <x:c r="E151" s="27" t="str">
        <x:v>Which metrics and benchmark protocols are used to evaluate uncertainty calibration in deep neural networks, and what failure modes do these metrics miss?</x:v>
      </x:c>
      <x:c r="F151" s="22" t="n">
        <x:v>10</x:v>
      </x:c>
      <x:c r="G151" s="17" t="str">
        <x:v>arXiv:2511.08261</x:v>
      </x:c>
      <x:c r="H151" s="27" t="str">
        <x:v>Uncertainty Calibration of Multi-Label Bird Sound Classifiers</x:v>
      </x:c>
      <x:c r="I151" s="17" t="str">
        <x:v>Raphael Schwinger; Ben McEwen; Vincent S. Kather; René Heinrich; Lukas Rauch; Sven Tomforde</x:v>
      </x:c>
      <x:c r="J151" s="22" t="n">
        <x:v>2025</x:v>
      </x:c>
      <x:c r="K151" s="27" t="str">
        <x:v>Passive acoustic monitoring enables large-scale biodiversity assessment, but reliable classification of bioacoustic sounds requires not only high accuracy but also well-calibrated uncertainty estimates to ground decision-making. In bioacoustics, calibration is challenged by overlapping vocalisations, long-tailed species distributions, and distribution shifts between training and deployment data. The calibration of multi-label deep learning classifiers within the domain of bioacoustics has not yet been assessed. We systematically benchmark the calibration of four state-of-the-art multi-label bird sound classifiers on the BirdSet benchmark, evaluating both global, per-dataset and per-class calibration using threshold-free calibration metrics (ECE, MCS) alongside discrimination metrics (cmAP). Model calibration varies significantly across datasets and classes. While Perch v2 and ConvNeXt$_{BS}$ show better global calibration, results vary between datasets. Both models indicate consistent underconfidence, while AudioProtoPNet and BirdMAE are mostly overconfident. Surprisingly, calibration seems to be better for less frequent classes. Using simple post hoc calibration methods we demonstrate a straightforward way to improve calibration. A small labelled calibration set is sufficient to significantly improve calibration with Platt scaling, while global calibration parameters suffer from dataset variability. Our findings highlight the importance of evaluating and improving uncertainty calibration in bioacoustic classifiers.</x:v>
      </x:c>
      <x:c r="L151" s="17" t="str">
        <x:v>http://arxiv.org/abs/2511.08261v2</x:v>
      </x:c>
      <x:c r="M151" s="23" t="n">
        <x:v>0.586240516983942</x:v>
      </x:c>
      <x:c r="N151" s="17" t="str">
        <x:v>qwen3-rerank-no-instruct-20260727-125006-results.jsonl</x:v>
      </x:c>
      <x:c r="O151" s="24" t="str">
        <x:v>2</x:v>
      </x:c>
      <x:c r="P151" s="28" t="str">
        <x:v>以全局、数据集级、类别级ECE和MCS揭示聚合差异。</x:v>
      </x:c>
      <x:c r="Q151" s="25" t="str"/>
      <x:c r="R151" s="24" t="str">
        <x:f>IF(Q151&lt;&gt;"",Q151,O151)</x:f>
        <x:v>2</x:v>
      </x:c>
      <x:c r="S151" s="29" t="str"/>
    </x:row>
    <x:row r="152" ht="54" customHeight="1">
      <x:c r="A152" s="17" t="str">
        <x:v>csq008-r11</x:v>
      </x:c>
      <x:c r="B152" s="17" t="str">
        <x:v>csq008</x:v>
      </x:c>
      <x:c r="C152" s="17" t="str">
        <x:v>machine_learning</x:v>
      </x:c>
      <x:c r="D152" s="17" t="str">
        <x:v>uncertainty_calibration</x:v>
      </x:c>
      <x:c r="E152" s="27" t="str">
        <x:v>Which metrics and benchmark protocols are used to evaluate uncertainty calibration in deep neural networks, and what failure modes do these metrics miss?</x:v>
      </x:c>
      <x:c r="F152" s="22" t="n">
        <x:v>11</x:v>
      </x:c>
      <x:c r="G152" s="17" t="str">
        <x:v>arXiv:2006.08437</x:v>
      </x:c>
      <x:c r="H152" s="27" t="str">
        <x:v>Depth Uncertainty in Neural Networks</x:v>
      </x:c>
      <x:c r="I152" s="17" t="str">
        <x:v>Javier Antorán; James Urquhart Allingham; José Miguel Hernández-Lobato</x:v>
      </x:c>
      <x:c r="J152" s="22" t="n">
        <x:v>2020</x:v>
      </x:c>
      <x:c r="K152" s="27" t="str">
        <x:v>Existing methods for estimating uncertainty in deep learning tend to require multiple forward passes, making them unsuitable for applications where computational resources are limited. To solve this, we perform probabilistic reasoning over the depth of neural networks. Different depths correspond to subnetworks which share weights and whose predictions are combined via marginalisation, yielding model uncertainty. By exploiting the sequential structure of feed-forward networks, we are able to both evaluate our training objective and make predictions with a single forward pass. We validate our approach on real-world regression and image classification tasks. Our approach provides uncertainty calibration, robustness to dataset shift, and accuracies competitive with more computationally expensive baselines.</x:v>
      </x:c>
      <x:c r="L152" s="17" t="str">
        <x:v>http://arxiv.org/abs/2006.08437v3</x:v>
      </x:c>
      <x:c r="M152" s="23" t="n">
        <x:v>0.5856369503175846</x:v>
      </x:c>
      <x:c r="N152" s="17" t="str">
        <x:v>qwen3-rerank-no-instruct-20260727-125006-results.jsonl</x:v>
      </x:c>
      <x:c r="O152" s="24" t="str">
        <x:v>1</x:v>
      </x:c>
      <x:c r="P152" s="28" t="str">
        <x:v>研究深度预测不确定性，是否涵盖通用校准指标并不明确。</x:v>
      </x:c>
      <x:c r="Q152" s="25" t="str"/>
      <x:c r="R152" s="24" t="str">
        <x:f>IF(Q152&lt;&gt;"",Q152,O152)</x:f>
        <x:v>1</x:v>
      </x:c>
      <x:c r="S152" s="29" t="str"/>
    </x:row>
    <x:row r="153" ht="54" customHeight="1">
      <x:c r="A153" s="17" t="str">
        <x:v>csq008-r12</x:v>
      </x:c>
      <x:c r="B153" s="17" t="str">
        <x:v>csq008</x:v>
      </x:c>
      <x:c r="C153" s="17" t="str">
        <x:v>machine_learning</x:v>
      </x:c>
      <x:c r="D153" s="17" t="str">
        <x:v>uncertainty_calibration</x:v>
      </x:c>
      <x:c r="E153" s="27" t="str">
        <x:v>Which metrics and benchmark protocols are used to evaluate uncertainty calibration in deep neural networks, and what failure modes do these metrics miss?</x:v>
      </x:c>
      <x:c r="F153" s="22" t="n">
        <x:v>12</x:v>
      </x:c>
      <x:c r="G153" s="17" t="str">
        <x:v>arXiv:2510.21691</x:v>
      </x:c>
      <x:c r="H153" s="27" t="str">
        <x:v>On Uncertainty Calibration for Equivariant Functions</x:v>
      </x:c>
      <x:c r="I153" s="17" t="str">
        <x:v>Edward Berman; Jacob Ginesin; Marco Pacini; Robin Walters</x:v>
      </x:c>
      <x:c r="J153" s="22" t="n">
        <x:v>2025</x:v>
      </x:c>
      <x:c r="K153" s="27" t="str">
        <x:v>Data-sparse settings such as robotic manipulation, molecular physics, and galaxy morphology classification are some of the hardest domains for deep learning. For these problems, equivariant networks can help improve modeling across undersampled parts of the input space, and uncertainty estimation can guard against overconfidence. However, until now, the relationships between equivariance and model confidence, and more generally equivariance and model calibration, has yet to be studied. Since traditional classification and regression error terms show up in the definitions of calibration error, it is natural to suspect that previous work can be used to help understand the relationship between equivariance and calibration error. In this work, we present a theory relating equivariance to uncertainty estimation. By proving lower and upper bounds on uncertainty calibration errors (ECE and ENCE) under various equivariance conditions, we elucidate the generalization limits of equivariant models and illustrate how symmetry mismatch can result in miscalibration in both classification and regression. We complement our theoretical framework with numerical experiments that clarify the relationship between equivariance and uncertainty using a variety of real and simulated datasets, and we comment on trends with symmetry mismatch, group size, and aleatoric and epistemic uncertainties.</x:v>
      </x:c>
      <x:c r="L153" s="17" t="str">
        <x:v>http://arxiv.org/abs/2510.21691v4</x:v>
      </x:c>
      <x:c r="M153" s="23" t="n">
        <x:v>0.5854661436826861</x:v>
      </x:c>
      <x:c r="N153" s="17" t="str">
        <x:v>qwen3-rerank-no-instruct-20260727-125006-results.jsonl</x:v>
      </x:c>
      <x:c r="O153" s="24" t="str">
        <x:v>2</x:v>
      </x:c>
      <x:c r="P153" s="28" t="str">
        <x:v>理论分析ECE和ENCE在等变与对称失配下的界限。</x:v>
      </x:c>
      <x:c r="Q153" s="25" t="str"/>
      <x:c r="R153" s="24" t="str">
        <x:f>IF(Q153&lt;&gt;"",Q153,O153)</x:f>
        <x:v>2</x:v>
      </x:c>
      <x:c r="S153" s="29" t="str"/>
    </x:row>
    <x:row r="154" ht="54" customHeight="1">
      <x:c r="A154" s="17" t="str">
        <x:v>csq008-r13</x:v>
      </x:c>
      <x:c r="B154" s="17" t="str">
        <x:v>csq008</x:v>
      </x:c>
      <x:c r="C154" s="17" t="str">
        <x:v>machine_learning</x:v>
      </x:c>
      <x:c r="D154" s="17" t="str">
        <x:v>uncertainty_calibration</x:v>
      </x:c>
      <x:c r="E154" s="27" t="str">
        <x:v>Which metrics and benchmark protocols are used to evaluate uncertainty calibration in deep neural networks, and what failure modes do these metrics miss?</x:v>
      </x:c>
      <x:c r="F154" s="22" t="n">
        <x:v>13</x:v>
      </x:c>
      <x:c r="G154" s="17" t="str">
        <x:v>arXiv:2407.12330</x:v>
      </x:c>
      <x:c r="H154" s="27" t="str">
        <x:v>Uncertainty Calibration with Energy Based Instance-wise Scaling in the Wild Dataset</x:v>
      </x:c>
      <x:c r="I154" s="17" t="str">
        <x:v>Mijoo Kim; Junseok Kwon</x:v>
      </x:c>
      <x:c r="J154" s="22" t="n">
        <x:v>2024</x:v>
      </x:c>
      <x:c r="K154" s="27" t="str">
        <x:v>With the rapid advancement in the performance of deep neural networks (DNNs), there has been significant interest in deploying and incorporating artificial intelligence (AI) systems into real-world scenarios. However, many DNNs lack the ability to represent uncertainty, often exhibiting excessive confidence even when making incorrect predictions. To ensure the reliability of AI systems, particularly in safety-critical cases, DNNs should transparently reflect the uncertainty in their predictions. In this paper, we investigate robust post-hoc uncertainty calibration methods for DNNs within the context of multi-class classification tasks. While previous studies have made notable progress, they still face challenges in achieving robust calibration, particularly in scenarios involving out-of-distribution (OOD). We identify that previous methods lack adaptability to individual input data and struggle to accurately estimate uncertainty when processing inputs drawn from the wild dataset. To address this issue, we introduce a novel instance-wise calibration method based on an energy model. Our method incorporates energy scores instead of softmax confidence scores, allowing for adaptive consideration of DNN uncertainty for each prediction within a logit space. In experiments, we show that the proposed method consistently maintains robust performance across the spectrum, spanning from in-distribution to OOD scenarios, when compared to other state-of-the-art methods.</x:v>
      </x:c>
      <x:c r="L154" s="17" t="str">
        <x:v>http://arxiv.org/abs/2407.12330v1</x:v>
      </x:c>
      <x:c r="M154" s="23" t="n">
        <x:v>0.5711063673222948</x:v>
      </x:c>
      <x:c r="N154" s="17" t="str">
        <x:v>qwen3-rerank-no-instruct-20260727-125006-results.jsonl</x:v>
      </x:c>
      <x:c r="O154" s="24" t="str">
        <x:v>1</x:v>
      </x:c>
      <x:c r="P154" s="28" t="str">
        <x:v>针对OOD提出能量缩放校准器，重点不是指标遗漏。</x:v>
      </x:c>
      <x:c r="Q154" s="25" t="str"/>
      <x:c r="R154" s="24" t="str">
        <x:f>IF(Q154&lt;&gt;"",Q154,O154)</x:f>
        <x:v>1</x:v>
      </x:c>
      <x:c r="S154" s="29" t="str"/>
    </x:row>
    <x:row r="155" ht="54" customHeight="1">
      <x:c r="A155" s="17" t="str">
        <x:v>csq008-r14</x:v>
      </x:c>
      <x:c r="B155" s="17" t="str">
        <x:v>csq008</x:v>
      </x:c>
      <x:c r="C155" s="17" t="str">
        <x:v>machine_learning</x:v>
      </x:c>
      <x:c r="D155" s="17" t="str">
        <x:v>uncertainty_calibration</x:v>
      </x:c>
      <x:c r="E155" s="27" t="str">
        <x:v>Which metrics and benchmark protocols are used to evaluate uncertainty calibration in deep neural networks, and what failure modes do these metrics miss?</x:v>
      </x:c>
      <x:c r="F155" s="22" t="n">
        <x:v>14</x:v>
      </x:c>
      <x:c r="G155" s="17" t="str">
        <x:v>arXiv:2012.10988</x:v>
      </x:c>
      <x:c r="H155" s="27" t="str">
        <x:v>Post-hoc Uncertainty Calibration for Domain Drift Scenarios</x:v>
      </x:c>
      <x:c r="I155" s="17" t="str">
        <x:v>Christian Tomani; Sebastian Gruber; Muhammed Ebrar Erdem; Daniel Cremers; Florian Buettner</x:v>
      </x:c>
      <x:c r="J155" s="22" t="n">
        <x:v>2020</x:v>
      </x:c>
      <x:c r="K155" s="27" t="str">
        <x:v>We address the problem of uncertainty calibration. While standard deep neural networks typically yield uncalibrated predictions, calibrated confidence scores that are representative of the true likelihood of a prediction can be achieved using post-hoc calibration methods. However, to date the focus of these approaches has been on in-domain calibration. Our contribution is two-fold. First, we show that existing post-hoc calibration methods yield highly over-confident predictions under domain shift. Second, we introduce a simple strategy where perturbations are applied to samples in the validation set before performing the post-hoc calibration step. In extensive experiments, we demonstrate that this perturbation step results in substantially better calibration under domain shift on a wide range of architectures and modelling tasks.</x:v>
      </x:c>
      <x:c r="L155" s="17" t="str">
        <x:v>http://arxiv.org/abs/2012.10988v2</x:v>
      </x:c>
      <x:c r="M155" s="23" t="n">
        <x:v>0.5637034513788846</x:v>
      </x:c>
      <x:c r="N155" s="17" t="str">
        <x:v>qwen3-rerank-no-instruct-20260727-125006-results.jsonl</x:v>
      </x:c>
      <x:c r="O155" s="24" t="str">
        <x:v>2</x:v>
      </x:c>
      <x:c r="P155" s="28" t="str">
        <x:v>直接评估域漂移下后处理校准的失效模式。</x:v>
      </x:c>
      <x:c r="Q155" s="25" t="str"/>
      <x:c r="R155" s="24" t="str">
        <x:f>IF(Q155&lt;&gt;"",Q155,O155)</x:f>
        <x:v>2</x:v>
      </x:c>
      <x:c r="S155" s="29" t="str"/>
    </x:row>
    <x:row r="156" ht="54" customHeight="1">
      <x:c r="A156" s="17" t="str">
        <x:v>csq008-r15</x:v>
      </x:c>
      <x:c r="B156" s="17" t="str">
        <x:v>csq008</x:v>
      </x:c>
      <x:c r="C156" s="17" t="str">
        <x:v>machine_learning</x:v>
      </x:c>
      <x:c r="D156" s="17" t="str">
        <x:v>uncertainty_calibration</x:v>
      </x:c>
      <x:c r="E156" s="27" t="str">
        <x:v>Which metrics and benchmark protocols are used to evaluate uncertainty calibration in deep neural networks, and what failure modes do these metrics miss?</x:v>
      </x:c>
      <x:c r="F156" s="22" t="n">
        <x:v>15</x:v>
      </x:c>
      <x:c r="G156" s="17" t="str">
        <x:v>arXiv:2501.10089</x:v>
      </x:c>
      <x:c r="H156" s="27" t="str">
        <x:v>Classifier Ensemble for Efficient Uncertainty Calibration of Deep Neural Networks for Image Classification</x:v>
      </x:c>
      <x:c r="I156" s="17" t="str">
        <x:v>Michael Schulze; Nikolas Ebert; Laurenz Reichardt; Oliver Wasenmüller</x:v>
      </x:c>
      <x:c r="J156" s="22" t="n">
        <x:v>2025</x:v>
      </x:c>
      <x:c r="K156" s="27" t="str">
        <x:v>This paper investigates novel classifier ensemble techniques for uncertainty calibration applied to various deep neural networks for image classification. We evaluate both accuracy and calibration metrics, focusing on Expected Calibration Error (ECE) and Maximum Calibration Error (MCE). Our work compares different methods for building simple yet efficient classifier ensembles, including majority voting and several metamodel-based approaches. Our evaluation reveals that while state-of-the-art deep neural networks for image classification achieve high accuracy on standard datasets, they frequently suffer from significant calibration errors. Basic ensemble techniques like majority voting provide modest improvements, while metamodel-based ensembles consistently reduce ECE and MCE across all architectures. Notably, the largest of our compared metamodels demonstrate the most substantial calibration improvements, with minimal impact on accuracy. Moreover, classifier ensembles with metamodels outperform traditional model ensembles in calibration performance, while requiring significantly fewer parameters. In comparison to traditional post-hoc calibration methods, our approach removes the need for a separate calibration dataset. These findings underscore the potential of our proposed metamodel-based classifier ensembles as an efficient and effective approach to improving model calibration, thereby contributing to more reliable deep learning systems.</x:v>
      </x:c>
      <x:c r="L156" s="17" t="str">
        <x:v>http://arxiv.org/abs/2501.10089v1</x:v>
      </x:c>
      <x:c r="M156" s="23" t="n">
        <x:v>0.5625730293311054</x:v>
      </x:c>
      <x:c r="N156" s="17" t="str">
        <x:v>qwen3-rerank-no-instruct-20260727-125006-results.jsonl</x:v>
      </x:c>
      <x:c r="O156" s="24" t="str">
        <x:v>2</x:v>
      </x:c>
      <x:c r="P156" s="28" t="str">
        <x:v>明确使用ECE和MCE并揭示高准确模型仍失校准。</x:v>
      </x:c>
      <x:c r="Q156" s="25" t="str"/>
      <x:c r="R156" s="24" t="str">
        <x:f>IF(Q156&lt;&gt;"",Q156,O156)</x:f>
        <x:v>2</x:v>
      </x:c>
      <x:c r="S156" s="29" t="str"/>
    </x:row>
    <x:row r="157" ht="54" customHeight="1">
      <x:c r="A157" s="17" t="str">
        <x:v>csq008-r16</x:v>
      </x:c>
      <x:c r="B157" s="17" t="str">
        <x:v>csq008</x:v>
      </x:c>
      <x:c r="C157" s="17" t="str">
        <x:v>machine_learning</x:v>
      </x:c>
      <x:c r="D157" s="17" t="str">
        <x:v>uncertainty_calibration</x:v>
      </x:c>
      <x:c r="E157" s="27" t="str">
        <x:v>Which metrics and benchmark protocols are used to evaluate uncertainty calibration in deep neural networks, and what failure modes do these metrics miss?</x:v>
      </x:c>
      <x:c r="F157" s="22" t="n">
        <x:v>16</x:v>
      </x:c>
      <x:c r="G157" s="17" t="str">
        <x:v>arXiv:2010.09494</x:v>
      </x:c>
      <x:c r="H157" s="27" t="str">
        <x:v>Stationary Activations for Uncertainty Calibration in Deep Learning</x:v>
      </x:c>
      <x:c r="I157" s="17" t="str">
        <x:v>Lassi Meronen; Christabella Irwanto; Arno Solin</x:v>
      </x:c>
      <x:c r="J157" s="22" t="n">
        <x:v>2020</x:v>
      </x:c>
      <x:c r="K157" s="27" t="str">
        <x:v>We introduce a new family of non-linear neural network activation functions that mimic the properties induced by the widely-used Matérn family of kernels in Gaussian process (GP) models. This class spans a range of locally stationary models of various degrees of mean-square differentiability. We show an explicit link to the corresponding GP models in the case that the network consists of one infinitely wide hidden layer. In the limit of infinite smoothness the Matérn family results in the RBF kernel, and in this case we recover RBF activations. Matérn activation functions result in similar appealing properties to their counterparts in GP models, and we demonstrate that the local stationarity property together with limited mean-square differentiability shows both good performance and uncertainty calibration in Bayesian deep learning tasks. In particular, local stationarity helps calibrate out-of-distribution (OOD) uncertainty. We demonstrate these properties on classification and regression benchmarks and a radar emitter classification task.</x:v>
      </x:c>
      <x:c r="L157" s="17" t="str">
        <x:v>http://arxiv.org/abs/2010.09494v1</x:v>
      </x:c>
      <x:c r="M157" s="23" t="n">
        <x:v>0.5572113444618991</x:v>
      </x:c>
      <x:c r="N157" s="17" t="str">
        <x:v>qwen3-rerank-no-instruct-20260727-125006-results.jsonl</x:v>
      </x:c>
      <x:c r="O157" s="24" t="str">
        <x:v>1</x:v>
      </x:c>
      <x:c r="P157" s="28" t="str">
        <x:v>以新激活函数改善OOD校准，指标分析并非主要贡献。</x:v>
      </x:c>
      <x:c r="Q157" s="25" t="str"/>
      <x:c r="R157" s="24" t="str">
        <x:f>IF(Q157&lt;&gt;"",Q157,O157)</x:f>
        <x:v>1</x:v>
      </x:c>
      <x:c r="S157" s="29" t="str"/>
    </x:row>
    <x:row r="158" ht="54" customHeight="1">
      <x:c r="A158" s="17" t="str">
        <x:v>csq008-r17</x:v>
      </x:c>
      <x:c r="B158" s="17" t="str">
        <x:v>csq008</x:v>
      </x:c>
      <x:c r="C158" s="17" t="str">
        <x:v>machine_learning</x:v>
      </x:c>
      <x:c r="D158" s="17" t="str">
        <x:v>uncertainty_calibration</x:v>
      </x:c>
      <x:c r="E158" s="27" t="str">
        <x:v>Which metrics and benchmark protocols are used to evaluate uncertainty calibration in deep neural networks, and what failure modes do these metrics miss?</x:v>
      </x:c>
      <x:c r="F158" s="22" t="n">
        <x:v>17</x:v>
      </x:c>
      <x:c r="G158" s="17" t="str">
        <x:v>arXiv:2104.01231</x:v>
      </x:c>
      <x:c r="H158" s="27" t="str">
        <x:v>Diverse Gaussian Noise Consistency Regularization for Robustness and Uncertainty Calibration</x:v>
      </x:c>
      <x:c r="I158" s="17" t="str">
        <x:v>Theodoros Tsiligkaridis; Athanasios Tsiligkaridis</x:v>
      </x:c>
      <x:c r="J158" s="22" t="n">
        <x:v>2021</x:v>
      </x:c>
      <x:c r="K158" s="27" t="str">
        <x:v>Deep neural networks achieve high prediction accuracy when the train and test distributions coincide. In practice though, various types of corruptions occur which deviate from this setup and cause severe performance degradations. Few methods have been proposed to address generalization in the presence of unforeseen domain shifts. In particular, digital noise corruptions arise commonly in practice during the image acquisition stage and present a significant challenge for current methods. In this paper, we propose a diverse Gaussian noise consistency regularization method for improving robustness of image classifiers under a variety of corruptions while still maintaining high clean accuracy. We derive bounds to motivate and understand the behavior of our Gaussian noise consistency regularization using a local loss landscape analysis. Our approach improves robustness against unforeseen noise corruptions by 4.2-18.4% over adversarial training and other strong diverse data augmentation baselines across several benchmarks. Furthermore, it improves robustness and uncertainty calibration by 3.7% and 5.5%, respectively, against all common corruptions (weather, digital, blur, noise) when combined with state-of-the-art diverse data augmentations.</x:v>
      </x:c>
      <x:c r="L158" s="17" t="str">
        <x:v>http://arxiv.org/abs/2104.01231v6</x:v>
      </x:c>
      <x:c r="M158" s="23" t="n">
        <x:v>0.5322404918067072</x:v>
      </x:c>
      <x:c r="N158" s="17" t="str">
        <x:v>qwen3-rerank-no-instruct-20260727-125006-results.jsonl</x:v>
      </x:c>
      <x:c r="O158" s="24" t="str">
        <x:v>1</x:v>
      </x:c>
      <x:c r="P158" s="28" t="str">
        <x:v>提出噪声一致正则改善鲁棒和校准，未分析评价协议。</x:v>
      </x:c>
      <x:c r="Q158" s="25" t="str"/>
      <x:c r="R158" s="24" t="str">
        <x:f>IF(Q158&lt;&gt;"",Q158,O158)</x:f>
        <x:v>1</x:v>
      </x:c>
      <x:c r="S158" s="29" t="str"/>
    </x:row>
    <x:row r="159" ht="54" customHeight="1">
      <x:c r="A159" s="17" t="str">
        <x:v>csq008-r18</x:v>
      </x:c>
      <x:c r="B159" s="17" t="str">
        <x:v>csq008</x:v>
      </x:c>
      <x:c r="C159" s="17" t="str">
        <x:v>machine_learning</x:v>
      </x:c>
      <x:c r="D159" s="17" t="str">
        <x:v>uncertainty_calibration</x:v>
      </x:c>
      <x:c r="E159" s="27" t="str">
        <x:v>Which metrics and benchmark protocols are used to evaluate uncertainty calibration in deep neural networks, and what failure modes do these metrics miss?</x:v>
      </x:c>
      <x:c r="F159" s="22" t="n">
        <x:v>18</x:v>
      </x:c>
      <x:c r="G159" s="17" t="str">
        <x:v>arXiv:2302.06245</x:v>
      </x:c>
      <x:c r="H159" s="27" t="str">
        <x:v>Calibrating a Deep Neural Network with Its Predecessors</x:v>
      </x:c>
      <x:c r="I159" s="17" t="str">
        <x:v>Linwei Tao; Minjing Dong; Daochang Liu; Changming Sun; Chang Xu</x:v>
      </x:c>
      <x:c r="J159" s="22" t="n">
        <x:v>2023</x:v>
      </x:c>
      <x:c r="K159" s="27" t="str">
        <x:v>Confidence calibration - the process to calibrate the output probability distribution of neural networks - is essential for safety-critical applications of such networks. Recent works verify the link between mis-calibration and overfitting. However, early stopping, as a well-known technique to mitigate overfitting, fails to calibrate networks. In this work, we study the limitions of early stopping and comprehensively analyze the overfitting problem of a network considering each individual block. We then propose a novel regularization method, predecessor combination search (PCS), to improve calibration by searching a combination of best-fitting block predecessors, where block predecessors are the corresponding network blocks with weight parameters from earlier training stages. PCS achieves the state-of-the-art calibration performance on multiple datasets and architectures. In addition, PCS improves model robustness under dataset distribution shift.</x:v>
      </x:c>
      <x:c r="L159" s="17" t="str">
        <x:v>http://arxiv.org/abs/2302.06245v2</x:v>
      </x:c>
      <x:c r="M159" s="23" t="n">
        <x:v>0.5222813809113649</x:v>
      </x:c>
      <x:c r="N159" s="17" t="str">
        <x:v>qwen3-rerank-no-instruct-20260727-125006-results.jsonl</x:v>
      </x:c>
      <x:c r="O159" s="24" t="str">
        <x:v>1</x:v>
      </x:c>
      <x:c r="P159" s="28" t="str">
        <x:v>提出前序网络组合校准方法，非指标或benchmark研究。</x:v>
      </x:c>
      <x:c r="Q159" s="25" t="str"/>
      <x:c r="R159" s="24" t="str">
        <x:f>IF(Q159&lt;&gt;"",Q159,O159)</x:f>
        <x:v>1</x:v>
      </x:c>
      <x:c r="S159" s="29" t="str"/>
    </x:row>
    <x:row r="160" ht="54" customHeight="1">
      <x:c r="A160" s="17" t="str">
        <x:v>csq008-r19</x:v>
      </x:c>
      <x:c r="B160" s="17" t="str">
        <x:v>csq008</x:v>
      </x:c>
      <x:c r="C160" s="17" t="str">
        <x:v>machine_learning</x:v>
      </x:c>
      <x:c r="D160" s="17" t="str">
        <x:v>uncertainty_calibration</x:v>
      </x:c>
      <x:c r="E160" s="27" t="str">
        <x:v>Which metrics and benchmark protocols are used to evaluate uncertainty calibration in deep neural networks, and what failure modes do these metrics miss?</x:v>
      </x:c>
      <x:c r="F160" s="22" t="n">
        <x:v>19</x:v>
      </x:c>
      <x:c r="G160" s="17" t="str">
        <x:v>arXiv:1809.10877</x:v>
      </x:c>
      <x:c r="H160" s="27" t="str">
        <x:v>Learning for Single-Shot Confidence Calibration in Deep Neural Networks through Stochastic Inferences</x:v>
      </x:c>
      <x:c r="I160" s="17" t="str">
        <x:v>Seonguk Seo; Paul Hongsuck Seo; Bohyung Han</x:v>
      </x:c>
      <x:c r="J160" s="22" t="n">
        <x:v>2018</x:v>
      </x:c>
      <x:c r="K160" s="27" t="str">
        <x:v>We propose a generic framework to calibrate accuracy and confidence of a prediction in deep neural networks through stochastic inferences. We interpret stochastic regularization using a Bayesian model, and analyze the relation between predictive uncertainty of networks and variance of the prediction scores obtained by stochastic inferences for a single example. Our empirical study shows that the accuracy and the score of a prediction are highly correlated with the variance of multiple stochastic inferences given by stochastic depth or dropout. Motivated by this observation, we design a novel variance-weighted confidence-integrated loss function that is composed of two cross-entropy loss terms with respect to ground-truth and uniform distribution, which are balanced by variance of stochastic prediction scores. The proposed loss function enables us to learn deep neural networks that predict confidence calibrated scores using a single inference. Our algorithm presents outstanding confidence calibration performance and improves classification accuracy when combined with two popular stochastic regularization techniques---stochastic depth and dropout---in multiple models and datasets; it alleviates overconfidence issue in deep neural networks significantly by training networks to achieve prediction accuracy proportional to confidence of prediction.</x:v>
      </x:c>
      <x:c r="L160" s="17" t="str">
        <x:v>http://arxiv.org/abs/1809.10877v5</x:v>
      </x:c>
      <x:c r="M160" s="23" t="n">
        <x:v>0.47094386763591634</x:v>
      </x:c>
      <x:c r="N160" s="17" t="str">
        <x:v>qwen3-rerank-no-instruct-20260727-125006-results.jsonl</x:v>
      </x:c>
      <x:c r="O160" s="24" t="str">
        <x:v>1</x:v>
      </x:c>
      <x:c r="P160" s="28" t="str">
        <x:v>提出随机推理的单次校准训练法，未说明指标盲点。</x:v>
      </x:c>
      <x:c r="Q160" s="25" t="str"/>
      <x:c r="R160" s="24" t="str">
        <x:f>IF(Q160&lt;&gt;"",Q160,O160)</x:f>
        <x:v>1</x:v>
      </x:c>
      <x:c r="S160" s="29" t="str"/>
    </x:row>
    <x:row r="161" ht="54" customHeight="1">
      <x:c r="A161" s="17" t="str">
        <x:v>csq008-r20</x:v>
      </x:c>
      <x:c r="B161" s="17" t="str">
        <x:v>csq008</x:v>
      </x:c>
      <x:c r="C161" s="17" t="str">
        <x:v>machine_learning</x:v>
      </x:c>
      <x:c r="D161" s="17" t="str">
        <x:v>uncertainty_calibration</x:v>
      </x:c>
      <x:c r="E161" s="27" t="str">
        <x:v>Which metrics and benchmark protocols are used to evaluate uncertainty calibration in deep neural networks, and what failure modes do these metrics miss?</x:v>
      </x:c>
      <x:c r="F161" s="22" t="n">
        <x:v>20</x:v>
      </x:c>
      <x:c r="G161" s="17" t="str">
        <x:v>arXiv:2510.08938</x:v>
      </x:c>
      <x:c r="H161" s="27" t="str">
        <x:v>Bi-level Meta-Policy Control for Dynamic Uncertainty Calibration in Evidential Deep Learning</x:v>
      </x:c>
      <x:c r="I161" s="17" t="str">
        <x:v>Zhen Yang; Yansong Ma; Lei Chen</x:v>
      </x:c>
      <x:c r="J161" s="22" t="n">
        <x:v>2025</x:v>
      </x:c>
      <x:c r="K161" s="27" t="str">
        <x:v>Traditional Evidence Deep Learning (EDL) methods rely on static hyperparameter for uncertainty calibration, limiting their adaptability in dynamic data distributions, which results in poor calibration and generalization in high-risk decision-making tasks. To address this limitation, we propose the Meta-Policy Controller (MPC), a dynamic meta-learning framework that adjusts the KL divergence coefficient and Dirichlet prior strengths for optimal uncertainty modeling. Specifically, MPC employs a bi-level optimization approach: in the inner loop, model parameters are updated through a dynamically configured loss function that adapts to the current training state; in the outer loop, a policy network optimizes the KL divergence coefficient and class-specific Dirichlet prior strengths based on multi-objective rewards balancing prediction accuracy and uncertainty quality. Unlike previous methods with fixed priors, our learnable Dirichlet prior enables flexible adaptation to class distributions and training dynamics. Extensive experimental results show that MPC significantly enhances the reliability and calibration of model predictions across various tasks, improving uncertainty calibration, prediction accuracy, and performance retention after confidence-based sample rejection.</x:v>
      </x:c>
      <x:c r="L161" s="17" t="str">
        <x:v>http://arxiv.org/abs/2510.08938v1</x:v>
      </x:c>
      <x:c r="M161" s="23" t="n">
        <x:v>0.4572490899278969</x:v>
      </x:c>
      <x:c r="N161" s="17" t="str">
        <x:v>qwen3-rerank-no-instruct-20260727-125006-results.jsonl</x:v>
      </x:c>
      <x:c r="O161" s="24" t="str">
        <x:v>1</x:v>
      </x:c>
      <x:c r="P161" s="28" t="str">
        <x:v>动态证据学习校准方法为相关方法背景，非评价协议核心。</x:v>
      </x:c>
      <x:c r="Q161" s="25" t="str"/>
      <x:c r="R161" s="24" t="str">
        <x:f>IF(Q161&lt;&gt;"",Q161,O161)</x:f>
        <x:v>1</x:v>
      </x:c>
      <x:c r="S161" s="29" t="str"/>
    </x:row>
    <x:row r="162" ht="54" customHeight="1">
      <x:c r="A162" s="17" t="str">
        <x:v>csq009-r01</x:v>
      </x:c>
      <x:c r="B162" s="17" t="str">
        <x:v>csq009</x:v>
      </x:c>
      <x:c r="C162" s="17" t="str">
        <x:v>machine_learning</x:v>
      </x:c>
      <x:c r="D162" s="17" t="str">
        <x:v>graph_neural_networks</x:v>
      </x:c>
      <x:c r="E162" s="27" t="str">
        <x:v>What causes over-smoothing and over-squashing in graph neural networks, and which mitigation methods are supported by empirical and theoretical research?</x:v>
      </x:c>
      <x:c r="F162" s="22" t="n">
        <x:v>1</x:v>
      </x:c>
      <x:c r="G162" s="17" t="str">
        <x:v>arXiv:2309.09384</x:v>
      </x:c>
      <x:c r="H162" s="27" t="str">
        <x:v>Mitigating Over-Smoothing and Over-Squashing using Augmentations of Forman-Ricci Curvature</x:v>
      </x:c>
      <x:c r="I162" s="17" t="str">
        <x:v>Lukas Fesser; Melanie Weber</x:v>
      </x:c>
      <x:c r="J162" s="22" t="n">
        <x:v>2023</x:v>
      </x:c>
      <x:c r="K162" s="27" t="str">
        <x:v>While Graph Neural Networks (GNNs) have been successfully leveraged for learning on graph-structured data across domains, several potential pitfalls have been described recently. Those include the inability to accurately leverage information encoded in long-range connections (over-squashing), as well as difficulties distinguishing the learned representations of nearby nodes with growing network depth (over-smoothing). An effective way to characterize both effects is discrete curvature: Long-range connections that underlie over-squashing effects have low curvature, whereas edges that contribute to over-smoothing have high curvature. This observation has given rise to rewiring techniques, which add or remove edges to mitigate over-smoothing and over-squashing. Several rewiring approaches utilizing graph characteristics, such as curvature or the spectrum of the graph Laplacian, have been proposed. However, existing methods, especially those based on curvature, often require expensive subroutines and careful hyperparameter tuning, which limits their applicability to large-scale graphs. Here we propose a rewiring technique based on Augmented Forman-Ricci curvature (AFRC), a scalable curvature notation, which can be computed in linear time. We prove that AFRC effectively characterizes over-smoothing and over-squashing effects in message-passing GNNs. We complement our theoretical results with experiments, which demonstrate that the proposed approach achieves state-of-the-art performance while significantly reducing the computational cost in comparison with other methods. Utilizing fundamental properties of discrete curvature, we propose effective heuristics for hyperparameters in curvature-based rewiring, which avoids expensive hyperparameter searches, further improving the scalability of the proposed approach.</x:v>
      </x:c>
      <x:c r="L162" s="17" t="str">
        <x:v>http://arxiv.org/abs/2309.09384v3</x:v>
      </x:c>
      <x:c r="M162" s="23" t="n">
        <x:v>0.9732171808424412</x:v>
      </x:c>
      <x:c r="N162" s="17" t="str">
        <x:v>qwen3-rerank-no-instruct-20260727-125006-results.jsonl</x:v>
      </x:c>
      <x:c r="O162" s="24" t="str">
        <x:v>2</x:v>
      </x:c>
      <x:c r="P162" s="28" t="str">
        <x:v>以Forman-Ricci曲率增广同时缓解过平滑和过挤压。</x:v>
      </x:c>
      <x:c r="Q162" s="25" t="str"/>
      <x:c r="R162" s="24" t="str">
        <x:f>IF(Q162&lt;&gt;"",Q162,O162)</x:f>
        <x:v>2</x:v>
      </x:c>
      <x:c r="S162" s="29" t="str"/>
    </x:row>
    <x:row r="163" ht="54" customHeight="1">
      <x:c r="A163" s="17" t="str">
        <x:v>csq009-r02</x:v>
      </x:c>
      <x:c r="B163" s="17" t="str">
        <x:v>csq009</x:v>
      </x:c>
      <x:c r="C163" s="17" t="str">
        <x:v>machine_learning</x:v>
      </x:c>
      <x:c r="D163" s="17" t="str">
        <x:v>graph_neural_networks</x:v>
      </x:c>
      <x:c r="E163" s="27" t="str">
        <x:v>What causes over-smoothing and over-squashing in graph neural networks, and which mitigation methods are supported by empirical and theoretical research?</x:v>
      </x:c>
      <x:c r="F163" s="22" t="n">
        <x:v>2</x:v>
      </x:c>
      <x:c r="G163" s="17" t="str">
        <x:v>arXiv:2502.10818</x:v>
      </x:c>
      <x:c r="H163" s="27" t="str">
        <x:v>On Vanishing Gradients, Over-Smoothing, and Over-Squashing in GNNs: Bridging Recurrent and Graph Learning</x:v>
      </x:c>
      <x:c r="I163" s="17" t="str">
        <x:v>Álvaro Arroyo; Alessio Gravina; Benjamin Gutteridge; Federico Barbero; Claudio Gallicchio; Xiaowen Dong; Michael Bronstein; Pierre Vandergheynst</x:v>
      </x:c>
      <x:c r="J163" s="22" t="n">
        <x:v>2025</x:v>
      </x:c>
      <x:c r="K163" s="27" t="str">
        <x:v>Graph Neural Networks (GNNs) are models that leverage the graph structure to transmit information between nodes, typically through the message-passing operation. While widely successful, this approach is well known to suffer from the over-smoothing and over-squashing phenomena, which result in representational collapse as the number of layers increases and insensitivity to the information contained at distant and poorly connected nodes, respectively. In this paper, we present a unified view of these problems through the lens of vanishing gradients, using ideas from linear control theory for our analysis. We propose an interpretation of GNNs as recurrent models and empirically demonstrate that a simple state-space formulation of a GNN effectively alleviates over-smoothing and over-squashing at no extra trainable parameter cost. Further, we show theoretically and empirically that (i) GNNs are by design prone to extreme gradient vanishing even after a few layers; (ii) Over-smoothing is directly related to the mechanism causing vanishing gradients; (iii) Over-squashing is most easily alleviated by a combination of graph rewiring and vanishing gradient mitigation. We believe our work will help bridge the gap between the recurrent and graph neural network literature and will unlock the design of new deep and performant GNNs.</x:v>
      </x:c>
      <x:c r="L163" s="17" t="str">
        <x:v>http://arxiv.org/abs/2502.10818v2</x:v>
      </x:c>
      <x:c r="M163" s="23" t="n">
        <x:v>0.9702941261617083</x:v>
      </x:c>
      <x:c r="N163" s="17" t="str">
        <x:v>qwen3-rerank-no-instruct-20260727-125006-results.jsonl</x:v>
      </x:c>
      <x:c r="O163" s="24" t="str">
        <x:v>2</x:v>
      </x:c>
      <x:c r="P163" s="28" t="str">
        <x:v>用梯度消失统一解释两种现象并提供理论实证缓解。</x:v>
      </x:c>
      <x:c r="Q163" s="25" t="str"/>
      <x:c r="R163" s="24" t="str">
        <x:f>IF(Q163&lt;&gt;"",Q163,O163)</x:f>
        <x:v>2</x:v>
      </x:c>
      <x:c r="S163" s="29" t="str"/>
    </x:row>
    <x:row r="164" ht="54" customHeight="1">
      <x:c r="A164" s="17" t="str">
        <x:v>csq009-r03</x:v>
      </x:c>
      <x:c r="B164" s="17" t="str">
        <x:v>csq009</x:v>
      </x:c>
      <x:c r="C164" s="17" t="str">
        <x:v>machine_learning</x:v>
      </x:c>
      <x:c r="D164" s="17" t="str">
        <x:v>graph_neural_networks</x:v>
      </x:c>
      <x:c r="E164" s="27" t="str">
        <x:v>What causes over-smoothing and over-squashing in graph neural networks, and which mitigation methods are supported by empirical and theoretical research?</x:v>
      </x:c>
      <x:c r="F164" s="22" t="n">
        <x:v>3</x:v>
      </x:c>
      <x:c r="G164" s="17" t="str">
        <x:v>arXiv:2212.02374</x:v>
      </x:c>
      <x:c r="H164" s="27" t="str">
        <x:v>On the Trade-off between Over-smoothing and Over-squashing in Deep Graph Neural Networks</x:v>
      </x:c>
      <x:c r="I164" s="17" t="str">
        <x:v>Jhony H. Giraldo; Konstantinos Skianis; Thierry Bouwmans; Fragkiskos D. Malliaros</x:v>
      </x:c>
      <x:c r="J164" s="22" t="n">
        <x:v>2022</x:v>
      </x:c>
      <x:c r="K164" s="27" t="str">
        <x:v>Graph Neural Networks (GNNs) have succeeded in various computer science applications, yet deep GNNs underperform their shallow counterparts despite deep learning's success in other domains. Over-smoothing and over-squashing are key challenges when stacking graph convolutional layers, hindering deep representation learning and information propagation from distant nodes. Our work reveals that over-smoothing and over-squashing are intrinsically related to the spectral gap of the graph Laplacian, resulting in an inevitable trade-off between these two issues, as they cannot be alleviated simultaneously. To achieve a suitable compromise, we propose adding and removing edges as a viable approach. We introduce the Stochastic Jost and Liu Curvature Rewiring (SJLR) algorithm, which is computationally efficient and preserves fundamental properties compared to previous curvature-based methods. Unlike existing approaches, SJLR performs edge addition and removal during GNN training while maintaining the graph unchanged during testing. Comprehensive comparisons demonstrate SJLR's competitive performance in addressing over-smoothing and over-squashing.</x:v>
      </x:c>
      <x:c r="L164" s="17" t="str">
        <x:v>http://arxiv.org/abs/2212.02374v2</x:v>
      </x:c>
      <x:c r="M164" s="23" t="n">
        <x:v>0.957500307998653</x:v>
      </x:c>
      <x:c r="N164" s="17" t="str">
        <x:v>qwen3-rerank-no-instruct-20260727-125006-results.jsonl</x:v>
      </x:c>
      <x:c r="O164" s="24" t="str">
        <x:v>2</x:v>
      </x:c>
      <x:c r="P164" s="28" t="str">
        <x:v>直接分析深层GNN中过平滑与过挤压的权衡。</x:v>
      </x:c>
      <x:c r="Q164" s="25" t="str"/>
      <x:c r="R164" s="24" t="str">
        <x:f>IF(Q164&lt;&gt;"",Q164,O164)</x:f>
        <x:v>2</x:v>
      </x:c>
      <x:c r="S164" s="29" t="str"/>
    </x:row>
    <x:row r="165" ht="54" customHeight="1">
      <x:c r="A165" s="17" t="str">
        <x:v>csq009-r04</x:v>
      </x:c>
      <x:c r="B165" s="17" t="str">
        <x:v>csq009</x:v>
      </x:c>
      <x:c r="C165" s="17" t="str">
        <x:v>machine_learning</x:v>
      </x:c>
      <x:c r="D165" s="17" t="str">
        <x:v>graph_neural_networks</x:v>
      </x:c>
      <x:c r="E165" s="27" t="str">
        <x:v>What causes over-smoothing and over-squashing in graph neural networks, and which mitigation methods are supported by empirical and theoretical research?</x:v>
      </x:c>
      <x:c r="F165" s="22" t="n">
        <x:v>4</x:v>
      </x:c>
      <x:c r="G165" s="17" t="str">
        <x:v>arXiv:2211.15779</x:v>
      </x:c>
      <x:c r="H165" s="27" t="str">
        <x:v>Revisiting Over-smoothing and Over-squashing Using Ollivier-Ricci Curvature</x:v>
      </x:c>
      <x:c r="I165" s="17" t="str">
        <x:v>Khang Nguyen; Hieu Nong; Vinh Nguyen; Nhat Ho; Stanley Osher; Tan Nguyen</x:v>
      </x:c>
      <x:c r="J165" s="22" t="n">
        <x:v>2022</x:v>
      </x:c>
      <x:c r="K165" s="27" t="str">
        <x:v>Graph Neural Networks (GNNs) had been demonstrated to be inherently susceptible to the problems of over-smoothing and over-squashing. These issues prohibit the ability of GNNs to model complex graph interactions by limiting their effectiveness in taking into account distant information. Our study reveals the key connection between the local graph geometry and the occurrence of both of these issues, thereby providing a unified framework for studying them at a local scale using the Ollivier-Ricci curvature. Specifically, we demonstrate that over-smoothing is linked to positive graph curvature while over-squashing is linked to negative graph curvature. Based on our theory, we propose the Batch Ollivier-Ricci Flow, a novel rewiring algorithm capable of simultaneously addressing both over-smoothing and over-squashing.</x:v>
      </x:c>
      <x:c r="L165" s="17" t="str">
        <x:v>http://arxiv.org/abs/2211.15779v3</x:v>
      </x:c>
      <x:c r="M165" s="23" t="n">
        <x:v>0.9544758970591507</x:v>
      </x:c>
      <x:c r="N165" s="17" t="str">
        <x:v>qwen3-rerank-no-instruct-20260727-125006-results.jsonl</x:v>
      </x:c>
      <x:c r="O165" s="24" t="str">
        <x:v>2</x:v>
      </x:c>
      <x:c r="P165" s="28" t="str">
        <x:v>以Ollivier-Ricci曲率重新解释并连接两种失效。</x:v>
      </x:c>
      <x:c r="Q165" s="25" t="str"/>
      <x:c r="R165" s="24" t="str">
        <x:f>IF(Q165&lt;&gt;"",Q165,O165)</x:f>
        <x:v>2</x:v>
      </x:c>
      <x:c r="S165" s="29" t="str"/>
    </x:row>
    <x:row r="166" ht="54" customHeight="1">
      <x:c r="A166" s="17" t="str">
        <x:v>csq009-r05</x:v>
      </x:c>
      <x:c r="B166" s="17" t="str">
        <x:v>csq009</x:v>
      </x:c>
      <x:c r="C166" s="17" t="str">
        <x:v>machine_learning</x:v>
      </x:c>
      <x:c r="D166" s="17" t="str">
        <x:v>graph_neural_networks</x:v>
      </x:c>
      <x:c r="E166" s="27" t="str">
        <x:v>What causes over-smoothing and over-squashing in graph neural networks, and which mitigation methods are supported by empirical and theoretical research?</x:v>
      </x:c>
      <x:c r="F166" s="22" t="n">
        <x:v>5</x:v>
      </x:c>
      <x:c r="G166" s="17" t="str">
        <x:v>arXiv:2506.16110</x:v>
      </x:c>
      <x:c r="H166" s="27" t="str">
        <x:v>Mitigating Over-Squashing in Graph Neural Networks by Spectrum-Preserving Sparsification</x:v>
      </x:c>
      <x:c r="I166" s="17" t="str">
        <x:v>Langzhang Liang; Fanchen Bu; Zixing Song; Zenglin Xu; Shirui Pan; Kijung Shin</x:v>
      </x:c>
      <x:c r="J166" s="22" t="n">
        <x:v>2025</x:v>
      </x:c>
      <x:c r="K166" s="27" t="str">
        <x:v>The message-passing paradigm of Graph Neural Networks often struggles with exchanging information across distant nodes typically due to structural bottlenecks in certain graph regions, a limitation known as \textit{over-squashing}. To reduce such bottlenecks, \textit{graph rewiring}, which modifies graph topology, has been widely used. However, existing graph rewiring techniques often overlook the need to preserve critical properties of the original graph, e.g., \textit{spectral properties}. Moreover, many approaches rely on increasing edge count to improve connectivity, which introduces significant computational overhead and exacerbates the risk of over-smoothing. In this paper, we propose a novel graph rewiring method that leverages \textit{spectrum-preserving} graph \textit{sparsification}, for mitigating over-squashing. Our method generates graphs with enhanced connectivity while maintaining sparsity and largely preserving the original graph spectrum, effectively balancing structural bottleneck reduction and graph property preservation. Experimental results validate the effectiveness of our approach, demonstrating its superiority over strong baseline methods in classification accuracy and retention of the Laplacian spectrum.</x:v>
      </x:c>
      <x:c r="L166" s="17" t="str">
        <x:v>http://arxiv.org/abs/2506.16110v1</x:v>
      </x:c>
      <x:c r="M166" s="23" t="n">
        <x:v>0.9505279173984764</x:v>
      </x:c>
      <x:c r="N166" s="17" t="str">
        <x:v>qwen3-rerank-no-instruct-20260727-125006-results.jsonl</x:v>
      </x:c>
      <x:c r="O166" s="24" t="str">
        <x:v>2</x:v>
      </x:c>
      <x:c r="P166" s="28" t="str">
        <x:v>保持谱的稀疏重连平衡过挤压、过平滑和开销。</x:v>
      </x:c>
      <x:c r="Q166" s="25" t="str"/>
      <x:c r="R166" s="24" t="str">
        <x:f>IF(Q166&lt;&gt;"",Q166,O166)</x:f>
        <x:v>2</x:v>
      </x:c>
      <x:c r="S166" s="29" t="str"/>
    </x:row>
    <x:row r="167" ht="54" customHeight="1">
      <x:c r="A167" s="17" t="str">
        <x:v>csq009-r06</x:v>
      </x:c>
      <x:c r="B167" s="17" t="str">
        <x:v>csq009</x:v>
      </x:c>
      <x:c r="C167" s="17" t="str">
        <x:v>machine_learning</x:v>
      </x:c>
      <x:c r="D167" s="17" t="str">
        <x:v>graph_neural_networks</x:v>
      </x:c>
      <x:c r="E167" s="27" t="str">
        <x:v>What causes over-smoothing and over-squashing in graph neural networks, and which mitigation methods are supported by empirical and theoretical research?</x:v>
      </x:c>
      <x:c r="F167" s="22" t="n">
        <x:v>6</x:v>
      </x:c>
      <x:c r="G167" s="17" t="str">
        <x:v>arXiv:2311.15945</x:v>
      </x:c>
      <x:c r="H167" s="27" t="str">
        <x:v>Over-Squashing in Riemannian Graph Neural Networks</x:v>
      </x:c>
      <x:c r="I167" s="17" t="str">
        <x:v>Julia Balla</x:v>
      </x:c>
      <x:c r="J167" s="22" t="n">
        <x:v>2023</x:v>
      </x:c>
      <x:c r="K167" s="27" t="str">
        <x:v>Most graph neural networks (GNNs) are prone to the phenomenon of over-squashing in which node features become insensitive to information from distant nodes in the graph. Recent works have shown that the topology of the graph has the greatest impact on over-squashing, suggesting graph rewiring approaches as a suitable solution. In this work, we explore whether over-squashing can be mitigated through the embedding space of the GNN. In particular, we consider the generalization of Hyperbolic GNNs (HGNNs) to Riemannian manifolds of variable curvature in which the geometry of the embedding space is faithful to the graph's topology. We derive bounds on the sensitivity of the node features in these Riemannian GNNs as the number of layers increases, which yield promising theoretical and empirical results for alleviating over-squashing in graphs with negative curvature.</x:v>
      </x:c>
      <x:c r="L167" s="17" t="str">
        <x:v>http://arxiv.org/abs/2311.15945v1</x:v>
      </x:c>
      <x:c r="M167" s="23" t="n">
        <x:v>0.9466733867434416</x:v>
      </x:c>
      <x:c r="N167" s="17" t="str">
        <x:v>qwen3-rerank-no-instruct-20260727-125006-results.jsonl</x:v>
      </x:c>
      <x:c r="O167" s="24" t="str">
        <x:v>2</x:v>
      </x:c>
      <x:c r="P167" s="28" t="str">
        <x:v>研究黎曼GNN中的过挤压机制与几何缓解。</x:v>
      </x:c>
      <x:c r="Q167" s="25" t="str"/>
      <x:c r="R167" s="24" t="str">
        <x:f>IF(Q167&lt;&gt;"",Q167,O167)</x:f>
        <x:v>2</x:v>
      </x:c>
      <x:c r="S167" s="29" t="str"/>
    </x:row>
    <x:row r="168" ht="54" customHeight="1">
      <x:c r="A168" s="17" t="str">
        <x:v>csq009-r07</x:v>
      </x:c>
      <x:c r="B168" s="17" t="str">
        <x:v>csq009</x:v>
      </x:c>
      <x:c r="C168" s="17" t="str">
        <x:v>machine_learning</x:v>
      </x:c>
      <x:c r="D168" s="17" t="str">
        <x:v>graph_neural_networks</x:v>
      </x:c>
      <x:c r="E168" s="27" t="str">
        <x:v>What causes over-smoothing and over-squashing in graph neural networks, and which mitigation methods are supported by empirical and theoretical research?</x:v>
      </x:c>
      <x:c r="F168" s="22" t="n">
        <x:v>7</x:v>
      </x:c>
      <x:c r="G168" s="17" t="str">
        <x:v>arXiv:2501.00762</x:v>
      </x:c>
      <x:c r="H168" s="27" t="str">
        <x:v>Residual connections provably mitigate oversmoothing in graph neural networks</x:v>
      </x:c>
      <x:c r="I168" s="17" t="str">
        <x:v>Ziang Chen; Zhengjiang Lin; Shi Chen; Yury Polyanskiy; Philippe Rigollet</x:v>
      </x:c>
      <x:c r="J168" s="22" t="n">
        <x:v>2025</x:v>
      </x:c>
      <x:c r="K168" s="27" t="str">
        <x:v>Graph neural networks (GNNs) have achieved remarkable empirical success in processing and representing graph-structured data across various domains. However, a significant challenge known as "oversmoothing" persists, where vertex features become nearly indistinguishable in deep GNNs, severely restricting their expressive power and practical utility. In this work, we analyze the asymptotic oversmoothing rates of deep GNNs with and without residual connections by deriving explicit convergence rates for a normalized vertex similarity measure. Our analytical framework is grounded in the multiplicative ergodic theorem. Furthermore, we demonstrate that adding residual connections effectively mitigates or prevents oversmoothing across several broad families of parameter distributions. The theoretical findings are strongly supported by numerical experiments.</x:v>
      </x:c>
      <x:c r="L168" s="17" t="str">
        <x:v>http://arxiv.org/abs/2501.00762v2</x:v>
      </x:c>
      <x:c r="M168" s="23" t="n">
        <x:v>0.9410877058284912</x:v>
      </x:c>
      <x:c r="N168" s="17" t="str">
        <x:v>qwen3-rerank-no-instruct-20260727-125006-results.jsonl</x:v>
      </x:c>
      <x:c r="O168" s="24" t="str">
        <x:v>2</x:v>
      </x:c>
      <x:c r="P168" s="28" t="str">
        <x:v>证明残差连接降低或避免过平滑并有数值实验支持。</x:v>
      </x:c>
      <x:c r="Q168" s="25" t="str"/>
      <x:c r="R168" s="24" t="str">
        <x:f>IF(Q168&lt;&gt;"",Q168,O168)</x:f>
        <x:v>2</x:v>
      </x:c>
      <x:c r="S168" s="29" t="str"/>
    </x:row>
    <x:row r="169" ht="54" customHeight="1">
      <x:c r="A169" s="17" t="str">
        <x:v>csq009-r08</x:v>
      </x:c>
      <x:c r="B169" s="17" t="str">
        <x:v>csq009</x:v>
      </x:c>
      <x:c r="C169" s="17" t="str">
        <x:v>machine_learning</x:v>
      </x:c>
      <x:c r="D169" s="17" t="str">
        <x:v>graph_neural_networks</x:v>
      </x:c>
      <x:c r="E169" s="27" t="str">
        <x:v>What causes over-smoothing and over-squashing in graph neural networks, and which mitigation methods are supported by empirical and theoretical research?</x:v>
      </x:c>
      <x:c r="F169" s="22" t="n">
        <x:v>8</x:v>
      </x:c>
      <x:c r="G169" s="17" t="str">
        <x:v>arXiv:2511.06443</x:v>
      </x:c>
      <x:c r="H169" s="27" t="str">
        <x:v>How Wide and How Deep? Mitigating Over-Squashing of GNNs via Channel Capacity Constrained Estimation</x:v>
      </x:c>
      <x:c r="I169" s="17" t="str">
        <x:v>Zinuo You; Jin Zheng; John Cartlidge</x:v>
      </x:c>
      <x:c r="J169" s="22" t="n">
        <x:v>2025</x:v>
      </x:c>
      <x:c r="K169" s="27" t="str">
        <x:v>Existing graph neural networks typically rely on heuristic choices for hidden dimensions and propagation depths, which often lead to severe information loss during propagation, known as over-squashing. To address this issue, we propose Channel Capacity Constrained Estimation (C3E), a novel framework that formulates the selection of hidden dimensions and depth as a nonlinear programming problem grounded in information theory. Through modeling spectral graph neural networks as communication channels, our approach directly connects channel capacity to hidden dimensions, propagation depth, propagation mechanism, and graph structure. Extensive experiments on nine public datasets demonstrate that hidden dimensions and depths estimated by C3E can mitigate over-squashing and consistently improve representation learning. Experimental results show that over-squashing occurs due to the cumulative compression of information in representation matrices. Furthermore, our findings show that increasing hidden dimensions indeed mitigate information compression, while the role of propagation depth is more nuanced, uncovering a fundamental balance between information compression and representation complexity.</x:v>
      </x:c>
      <x:c r="L169" s="17" t="str">
        <x:v>http://arxiv.org/abs/2511.06443v1</x:v>
      </x:c>
      <x:c r="M169" s="23" t="n">
        <x:v>0.9307145293930662</x:v>
      </x:c>
      <x:c r="N169" s="17" t="str">
        <x:v>qwen3-rerank-no-instruct-20260727-125006-results.jsonl</x:v>
      </x:c>
      <x:c r="O169" s="24" t="str">
        <x:v>2</x:v>
      </x:c>
      <x:c r="P169" s="28" t="str">
        <x:v>以通道容量解释累积压缩并联合选择宽度和深度。</x:v>
      </x:c>
      <x:c r="Q169" s="25" t="str"/>
      <x:c r="R169" s="24" t="str">
        <x:f>IF(Q169&lt;&gt;"",Q169,O169)</x:f>
        <x:v>2</x:v>
      </x:c>
      <x:c r="S169" s="29" t="str"/>
    </x:row>
    <x:row r="170" ht="54" customHeight="1">
      <x:c r="A170" s="17" t="str">
        <x:v>csq009-r09</x:v>
      </x:c>
      <x:c r="B170" s="17" t="str">
        <x:v>csq009</x:v>
      </x:c>
      <x:c r="C170" s="17" t="str">
        <x:v>machine_learning</x:v>
      </x:c>
      <x:c r="D170" s="17" t="str">
        <x:v>graph_neural_networks</x:v>
      </x:c>
      <x:c r="E170" s="27" t="str">
        <x:v>What causes over-smoothing and over-squashing in graph neural networks, and which mitigation methods are supported by empirical and theoretical research?</x:v>
      </x:c>
      <x:c r="F170" s="22" t="n">
        <x:v>9</x:v>
      </x:c>
      <x:c r="G170" s="17" t="str">
        <x:v>arXiv:2502.11394</x:v>
      </x:c>
      <x:c r="H170" s="27" t="str">
        <x:v>A Signed Graph Approach to Understanding and Mitigating Oversmoothing in GNNs</x:v>
      </x:c>
      <x:c r="I170" s="17" t="str">
        <x:v>Jiaqi Wang; Xinyi Wu; James Cheng; Yifei Wang</x:v>
      </x:c>
      <x:c r="J170" s="22" t="n">
        <x:v>2025</x:v>
      </x:c>
      <x:c r="K170" s="27" t="str">
        <x:v>Deep graph neural networks (GNNs) often suffer from oversmoothing, where node representations become overly homogeneous with increasing depth. While techniques like normalization, residual connections, and edge dropout have been proposed to mitigate oversmoothing, they are typically developed independently, with limited theoretical understanding of their underlying mechanisms. In this work, we present a unified theoretical perspective based on the framework of signed graphs, showing that many existing strategies implicitly introduce negative edges that alter message-passing to resist oversmoothing. However, we show that merely adding negative edges in an unstructured manner is insufficient-the asymptotic behavior of signed propagation depends critically on the strength and organization of positive and negative edges. To address this limitation, we leverage the theory of structural balance, which promotes stable, cluster-preserving dynamics by connecting similar nodes with positive edges and dissimilar ones with negative edges. We propose Structural Balanced Propagation (SBP), a plug-and-play method that assigns signed edges based on either labels or feature similarity to explicitly enhance structural balance in the constructed signed graphs. Experiments on nine benchmarks across both homophilic and heterophilic settings demonstrate that SBP consistently improves classification accuracy and mitigates oversmoothing, even at depths of up to 300 layers. Our results provide a principled explanation for prior oversmoothing remedies and introduce a new direction for signed message-passing design in deep GNNs.</x:v>
      </x:c>
      <x:c r="L170" s="17" t="str">
        <x:v>http://arxiv.org/abs/2502.11394v2</x:v>
      </x:c>
      <x:c r="M170" s="23" t="n">
        <x:v>0.9211352062484395</x:v>
      </x:c>
      <x:c r="N170" s="17" t="str">
        <x:v>qwen3-rerank-no-instruct-20260727-125006-results.jsonl</x:v>
      </x:c>
      <x:c r="O170" s="24" t="str">
        <x:v>2</x:v>
      </x:c>
      <x:c r="P170" s="28" t="str">
        <x:v>用有符号图视角解释并缓解GNN过平滑。</x:v>
      </x:c>
      <x:c r="Q170" s="25" t="str"/>
      <x:c r="R170" s="24" t="str">
        <x:f>IF(Q170&lt;&gt;"",Q170,O170)</x:f>
        <x:v>2</x:v>
      </x:c>
      <x:c r="S170" s="29" t="str"/>
    </x:row>
    <x:row r="171" ht="54" customHeight="1">
      <x:c r="A171" s="17" t="str">
        <x:v>csq009-r10</x:v>
      </x:c>
      <x:c r="B171" s="17" t="str">
        <x:v>csq009</x:v>
      </x:c>
      <x:c r="C171" s="17" t="str">
        <x:v>machine_learning</x:v>
      </x:c>
      <x:c r="D171" s="17" t="str">
        <x:v>graph_neural_networks</x:v>
      </x:c>
      <x:c r="E171" s="27" t="str">
        <x:v>What causes over-smoothing and over-squashing in graph neural networks, and which mitigation methods are supported by empirical and theoretical research?</x:v>
      </x:c>
      <x:c r="F171" s="22" t="n">
        <x:v>10</x:v>
      </x:c>
      <x:c r="G171" s="17" t="str">
        <x:v>arXiv:2212.10701</x:v>
      </x:c>
      <x:c r="H171" s="27" t="str">
        <x:v>A Non-Asymptotic Analysis of Oversmoothing in Graph Neural Networks</x:v>
      </x:c>
      <x:c r="I171" s="17" t="str">
        <x:v>Xinyi Wu; Zhengdao Chen; William Wang; Ali Jadbabaie</x:v>
      </x:c>
      <x:c r="J171" s="22" t="n">
        <x:v>2022</x:v>
      </x:c>
      <x:c r="K171" s="27" t="str">
        <x:v>Oversmoothing is a central challenge of building more powerful Graph Neural Networks (GNNs). While previous works have only demonstrated that oversmoothing is inevitable when the number of graph convolutions tends to infinity, in this paper, we precisely characterize the mechanism behind the phenomenon via a non-asymptotic analysis. Specifically, we distinguish between two different effects when applying graph convolutions -- an undesirable mixing effect that homogenizes node representations in different classes, and a desirable denoising effect that homogenizes node representations in the same class. By quantifying these two effects on random graphs sampled from the Contextual Stochastic Block Model (CSBM), we show that oversmoothing happens once the mixing effect starts to dominate the denoising effect, and the number of layers required for this transition is $O(\log N/\log (\log N))$ for sufficiently dense graphs with $N$ nodes. We also extend our analysis to study the effects of Personalized PageRank (PPR), or equivalently, the effects of initial residual connections on oversmoothing. Our results suggest that while PPR mitigates oversmoothing at deeper layers, PPR-based architectures still achieve their best performance at a shallow depth and are outperformed by the graph convolution approach on certain graphs. Finally, we support our theoretical results with numerical experiments, which further suggest that the oversmoothing phenomenon observed in practice can be magnified by the difficulty of optimizing deep GNN models.</x:v>
      </x:c>
      <x:c r="L171" s="17" t="str">
        <x:v>http://arxiv.org/abs/2212.10701v2</x:v>
      </x:c>
      <x:c r="M171" s="23" t="n">
        <x:v>0.915307095832236</x:v>
      </x:c>
      <x:c r="N171" s="17" t="str">
        <x:v>qwen3-rerank-no-instruct-20260727-125006-results.jsonl</x:v>
      </x:c>
      <x:c r="O171" s="24" t="str">
        <x:v>2</x:v>
      </x:c>
      <x:c r="P171" s="28" t="str">
        <x:v>以混合与去噪效应非渐近刻画过平滑机制。</x:v>
      </x:c>
      <x:c r="Q171" s="25" t="str"/>
      <x:c r="R171" s="24" t="str">
        <x:f>IF(Q171&lt;&gt;"",Q171,O171)</x:f>
        <x:v>2</x:v>
      </x:c>
      <x:c r="S171" s="29" t="str"/>
    </x:row>
    <x:row r="172" ht="54" customHeight="1">
      <x:c r="A172" s="17" t="str">
        <x:v>csq009-r11</x:v>
      </x:c>
      <x:c r="B172" s="17" t="str">
        <x:v>csq009</x:v>
      </x:c>
      <x:c r="C172" s="17" t="str">
        <x:v>machine_learning</x:v>
      </x:c>
      <x:c r="D172" s="17" t="str">
        <x:v>graph_neural_networks</x:v>
      </x:c>
      <x:c r="E172" s="27" t="str">
        <x:v>What causes over-smoothing and over-squashing in graph neural networks, and which mitigation methods are supported by empirical and theoretical research?</x:v>
      </x:c>
      <x:c r="F172" s="22" t="n">
        <x:v>11</x:v>
      </x:c>
      <x:c r="G172" s="17" t="str">
        <x:v>arXiv:2302.06835</x:v>
      </x:c>
      <x:c r="H172" s="27" t="str">
        <x:v>Understanding Oversquashing in GNNs through the Lens of Effective Resistance</x:v>
      </x:c>
      <x:c r="I172" s="17" t="str">
        <x:v>Mitchell Black; Zhengchao Wan; Amir Nayyeri; Yusu Wang</x:v>
      </x:c>
      <x:c r="J172" s="22" t="n">
        <x:v>2023</x:v>
      </x:c>
      <x:c r="K172" s="27" t="str">
        <x:v>Message passing graph neural networks (GNNs) are a popular learning architectures for graph-structured data. However, one problem GNNs experience is oversquashing, where a GNN has difficulty sending information between distant nodes. Understanding and mitigating oversquashing has recently received significant attention from the research community. In this paper, we continue this line of work by analyzing oversquashing through the lens of the effective resistance between nodes in the input graph. Effective resistance intuitively captures the ``strength'' of connection between two nodes by paths in the graph, and has a rich literature spanning many areas of graph theory. We propose to use total effective resistance as a bound of the total amount of oversquashing in a graph and provide theoretical justification for its use. We further develop an algorithm to identify edges to be added to an input graph to minimize the total effective resistance, thereby alleviating oversquashing. We provide empirical evidence of the effectiveness of our total effective resistance based rewiring strategies for improving the performance of GNNs.</x:v>
      </x:c>
      <x:c r="L172" s="17" t="str">
        <x:v>http://arxiv.org/abs/2302.06835v2</x:v>
      </x:c>
      <x:c r="M172" s="23" t="n">
        <x:v>0.9046099901762658</x:v>
      </x:c>
      <x:c r="N172" s="17" t="str">
        <x:v>qwen3-rerank-no-instruct-20260727-125006-results.jsonl</x:v>
      </x:c>
      <x:c r="O172" s="24" t="str">
        <x:v>2</x:v>
      </x:c>
      <x:c r="P172" s="28" t="str">
        <x:v>用有效电阻界定过挤压并以重连算法缓解。</x:v>
      </x:c>
      <x:c r="Q172" s="25" t="str"/>
      <x:c r="R172" s="24" t="str">
        <x:f>IF(Q172&lt;&gt;"",Q172,O172)</x:f>
        <x:v>2</x:v>
      </x:c>
      <x:c r="S172" s="29" t="str"/>
    </x:row>
    <x:row r="173" ht="54" customHeight="1">
      <x:c r="A173" s="17" t="str">
        <x:v>csq009-r12</x:v>
      </x:c>
      <x:c r="B173" s="17" t="str">
        <x:v>csq009</x:v>
      </x:c>
      <x:c r="C173" s="17" t="str">
        <x:v>machine_learning</x:v>
      </x:c>
      <x:c r="D173" s="17" t="str">
        <x:v>graph_neural_networks</x:v>
      </x:c>
      <x:c r="E173" s="27" t="str">
        <x:v>What causes over-smoothing and over-squashing in graph neural networks, and which mitigation methods are supported by empirical and theoretical research?</x:v>
      </x:c>
      <x:c r="F173" s="22" t="n">
        <x:v>12</x:v>
      </x:c>
      <x:c r="G173" s="17" t="str">
        <x:v>arXiv:1909.03211</x:v>
      </x:c>
      <x:c r="H173" s="27" t="str">
        <x:v>Measuring and Relieving the Over-smoothing Problem for Graph Neural Networks from the Topological View</x:v>
      </x:c>
      <x:c r="I173" s="17" t="str">
        <x:v>Deli Chen; Yankai Lin; Wei Li; Peng Li; Jie Zhou; Xu Sun</x:v>
      </x:c>
      <x:c r="J173" s="22" t="n">
        <x:v>2019</x:v>
      </x:c>
      <x:c r="K173" s="27" t="str">
        <x:v>Graph Neural Networks (GNNs) have achieved promising performance on a wide range of graph-based tasks. Despite their success, one severe limitation of GNNs is the over-smoothing issue (indistinguishable representations of nodes in different classes). In this work, we present a systematic and quantitative study on the over-smoothing issue of GNNs. First, we introduce two quantitative metrics, MAD and MADGap, to measure the smoothness and over-smoothness of the graph nodes representations, respectively. Then, we verify that smoothing is the nature of GNNs and the critical factor leading to over-smoothness is the low information-to-noise ratio of the message received by the nodes, which is partially determined by the graph topology. Finally, we propose two methods to alleviate the over-smoothing issue from the topological view: (1) MADReg which adds a MADGap-based regularizer to the training objective;(2) AdaGraph which optimizes the graph topology based on the model predictions. Extensive experiments on 7 widely-used graph datasets with 10 typical GNN models show that the two proposed methods are effective for relieving the over-smoothing issue, thus improving the performance of various GNN models.</x:v>
      </x:c>
      <x:c r="L173" s="17" t="str">
        <x:v>http://arxiv.org/abs/1909.03211v2</x:v>
      </x:c>
      <x:c r="M173" s="23" t="n">
        <x:v>0.9041877488378907</x:v>
      </x:c>
      <x:c r="N173" s="17" t="str">
        <x:v>qwen3-rerank-no-instruct-20260727-125006-results.jsonl</x:v>
      </x:c>
      <x:c r="O173" s="24" t="str">
        <x:v>2</x:v>
      </x:c>
      <x:c r="P173" s="28" t="str">
        <x:v>从拓扑角度度量过平滑并提出缓解方法。</x:v>
      </x:c>
      <x:c r="Q173" s="25" t="str"/>
      <x:c r="R173" s="24" t="str">
        <x:f>IF(Q173&lt;&gt;"",Q173,O173)</x:f>
        <x:v>2</x:v>
      </x:c>
      <x:c r="S173" s="29" t="str"/>
    </x:row>
    <x:row r="174" ht="54" customHeight="1">
      <x:c r="A174" s="17" t="str">
        <x:v>csq009-r13</x:v>
      </x:c>
      <x:c r="B174" s="17" t="str">
        <x:v>csq009</x:v>
      </x:c>
      <x:c r="C174" s="17" t="str">
        <x:v>machine_learning</x:v>
      </x:c>
      <x:c r="D174" s="17" t="str">
        <x:v>graph_neural_networks</x:v>
      </x:c>
      <x:c r="E174" s="27" t="str">
        <x:v>What causes over-smoothing and over-squashing in graph neural networks, and which mitigation methods are supported by empirical and theoretical research?</x:v>
      </x:c>
      <x:c r="F174" s="22" t="n">
        <x:v>13</x:v>
      </x:c>
      <x:c r="G174" s="17" t="str">
        <x:v>arXiv:2308.16800</x:v>
      </x:c>
      <x:c r="H174" s="27" t="str">
        <x:v>Rank Collapse Causes Over-Smoothing and Over-Correlation in Graph Neural Networks</x:v>
      </x:c>
      <x:c r="I174" s="17" t="str">
        <x:v>Andreas Roth; Thomas Liebig</x:v>
      </x:c>
      <x:c r="J174" s="22" t="n">
        <x:v>2023</x:v>
      </x:c>
      <x:c r="K174" s="27" t="str">
        <x:v>Our study reveals new theoretical insights into over-smoothing and feature over-correlation in graph neural networks. Specifically, we demonstrate that with increased depth, node representations become dominated by a low-dimensional subspace that depends on the aggregation function but not on the feature transformations. For all aggregation functions, the rank of the node representations collapses, resulting in over-smoothing for particular aggregation functions. Our study emphasizes the importance for future research to focus on rank collapse rather than over-smoothing. Guided by our theory, we propose a sum of Kronecker products as a beneficial property that provably prevents over-smoothing, over-correlation, and rank collapse. We empirically demonstrate the shortcomings of existing models in fitting target functions of node classification tasks.</x:v>
      </x:c>
      <x:c r="L174" s="17" t="str">
        <x:v>http://arxiv.org/abs/2308.16800v3</x:v>
      </x:c>
      <x:c r="M174" s="23" t="n">
        <x:v>0.8953176690387148</x:v>
      </x:c>
      <x:c r="N174" s="17" t="str">
        <x:v>qwen3-rerank-no-instruct-20260727-125006-results.jsonl</x:v>
      </x:c>
      <x:c r="O174" s="24" t="str">
        <x:v>2</x:v>
      </x:c>
      <x:c r="P174" s="28" t="str">
        <x:v>将秩坍塌识别为过平滑和过相关的成因。</x:v>
      </x:c>
      <x:c r="Q174" s="25" t="str"/>
      <x:c r="R174" s="24" t="str">
        <x:f>IF(Q174&lt;&gt;"",Q174,O174)</x:f>
        <x:v>2</x:v>
      </x:c>
      <x:c r="S174" s="29" t="str"/>
    </x:row>
    <x:row r="175" ht="54" customHeight="1">
      <x:c r="A175" s="17" t="str">
        <x:v>csq009-r14</x:v>
      </x:c>
      <x:c r="B175" s="17" t="str">
        <x:v>csq009</x:v>
      </x:c>
      <x:c r="C175" s="17" t="str">
        <x:v>machine_learning</x:v>
      </x:c>
      <x:c r="D175" s="17" t="str">
        <x:v>graph_neural_networks</x:v>
      </x:c>
      <x:c r="E175" s="27" t="str">
        <x:v>What causes over-smoothing and over-squashing in graph neural networks, and which mitigation methods are supported by empirical and theoretical research?</x:v>
      </x:c>
      <x:c r="F175" s="22" t="n">
        <x:v>14</x:v>
      </x:c>
      <x:c r="G175" s="17" t="str">
        <x:v>arXiv:2410.04824</x:v>
      </x:c>
      <x:c r="H175" s="27" t="str">
        <x:v>Taming Gradient Oversmoothing and Expansion in Graph Neural Networks</x:v>
      </x:c>
      <x:c r="I175" s="17" t="str">
        <x:v>MoonJeong Park; Dongwoo Kim</x:v>
      </x:c>
      <x:c r="J175" s="22" t="n">
        <x:v>2024</x:v>
      </x:c>
      <x:c r="K175" s="27" t="str">
        <x:v>Oversmoothing has been claimed as a primary bottleneck for multi-layered graph neural networks (GNNs). Multiple analyses have examined how and why oversmoothing occurs. However, none of the prior work addressed how optimization is performed under the oversmoothing regime. In this work, we show the presence of $\textit{gradient oversmoothing}$ preventing optimization during training. We further analyze that GNNs with residual connections, a well-known solution to help gradient flow in deep architecture, introduce $\textit{gradient expansion}$, a phenomenon of the gradient explosion in diverse directions. Therefore, adding residual connections cannot be a solution for making a GNN deep. Our analysis reveals that constraining the Lipschitz bound of each layer can neutralize the gradient expansion. To this end, we provide a simple yet effective normalization method to prevent the gradient expansion. An empirical study shows that the residual GNNs with hundreds of layers can be efficiently trained with the proposed normalization without compromising performance. Additional studies show that the empirical observations corroborate our theoretical analysis.</x:v>
      </x:c>
      <x:c r="L175" s="17" t="str">
        <x:v>http://arxiv.org/abs/2410.04824v1</x:v>
      </x:c>
      <x:c r="M175" s="23" t="n">
        <x:v>0.8928951942502916</x:v>
      </x:c>
      <x:c r="N175" s="17" t="str">
        <x:v>qwen3-rerank-no-instruct-20260727-125006-results.jsonl</x:v>
      </x:c>
      <x:c r="O175" s="24" t="str">
        <x:v>2</x:v>
      </x:c>
      <x:c r="P175" s="28" t="str">
        <x:v>识别梯度过平滑和残差梯度扩张并提出归一化。</x:v>
      </x:c>
      <x:c r="Q175" s="25" t="str"/>
      <x:c r="R175" s="24" t="str">
        <x:f>IF(Q175&lt;&gt;"",Q175,O175)</x:f>
        <x:v>2</x:v>
      </x:c>
      <x:c r="S175" s="29" t="str"/>
    </x:row>
    <x:row r="176" ht="54" customHeight="1">
      <x:c r="A176" s="17" t="str">
        <x:v>csq009-r15</x:v>
      </x:c>
      <x:c r="B176" s="17" t="str">
        <x:v>csq009</x:v>
      </x:c>
      <x:c r="C176" s="17" t="str">
        <x:v>machine_learning</x:v>
      </x:c>
      <x:c r="D176" s="17" t="str">
        <x:v>graph_neural_networks</x:v>
      </x:c>
      <x:c r="E176" s="27" t="str">
        <x:v>What causes over-smoothing and over-squashing in graph neural networks, and which mitigation methods are supported by empirical and theoretical research?</x:v>
      </x:c>
      <x:c r="F176" s="22" t="n">
        <x:v>15</x:v>
      </x:c>
      <x:c r="G176" s="17" t="str">
        <x:v>arXiv:2412.07243</x:v>
      </x:c>
      <x:c r="H176" s="27" t="str">
        <x:v>A Dynamical Systems-Inspired Pruning Strategy for Addressing Oversmoothing in Graph Neural Networks</x:v>
      </x:c>
      <x:c r="I176" s="17" t="str">
        <x:v>Biswadeep Chakraborty; Harshit Kumar; Saibal Mukhopadhyay</x:v>
      </x:c>
      <x:c r="J176" s="22" t="n">
        <x:v>2024</x:v>
      </x:c>
      <x:c r="K176" s="27" t="str">
        <x:v>Oversmoothing in Graph Neural Networks (GNNs) poses a significant challenge as network depth increases, leading to homogenized node representations and a loss of expressiveness. In this work, we approach the oversmoothing problem from a dynamical systems perspective, providing a deeper understanding of the stability and convergence behavior of GNNs. Leveraging insights from dynamical systems theory, we identify the root causes of oversmoothing and propose \textbf{\textit{DYNAMO-GAT}}. This approach utilizes noise-driven covariance analysis and Anti-Hebbian principles to selectively prune redundant attention weights, dynamically adjusting the network's behavior to maintain node feature diversity and stability. Our theoretical analysis reveals how DYNAMO-GAT disrupts the convergence to oversmoothed states, while experimental results on benchmark datasets demonstrate its superior performance and efficiency compared to traditional and state-of-the-art methods. DYNAMO-GAT not only advances the theoretical understanding of oversmoothing through the lens of dynamical systems but also provides a practical and effective solution for improving the stability and expressiveness of deep GNNs.</x:v>
      </x:c>
      <x:c r="L176" s="17" t="str">
        <x:v>http://arxiv.org/abs/2412.07243v1</x:v>
      </x:c>
      <x:c r="M176" s="23" t="n">
        <x:v>0.8847019143224008</x:v>
      </x:c>
      <x:c r="N176" s="17" t="str">
        <x:v>qwen3-rerank-no-instruct-20260727-125006-results.jsonl</x:v>
      </x:c>
      <x:c r="O176" s="24" t="str">
        <x:v>2</x:v>
      </x:c>
      <x:c r="P176" s="28" t="str">
        <x:v>动力系统分析结合反Hebbian注意力剪枝打破过平滑收敛。</x:v>
      </x:c>
      <x:c r="Q176" s="25" t="str"/>
      <x:c r="R176" s="24" t="str">
        <x:f>IF(Q176&lt;&gt;"",Q176,O176)</x:f>
        <x:v>2</x:v>
      </x:c>
      <x:c r="S176" s="29" t="str"/>
    </x:row>
    <x:row r="177" ht="54" customHeight="1">
      <x:c r="A177" s="17" t="str">
        <x:v>csq009-r16</x:v>
      </x:c>
      <x:c r="B177" s="17" t="str">
        <x:v>csq009</x:v>
      </x:c>
      <x:c r="C177" s="17" t="str">
        <x:v>machine_learning</x:v>
      </x:c>
      <x:c r="D177" s="17" t="str">
        <x:v>graph_neural_networks</x:v>
      </x:c>
      <x:c r="E177" s="27" t="str">
        <x:v>What causes over-smoothing and over-squashing in graph neural networks, and which mitigation methods are supported by empirical and theoretical research?</x:v>
      </x:c>
      <x:c r="F177" s="22" t="n">
        <x:v>16</x:v>
      </x:c>
      <x:c r="G177" s="17" t="str">
        <x:v>arXiv:2301.02924</x:v>
      </x:c>
      <x:c r="H177" s="27" t="str">
        <x:v>Reducing Over-smoothing in Graph Neural Networks Using Relational Embeddings</x:v>
      </x:c>
      <x:c r="I177" s="17" t="str">
        <x:v>Yeskendir Koishekenov</x:v>
      </x:c>
      <x:c r="J177" s="22" t="n">
        <x:v>2023</x:v>
      </x:c>
      <x:c r="K177" s="27" t="str">
        <x:v>Graph Neural Networks (GNNs) have achieved a lot of success with graph-structured data. However, it is observed that the performance of GNNs does not improve (or even worsen) as the number of layers increases. This effect has known as over-smoothing, which means that the representations of the graph nodes of different classes would become indistinguishable when stacking multiple layers. In this work, we propose a new simple, and efficient method to alleviate the effect of the over-smoothing problem in GNNs by explicitly using relations between node embeddings. Experiments on real-world datasets demonstrate that utilizing node embedding relations makes GNN models such as Graph Attention Network more robust to over-smoothing and achieves better performance with deeper GNNs. Our method can be used in combination with other methods to give the best performance. GNN applications are endless and depend on the user's objective and the type of data that they possess. Solving over-smoothing issues can potentially improve the performance of models on all these tasks.</x:v>
      </x:c>
      <x:c r="L177" s="17" t="str">
        <x:v>http://arxiv.org/abs/2301.02924v1</x:v>
      </x:c>
      <x:c r="M177" s="23" t="n">
        <x:v>0.8835554586478023</x:v>
      </x:c>
      <x:c r="N177" s="17" t="str">
        <x:v>qwen3-rerank-no-instruct-20260727-125006-results.jsonl</x:v>
      </x:c>
      <x:c r="O177" s="24" t="str">
        <x:v>2</x:v>
      </x:c>
      <x:c r="P177" s="28" t="str">
        <x:v>利用节点嵌入关系缓解深层GNN过平滑。</x:v>
      </x:c>
      <x:c r="Q177" s="25" t="str"/>
      <x:c r="R177" s="24" t="str">
        <x:f>IF(Q177&lt;&gt;"",Q177,O177)</x:f>
        <x:v>2</x:v>
      </x:c>
      <x:c r="S177" s="29" t="str"/>
    </x:row>
    <x:row r="178" ht="54" customHeight="1">
      <x:c r="A178" s="17" t="str">
        <x:v>csq009-r17</x:v>
      </x:c>
      <x:c r="B178" s="17" t="str">
        <x:v>csq009</x:v>
      </x:c>
      <x:c r="C178" s="17" t="str">
        <x:v>machine_learning</x:v>
      </x:c>
      <x:c r="D178" s="17" t="str">
        <x:v>graph_neural_networks</x:v>
      </x:c>
      <x:c r="E178" s="27" t="str">
        <x:v>What causes over-smoothing and over-squashing in graph neural networks, and which mitigation methods are supported by empirical and theoretical research?</x:v>
      </x:c>
      <x:c r="F178" s="22" t="n">
        <x:v>17</x:v>
      </x:c>
      <x:c r="G178" s="17" t="str">
        <x:v>arXiv:2311.03260</x:v>
      </x:c>
      <x:c r="H178" s="27" t="str">
        <x:v>From Coupled Oscillators to Graph Neural Networks: Reducing Over-smoothing via a Kuramoto Model-based Approach</x:v>
      </x:c>
      <x:c r="I178" s="17" t="str">
        <x:v>Tuan Nguyen; Hirotada Honda; Takashi Sano; Vinh Nguyen; Shugo Nakamura; Tan M. Nguyen</x:v>
      </x:c>
      <x:c r="J178" s="22" t="n">
        <x:v>2023</x:v>
      </x:c>
      <x:c r="K178" s="27" t="str">
        <x:v>We propose the Kuramoto Graph Neural Network (KuramotoGNN), a novel class of continuous-depth graph neural networks (GNNs) that employs the Kuramoto model to mitigate the over-smoothing phenomenon, in which node features in GNNs become indistinguishable as the number of layers increases. The Kuramoto model captures the synchronization behavior of non-linear coupled oscillators. Under the view of coupled oscillators, we first show the connection between Kuramoto model and basic GNN and then over-smoothing phenomenon in GNNs can be interpreted as phase synchronization in Kuramoto model. The KuramotoGNN replaces this phase synchronization with frequency synchronization to prevent the node features from converging into each other while allowing the system to reach a stable synchronized state. We experimentally verify the advantages of the KuramotoGNN over the baseline GNNs and existing methods in reducing over-smoothing on various graph deep learning benchmark tasks.</x:v>
      </x:c>
      <x:c r="L178" s="17" t="str">
        <x:v>http://arxiv.org/abs/2311.03260v2</x:v>
      </x:c>
      <x:c r="M178" s="23" t="n">
        <x:v>0.8821519031186362</x:v>
      </x:c>
      <x:c r="N178" s="17" t="str">
        <x:v>qwen3-rerank-no-instruct-20260727-125006-results.jsonl</x:v>
      </x:c>
      <x:c r="O178" s="24" t="str">
        <x:v>2</x:v>
      </x:c>
      <x:c r="P178" s="28" t="str">
        <x:v>Kuramoto耦合振子方法直接用于减少过平滑。</x:v>
      </x:c>
      <x:c r="Q178" s="25" t="str"/>
      <x:c r="R178" s="24" t="str">
        <x:f>IF(Q178&lt;&gt;"",Q178,O178)</x:f>
        <x:v>2</x:v>
      </x:c>
      <x:c r="S178" s="29" t="str"/>
    </x:row>
    <x:row r="179" ht="54" customHeight="1">
      <x:c r="A179" s="17" t="str">
        <x:v>csq009-r18</x:v>
      </x:c>
      <x:c r="B179" s="17" t="str">
        <x:v>csq009</x:v>
      </x:c>
      <x:c r="C179" s="17" t="str">
        <x:v>machine_learning</x:v>
      </x:c>
      <x:c r="D179" s="17" t="str">
        <x:v>graph_neural_networks</x:v>
      </x:c>
      <x:c r="E179" s="27" t="str">
        <x:v>What causes over-smoothing and over-squashing in graph neural networks, and which mitigation methods are supported by empirical and theoretical research?</x:v>
      </x:c>
      <x:c r="F179" s="22" t="n">
        <x:v>18</x:v>
      </x:c>
      <x:c r="G179" s="17" t="str">
        <x:v>arXiv:2408.03669</x:v>
      </x:c>
      <x:c r="H179" s="27" t="str">
        <x:v>Beyond Over-smoothing: Uncovering the Trainability Challenges in Deep Graph Neural Networks</x:v>
      </x:c>
      <x:c r="I179" s="17" t="str">
        <x:v>Jie Peng; Runlin Lei; Zhewei Wei</x:v>
      </x:c>
      <x:c r="J179" s="22" t="n">
        <x:v>2024</x:v>
      </x:c>
      <x:c r="K179" s="27" t="str">
        <x:v>The drastic performance degradation of Graph Neural Networks (GNNs) as the depth of the graph propagation layers exceeds 8-10 is widely attributed to a phenomenon of Over-smoothing. Although recent research suggests that Over-smoothing may not be the dominant reason for such a performance degradation, they have not provided rigorous analysis from a theoretical view, which warrants further investigation. In this paper, we systematically analyze the real dominant problem in deep GNNs and identify the issues that these GNNs towards addressing Over-smoothing essentially work on via empirical experiments and theoretical gradient analysis. We theoretically prove that the difficult training problem of deep MLPs is actually the main challenge, and various existing methods that supposedly tackle Over-smoothing actually improve the trainability of MLPs, which is the main reason for their performance gains. Our further investigation into trainability issues reveals that properly constrained smaller upper bounds of gradient flow notably enhance the trainability of GNNs. Experimental results on diverse datasets demonstrate consistency between our theoretical findings and empirical evidence. Our analysis provides new insights in constructing deep graph models.</x:v>
      </x:c>
      <x:c r="L179" s="17" t="str">
        <x:v>http://arxiv.org/abs/2408.03669v1</x:v>
      </x:c>
      <x:c r="M179" s="23" t="n">
        <x:v>0.8603862876758981</x:v>
      </x:c>
      <x:c r="N179" s="17" t="str">
        <x:v>qwen3-rerank-no-instruct-20260727-125006-results.jsonl</x:v>
      </x:c>
      <x:c r="O179" s="24" t="str">
        <x:v>2</x:v>
      </x:c>
      <x:c r="P179" s="28" t="str">
        <x:v>区分过平滑与深层GNN可训练性问题，澄清成因。</x:v>
      </x:c>
      <x:c r="Q179" s="25" t="str"/>
      <x:c r="R179" s="24" t="str">
        <x:f>IF(Q179&lt;&gt;"",Q179,O179)</x:f>
        <x:v>2</x:v>
      </x:c>
      <x:c r="S179" s="29" t="str"/>
    </x:row>
    <x:row r="180" ht="54" customHeight="1">
      <x:c r="A180" s="17" t="str">
        <x:v>csq009-r19</x:v>
      </x:c>
      <x:c r="B180" s="17" t="str">
        <x:v>csq009</x:v>
      </x:c>
      <x:c r="C180" s="17" t="str">
        <x:v>machine_learning</x:v>
      </x:c>
      <x:c r="D180" s="17" t="str">
        <x:v>graph_neural_networks</x:v>
      </x:c>
      <x:c r="E180" s="27" t="str">
        <x:v>What causes over-smoothing and over-squashing in graph neural networks, and which mitigation methods are supported by empirical and theoretical research?</x:v>
      </x:c>
      <x:c r="F180" s="22" t="n">
        <x:v>19</x:v>
      </x:c>
      <x:c r="G180" s="17" t="str">
        <x:v>arXiv:2508.09265</x:v>
      </x:c>
      <x:c r="H180" s="27" t="str">
        <x:v>Over-Squashing in GNNs and Causal Inference of Rewiring Strategies</x:v>
      </x:c>
      <x:c r="I180" s="17" t="str">
        <x:v>Danial Saber; Amirali Salehi-Abari</x:v>
      </x:c>
      <x:c r="J180" s="22" t="n">
        <x:v>2025</x:v>
      </x:c>
      <x:c r="K180" s="27" t="str">
        <x:v>Graph neural networks (GNNs) have exhibited state-of-the-art performance across wide-range of domains such as recommender systems, material design, and drug repurposing. Yet message-passing GNNs suffer from over-squashing -- exponential compression of long-range information from distant nodes -- which limits expressivity. Rewiring techniques can ease this bottleneck; but their practical impacts are unclear due to the lack of a direct empirical over-squashing metric. We propose a rigorous, topology-focused method for assessing over-squashing between node pairs using the decay rate of their mutual sensitivity. We then extend these pairwise assessments to four graph-level statistics (prevalence, intensity, variability, extremity). Coupling these metrics with a within-graph causal design, we quantify how rewiring strategies affect over-squashing on diverse graph- and node-classification benchmarks. Our extensive empirical analyses show that most graph classification datasets suffer from over-squashing (but to various extents), and rewiring effectively mitigates it -- though the degree of mitigation, and its translation into performance gains, varies by dataset and method. We also found that over-squashing is less notable in node classification datasets, where rewiring often increases over-squashing, and performance variations are uncorrelated with over-squashing changes. These findings suggest that rewiring is most beneficial when over-squashing is both substantial and corrected with restraint -- while overly aggressive rewiring, or rewiring applied to minimally over-squashed graphs, is unlikely to help and may even harm performance. Our plug-and-play diagnostic tool lets practitioners decide -- before any training -- whether rewiring is likely to pay off.</x:v>
      </x:c>
      <x:c r="L180" s="17" t="str">
        <x:v>http://arxiv.org/abs/2508.09265v1</x:v>
      </x:c>
      <x:c r="M180" s="23" t="n">
        <x:v>0.8543713048563613</x:v>
      </x:c>
      <x:c r="N180" s="17" t="str">
        <x:v>qwen3-rerank-no-instruct-20260727-125006-results.jsonl</x:v>
      </x:c>
      <x:c r="O180" s="24" t="str">
        <x:v>2</x:v>
      </x:c>
      <x:c r="P180" s="28" t="str">
        <x:v>以直接指标和因果设计评估重连缓解过挤压的条件。</x:v>
      </x:c>
      <x:c r="Q180" s="25" t="str"/>
      <x:c r="R180" s="24" t="str">
        <x:f>IF(Q180&lt;&gt;"",Q180,O180)</x:f>
        <x:v>2</x:v>
      </x:c>
      <x:c r="S180" s="29" t="str"/>
    </x:row>
    <x:row r="181" ht="54" customHeight="1">
      <x:c r="A181" s="17" t="str">
        <x:v>csq009-r20</x:v>
      </x:c>
      <x:c r="B181" s="17" t="str">
        <x:v>csq009</x:v>
      </x:c>
      <x:c r="C181" s="17" t="str">
        <x:v>machine_learning</x:v>
      </x:c>
      <x:c r="D181" s="17" t="str">
        <x:v>graph_neural_networks</x:v>
      </x:c>
      <x:c r="E181" s="27" t="str">
        <x:v>What causes over-smoothing and over-squashing in graph neural networks, and which mitigation methods are supported by empirical and theoretical research?</x:v>
      </x:c>
      <x:c r="F181" s="22" t="n">
        <x:v>20</x:v>
      </x:c>
      <x:c r="G181" s="17" t="str">
        <x:v>arXiv:2508.20597</x:v>
      </x:c>
      <x:c r="H181" s="27" t="str">
        <x:v>Local Virtual Nodes for Alleviating Over-Squashing in Graph Neural Networks</x:v>
      </x:c>
      <x:c r="I181" s="17" t="str">
        <x:v>Tuğrul Hasan Karabulut; İnci M. Baytaş</x:v>
      </x:c>
      <x:c r="J181" s="22" t="n">
        <x:v>2025</x:v>
      </x:c>
      <x:c r="K181" s="27" t="str">
        <x:v>Over-squashing is a challenge in training graph neural networks for tasks involving long-range dependencies. In such tasks, a GNN's receptive field should be large enough to enable communication between distant nodes. However, gathering information from a wide range of neighborhoods and squashing its content into fixed-size node representations makes message-passing vulnerable to bottlenecks. Graph rewiring and adding virtual nodes are commonly studied remedies that create additional pathways around bottlenecks to mitigate over-squashing. However, these techniques alter the input graph's global topology and disrupt the domain knowledge encoded in the original graph structure, both of which could be essential to specific tasks and domains. This study presents Local Virtual Nodes (LVN) with trainable embeddings to alleviate the effects of over-squashing without significantly corrupting the global structure of the input graph. The position of the LVNs is determined by the node centrality, which indicates the existence of potential bottlenecks. Thus, the proposed approach aims to improve the connectivity in the regions with likely bottlenecks. Furthermore, trainable LVN embeddings shared across selected central regions facilitate communication between distant nodes without adding more layers. Extensive experiments on benchmark datasets demonstrate that LVNs can enhance structural connectivity and significantly improve performance on graph and node classification tasks. The code can be found at https://github.com/ALLab-Boun/LVN/}{https://github.com/ALLab-Boun/LVN/.</x:v>
      </x:c>
      <x:c r="L181" s="17" t="str">
        <x:v>http://arxiv.org/abs/2508.20597v1</x:v>
      </x:c>
      <x:c r="M181" s="23" t="n">
        <x:v>0.8543353850209775</x:v>
      </x:c>
      <x:c r="N181" s="17" t="str">
        <x:v>qwen3-rerank-no-instruct-20260727-125006-results.jsonl</x:v>
      </x:c>
      <x:c r="O181" s="24" t="str">
        <x:v>2</x:v>
      </x:c>
      <x:c r="P181" s="28" t="str">
        <x:v>局部虚拟节点绕过结构瓶颈并实证改善过挤压。</x:v>
      </x:c>
      <x:c r="Q181" s="25" t="str"/>
      <x:c r="R181" s="24" t="str">
        <x:f>IF(Q181&lt;&gt;"",Q181,O181)</x:f>
        <x:v>2</x:v>
      </x:c>
      <x:c r="S181" s="29" t="str"/>
    </x:row>
    <x:row r="182" ht="54" customHeight="1">
      <x:c r="A182" s="17" t="str">
        <x:v>csq010-r01</x:v>
      </x:c>
      <x:c r="B182" s="17" t="str">
        <x:v>csq010</x:v>
      </x:c>
      <x:c r="C182" s="17" t="str">
        <x:v>machine_learning</x:v>
      </x:c>
      <x:c r="D182" s="17" t="str">
        <x:v>self_supervised_learning</x:v>
      </x:c>
      <x:c r="E182" s="27" t="str">
        <x:v>How have self-supervised representation learning objectives evolved from contrastive learning to non-contrastive and masked-prediction approaches?</x:v>
      </x:c>
      <x:c r="F182" s="22" t="n">
        <x:v>1</x:v>
      </x:c>
      <x:c r="G182" s="17" t="str">
        <x:v>arXiv:2311.11335</x:v>
      </x:c>
      <x:c r="H182" s="27" t="str">
        <x:v>Self-Distilled Representation Learning for Time Series</x:v>
      </x:c>
      <x:c r="I182" s="17" t="str">
        <x:v>Felix Pieper; Konstantin Ditschuneit; Martin Genzel; Alexandra Lindt; Johannes Otterbach</x:v>
      </x:c>
      <x:c r="J182" s="22" t="n">
        <x:v>2023</x:v>
      </x:c>
      <x:c r="K182" s="27" t="str">
        <x:v>Self-supervised learning for time-series data holds potential similar to that recently unleashed in Natural Language Processing and Computer Vision. While most existing works in this area focus on contrastive learning, we propose a conceptually simple yet powerful non-contrastive approach, based on the data2vec self-distillation framework. The core of our method is a student-teacher scheme that predicts the latent representation of an input time series from masked views of the same time series. This strategy avoids strong modality-specific assumptions and biases typically introduced by the design of contrastive sample pairs. We demonstrate the competitiveness of our approach for classification and forecasting as downstream tasks, comparing with state-of-the-art self-supervised learning methods on the UCR and UEA archives as well as the ETT and Electricity datasets.</x:v>
      </x:c>
      <x:c r="L182" s="17" t="str">
        <x:v>http://arxiv.org/abs/2311.11335v1</x:v>
      </x:c>
      <x:c r="M182" s="23" t="n">
        <x:v>0.8895798078091637</x:v>
      </x:c>
      <x:c r="N182" s="17" t="str">
        <x:v>qwen3-rerank-no-instruct-20260727-125006-results.jsonl</x:v>
      </x:c>
      <x:c r="O182" s="24" t="str">
        <x:v>2</x:v>
      </x:c>
      <x:c r="P182" s="28" t="str">
        <x:v>自蒸馏是免负样本的非对比自监督路线。</x:v>
      </x:c>
      <x:c r="Q182" s="25" t="str"/>
      <x:c r="R182" s="24" t="str">
        <x:f>IF(Q182&lt;&gt;"",Q182,O182)</x:f>
        <x:v>2</x:v>
      </x:c>
      <x:c r="S182" s="29" t="str"/>
    </x:row>
    <x:row r="183" ht="54" customHeight="1">
      <x:c r="A183" s="17" t="str">
        <x:v>csq010-r02</x:v>
      </x:c>
      <x:c r="B183" s="17" t="str">
        <x:v>csq010</x:v>
      </x:c>
      <x:c r="C183" s="17" t="str">
        <x:v>machine_learning</x:v>
      </x:c>
      <x:c r="D183" s="17" t="str">
        <x:v>self_supervised_learning</x:v>
      </x:c>
      <x:c r="E183" s="27" t="str">
        <x:v>How have self-supervised representation learning objectives evolved from contrastive learning to non-contrastive and masked-prediction approaches?</x:v>
      </x:c>
      <x:c r="F183" s="22" t="n">
        <x:v>2</x:v>
      </x:c>
      <x:c r="G183" s="17" t="str">
        <x:v>arXiv:2210.16870</x:v>
      </x:c>
      <x:c r="H183" s="27" t="str">
        <x:v>A simple, efficient and scalable contrastive masked autoencoder for learning visual representations</x:v>
      </x:c>
      <x:c r="I183" s="17" t="str">
        <x:v>Shlok Mishra; Joshua Robinson; Huiwen Chang; David Jacobs; Aaron Sarna; Aaron Maschinot; Dilip Krishnan</x:v>
      </x:c>
      <x:c r="J183" s="22" t="n">
        <x:v>2022</x:v>
      </x:c>
      <x:c r="K183" s="27" t="str">
        <x:v>We introduce CAN, a simple, efficient and scalable method for self-supervised learning of visual representations. Our framework is a minimal and conceptually clean synthesis of (C) contrastive learning, (A) masked autoencoders, and (N) the noise prediction approach used in diffusion models. The learning mechanisms are complementary to one another: contrastive learning shapes the embedding space across a batch of image samples; masked autoencoders focus on reconstruction of the low-frequency spatial correlations in a single image sample; and noise prediction encourages the reconstruction of the high-frequency components of an image. The combined approach results in a robust, scalable and simple-to-implement algorithm. The training process is symmetric, with 50% of patches in both views being masked at random, yielding a considerable efficiency improvement over prior contrastive learning methods. Extensive empirical studies demonstrate that CAN achieves strong downstream performance under both linear and finetuning evaluations on transfer learning and robustness tasks. CAN outperforms MAE and SimCLR when pre-training on ImageNet, but is especially useful for pre-training on larger uncurated datasets such as JFT-300M: for linear probe on ImageNet, CAN achieves 75.4% compared to 73.4% for SimCLR and 64.1% for MAE. The finetuned performance on ImageNet of our ViT-L model is 86.1%, compared to 85.5% for SimCLR, and 85.4% for MAE. The overall FLOPs load of SimCLR is 70% higher than CAN for ViT-L models.</x:v>
      </x:c>
      <x:c r="L183" s="17" t="str">
        <x:v>http://arxiv.org/abs/2210.16870v1</x:v>
      </x:c>
      <x:c r="M183" s="23" t="n">
        <x:v>0.7644296842621373</x:v>
      </x:c>
      <x:c r="N183" s="17" t="str">
        <x:v>qwen3-rerank-no-instruct-20260727-125006-results.jsonl</x:v>
      </x:c>
      <x:c r="O183" s="24" t="str">
        <x:v>2</x:v>
      </x:c>
      <x:c r="P183" s="28" t="str">
        <x:v>融合对比和掩码自编码目标，直接连接两类范式。</x:v>
      </x:c>
      <x:c r="Q183" s="25" t="str"/>
      <x:c r="R183" s="24" t="str">
        <x:f>IF(Q183&lt;&gt;"",Q183,O183)</x:f>
        <x:v>2</x:v>
      </x:c>
      <x:c r="S183" s="29" t="str"/>
    </x:row>
    <x:row r="184" ht="54" customHeight="1">
      <x:c r="A184" s="17" t="str">
        <x:v>csq010-r03</x:v>
      </x:c>
      <x:c r="B184" s="17" t="str">
        <x:v>csq010</x:v>
      </x:c>
      <x:c r="C184" s="17" t="str">
        <x:v>machine_learning</x:v>
      </x:c>
      <x:c r="D184" s="17" t="str">
        <x:v>self_supervised_learning</x:v>
      </x:c>
      <x:c r="E184" s="27" t="str">
        <x:v>How have self-supervised representation learning objectives evolved from contrastive learning to non-contrastive and masked-prediction approaches?</x:v>
      </x:c>
      <x:c r="F184" s="22" t="n">
        <x:v>3</x:v>
      </x:c>
      <x:c r="G184" s="17" t="str">
        <x:v>arXiv:2208.00173</x:v>
      </x:c>
      <x:c r="H184" s="27" t="str">
        <x:v>A Survey on Masked Autoencoder for Self-supervised Learning in Vision and Beyond</x:v>
      </x:c>
      <x:c r="I184" s="17" t="str">
        <x:v>Chaoning Zhang; Chenshuang Zhang; Junha Song; John Seon Keun Yi; Kang Zhang; In So Kweon</x:v>
      </x:c>
      <x:c r="J184" s="22" t="n">
        <x:v>2022</x:v>
      </x:c>
      <x:c r="K184" s="27" t="str">
        <x:v>Masked autoencoders are scalable vision learners, as the title of MAE \cite{he2022masked}, which suggests that self-supervised learning (SSL) in vision might undertake a similar trajectory as in NLP. Specifically, generative pretext tasks with the masked prediction (e.g., BERT) have become a de facto standard SSL practice in NLP. By contrast, early attempts at generative methods in vision have been buried by their discriminative counterparts (like contrastive learning); however, the success of mask image modeling has revived the masking autoencoder (often termed denoising autoencoder in the past). As a milestone to bridge the gap with BERT in NLP, masked autoencoder has attracted unprecedented attention for SSL in vision and beyond. This work conducts a comprehensive survey of masked autoencoders to shed insight on a promising direction of SSL. As the first to review SSL with masked autoencoders, this work focuses on its application in vision by discussing its historical developments, recent progress, and implications for diverse applications.</x:v>
      </x:c>
      <x:c r="L184" s="17" t="str">
        <x:v>http://arxiv.org/abs/2208.00173v1</x:v>
      </x:c>
      <x:c r="M184" s="23" t="n">
        <x:v>0.7491481992648771</x:v>
      </x:c>
      <x:c r="N184" s="17" t="str">
        <x:v>qwen3-rerank-no-instruct-20260727-125006-results.jsonl</x:v>
      </x:c>
      <x:c r="O184" s="24" t="str">
        <x:v>2</x:v>
      </x:c>
      <x:c r="P184" s="28" t="str">
        <x:v>综述从视觉对比学习到掩码自编码器的发展。</x:v>
      </x:c>
      <x:c r="Q184" s="25" t="str"/>
      <x:c r="R184" s="24" t="str">
        <x:f>IF(Q184&lt;&gt;"",Q184,O184)</x:f>
        <x:v>2</x:v>
      </x:c>
      <x:c r="S184" s="29" t="str"/>
    </x:row>
    <x:row r="185" ht="54" customHeight="1">
      <x:c r="A185" s="17" t="str">
        <x:v>csq010-r04</x:v>
      </x:c>
      <x:c r="B185" s="17" t="str">
        <x:v>csq010</x:v>
      </x:c>
      <x:c r="C185" s="17" t="str">
        <x:v>machine_learning</x:v>
      </x:c>
      <x:c r="D185" s="17" t="str">
        <x:v>self_supervised_learning</x:v>
      </x:c>
      <x:c r="E185" s="27" t="str">
        <x:v>How have self-supervised representation learning objectives evolved from contrastive learning to non-contrastive and masked-prediction approaches?</x:v>
      </x:c>
      <x:c r="F185" s="22" t="n">
        <x:v>4</x:v>
      </x:c>
      <x:c r="G185" s="17" t="str">
        <x:v>arXiv:2206.02574</x:v>
      </x:c>
      <x:c r="H185" s="27" t="str">
        <x:v>On the duality between contrastive and non-contrastive self-supervised learning</x:v>
      </x:c>
      <x:c r="I185" s="17" t="str">
        <x:v>Quentin Garrido; Yubei Chen; Adrien Bardes; Laurent Najman; Yann Lecun</x:v>
      </x:c>
      <x:c r="J185" s="22" t="n">
        <x:v>2022</x:v>
      </x:c>
      <x:c r="K185" s="27" t="str">
        <x:v>Recent approaches in self-supervised learning of image representations can be categorized into different families of methods and, in particular, can be divided into contrastive and non-contrastive approaches. While differences between the two families have been thoroughly discussed to motivate new approaches, we focus more on the theoretical similarities between them. By designing contrastive and covariance based non-contrastive criteria that can be related algebraically and shown to be equivalent under limited assumptions, we show how close those families can be. We further study popular methods and introduce variations of them, allowing us to relate this theoretical result to current practices and show the influence (or lack thereof) of design choices on downstream performance. Motivated by our equivalence result, we investigate the low performance of SimCLR and show how it can match VICReg's with careful hyperparameter tuning, improving significantly over known baselines. We also challenge the popular assumption that non-contrastive methods need large output dimensions. Our theoretical and quantitative results suggest that the numerical gaps between contrastive and non-contrastive methods in certain regimes can be closed given better network design choices and hyperparameter tuning. The evidence shows that unifying different SOTA methods is an important direction to build a better understanding of self-supervised learning.</x:v>
      </x:c>
      <x:c r="L185" s="17" t="str">
        <x:v>http://arxiv.org/abs/2206.02574v3</x:v>
      </x:c>
      <x:c r="M185" s="23" t="n">
        <x:v>0.6913364416246164</x:v>
      </x:c>
      <x:c r="N185" s="17" t="str">
        <x:v>qwen3-rerank-no-instruct-20260727-125006-results.jsonl</x:v>
      </x:c>
      <x:c r="O185" s="24" t="str">
        <x:v>2</x:v>
      </x:c>
      <x:c r="P185" s="28" t="str">
        <x:v>理论和实验统一对比与协方差非对比目标。</x:v>
      </x:c>
      <x:c r="Q185" s="25" t="str"/>
      <x:c r="R185" s="24" t="str">
        <x:f>IF(Q185&lt;&gt;"",Q185,O185)</x:f>
        <x:v>2</x:v>
      </x:c>
      <x:c r="S185" s="29" t="str"/>
    </x:row>
    <x:row r="186" ht="54" customHeight="1">
      <x:c r="A186" s="17" t="str">
        <x:v>csq010-r05</x:v>
      </x:c>
      <x:c r="B186" s="17" t="str">
        <x:v>csq010</x:v>
      </x:c>
      <x:c r="C186" s="17" t="str">
        <x:v>machine_learning</x:v>
      </x:c>
      <x:c r="D186" s="17" t="str">
        <x:v>self_supervised_learning</x:v>
      </x:c>
      <x:c r="E186" s="27" t="str">
        <x:v>How have self-supervised representation learning objectives evolved from contrastive learning to non-contrastive and masked-prediction approaches?</x:v>
      </x:c>
      <x:c r="F186" s="22" t="n">
        <x:v>5</x:v>
      </x:c>
      <x:c r="G186" s="17" t="str">
        <x:v>arXiv:2205.11508</x:v>
      </x:c>
      <x:c r="H186" s="27" t="str">
        <x:v>Contrastive and Non-Contrastive Self-Supervised Learning Recover Global and Local Spectral Embedding Methods</x:v>
      </x:c>
      <x:c r="I186" s="17" t="str">
        <x:v>Randall Balestriero; Yann LeCun</x:v>
      </x:c>
      <x:c r="J186" s="22" t="n">
        <x:v>2022</x:v>
      </x:c>
      <x:c r="K186" s="27" t="str">
        <x:v>Self-Supervised Learning (SSL) surmises that inputs and pairwise positive relationships are enough to learn meaningful representations. Although SSL has recently reached a milestone: outperforming supervised methods in many modalities\dots the theoretical foundations are limited, method-specific, and fail to provide principled design guidelines to practitioners. In this paper, we propose a unifying framework under the helm of spectral manifold learning to address those limitations. Through the course of this study, we will rigorously demonstrate that VICReg, SimCLR, BarlowTwins et al. correspond to eponymous spectral methods such as Laplacian Eigenmaps, Multidimensional Scaling et al. This unification will then allow us to obtain (i) the closed-form optimal representation for each method, (ii) the closed-form optimal network parameters in the linear regime for each method, (iii) the impact of the pairwise relations used during training on each of those quantities and on downstream task performances, and most importantly, (iv) the first theoretical bridge between contrastive and non-contrastive methods towards global and local spectral embedding methods respectively, hinting at the benefits and limitations of each. For example, (i) if the pairwise relation is aligned with the downstream task, any SSL method can be employed successfully and will recover the supervised method, but in the low data regime, VICReg's invariance hyper-parameter should be high; (ii) if the pairwise relation is misaligned with the downstream task, VICReg with small invariance hyper-parameter should be preferred over SimCLR or BarlowTwins.</x:v>
      </x:c>
      <x:c r="L186" s="17" t="str">
        <x:v>http://arxiv.org/abs/2205.11508v3</x:v>
      </x:c>
      <x:c r="M186" s="23" t="n">
        <x:v>0.6566273595106777</x:v>
      </x:c>
      <x:c r="N186" s="17" t="str">
        <x:v>qwen3-rerank-no-instruct-20260727-125006-results.jsonl</x:v>
      </x:c>
      <x:c r="O186" s="24" t="str">
        <x:v>2</x:v>
      </x:c>
      <x:c r="P186" s="28" t="str">
        <x:v>以谱嵌入视角比较对比与非对比自监督。</x:v>
      </x:c>
      <x:c r="Q186" s="25" t="str"/>
      <x:c r="R186" s="24" t="str">
        <x:f>IF(Q186&lt;&gt;"",Q186,O186)</x:f>
        <x:v>2</x:v>
      </x:c>
      <x:c r="S186" s="29" t="str"/>
    </x:row>
    <x:row r="187" ht="54" customHeight="1">
      <x:c r="A187" s="17" t="str">
        <x:v>csq010-r06</x:v>
      </x:c>
      <x:c r="B187" s="17" t="str">
        <x:v>csq010</x:v>
      </x:c>
      <x:c r="C187" s="17" t="str">
        <x:v>machine_learning</x:v>
      </x:c>
      <x:c r="D187" s="17" t="str">
        <x:v>self_supervised_learning</x:v>
      </x:c>
      <x:c r="E187" s="27" t="str">
        <x:v>How have self-supervised representation learning objectives evolved from contrastive learning to non-contrastive and masked-prediction approaches?</x:v>
      </x:c>
      <x:c r="F187" s="22" t="n">
        <x:v>6</x:v>
      </x:c>
      <x:c r="G187" s="17" t="str">
        <x:v>arXiv:2410.04959</x:v>
      </x:c>
      <x:c r="H187" s="27" t="str">
        <x:v>Collapse-Proof Non-Contrastive Self-Supervised Learning</x:v>
      </x:c>
      <x:c r="I187" s="17" t="str">
        <x:v>Emanuele Sansone; Tim Lebailly; Tinne Tuytelaars</x:v>
      </x:c>
      <x:c r="J187" s="22" t="n">
        <x:v>2024</x:v>
      </x:c>
      <x:c r="K187" s="27" t="str">
        <x:v>We present a principled and simplified design of the projector and loss function for non-contrastive self-supervised learning based on hyperdimensional computing. We theoretically demonstrate that this design introduces an inductive bias that encourages representations to be simultaneously decorrelated and clustered, without explicitly enforcing these properties. This bias provably enhances generalization and suffices to avoid known training failure modes, such as representation, dimensional, cluster, and intracluster collapses. We validate our theoretical findings on image datasets, including SVHN, CIFAR-10, CIFAR-100, and ImageNet-100. Our approach effectively combines the strengths of feature decorrelation and cluster-based self-supervised learning methods, overcoming training failure modes while achieving strong generalization in clustering and linear classification tasks.</x:v>
      </x:c>
      <x:c r="L187" s="17" t="str">
        <x:v>http://arxiv.org/abs/2410.04959v4</x:v>
      </x:c>
      <x:c r="M187" s="23" t="n">
        <x:v>0.6154765883465024</x:v>
      </x:c>
      <x:c r="N187" s="17" t="str">
        <x:v>qwen3-rerank-no-instruct-20260727-125006-results.jsonl</x:v>
      </x:c>
      <x:c r="O187" s="24" t="str">
        <x:v>2</x:v>
      </x:c>
      <x:c r="P187" s="28" t="str">
        <x:v>设计可证明防坍塌的非对比损失和投影头。</x:v>
      </x:c>
      <x:c r="Q187" s="25" t="str"/>
      <x:c r="R187" s="24" t="str">
        <x:f>IF(Q187&lt;&gt;"",Q187,O187)</x:f>
        <x:v>2</x:v>
      </x:c>
      <x:c r="S187" s="29" t="str"/>
    </x:row>
    <x:row r="188" ht="54" customHeight="1">
      <x:c r="A188" s="17" t="str">
        <x:v>csq010-r07</x:v>
      </x:c>
      <x:c r="B188" s="17" t="str">
        <x:v>csq010</x:v>
      </x:c>
      <x:c r="C188" s="17" t="str">
        <x:v>machine_learning</x:v>
      </x:c>
      <x:c r="D188" s="17" t="str">
        <x:v>self_supervised_learning</x:v>
      </x:c>
      <x:c r="E188" s="27" t="str">
        <x:v>How have self-supervised representation learning objectives evolved from contrastive learning to non-contrastive and masked-prediction approaches?</x:v>
      </x:c>
      <x:c r="F188" s="22" t="n">
        <x:v>7</x:v>
      </x:c>
      <x:c r="G188" s="17" t="str">
        <x:v>arXiv:2205.06226</x:v>
      </x:c>
      <x:c r="H188" s="27" t="str">
        <x:v>The Mechanism of Prediction Head in Non-contrastive Self-supervised Learning</x:v>
      </x:c>
      <x:c r="I188" s="17" t="str">
        <x:v>Zixin Wen; Yuanzhi Li</x:v>
      </x:c>
      <x:c r="J188" s="22" t="n">
        <x:v>2022</x:v>
      </x:c>
      <x:c r="K188" s="27" t="str">
        <x:v>Recently the surprising discovery of the Bootstrap Your Own Latent (BYOL) method by Grill et al. shows the negative term in contrastive loss can be removed if we add the so-called prediction head to the network. This initiated the research of non-contrastive self-supervised learning. It is mysterious why even when there exist trivial collapsed global optimal solutions, neural networks trained by (stochastic) gradient descent can still learn competitive representations. This phenomenon is a typical example of implicit bias in deep learning and remains little understood. In this work, we present our empirical and theoretical discoveries on non-contrastive self-supervised learning. Empirically, we find that when the prediction head is initialized as an identity matrix with only its off-diagonal entries being trainable, the network can learn competitive representations even though the trivial optima still exist in the training objective. Theoretically, we present a framework to understand the behavior of the trainable, but identity-initialized prediction head. Under a simple setting, we characterized the substitution effect and acceleration effect of the prediction head. The substitution effect happens when learning the stronger features in some neurons can substitute for learning these features in other neurons through updating the prediction head. And the acceleration effect happens when the substituted features can accelerate the learning of other weaker features to prevent them from being ignored. These two effects enable the neural networks to learn all the features rather than focus only on learning the stronger features, which is likely the cause of the dimensional collapse phenomenon. To the best of our knowledge, this is also the first end-to-end optimization guarantee for non-contrastive methods using nonlinear neural networks with a trainable prediction head and normalization.</x:v>
      </x:c>
      <x:c r="L188" s="17" t="str">
        <x:v>http://arxiv.org/abs/2205.06226v3</x:v>
      </x:c>
      <x:c r="M188" s="23" t="n">
        <x:v>0.6076173318204925</x:v>
      </x:c>
      <x:c r="N188" s="17" t="str">
        <x:v>qwen3-rerank-no-instruct-20260727-125006-results.jsonl</x:v>
      </x:c>
      <x:c r="O188" s="24" t="str">
        <x:v>2</x:v>
      </x:c>
      <x:c r="P188" s="28" t="str">
        <x:v>解释BYOL式非对比预测头如何避免坍塌。</x:v>
      </x:c>
      <x:c r="Q188" s="25" t="str"/>
      <x:c r="R188" s="24" t="str">
        <x:f>IF(Q188&lt;&gt;"",Q188,O188)</x:f>
        <x:v>2</x:v>
      </x:c>
      <x:c r="S188" s="29" t="str"/>
    </x:row>
    <x:row r="189" ht="54" customHeight="1">
      <x:c r="A189" s="17" t="str">
        <x:v>csq010-r08</x:v>
      </x:c>
      <x:c r="B189" s="17" t="str">
        <x:v>csq010</x:v>
      </x:c>
      <x:c r="C189" s="17" t="str">
        <x:v>machine_learning</x:v>
      </x:c>
      <x:c r="D189" s="17" t="str">
        <x:v>self_supervised_learning</x:v>
      </x:c>
      <x:c r="E189" s="27" t="str">
        <x:v>How have self-supervised representation learning objectives evolved from contrastive learning to non-contrastive and masked-prediction approaches?</x:v>
      </x:c>
      <x:c r="F189" s="22" t="n">
        <x:v>8</x:v>
      </x:c>
      <x:c r="G189" s="17" t="str">
        <x:v>arXiv:2408.06687</x:v>
      </x:c>
      <x:c r="H189" s="27" t="str">
        <x:v>Masked Image Modeling: A Survey</x:v>
      </x:c>
      <x:c r="I189" s="17" t="str">
        <x:v>Vlad Hondru; Florinel Alin Croitoru; Shervin Minaee; Radu Tudor Ionescu; Nicu Sebe</x:v>
      </x:c>
      <x:c r="J189" s="22" t="n">
        <x:v>2024</x:v>
      </x:c>
      <x:c r="K189" s="27" t="str">
        <x:v>In this work, we survey recent studies on masked image modeling (MIM), an approach that emerged as a powerful self-supervised learning technique in computer vision. The MIM task involves masking some information, e.g. pixels, patches, or even latent representations, and training a model, usually an autoencoder, to predicting the missing information by using the context available in the visible part of the input. We identify and formalize two categories of approaches on how to implement MIM as a pretext task, one based on reconstruction and one based on contrastive learning. Then, we construct a taxonomy and review the most prominent papers in recent years. We complement the manually constructed taxonomy with a dendrogram obtained by applying a hierarchical clustering algorithm. We further identify relevant clusters via manually inspecting the resulting dendrogram. Our review also includes datasets that are commonly used in MIM research. We aggregate the performance results of various masked image modeling methods on the most popular datasets, to facilitate the comparison of competing methods. Finally, we identify research gaps and propose several interesting directions of future work. We supplement our survey with the following public repository containing organized references: https://github.com/vladhondru25/MIM-Survey.</x:v>
      </x:c>
      <x:c r="L189" s="17" t="str">
        <x:v>http://arxiv.org/abs/2408.06687v3</x:v>
      </x:c>
      <x:c r="M189" s="23" t="n">
        <x:v>0.6073568668434367</x:v>
      </x:c>
      <x:c r="N189" s="17" t="str">
        <x:v>qwen3-rerank-no-instruct-20260727-125006-results.jsonl</x:v>
      </x:c>
      <x:c r="O189" s="24" t="str">
        <x:v>2</x:v>
      </x:c>
      <x:c r="P189" s="28" t="str">
        <x:v>系统综述掩码图像建模目标与发展。</x:v>
      </x:c>
      <x:c r="Q189" s="25" t="str"/>
      <x:c r="R189" s="24" t="str">
        <x:f>IF(Q189&lt;&gt;"",Q189,O189)</x:f>
        <x:v>2</x:v>
      </x:c>
      <x:c r="S189" s="29" t="str"/>
    </x:row>
    <x:row r="190" ht="54" customHeight="1">
      <x:c r="A190" s="17" t="str">
        <x:v>csq010-r09</x:v>
      </x:c>
      <x:c r="B190" s="17" t="str">
        <x:v>csq010</x:v>
      </x:c>
      <x:c r="C190" s="17" t="str">
        <x:v>machine_learning</x:v>
      </x:c>
      <x:c r="D190" s="17" t="str">
        <x:v>self_supervised_learning</x:v>
      </x:c>
      <x:c r="E190" s="27" t="str">
        <x:v>How have self-supervised representation learning objectives evolved from contrastive learning to non-contrastive and masked-prediction approaches?</x:v>
      </x:c>
      <x:c r="F190" s="22" t="n">
        <x:v>9</x:v>
      </x:c>
      <x:c r="G190" s="17" t="str">
        <x:v>arXiv:2209.14884</x:v>
      </x:c>
      <x:c r="H190" s="27" t="str">
        <x:v>Joint Embedding Self-Supervised Learning in the Kernel Regime</x:v>
      </x:c>
      <x:c r="I190" s="17" t="str">
        <x:v>Bobak T. Kiani; Randall Balestriero; Yubei Chen; Seth Lloyd; Yann LeCun</x:v>
      </x:c>
      <x:c r="J190" s="22" t="n">
        <x:v>2022</x:v>
      </x:c>
      <x:c r="K190" s="27" t="str">
        <x:v>The fundamental goal of self-supervised learning (SSL) is to produce useful representations of data without access to any labels for classifying the data. Modern methods in SSL, which form representations based on known or constructed relationships between samples, have been particularly effective at this task. Here, we aim to extend this framework to incorporate algorithms based on kernel methods where embeddings are constructed by linear maps acting on the feature space of a kernel. In this kernel regime, we derive methods to find the optimal form of the output representations for contrastive and non-contrastive loss functions. This procedure produces a new representation space with an inner product denoted as the induced kernel which generally correlates points which are related by an augmentation in kernel space and de-correlates points otherwise. We analyze our kernel model on small datasets to identify common features of self-supervised learning algorithms and gain theoretical insights into their performance on downstream tasks.</x:v>
      </x:c>
      <x:c r="L190" s="17" t="str">
        <x:v>http://arxiv.org/abs/2209.14884v1</x:v>
      </x:c>
      <x:c r="M190" s="23" t="n">
        <x:v>0.5938800612365571</x:v>
      </x:c>
      <x:c r="N190" s="17" t="str">
        <x:v>qwen3-rerank-no-instruct-20260727-125006-results.jsonl</x:v>
      </x:c>
      <x:c r="O190" s="24" t="str">
        <x:v>2</x:v>
      </x:c>
      <x:c r="P190" s="28" t="str">
        <x:v>从核理论分析联合嵌入非对比自监督。</x:v>
      </x:c>
      <x:c r="Q190" s="25" t="str"/>
      <x:c r="R190" s="24" t="str">
        <x:f>IF(Q190&lt;&gt;"",Q190,O190)</x:f>
        <x:v>2</x:v>
      </x:c>
      <x:c r="S190" s="29" t="str"/>
    </x:row>
    <x:row r="191" ht="54" customHeight="1">
      <x:c r="A191" s="17" t="str">
        <x:v>csq010-r10</x:v>
      </x:c>
      <x:c r="B191" s="17" t="str">
        <x:v>csq010</x:v>
      </x:c>
      <x:c r="C191" s="17" t="str">
        <x:v>machine_learning</x:v>
      </x:c>
      <x:c r="D191" s="17" t="str">
        <x:v>self_supervised_learning</x:v>
      </x:c>
      <x:c r="E191" s="27" t="str">
        <x:v>How have self-supervised representation learning objectives evolved from contrastive learning to non-contrastive and masked-prediction approaches?</x:v>
      </x:c>
      <x:c r="F191" s="22" t="n">
        <x:v>10</x:v>
      </x:c>
      <x:c r="G191" s="17" t="str">
        <x:v>arXiv:2402.07225</x:v>
      </x:c>
      <x:c r="H191" s="27" t="str">
        <x:v>Rethinking Graph Masked Autoencoders through Alignment and Uniformity</x:v>
      </x:c>
      <x:c r="I191" s="17" t="str">
        <x:v>Liang Wang; Xiang Tao; Qiang Liu; Shu Wu; Liang Wang</x:v>
      </x:c>
      <x:c r="J191" s="22" t="n">
        <x:v>2024</x:v>
      </x:c>
      <x:c r="K191" s="27" t="str">
        <x:v>Self-supervised learning on graphs can be bifurcated into contrastive and generative methods. Contrastive methods, also known as graph contrastive learning (GCL), have dominated graph self-supervised learning in the past few years, but the recent advent of graph masked autoencoder (GraphMAE) rekindles the momentum behind generative methods. Despite the empirical success of GraphMAE, there is still a dearth of theoretical understanding regarding its efficacy. Moreover, while both generative and contrastive methods have been shown to be effective, their connections and differences have yet to be thoroughly investigated. Therefore, we theoretically build a bridge between GraphMAE and GCL, and prove that the node-level reconstruction objective in GraphMAE implicitly performs context-level GCL. Based on our theoretical analysis, we further identify the limitations of the GraphMAE from the perspectives of alignment and uniformity, which have been considered as two key properties of high-quality representations in GCL. We point out that GraphMAE's alignment performance is restricted by the masking strategy, and the uniformity is not strictly guaranteed. To remedy the aforementioned limitations, we propose an Alignment-Uniformity enhanced Graph Masked AutoEncoder, named AUG-MAE. Specifically, we propose an easy-to-hard adversarial masking strategy to provide hard-to-align samples, which improves the alignment performance. Meanwhile, we introduce an explicit uniformity regularizer to ensure the uniformity of the learned representations. Experimental results on benchmark datasets demonstrate the superiority of our model over existing state-of-the-art methods.</x:v>
      </x:c>
      <x:c r="L191" s="17" t="str">
        <x:v>http://arxiv.org/abs/2402.07225v1</x:v>
      </x:c>
      <x:c r="M191" s="23" t="n">
        <x:v>0.5824696442475829</x:v>
      </x:c>
      <x:c r="N191" s="17" t="str">
        <x:v>qwen3-rerank-no-instruct-20260727-125006-results.jsonl</x:v>
      </x:c>
      <x:c r="O191" s="24" t="str">
        <x:v>2</x:v>
      </x:c>
      <x:c r="P191" s="28" t="str">
        <x:v>用对齐与均匀性重新解释图掩码自编码器。</x:v>
      </x:c>
      <x:c r="Q191" s="25" t="str"/>
      <x:c r="R191" s="24" t="str">
        <x:f>IF(Q191&lt;&gt;"",Q191,O191)</x:f>
        <x:v>2</x:v>
      </x:c>
      <x:c r="S191" s="29" t="str"/>
    </x:row>
    <x:row r="192" ht="54" customHeight="1">
      <x:c r="A192" s="17" t="str">
        <x:v>csq010-r11</x:v>
      </x:c>
      <x:c r="B192" s="17" t="str">
        <x:v>csq010</x:v>
      </x:c>
      <x:c r="C192" s="17" t="str">
        <x:v>machine_learning</x:v>
      </x:c>
      <x:c r="D192" s="17" t="str">
        <x:v>self_supervised_learning</x:v>
      </x:c>
      <x:c r="E192" s="27" t="str">
        <x:v>How have self-supervised representation learning objectives evolved from contrastive learning to non-contrastive and masked-prediction approaches?</x:v>
      </x:c>
      <x:c r="F192" s="22" t="n">
        <x:v>11</x:v>
      </x:c>
      <x:c r="G192" s="17" t="str">
        <x:v>arXiv:2208.05413</x:v>
      </x:c>
      <x:c r="H192" s="27" t="str">
        <x:v>Non-Contrastive Self-Supervised Learning of Utterance-Level Speech Representations</x:v>
      </x:c>
      <x:c r="I192" s="17" t="str">
        <x:v>Jaejin Cho; Raghavendra Pappagari; Piotr Żelasko; Laureano Moro-Velazquez; Jesús Villalba; Najim Dehak</x:v>
      </x:c>
      <x:c r="J192" s="22" t="n">
        <x:v>2022</x:v>
      </x:c>
      <x:c r="K192" s="27" t="str">
        <x:v>Considering the abundance of unlabeled speech data and the high labeling costs, unsupervised learning methods can be essential for better system development. One of the most successful methods is contrastive self-supervised methods, which require negative sampling: sampling alternative samples to contrast with the current sample (anchor). However, it is hard to ensure if all the negative samples belong to classes different from the anchor class without labels. This paper applies a non-contrastive self-supervised learning method on an unlabeled speech corpus to learn utterance-level embeddings. We used DIstillation with NO labels (DINO), proposed in computer vision, and adapted it to the speech domain. Unlike the contrastive methods, DINO does not require negative sampling. These embeddings were evaluated on speaker verification and emotion recognition. In speaker verification, the unsupervised DINO embedding with cosine scoring provided 4.38% EER on the VoxCeleb1 test trial. This outperforms the best contrastive self-supervised method by 40% relative in EER. An iterative pseudo-labeling training pipeline, not requiring speaker labels, further improved the EER to 1.89%. In emotion recognition, the DINO embedding performed 60.87, 79.21, and 56.98% in micro-f1 score on IEMOCAP, Crema-D, and MSP-Podcast, respectively. The results imply the generality of the DINO embedding to different speech applications.</x:v>
      </x:c>
      <x:c r="L192" s="17" t="str">
        <x:v>http://arxiv.org/abs/2208.05413v1</x:v>
      </x:c>
      <x:c r="M192" s="23" t="n">
        <x:v>0.5783788628626187</x:v>
      </x:c>
      <x:c r="N192" s="17" t="str">
        <x:v>qwen3-rerank-no-instruct-20260727-125006-results.jsonl</x:v>
      </x:c>
      <x:c r="O192" s="24" t="str">
        <x:v>2</x:v>
      </x:c>
      <x:c r="P192" s="28" t="str">
        <x:v>将免负样本非对比学习用于语音表征。</x:v>
      </x:c>
      <x:c r="Q192" s="25" t="str"/>
      <x:c r="R192" s="24" t="str">
        <x:f>IF(Q192&lt;&gt;"",Q192,O192)</x:f>
        <x:v>2</x:v>
      </x:c>
      <x:c r="S192" s="29" t="str"/>
    </x:row>
    <x:row r="193" ht="54" customHeight="1">
      <x:c r="A193" s="17" t="str">
        <x:v>csq010-r12</x:v>
      </x:c>
      <x:c r="B193" s="17" t="str">
        <x:v>csq010</x:v>
      </x:c>
      <x:c r="C193" s="17" t="str">
        <x:v>machine_learning</x:v>
      </x:c>
      <x:c r="D193" s="17" t="str">
        <x:v>self_supervised_learning</x:v>
      </x:c>
      <x:c r="E193" s="27" t="str">
        <x:v>How have self-supervised representation learning objectives evolved from contrastive learning to non-contrastive and masked-prediction approaches?</x:v>
      </x:c>
      <x:c r="F193" s="22" t="n">
        <x:v>12</x:v>
      </x:c>
      <x:c r="G193" s="17" t="str">
        <x:v>arXiv:2309.11782</x:v>
      </x:c>
      <x:c r="H193" s="27" t="str">
        <x:v>DimCL: Dimensional Contrastive Learning For Improving Self-Supervised Learning</x:v>
      </x:c>
      <x:c r="I193" s="17" t="str">
        <x:v>Thanh Nguyen; Trung Pham; Chaoning Zhang; Tung Luu; Thang Vu; Chang D. Yoo</x:v>
      </x:c>
      <x:c r="J193" s="22" t="n">
        <x:v>2023</x:v>
      </x:c>
      <x:c r="K193" s="27" t="str">
        <x:v>Self-supervised learning (SSL) has gained remarkable success, for which contrastive learning (CL) plays a key role. However, the recent development of new non-CL frameworks has achieved comparable or better performance with high improvement potential, prompting researchers to enhance these frameworks further. Assimilating CL into non-CL frameworks has been thought to be beneficial, but empirical evidence indicates no visible improvements. In view of that, this paper proposes a strategy of performing CL along the dimensional direction instead of along the batch direction as done in conventional contrastive learning, named Dimensional Contrastive Learning (DimCL). DimCL aims to enhance the feature diversity, and it can serve as a regularizer to prior SSL frameworks. DimCL has been found to be effective, and the hardness-aware property is identified as a critical reason for its success. Extensive experimental results reveal that assimilating DimCL into SSL frameworks leads to performance improvement by a non-trivial margin on various datasets and backbone architectures.</x:v>
      </x:c>
      <x:c r="L193" s="17" t="str">
        <x:v>http://arxiv.org/abs/2309.11782v1</x:v>
      </x:c>
      <x:c r="M193" s="23" t="n">
        <x:v>0.5771100681409809</x:v>
      </x:c>
      <x:c r="N193" s="17" t="str">
        <x:v>qwen3-rerank-no-instruct-20260727-125006-results.jsonl</x:v>
      </x:c>
      <x:c r="O193" s="24" t="str">
        <x:v>2</x:v>
      </x:c>
      <x:c r="P193" s="28" t="str">
        <x:v>维度级对比损失是对比目标的直接演进。</x:v>
      </x:c>
      <x:c r="Q193" s="25" t="str"/>
      <x:c r="R193" s="24" t="str">
        <x:f>IF(Q193&lt;&gt;"",Q193,O193)</x:f>
        <x:v>2</x:v>
      </x:c>
      <x:c r="S193" s="29" t="str"/>
    </x:row>
    <x:row r="194" ht="54" customHeight="1">
      <x:c r="A194" s="17" t="str">
        <x:v>csq010-r13</x:v>
      </x:c>
      <x:c r="B194" s="17" t="str">
        <x:v>csq010</x:v>
      </x:c>
      <x:c r="C194" s="17" t="str">
        <x:v>machine_learning</x:v>
      </x:c>
      <x:c r="D194" s="17" t="str">
        <x:v>self_supervised_learning</x:v>
      </x:c>
      <x:c r="E194" s="27" t="str">
        <x:v>How have self-supervised representation learning objectives evolved from contrastive learning to non-contrastive and masked-prediction approaches?</x:v>
      </x:c>
      <x:c r="F194" s="22" t="n">
        <x:v>13</x:v>
      </x:c>
      <x:c r="G194" s="17" t="str">
        <x:v>arXiv:2310.01994</x:v>
      </x:c>
      <x:c r="H194" s="27" t="str">
        <x:v>Understanding Masked Autoencoders From a Local Contrastive Perspective</x:v>
      </x:c>
      <x:c r="I194" s="17" t="str">
        <x:v>Xiaoyu Yue; Lei Bai; Meng Wei; Jiangmiao Pang; Xihui Liu; Luping Zhou; Wanli Ouyang</x:v>
      </x:c>
      <x:c r="J194" s="22" t="n">
        <x:v>2023</x:v>
      </x:c>
      <x:c r="K194" s="27" t="str">
        <x:v>Masked AutoEncoder (MAE) has revolutionized the field of self-supervised learning with its simple yet effective masking and reconstruction strategies. However, despite achieving state-of-the-art performance across various downstream vision tasks, the underlying mechanisms that drive MAE's efficacy are less well-explored compared to the canonical contrastive learning paradigm. In this paper, we first propose a local perspective to explicitly extract a local contrastive form from MAE's reconstructive objective at the patch level. And then we introduce a new empirical framework, called Local Contrastive MAE (LC-MAE), to analyze both reconstructive and contrastive aspects of MAE. LC-MAE reveals that MAE learns invariance to random masking and ensures distribution consistency between the learned token embeddings and the original images. Furthermore, we dissect the contribution of the decoder and random masking to MAE's success, revealing both the decoder's learning mechanism and the dual role of random masking as data augmentation and effective receptive field restriction. Our experimental analysis sheds light on the intricacies of MAE and summarizes some useful design methodologies, which can inspire more powerful visual self-supervised methods.</x:v>
      </x:c>
      <x:c r="L194" s="17" t="str">
        <x:v>http://arxiv.org/abs/2310.01994v2</x:v>
      </x:c>
      <x:c r="M194" s="23" t="n">
        <x:v>0.5751598366336682</x:v>
      </x:c>
      <x:c r="N194" s="17" t="str">
        <x:v>qwen3-rerank-no-instruct-20260727-125006-results.jsonl</x:v>
      </x:c>
      <x:c r="O194" s="24" t="str">
        <x:v>2</x:v>
      </x:c>
      <x:c r="P194" s="28" t="str">
        <x:v>从局部对比视角解析掩码自编码目标。</x:v>
      </x:c>
      <x:c r="Q194" s="25" t="str"/>
      <x:c r="R194" s="24" t="str">
        <x:f>IF(Q194&lt;&gt;"",Q194,O194)</x:f>
        <x:v>2</x:v>
      </x:c>
      <x:c r="S194" s="29" t="str"/>
    </x:row>
    <x:row r="195" ht="54" customHeight="1">
      <x:c r="A195" s="17" t="str">
        <x:v>csq010-r14</x:v>
      </x:c>
      <x:c r="B195" s="17" t="str">
        <x:v>csq010</x:v>
      </x:c>
      <x:c r="C195" s="17" t="str">
        <x:v>machine_learning</x:v>
      </x:c>
      <x:c r="D195" s="17" t="str">
        <x:v>self_supervised_learning</x:v>
      </x:c>
      <x:c r="E195" s="27" t="str">
        <x:v>How have self-supervised representation learning objectives evolved from contrastive learning to non-contrastive and masked-prediction approaches?</x:v>
      </x:c>
      <x:c r="F195" s="22" t="n">
        <x:v>14</x:v>
      </x:c>
      <x:c r="G195" s="17" t="str">
        <x:v>arXiv:2507.01028</x:v>
      </x:c>
      <x:c r="H195" s="27" t="str">
        <x:v>Dual Perspectives on Non-Contrastive Self-Supervised Learning</x:v>
      </x:c>
      <x:c r="I195" s="17" t="str">
        <x:v>Jean Ponce; Basile Terver; Martial Hebert; Michael Arbel</x:v>
      </x:c>
      <x:c r="J195" s="22" t="n">
        <x:v>2025</x:v>
      </x:c>
      <x:c r="K195" s="27" t="str">
        <x:v>The {\em stop gradient} and {\em exponential moving average} iterative procedures are commonly used in non-contrastive approaches to self-supervised learning to avoid representation collapse, with excellent performance in downstream applications in practice. This presentation investigates these procedures from the dual viewpoints of optimization and dynamical systems. We show that, in general, although they {\em do not} optimize the original objective, or {\em any} other smooth function, they {\em do} avoid collapse Following~\citet{Tian21}, but without any of the extra assumptions used in their proofs, we then show using a dynamical system perspective that, in the linear case, minimizing the original objective function without the use of a stop gradient or exponential moving average {\em always} leads to collapse. Conversely, we characterize explicitly the equilibria of the dynamical systems associated with these two procedures in this linear setting as algebraic varieties in their parameter space, and show that they are, in general, {\em asymptotically stable}. Our theoretical findings are illustrated by empirical experiments with real and synthetic data.</x:v>
      </x:c>
      <x:c r="L195" s="17" t="str">
        <x:v>http://arxiv.org/abs/2507.01028v3</x:v>
      </x:c>
      <x:c r="M195" s="23" t="n">
        <x:v>0.5640251292618003</x:v>
      </x:c>
      <x:c r="N195" s="17" t="str">
        <x:v>qwen3-rerank-no-instruct-20260727-125006-results.jsonl</x:v>
      </x:c>
      <x:c r="O195" s="24" t="str">
        <x:v>2</x:v>
      </x:c>
      <x:c r="P195" s="28" t="str">
        <x:v>从优化和动力系统解释非对比停止梯度与EMA。</x:v>
      </x:c>
      <x:c r="Q195" s="25" t="str"/>
      <x:c r="R195" s="24" t="str">
        <x:f>IF(Q195&lt;&gt;"",Q195,O195)</x:f>
        <x:v>2</x:v>
      </x:c>
      <x:c r="S195" s="29" t="str"/>
    </x:row>
    <x:row r="196" ht="54" customHeight="1">
      <x:c r="A196" s="17" t="str">
        <x:v>csq010-r15</x:v>
      </x:c>
      <x:c r="B196" s="17" t="str">
        <x:v>csq010</x:v>
      </x:c>
      <x:c r="C196" s="17" t="str">
        <x:v>machine_learning</x:v>
      </x:c>
      <x:c r="D196" s="17" t="str">
        <x:v>self_supervised_learning</x:v>
      </x:c>
      <x:c r="E196" s="27" t="str">
        <x:v>How have self-supervised representation learning objectives evolved from contrastive learning to non-contrastive and masked-prediction approaches?</x:v>
      </x:c>
      <x:c r="F196" s="22" t="n">
        <x:v>15</x:v>
      </x:c>
      <x:c r="G196" s="17" t="str">
        <x:v>arXiv:2305.04075</x:v>
      </x:c>
      <x:c r="H196" s="27" t="str">
        <x:v>PointCMP: Contrastive Mask Prediction for Self-supervised Learning on Point Cloud Videos</x:v>
      </x:c>
      <x:c r="I196" s="17" t="str">
        <x:v>Zhiqiang Shen; Xiaoxiao Sheng; Longguang Wang; Yulan Guo; Qiong Liu; Xi Zhou</x:v>
      </x:c>
      <x:c r="J196" s="22" t="n">
        <x:v>2023</x:v>
      </x:c>
      <x:c r="K196" s="27" t="str">
        <x:v>Self-supervised learning can extract representations of good quality from solely unlabeled data, which is appealing for point cloud videos due to their high labelling cost. In this paper, we propose a contrastive mask prediction (PointCMP) framework for self-supervised learning on point cloud videos. Specifically, our PointCMP employs a two-branch structure to achieve simultaneous learning of both local and global spatio-temporal information. On top of this two-branch structure, a mutual similarity based augmentation module is developed to synthesize hard samples at the feature level. By masking dominant tokens and erasing principal channels, we generate hard samples to facilitate learning representations with better discrimination and generalization performance. Extensive experiments show that our PointCMP achieves the state-of-the-art performance on benchmark datasets and outperforms existing full-supervised counterparts. Transfer learning results demonstrate the superiority of the learned representations across different datasets and tasks.</x:v>
      </x:c>
      <x:c r="L196" s="17" t="str">
        <x:v>http://arxiv.org/abs/2305.04075v1</x:v>
      </x:c>
      <x:c r="M196" s="23" t="n">
        <x:v>0.5498649074268995</x:v>
      </x:c>
      <x:c r="N196" s="17" t="str">
        <x:v>qwen3-rerank-no-instruct-20260727-125006-results.jsonl</x:v>
      </x:c>
      <x:c r="O196" s="24" t="str">
        <x:v>2</x:v>
      </x:c>
      <x:c r="P196" s="28" t="str">
        <x:v>融合掩码和对比预测学习点云视频表征。</x:v>
      </x:c>
      <x:c r="Q196" s="25" t="str"/>
      <x:c r="R196" s="24" t="str">
        <x:f>IF(Q196&lt;&gt;"",Q196,O196)</x:f>
        <x:v>2</x:v>
      </x:c>
      <x:c r="S196" s="29" t="str"/>
    </x:row>
    <x:row r="197" ht="54" customHeight="1">
      <x:c r="A197" s="17" t="str">
        <x:v>csq010-r16</x:v>
      </x:c>
      <x:c r="B197" s="17" t="str">
        <x:v>csq010</x:v>
      </x:c>
      <x:c r="C197" s="17" t="str">
        <x:v>machine_learning</x:v>
      </x:c>
      <x:c r="D197" s="17" t="str">
        <x:v>self_supervised_learning</x:v>
      </x:c>
      <x:c r="E197" s="27" t="str">
        <x:v>How have self-supervised representation learning objectives evolved from contrastive learning to non-contrastive and masked-prediction approaches?</x:v>
      </x:c>
      <x:c r="F197" s="22" t="n">
        <x:v>16</x:v>
      </x:c>
      <x:c r="G197" s="17" t="str">
        <x:v>arXiv:2308.06534</x:v>
      </x:c>
      <x:c r="H197" s="27" t="str">
        <x:v>Self-Supervised Pre-Training with Contrastive and Masked Autoencoder Methods for Dealing with Small Datasets in Deep Learning for Medical Imaging</x:v>
      </x:c>
      <x:c r="I197" s="17" t="str">
        <x:v>Daniel Wolf; Tristan Payer; Catharina Silvia Lisson; Christoph Gerhard Lisson; Meinrad Beer; Michael Götz; Timo Ropinski</x:v>
      </x:c>
      <x:c r="J197" s="22" t="n">
        <x:v>2023</x:v>
      </x:c>
      <x:c r="K197" s="27" t="str">
        <x:v>Deep learning in medical imaging has the potential to minimize the risk of diagnostic errors, reduce radiologist workload, and accelerate diagnosis. Training such deep learning models requires large and accurate datasets, with annotations for all training samples. However, in the medical imaging domain, annotated datasets for specific tasks are often small due to the high complexity of annotations, limited access, or the rarity of diseases. To address this challenge, deep learning models can be pre-trained on large image datasets without annotations using methods from the field of self-supervised learning. After pre-training, small annotated datasets are sufficient to fine-tune the models for a specific task. The most popular self-supervised pre-training approaches in medical imaging are based on contrastive learning. However, recent studies in natural image processing indicate a strong potential for masked autoencoder approaches. Our work compares state-of-the-art contrastive learning methods with the recently introduced masked autoencoder approach "SparK" for convolutional neural networks (CNNs) on medical images. Therefore we pre-train on a large unannotated CT image dataset and fine-tune on several CT classification tasks. Due to the challenge of obtaining sufficient annotated training data in medical imaging, it is of particular interest to evaluate how the self-supervised pre-training methods perform when fine-tuning on small datasets. By experimenting with gradually reducing the training dataset size for fine-tuning, we find that the reduction has different effects depending on the type of pre-training chosen. The SparK pre-training method is more robust to the training dataset size than the contrastive methods. Based on our results, we propose the SparK pre-training for medical imaging tasks with only small annotated datasets.</x:v>
      </x:c>
      <x:c r="L197" s="17" t="str">
        <x:v>http://arxiv.org/abs/2308.06534v4</x:v>
      </x:c>
      <x:c r="M197" s="23" t="n">
        <x:v>0.5473967403224094</x:v>
      </x:c>
      <x:c r="N197" s="17" t="str">
        <x:v>qwen3-rerank-no-instruct-20260727-125006-results.jsonl</x:v>
      </x:c>
      <x:c r="O197" s="24" t="str">
        <x:v>2</x:v>
      </x:c>
      <x:c r="P197" s="28" t="str">
        <x:v>直接比较医学影像对比与掩码自编码预训练。</x:v>
      </x:c>
      <x:c r="Q197" s="25" t="str"/>
      <x:c r="R197" s="24" t="str">
        <x:f>IF(Q197&lt;&gt;"",Q197,O197)</x:f>
        <x:v>2</x:v>
      </x:c>
      <x:c r="S197" s="29" t="str"/>
    </x:row>
    <x:row r="198" ht="54" customHeight="1">
      <x:c r="A198" s="17" t="str">
        <x:v>csq010-r17</x:v>
      </x:c>
      <x:c r="B198" s="17" t="str">
        <x:v>csq010</x:v>
      </x:c>
      <x:c r="C198" s="17" t="str">
        <x:v>machine_learning</x:v>
      </x:c>
      <x:c r="D198" s="17" t="str">
        <x:v>self_supervised_learning</x:v>
      </x:c>
      <x:c r="E198" s="27" t="str">
        <x:v>How have self-supervised representation learning objectives evolved from contrastive learning to non-contrastive and masked-prediction approaches?</x:v>
      </x:c>
      <x:c r="F198" s="22" t="n">
        <x:v>17</x:v>
      </x:c>
      <x:c r="G198" s="17" t="str">
        <x:v>arXiv:2511.17426</x:v>
      </x:c>
      <x:c r="H198" s="27" t="str">
        <x:v>Self-Supervised Learning by Curvature Alignment</x:v>
      </x:c>
      <x:c r="I198" s="17" t="str">
        <x:v>Benyamin Ghojogh; M. Hadi Sepanj; Paul Fieguth</x:v>
      </x:c>
      <x:c r="J198" s="22" t="n">
        <x:v>2025</x:v>
      </x:c>
      <x:c r="K198" s="27" t="str">
        <x:v>Self-supervised learning (SSL) has recently advanced through non-contrastive methods that couple an invariance term with variance, covariance, or redundancy-reduction penalties. While such objectives shape first- and second-order statistics of the representation, they largely ignore the local geometry of the underlying data manifold. In this paper, we introduce CurvSSL, a curvature-regularized self-supervised learning framework, and its RKHS extension, kernel CurvSSL. Our approach retains a standard two-view encoder-projector architecture with a Barlow Twins-style redundancy-reduction loss on projected features, but augments it with a curvature-based regularizer. Each embedding is treated as a vertex whose $k$ nearest neighbors define a discrete curvature score via cosine interactions on the unit hypersphere; in the kernel variant, curvature is computed from a normalized local Gram matrix in an RKHS. These scores are aligned and decorrelated across augmentations by a Barlow-style loss on a curvature-derived matrix, encouraging both view invariance and consistency of local manifold bending. Experiments on MNIST and CIFAR-10 datasets with a ResNet-18 backbone show that curvature-regularized SSL yields competitive or improved linear evaluation performance compared to Barlow Twins and VICReg. Our results indicate that explicitly shaping local geometry is a simple and effective complement to purely statistical SSL regularizers.</x:v>
      </x:c>
      <x:c r="L198" s="17" t="str">
        <x:v>http://arxiv.org/abs/2511.17426v2</x:v>
      </x:c>
      <x:c r="M198" s="23" t="n">
        <x:v>0.5251926171820857</x:v>
      </x:c>
      <x:c r="N198" s="17" t="str">
        <x:v>qwen3-rerank-no-instruct-20260727-125006-results.jsonl</x:v>
      </x:c>
      <x:c r="O198" s="24" t="str">
        <x:v>2</x:v>
      </x:c>
      <x:c r="P198" s="28" t="str">
        <x:v>曲率对齐提出新的自监督表征目标。</x:v>
      </x:c>
      <x:c r="Q198" s="25" t="str"/>
      <x:c r="R198" s="24" t="str">
        <x:f>IF(Q198&lt;&gt;"",Q198,O198)</x:f>
        <x:v>2</x:v>
      </x:c>
      <x:c r="S198" s="29" t="str"/>
    </x:row>
    <x:row r="199" ht="54" customHeight="1">
      <x:c r="A199" s="17" t="str">
        <x:v>csq010-r18</x:v>
      </x:c>
      <x:c r="B199" s="17" t="str">
        <x:v>csq010</x:v>
      </x:c>
      <x:c r="C199" s="17" t="str">
        <x:v>machine_learning</x:v>
      </x:c>
      <x:c r="D199" s="17" t="str">
        <x:v>self_supervised_learning</x:v>
      </x:c>
      <x:c r="E199" s="27" t="str">
        <x:v>How have self-supervised representation learning objectives evolved from contrastive learning to non-contrastive and masked-prediction approaches?</x:v>
      </x:c>
      <x:c r="F199" s="22" t="n">
        <x:v>18</x:v>
      </x:c>
      <x:c r="G199" s="17" t="str">
        <x:v>arXiv:2010.06300</x:v>
      </x:c>
      <x:c r="H199" s="27" t="str">
        <x:v>MixCo: Mix-up Contrastive Learning for Visual Representation</x:v>
      </x:c>
      <x:c r="I199" s="17" t="str">
        <x:v>Sungnyun Kim; Gihun Lee; Sangmin Bae; Se-Young Yun</x:v>
      </x:c>
      <x:c r="J199" s="22" t="n">
        <x:v>2020</x:v>
      </x:c>
      <x:c r="K199" s="27" t="str">
        <x:v>Contrastive learning has shown remarkable results in recent self-supervised approaches for visual representation. By learning to contrast positive pairs' representation from the corresponding negatives pairs, one can train good visual representations without human annotations. This paper proposes Mix-up Contrast (MixCo), which extends the contrastive learning concept to semi-positives encoded from the mix-up of positive and negative images. MixCo aims to learn the relative similarity of representations, reflecting how much the mixed images have the original positives. We validate the efficacy of MixCo when applied to the recent self-supervised learning algorithms under the standard linear evaluation protocol on TinyImageNet, CIFAR10, and CIFAR100. In the experiments, MixCo consistently improves test accuracy. Remarkably, the improvement is more significant when the learning capacity (e.g., model size) is limited, suggesting that MixCo might be more useful in real-world scenarios. The code is available at: https://github.com/Lee-Gihun/MixCo-Mixup-Contrast.</x:v>
      </x:c>
      <x:c r="L199" s="17" t="str">
        <x:v>http://arxiv.org/abs/2010.06300v2</x:v>
      </x:c>
      <x:c r="M199" s="23" t="n">
        <x:v>0.5232298273311405</x:v>
      </x:c>
      <x:c r="N199" s="17" t="str">
        <x:v>qwen3-rerank-no-instruct-20260727-125006-results.jsonl</x:v>
      </x:c>
      <x:c r="O199" s="24" t="str">
        <x:v>2</x:v>
      </x:c>
      <x:c r="P199" s="28" t="str">
        <x:v>Mix-up对比学习是对比目标及样本构造的演进。</x:v>
      </x:c>
      <x:c r="Q199" s="25" t="str"/>
      <x:c r="R199" s="24" t="str">
        <x:f>IF(Q199&lt;&gt;"",Q199,O199)</x:f>
        <x:v>2</x:v>
      </x:c>
      <x:c r="S199" s="29" t="str"/>
    </x:row>
    <x:row r="200" ht="54" customHeight="1">
      <x:c r="A200" s="17" t="str">
        <x:v>csq010-r19</x:v>
      </x:c>
      <x:c r="B200" s="17" t="str">
        <x:v>csq010</x:v>
      </x:c>
      <x:c r="C200" s="17" t="str">
        <x:v>machine_learning</x:v>
      </x:c>
      <x:c r="D200" s="17" t="str">
        <x:v>self_supervised_learning</x:v>
      </x:c>
      <x:c r="E200" s="27" t="str">
        <x:v>How have self-supervised representation learning objectives evolved from contrastive learning to non-contrastive and masked-prediction approaches?</x:v>
      </x:c>
      <x:c r="F200" s="22" t="n">
        <x:v>19</x:v>
      </x:c>
      <x:c r="G200" s="17" t="str">
        <x:v>arXiv:2112.01642</x:v>
      </x:c>
      <x:c r="H200" s="27" t="str">
        <x:v>Probabilistic Contrastive Loss for Self-Supervised Learning</x:v>
      </x:c>
      <x:c r="I200" s="17" t="str">
        <x:v>Shen Li; Jianqing Xu; Bryan Hooi</x:v>
      </x:c>
      <x:c r="J200" s="22" t="n">
        <x:v>2021</x:v>
      </x:c>
      <x:c r="K200" s="27" t="str">
        <x:v>This paper proposes a probabilistic contrastive loss function for self-supervised learning. The well-known contrastive loss is deterministic and involves a temperature hyperparameter that scales the inner product between two normed feature embeddings. By reinterpreting the temperature hyperparameter as a quantity related to the radius of the hypersphere, we derive a new loss function that involves a confidence measure which quantifies uncertainty in a mathematically grounding manner. Some intriguing properties of the proposed loss function are empirically demonstrated, which agree with human-like predictions. We believe the present work brings up a new prospective to the area of contrastive learning.</x:v>
      </x:c>
      <x:c r="L200" s="17" t="str">
        <x:v>http://arxiv.org/abs/2112.01642v1</x:v>
      </x:c>
      <x:c r="M200" s="23" t="n">
        <x:v>0.5221228074521881</x:v>
      </x:c>
      <x:c r="N200" s="17" t="str">
        <x:v>qwen3-rerank-no-instruct-20260727-125006-results.jsonl</x:v>
      </x:c>
      <x:c r="O200" s="24" t="str">
        <x:v>2</x:v>
      </x:c>
      <x:c r="P200" s="28" t="str">
        <x:v>提出带置信度的概率对比损失。</x:v>
      </x:c>
      <x:c r="Q200" s="25" t="str"/>
      <x:c r="R200" s="24" t="str">
        <x:f>IF(Q200&lt;&gt;"",Q200,O200)</x:f>
        <x:v>2</x:v>
      </x:c>
      <x:c r="S200" s="29" t="str"/>
    </x:row>
    <x:row r="201" ht="54" customHeight="1">
      <x:c r="A201" s="17" t="str">
        <x:v>csq010-r20</x:v>
      </x:c>
      <x:c r="B201" s="17" t="str">
        <x:v>csq010</x:v>
      </x:c>
      <x:c r="C201" s="17" t="str">
        <x:v>machine_learning</x:v>
      </x:c>
      <x:c r="D201" s="17" t="str">
        <x:v>self_supervised_learning</x:v>
      </x:c>
      <x:c r="E201" s="27" t="str">
        <x:v>How have self-supervised representation learning objectives evolved from contrastive learning to non-contrastive and masked-prediction approaches?</x:v>
      </x:c>
      <x:c r="F201" s="22" t="n">
        <x:v>20</x:v>
      </x:c>
      <x:c r="G201" s="17" t="str">
        <x:v>arXiv:2212.11187</x:v>
      </x:c>
      <x:c r="H201" s="27" t="str">
        <x:v>Similarity Contrastive Estimation for Image and Video Soft Contrastive Self-Supervised Learning</x:v>
      </x:c>
      <x:c r="I201" s="17" t="str">
        <x:v>Julien Denize; Jaonary Rabarisoa; Astrid Orcesi; Romain Hérault</x:v>
      </x:c>
      <x:c r="J201" s="22" t="n">
        <x:v>2022</x:v>
      </x:c>
      <x:c r="K201" s="27" t="str">
        <x:v>Contrastive representation learning has proven to be an effective self-supervised learning method for images and videos. Most successful approaches are based on Noise Contrastive Estimation (NCE) and use different views of an instance as positives that should be contrasted with other instances, called negatives, that are considered as noise. However, several instances in a dataset are drawn from the same distribution and share underlying semantic information. A good data representation should contain relations between the instances, or semantic similarity and dissimilarity, that contrastive learning harms by considering all negatives as noise. To circumvent this issue, we propose a novel formulation of contrastive learning using semantic similarity between instances called Similarity Contrastive Estimation (SCE). Our training objective is a soft contrastive one that brings the positives closer and estimates a continuous distribution to push or pull negative instances based on their learned similarities. We validate empirically our approach on both image and video representation learning. We show that SCE performs competitively with the state of the art on the ImageNet linear evaluation protocol for fewer pretraining epochs and that it generalizes to several downstream image tasks. We also show that SCE reaches state-of-the-art results for pretraining video representation and that the learned representation can generalize to video downstream tasks.</x:v>
      </x:c>
      <x:c r="L201" s="17" t="str">
        <x:v>http://arxiv.org/abs/2212.11187v1</x:v>
      </x:c>
      <x:c r="M201" s="23" t="n">
        <x:v>0.5082562499399872</x:v>
      </x:c>
      <x:c r="N201" s="17" t="str">
        <x:v>qwen3-rerank-no-instruct-20260727-125006-results.jsonl</x:v>
      </x:c>
      <x:c r="O201" s="24" t="str">
        <x:v>2</x:v>
      </x:c>
      <x:c r="P201" s="28" t="str">
        <x:v>以语义相似度软化负样本的对比学习目标。</x:v>
      </x:c>
      <x:c r="Q201" s="25" t="str"/>
      <x:c r="R201" s="24" t="str">
        <x:f>IF(Q201&lt;&gt;"",Q201,O201)</x:f>
        <x:v>2</x:v>
      </x:c>
      <x:c r="S201" s="29" t="str"/>
    </x:row>
    <x:row r="202" ht="54" customHeight="1">
      <x:c r="A202" s="17" t="str">
        <x:v>csq011-r01</x:v>
      </x:c>
      <x:c r="B202" s="17" t="str">
        <x:v>csq011</x:v>
      </x:c>
      <x:c r="C202" s="17" t="str">
        <x:v>computer_vision</x:v>
      </x:c>
      <x:c r="D202" s="17" t="str">
        <x:v>neural_3d_representation</x:v>
      </x:c>
      <x:c r="E202" s="27" t="str">
        <x:v>What are the main neural representations for novel-view synthesis, including neural radiance fields and 3D Gaussian splatting, and what are their computational trade-offs?</x:v>
      </x:c>
      <x:c r="F202" s="22" t="n">
        <x:v>1</x:v>
      </x:c>
      <x:c r="G202" s="17" t="str">
        <x:v>arXiv:2509.17083</x:v>
      </x:c>
      <x:c r="H202" s="27" t="str">
        <x:v>HyRF: Hybrid Radiance Fields for Memory-efficient and High-quality Novel View Synthesis</x:v>
      </x:c>
      <x:c r="I202" s="17" t="str">
        <x:v>Zipeng Wang; Dan Xu</x:v>
      </x:c>
      <x:c r="J202" s="22" t="n">
        <x:v>2025</x:v>
      </x:c>
      <x:c r="K202" s="27" t="str">
        <x:v>Recently, 3D Gaussian Splatting (3DGS) has emerged as a powerful alternative to NeRF-based approaches, enabling real-time, high-quality novel view synthesis through explicit, optimizable 3D Gaussians. However, 3DGS suffers from significant memory overhead due to its reliance on per-Gaussian parameters to model view-dependent effects and anisotropic shapes. While recent works propose compressing 3DGS with neural fields, these methods struggle to capture high-frequency spatial variations in Gaussian properties, leading to degraded reconstruction of fine details. We present Hybrid Radiance Fields (HyRF), a novel scene representation that combines the strengths of explicit Gaussians and neural fields. HyRF decomposes the scene into (1) a compact set of explicit Gaussians storing only critical high-frequency parameters and (2) grid-based neural fields that predict remaining properties. To enhance representational capacity, we introduce a decoupled neural field architecture, separately modeling geometry (scale, opacity, rotation) and view-dependent color. Additionally, we propose a hybrid rendering scheme that composites Gaussian splatting with a neural field-predicted background, addressing limitations in distant scene representation. Experiments demonstrate that HyRF achieves state-of-the-art rendering quality while reducing model size by over 20 times compared to 3DGS and maintaining real-time performance. Our project page is available at https://wzpscott.github.io/hyrf/.</x:v>
      </x:c>
      <x:c r="L202" s="17" t="str">
        <x:v>http://arxiv.org/abs/2509.17083v2</x:v>
      </x:c>
      <x:c r="M202" s="23" t="n">
        <x:v>0.8976810755853989</x:v>
      </x:c>
      <x:c r="N202" s="17" t="str">
        <x:v>qwen3-rerank-no-instruct-20260727-125006-results.jsonl</x:v>
      </x:c>
      <x:c r="O202" s="24" t="str">
        <x:v>2</x:v>
      </x:c>
      <x:c r="P202" s="28" t="str">
        <x:v>混合高斯与神经场，直接权衡内存、质量和实时性。</x:v>
      </x:c>
      <x:c r="Q202" s="25" t="str"/>
      <x:c r="R202" s="24" t="str">
        <x:f>IF(Q202&lt;&gt;"",Q202,O202)</x:f>
        <x:v>2</x:v>
      </x:c>
      <x:c r="S202" s="29" t="str"/>
    </x:row>
    <x:row r="203" ht="54" customHeight="1">
      <x:c r="A203" s="17" t="str">
        <x:v>csq011-r02</x:v>
      </x:c>
      <x:c r="B203" s="17" t="str">
        <x:v>csq011</x:v>
      </x:c>
      <x:c r="C203" s="17" t="str">
        <x:v>computer_vision</x:v>
      </x:c>
      <x:c r="D203" s="17" t="str">
        <x:v>neural_3d_representation</x:v>
      </x:c>
      <x:c r="E203" s="27" t="str">
        <x:v>What are the main neural representations for novel-view synthesis, including neural radiance fields and 3D Gaussian splatting, and what are their computational trade-offs?</x:v>
      </x:c>
      <x:c r="F203" s="22" t="n">
        <x:v>2</x:v>
      </x:c>
      <x:c r="G203" s="17" t="str">
        <x:v>arXiv:2410.11080</x:v>
      </x:c>
      <x:c r="H203" s="27" t="str">
        <x:v>Few-shot Novel View Synthesis using Depth Aware 3D Gaussian Splatting</x:v>
      </x:c>
      <x:c r="I203" s="17" t="str">
        <x:v>Raja Kumar; Vanshika Vats</x:v>
      </x:c>
      <x:c r="J203" s="22" t="n">
        <x:v>2024</x:v>
      </x:c>
      <x:c r="K203" s="27" t="str">
        <x:v>3D Gaussian splatting has surpassed neural radiance field methods in novel view synthesis by achieving lower computational costs and real-time high-quality rendering. Although it produces a high-quality rendering with a lot of input views, its performance drops significantly when only a few views are available. In this work, we address this by proposing a depth-aware Gaussian splatting method for few-shot novel view synthesis. We use monocular depth prediction as a prior, along with a scale-invariant depth loss, to constrain the 3D shape under just a few input views. We also model color using lower-order spherical harmonics to avoid overfitting. Further, we observe that removing splats with lower opacity periodically, as performed in the original work, leads to a very sparse point cloud and, hence, a lower-quality rendering. To mitigate this, we retain all the splats, leading to a better reconstruction in a few view settings. Experimental results show that our method outperforms the traditional 3D Gaussian splatting methods by achieving improvements of 10.5% in peak signal-to-noise ratio, 6% in structural similarity index, and 14.1% in perceptual similarity, thereby validating the effectiveness of our approach. The code will be made available at: https://github.com/raja-kumar/depth-aware-3DGS</x:v>
      </x:c>
      <x:c r="L203" s="17" t="str">
        <x:v>http://arxiv.org/abs/2410.11080v1</x:v>
      </x:c>
      <x:c r="M203" s="23" t="n">
        <x:v>0.8805280770675347</x:v>
      </x:c>
      <x:c r="N203" s="17" t="str">
        <x:v>qwen3-rerank-no-instruct-20260727-125006-results.jsonl</x:v>
      </x:c>
      <x:c r="O203" s="24" t="str">
        <x:v>2</x:v>
      </x:c>
      <x:c r="P203" s="28" t="str">
        <x:v>直接研究少视图3DGS质量与计算成本。</x:v>
      </x:c>
      <x:c r="Q203" s="25" t="str"/>
      <x:c r="R203" s="24" t="str">
        <x:f>IF(Q203&lt;&gt;"",Q203,O203)</x:f>
        <x:v>2</x:v>
      </x:c>
      <x:c r="S203" s="29" t="str"/>
    </x:row>
    <x:row r="204" ht="54" customHeight="1">
      <x:c r="A204" s="17" t="str">
        <x:v>csq011-r03</x:v>
      </x:c>
      <x:c r="B204" s="17" t="str">
        <x:v>csq011</x:v>
      </x:c>
      <x:c r="C204" s="17" t="str">
        <x:v>computer_vision</x:v>
      </x:c>
      <x:c r="D204" s="17" t="str">
        <x:v>neural_3d_representation</x:v>
      </x:c>
      <x:c r="E204" s="27" t="str">
        <x:v>What are the main neural representations for novel-view synthesis, including neural radiance fields and 3D Gaussian splatting, and what are their computational trade-offs?</x:v>
      </x:c>
      <x:c r="F204" s="22" t="n">
        <x:v>3</x:v>
      </x:c>
      <x:c r="G204" s="17" t="str">
        <x:v>arXiv:2405.17083</x:v>
      </x:c>
      <x:c r="H204" s="27" t="str">
        <x:v>F-3DGS: Factorized Coordinates and Representations for 3D Gaussian Splatting</x:v>
      </x:c>
      <x:c r="I204" s="17" t="str">
        <x:v>Xiangyu Sun; Joo Chan Lee; Daniel Rho; Jong Hwan Ko; Usman Ali; Eunbyung Park</x:v>
      </x:c>
      <x:c r="J204" s="22" t="n">
        <x:v>2024</x:v>
      </x:c>
      <x:c r="K204" s="27" t="str">
        <x:v>The neural radiance field (NeRF) has made significant strides in representing 3D scenes and synthesizing novel views. Despite its advancements, the high computational costs of NeRF have posed challenges for its deployment in resource-constrained environments and real-time applications. As an alternative to NeRF-like neural rendering methods, 3D Gaussian Splatting (3DGS) offers rapid rendering speeds while maintaining excellent image quality. However, as it represents objects and scenes using a myriad of Gaussians, it requires substantial storage to achieve high-quality representation. To mitigate the storage overhead, we propose Factorized 3D Gaussian Splatting (F-3DGS), a novel approach that drastically reduces storage requirements while preserving image quality. Inspired by classical matrix and tensor factorization techniques, our method represents and approximates dense clusters of Gaussians with significantly fewer Gaussians through efficient factorization. We aim to efficiently represent dense 3D Gaussians by approximating them with a limited amount of information for each axis and their combinations. This method allows us to encode a substantially large number of Gaussians along with their essential attributes -- such as color, scale, and rotation -- necessary for rendering using a relatively small number of elements. Extensive experimental results demonstrate that F-3DGS achieves a significant reduction in storage costs while maintaining comparable quality in rendered images.</x:v>
      </x:c>
      <x:c r="L204" s="17" t="str">
        <x:v>http://arxiv.org/abs/2405.17083v2</x:v>
      </x:c>
      <x:c r="M204" s="23" t="n">
        <x:v>0.8092373381486306</x:v>
      </x:c>
      <x:c r="N204" s="17" t="str">
        <x:v>qwen3-rerank-no-instruct-20260727-125006-results.jsonl</x:v>
      </x:c>
      <x:c r="O204" s="24" t="str">
        <x:v>2</x:v>
      </x:c>
      <x:c r="P204" s="28" t="str">
        <x:v>比较NeRF与3DGS并压缩高斯表示。</x:v>
      </x:c>
      <x:c r="Q204" s="25" t="str"/>
      <x:c r="R204" s="24" t="str">
        <x:f>IF(Q204&lt;&gt;"",Q204,O204)</x:f>
        <x:v>2</x:v>
      </x:c>
      <x:c r="S204" s="29" t="str"/>
    </x:row>
    <x:row r="205" ht="54" customHeight="1">
      <x:c r="A205" s="17" t="str">
        <x:v>csq011-r04</x:v>
      </x:c>
      <x:c r="B205" s="17" t="str">
        <x:v>csq011</x:v>
      </x:c>
      <x:c r="C205" s="17" t="str">
        <x:v>computer_vision</x:v>
      </x:c>
      <x:c r="D205" s="17" t="str">
        <x:v>neural_3d_representation</x:v>
      </x:c>
      <x:c r="E205" s="27" t="str">
        <x:v>What are the main neural representations for novel-view synthesis, including neural radiance fields and 3D Gaussian splatting, and what are their computational trade-offs?</x:v>
      </x:c>
      <x:c r="F205" s="22" t="n">
        <x:v>4</x:v>
      </x:c>
      <x:c r="G205" s="17" t="str">
        <x:v>arXiv:2405.15518</x:v>
      </x:c>
      <x:c r="H205" s="27" t="str">
        <x:v>Feature Splatting for Better Novel View Synthesis with Low Overlap</x:v>
      </x:c>
      <x:c r="I205" s="17" t="str">
        <x:v>T. Berriel Martins; Javier Civera</x:v>
      </x:c>
      <x:c r="J205" s="22" t="n">
        <x:v>2024</x:v>
      </x:c>
      <x:c r="K205" s="27" t="str">
        <x:v>3D Gaussian Splatting has emerged as a very promising scene representation, achieving state-of-the-art quality in novel view synthesis significantly faster than competing alternatives. However, its use of spherical harmonics to represent scene colors limits the expressivity of 3D Gaussians and, as a consequence, the capability of the representation to generalize as we move away from the training views. In this paper, we propose to encode the color information of 3D Gaussians into per-Gaussian feature vectors, which we denote as Feature Splatting (FeatSplat). To synthesize a novel view, Gaussians are first "splatted" into the image plane, then the corresponding feature vectors are alpha-blended, and finally the blended vector is decoded by a small MLP to render the RGB pixel values. To further inform the model, we concatenate a camera embedding to the blended feature vector, to condition the decoding also on the viewpoint information. Our experiments show that these novel model for encoding the radiance considerably improves novel view synthesis for low overlap views that are distant from the training views. Finally, we also show the capacity and convenience of our feature vector representation, demonstrating its capability not only to generate RGB values for novel views, but also their per-pixel semantic labels. Code available at https://github.com/tberriel/FeatSplat . Keywords: Gaussian Splatting, Novel View Synthesis, Feature Splatting</x:v>
      </x:c>
      <x:c r="L205" s="17" t="str">
        <x:v>http://arxiv.org/abs/2405.15518v2</x:v>
      </x:c>
      <x:c r="M205" s="23" t="n">
        <x:v>0.7950848806479518</x:v>
      </x:c>
      <x:c r="N205" s="17" t="str">
        <x:v>qwen3-rerank-no-instruct-20260727-125006-results.jsonl</x:v>
      </x:c>
      <x:c r="O205" s="24" t="str">
        <x:v>2</x:v>
      </x:c>
      <x:c r="P205" s="28" t="str">
        <x:v>改进高斯颜色表示以提升新视角合成。</x:v>
      </x:c>
      <x:c r="Q205" s="25" t="str"/>
      <x:c r="R205" s="24" t="str">
        <x:f>IF(Q205&lt;&gt;"",Q205,O205)</x:f>
        <x:v>2</x:v>
      </x:c>
      <x:c r="S205" s="29" t="str"/>
    </x:row>
    <x:row r="206" ht="54" customHeight="1">
      <x:c r="A206" s="17" t="str">
        <x:v>csq011-r05</x:v>
      </x:c>
      <x:c r="B206" s="17" t="str">
        <x:v>csq011</x:v>
      </x:c>
      <x:c r="C206" s="17" t="str">
        <x:v>computer_vision</x:v>
      </x:c>
      <x:c r="D206" s="17" t="str">
        <x:v>neural_3d_representation</x:v>
      </x:c>
      <x:c r="E206" s="27" t="str">
        <x:v>What are the main neural representations for novel-view synthesis, including neural radiance fields and 3D Gaussian splatting, and what are their computational trade-offs?</x:v>
      </x:c>
      <x:c r="F206" s="22" t="n">
        <x:v>5</x:v>
      </x:c>
      <x:c r="G206" s="17" t="str">
        <x:v>arXiv:2205.14332</x:v>
      </x:c>
      <x:c r="H206" s="27" t="str">
        <x:v>V4d: voxel for 4d novel view synthesis</x:v>
      </x:c>
      <x:c r="I206" s="17" t="str">
        <x:v>Wanshui Gan; Hongbin Xu; Yi Huang; Shifeng Chen; Naoto Yokoya</x:v>
      </x:c>
      <x:c r="J206" s="22" t="n">
        <x:v>2022</x:v>
      </x:c>
      <x:c r="K206" s="27" t="str">
        <x:v>Neural radiance fields have made a remarkable breakthrough in the novel view synthesis task at the 3D static scene. However, for the 4D circumstance (e.g., dynamic scene), the performance of the existing method is still limited by the capacity of the neural network, typically in a multilayer perceptron network (MLP). In this paper, we utilize 3D Voxel to model the 4D neural radiance field, short as V4D, where the 3D voxel has two formats. The first one is to regularly model the 3D space and then use the sampled local 3D feature with the time index to model the density field and the texture field by a tiny MLP. The second one is in look-up tables (LUTs) format that is for the pixel-level refinement, where the pseudo-surface produced by the volume rendering is utilized as the guidance information to learn a 2D pixel-level refinement mapping. The proposed LUTs-based refinement module achieves the performance gain with little computational cost and could serve as the plug-and-play module in the novel view synthesis task. Moreover, we propose a more effective conditional positional encoding toward the 4D data that achieves performance gain with negligible computational burdens. Extensive experiments demonstrate that the proposed method achieves state-of-the-art performance at a low computational cost.</x:v>
      </x:c>
      <x:c r="L206" s="17" t="str">
        <x:v>http://arxiv.org/abs/2205.14332v4</x:v>
      </x:c>
      <x:c r="M206" s="23" t="n">
        <x:v>0.7854785673304271</x:v>
      </x:c>
      <x:c r="N206" s="17" t="str">
        <x:v>qwen3-rerank-no-instruct-20260727-125006-results.jsonl</x:v>
      </x:c>
      <x:c r="O206" s="24" t="str">
        <x:v>2</x:v>
      </x:c>
      <x:c r="P206" s="28" t="str">
        <x:v>以体素表示动态神经辐射场。</x:v>
      </x:c>
      <x:c r="Q206" s="25" t="str"/>
      <x:c r="R206" s="24" t="str">
        <x:f>IF(Q206&lt;&gt;"",Q206,O206)</x:f>
        <x:v>2</x:v>
      </x:c>
      <x:c r="S206" s="29" t="str"/>
    </x:row>
    <x:row r="207" ht="54" customHeight="1">
      <x:c r="A207" s="17" t="str">
        <x:v>csq011-r06</x:v>
      </x:c>
      <x:c r="B207" s="17" t="str">
        <x:v>csq011</x:v>
      </x:c>
      <x:c r="C207" s="17" t="str">
        <x:v>computer_vision</x:v>
      </x:c>
      <x:c r="D207" s="17" t="str">
        <x:v>neural_3d_representation</x:v>
      </x:c>
      <x:c r="E207" s="27" t="str">
        <x:v>What are the main neural representations for novel-view synthesis, including neural radiance fields and 3D Gaussian splatting, and what are their computational trade-offs?</x:v>
      </x:c>
      <x:c r="F207" s="22" t="n">
        <x:v>6</x:v>
      </x:c>
      <x:c r="G207" s="17" t="str">
        <x:v>arXiv:2401.00834</x:v>
      </x:c>
      <x:c r="H207" s="27" t="str">
        <x:v>Deblurring 3D Gaussian Splatting</x:v>
      </x:c>
      <x:c r="I207" s="17" t="str">
        <x:v>Byeonghyeon Lee; Howoong Lee; Xiangyu Sun; Usman Ali; Eunbyung Park</x:v>
      </x:c>
      <x:c r="J207" s="22" t="n">
        <x:v>2024</x:v>
      </x:c>
      <x:c r="K207" s="27" t="str">
        <x:v>Recent studies in Radiance Fields have paved the robust way for novel view synthesis with their photorealistic rendering quality. Nevertheless, they usually employ neural networks and volumetric rendering, which are costly to train and impede their broad use in various real-time applications due to the lengthy rendering time. Lately 3D Gaussians splatting-based approach has been proposed to model the 3D scene, and it achieves remarkable visual quality while rendering the images in real-time. However, it suffers from severe degradation in the rendering quality if the training images are blurry. Blurriness commonly occurs due to the lens defocusing, object motion, and camera shake, and it inevitably intervenes in clean image acquisition. Several previous studies have attempted to render clean and sharp images from blurry input images using neural fields. The majority of those works, however, are designed only for volumetric rendering-based neural radiance fields and are not straightforwardly applicable to rasterization-based 3D Gaussian splatting methods. Thus, we propose a novel real-time deblurring framework, Deblurring 3D Gaussian Splatting, using a small Multi-Layer Perceptron (MLP) that manipulates the covariance of each 3D Gaussian to model the scene blurriness. While Deblurring 3D Gaussian Splatting can still enjoy real-time rendering, it can reconstruct fine and sharp details from blurry images. A variety of experiments have been conducted on the benchmark, and the results have revealed the effectiveness of our approach for deblurring. Qualitative results are available at https://benhenryl.github.io/Deblurring-3D-Gaussian-Splatting/</x:v>
      </x:c>
      <x:c r="L207" s="17" t="str">
        <x:v>http://arxiv.org/abs/2401.00834v3</x:v>
      </x:c>
      <x:c r="M207" s="23" t="n">
        <x:v>0.7789306188943006</x:v>
      </x:c>
      <x:c r="N207" s="17" t="str">
        <x:v>qwen3-rerank-no-instruct-20260727-125006-results.jsonl</x:v>
      </x:c>
      <x:c r="O207" s="24" t="str">
        <x:v>2</x:v>
      </x:c>
      <x:c r="P207" s="28" t="str">
        <x:v>以3DGS替代高成本体渲染并处理模糊输入。</x:v>
      </x:c>
      <x:c r="Q207" s="25" t="str"/>
      <x:c r="R207" s="24" t="str">
        <x:f>IF(Q207&lt;&gt;"",Q207,O207)</x:f>
        <x:v>2</x:v>
      </x:c>
      <x:c r="S207" s="29" t="str"/>
    </x:row>
    <x:row r="208" ht="54" customHeight="1">
      <x:c r="A208" s="17" t="str">
        <x:v>csq011-r07</x:v>
      </x:c>
      <x:c r="B208" s="17" t="str">
        <x:v>csq011</x:v>
      </x:c>
      <x:c r="C208" s="17" t="str">
        <x:v>computer_vision</x:v>
      </x:c>
      <x:c r="D208" s="17" t="str">
        <x:v>neural_3d_representation</x:v>
      </x:c>
      <x:c r="E208" s="27" t="str">
        <x:v>What are the main neural representations for novel-view synthesis, including neural radiance fields and 3D Gaussian splatting, and what are their computational trade-offs?</x:v>
      </x:c>
      <x:c r="F208" s="22" t="n">
        <x:v>7</x:v>
      </x:c>
      <x:c r="G208" s="17" t="str">
        <x:v>arXiv:2403.11134</x:v>
      </x:c>
      <x:c r="H208" s="27" t="str">
        <x:v>Recent Advances in 3D Gaussian Splatting</x:v>
      </x:c>
      <x:c r="I208" s="17" t="str">
        <x:v>Tong Wu; Yu-Jie Yuan; Ling-Xiao Zhang; Jie Yang; Yan-Pei Cao; Ling-Qi Yan; Lin Gao</x:v>
      </x:c>
      <x:c r="J208" s="22" t="n">
        <x:v>2024</x:v>
      </x:c>
      <x:c r="K208" s="27" t="str">
        <x:v>The emergence of 3D Gaussian Splatting (3DGS) has greatly accelerated the rendering speed of novel view synthesis. Unlike neural implicit representations like Neural Radiance Fields (NeRF) that represent a 3D scene with position and viewpoint-conditioned neural networks, 3D Gaussian Splatting utilizes a set of Gaussian ellipsoids to model the scene so that efficient rendering can be accomplished by rasterizing Gaussian ellipsoids into images. Apart from the fast rendering speed, the explicit representation of 3D Gaussian Splatting facilitates editing tasks like dynamic reconstruction, geometry editing, and physical simulation. Considering the rapid change and growing number of works in this field, we present a literature review of recent 3D Gaussian Splatting methods, which can be roughly classified into 3D reconstruction, 3D editing, and other downstream applications by functionality. Traditional point-based rendering methods and the rendering formulation of 3D Gaussian Splatting are also illustrated for a better understanding of this technique. This survey aims to help beginners get into this field quickly and provide experienced researchers with a comprehensive overview, which can stimulate the future development of the 3D Gaussian Splatting representation.</x:v>
      </x:c>
      <x:c r="L208" s="17" t="str">
        <x:v>http://arxiv.org/abs/2403.11134v2</x:v>
      </x:c>
      <x:c r="M208" s="23" t="n">
        <x:v>0.7781934511064241</x:v>
      </x:c>
      <x:c r="N208" s="17" t="str">
        <x:v>qwen3-rerank-no-instruct-20260727-125006-results.jsonl</x:v>
      </x:c>
      <x:c r="O208" s="24" t="str">
        <x:v>2</x:v>
      </x:c>
      <x:c r="P208" s="28" t="str">
        <x:v>综述3DGS与NeRF表示及渲染差异。</x:v>
      </x:c>
      <x:c r="Q208" s="25" t="str"/>
      <x:c r="R208" s="24" t="str">
        <x:f>IF(Q208&lt;&gt;"",Q208,O208)</x:f>
        <x:v>2</x:v>
      </x:c>
      <x:c r="S208" s="29" t="str"/>
    </x:row>
    <x:row r="209" ht="54" customHeight="1">
      <x:c r="A209" s="17" t="str">
        <x:v>csq011-r08</x:v>
      </x:c>
      <x:c r="B209" s="17" t="str">
        <x:v>csq011</x:v>
      </x:c>
      <x:c r="C209" s="17" t="str">
        <x:v>computer_vision</x:v>
      </x:c>
      <x:c r="D209" s="17" t="str">
        <x:v>neural_3d_representation</x:v>
      </x:c>
      <x:c r="E209" s="27" t="str">
        <x:v>What are the main neural representations for novel-view synthesis, including neural radiance fields and 3D Gaussian splatting, and what are their computational trade-offs?</x:v>
      </x:c>
      <x:c r="F209" s="22" t="n">
        <x:v>8</x:v>
      </x:c>
      <x:c r="G209" s="17" t="str">
        <x:v>arXiv:2402.13827</x:v>
      </x:c>
      <x:c r="H209" s="27" t="str">
        <x:v>Identifying Unnecessary 3D Gaussians using Clustering for Fast Rendering of 3D Gaussian Splatting</x:v>
      </x:c>
      <x:c r="I209" s="17" t="str">
        <x:v>Joongho Jo; Hyeongwon Kim; Jongsun Park</x:v>
      </x:c>
      <x:c r="J209" s="22" t="n">
        <x:v>2024</x:v>
      </x:c>
      <x:c r="K209" s="27" t="str">
        <x:v>3D Gaussian splatting (3D-GS) is a new rendering approach that outperforms the neural radiance field (NeRF) in terms of both speed and image quality. 3D-GS represents 3D scenes by utilizing millions of 3D Gaussians and projects these Gaussians onto the 2D image plane for rendering. However, during the rendering process, a substantial number of unnecessary 3D Gaussians exist for the current view direction, resulting in significant computation costs associated with their identification. In this paper, we propose a computational reduction technique that quickly identifies unnecessary 3D Gaussians in real-time for rendering the current view without compromising image quality. This is accomplished through the offline clustering of 3D Gaussians that are close in distance, followed by the projection of these clusters onto a 2D image plane during runtime. Additionally, we analyze the bottleneck associated with the proposed technique when executed on GPUs and propose an efficient hardware architecture that seamlessly supports the proposed scheme. For the Mip-NeRF360 dataset, the proposed technique excludes 63% of 3D Gaussians on average before the 2D image projection, which reduces the overall rendering computation by almost 38.3% without sacrificing peak-signal-to-noise-ratio (PSNR). The proposed accelerator also achieves a speedup of 10.7x compared to a GPU.</x:v>
      </x:c>
      <x:c r="L209" s="17" t="str">
        <x:v>http://arxiv.org/abs/2402.13827v2</x:v>
      </x:c>
      <x:c r="M209" s="23" t="n">
        <x:v>0.765554246401648</x:v>
      </x:c>
      <x:c r="N209" s="17" t="str">
        <x:v>qwen3-rerank-no-instruct-20260727-125006-results.jsonl</x:v>
      </x:c>
      <x:c r="O209" s="24" t="str">
        <x:v>2</x:v>
      </x:c>
      <x:c r="P209" s="28" t="str">
        <x:v>分析高斯渲染计算瓶颈并提出加速。</x:v>
      </x:c>
      <x:c r="Q209" s="25" t="str"/>
      <x:c r="R209" s="24" t="str">
        <x:f>IF(Q209&lt;&gt;"",Q209,O209)</x:f>
        <x:v>2</x:v>
      </x:c>
      <x:c r="S209" s="29" t="str"/>
    </x:row>
    <x:row r="210" ht="54" customHeight="1">
      <x:c r="A210" s="17" t="str">
        <x:v>csq011-r09</x:v>
      </x:c>
      <x:c r="B210" s="17" t="str">
        <x:v>csq011</x:v>
      </x:c>
      <x:c r="C210" s="17" t="str">
        <x:v>computer_vision</x:v>
      </x:c>
      <x:c r="D210" s="17" t="str">
        <x:v>neural_3d_representation</x:v>
      </x:c>
      <x:c r="E210" s="27" t="str">
        <x:v>What are the main neural representations for novel-view synthesis, including neural radiance fields and 3D Gaussian splatting, and what are their computational trade-offs?</x:v>
      </x:c>
      <x:c r="F210" s="22" t="n">
        <x:v>9</x:v>
      </x:c>
      <x:c r="G210" s="17" t="str">
        <x:v>arXiv:2204.13696</x:v>
      </x:c>
      <x:c r="H210" s="27" t="str">
        <x:v>NeurMiPs: Neural Mixture of Planar Experts for View Synthesis</x:v>
      </x:c>
      <x:c r="I210" s="17" t="str">
        <x:v>Zhi-Hao Lin; Wei-Chiu Ma; Hao-Yu Hsu; Yu-Chiang Frank Wang; Shenlong Wang</x:v>
      </x:c>
      <x:c r="J210" s="22" t="n">
        <x:v>2022</x:v>
      </x:c>
      <x:c r="K210" s="27" t="str">
        <x:v>We present Neural Mixtures of Planar Experts (NeurMiPs), a novel planar-based scene representation for modeling geometry and appearance. NeurMiPs leverages a collection of local planar experts in 3D space as the scene representation. Each planar expert consists of the parameters of the local rectangular shape representing geometry and a neural radiance field modeling the color and opacity. We render novel views by calculating ray-plane intersections and composite output colors and densities at intersected points to the image. NeurMiPs blends the efficiency of explicit mesh rendering and flexibility of the neural radiance field. Experiments demonstrate superior performance and speed of our proposed method, compared to other 3D representations in novel view synthesis.</x:v>
      </x:c>
      <x:c r="L210" s="17" t="str">
        <x:v>http://arxiv.org/abs/2204.13696v1</x:v>
      </x:c>
      <x:c r="M210" s="23" t="n">
        <x:v>0.7429523895261385</x:v>
      </x:c>
      <x:c r="N210" s="17" t="str">
        <x:v>qwen3-rerank-no-instruct-20260727-125006-results.jsonl</x:v>
      </x:c>
      <x:c r="O210" s="24" t="str">
        <x:v>2</x:v>
      </x:c>
      <x:c r="P210" s="28" t="str">
        <x:v>提出平面专家与神经辐射场混合表示。</x:v>
      </x:c>
      <x:c r="Q210" s="25" t="str"/>
      <x:c r="R210" s="24" t="str">
        <x:f>IF(Q210&lt;&gt;"",Q210,O210)</x:f>
        <x:v>2</x:v>
      </x:c>
      <x:c r="S210" s="29" t="str"/>
    </x:row>
    <x:row r="211" ht="54" customHeight="1">
      <x:c r="A211" s="17" t="str">
        <x:v>csq011-r10</x:v>
      </x:c>
      <x:c r="B211" s="17" t="str">
        <x:v>csq011</x:v>
      </x:c>
      <x:c r="C211" s="17" t="str">
        <x:v>computer_vision</x:v>
      </x:c>
      <x:c r="D211" s="17" t="str">
        <x:v>neural_3d_representation</x:v>
      </x:c>
      <x:c r="E211" s="27" t="str">
        <x:v>What are the main neural representations for novel-view synthesis, including neural radiance fields and 3D Gaussian splatting, and what are their computational trade-offs?</x:v>
      </x:c>
      <x:c r="F211" s="22" t="n">
        <x:v>10</x:v>
      </x:c>
      <x:c r="G211" s="17" t="str">
        <x:v>arXiv:2406.01042</x:v>
      </x:c>
      <x:c r="H211" s="27" t="str">
        <x:v>Self-Calibrating 4D Novel View Synthesis from Monocular Videos Using Gaussian Splatting</x:v>
      </x:c>
      <x:c r="I211" s="17" t="str">
        <x:v>Fang Li; Hao Zhang; Narendra Ahuja</x:v>
      </x:c>
      <x:c r="J211" s="22" t="n">
        <x:v>2024</x:v>
      </x:c>
      <x:c r="K211" s="27" t="str">
        <x:v>Gaussian Splatting (GS) has significantly elevated scene reconstruction efficiency and novel view synthesis (NVS) accuracy compared to Neural Radiance Fields (NeRF), particularly for dynamic scenes. However, current 4D NVS methods, whether based on GS or NeRF, primarily rely on camera parameters provided by COLMAP and even utilize sparse point clouds generated by COLMAP for initialization, which lack accuracy as well are time-consuming. This sometimes results in poor dynamic scene representation, especially in scenes with large object movements, or extreme camera conditions e.g. small translations combined with large rotations. Some studies simultaneously optimize the estimation of camera parameters and scenes, supervised by additional information like depth, optical flow, etc. obtained from off-the-shelf models. Using this unverified information as ground truth can reduce robustness and accuracy, which does frequently occur for long monocular videos (with e.g. &gt; hundreds of frames). We propose a novel approach that learns a high-fidelity 4D GS scene representation with self-calibration of camera parameters. It includes the extraction of 2D point features that robustly represent 3D structure, and their use for subsequent joint optimization of camera parameters and 3D structure towards overall 4D scene optimization. We demonstrate the accuracy and time efficiency of our method through extensive quantitative and qualitative experimental results on several standard benchmarks. The results show significant improvements over state-of-the-art methods for 4D novel view synthesis. The source code will be released soon at https://github.com/fangli333/SC-4DGS.</x:v>
      </x:c>
      <x:c r="L211" s="17" t="str">
        <x:v>http://arxiv.org/abs/2406.01042v3</x:v>
      </x:c>
      <x:c r="M211" s="23" t="n">
        <x:v>0.7383661507963997</x:v>
      </x:c>
      <x:c r="N211" s="17" t="str">
        <x:v>qwen3-rerank-no-instruct-20260727-125006-results.jsonl</x:v>
      </x:c>
      <x:c r="O211" s="24" t="str">
        <x:v>2</x:v>
      </x:c>
      <x:c r="P211" s="28" t="str">
        <x:v>4D高斯新视角合成并比较NeRF效率。</x:v>
      </x:c>
      <x:c r="Q211" s="25" t="str"/>
      <x:c r="R211" s="24" t="str">
        <x:f>IF(Q211&lt;&gt;"",Q211,O211)</x:f>
        <x:v>2</x:v>
      </x:c>
      <x:c r="S211" s="29" t="str"/>
    </x:row>
    <x:row r="212" ht="54" customHeight="1">
      <x:c r="A212" s="17" t="str">
        <x:v>csq011-r11</x:v>
      </x:c>
      <x:c r="B212" s="17" t="str">
        <x:v>csq011</x:v>
      </x:c>
      <x:c r="C212" s="17" t="str">
        <x:v>computer_vision</x:v>
      </x:c>
      <x:c r="D212" s="17" t="str">
        <x:v>neural_3d_representation</x:v>
      </x:c>
      <x:c r="E212" s="27" t="str">
        <x:v>What are the main neural representations for novel-view synthesis, including neural radiance fields and 3D Gaussian splatting, and what are their computational trade-offs?</x:v>
      </x:c>
      <x:c r="F212" s="22" t="n">
        <x:v>11</x:v>
      </x:c>
      <x:c r="G212" s="17" t="str">
        <x:v>arXiv:2401.02436</x:v>
      </x:c>
      <x:c r="H212" s="27" t="str">
        <x:v>Compressed 3D Gaussian Splatting for Accelerated Novel View Synthesis</x:v>
      </x:c>
      <x:c r="I212" s="17" t="str">
        <x:v>Simon Niedermayr; Josef Stumpfegger; Rüdiger Westermann</x:v>
      </x:c>
      <x:c r="J212" s="22" t="n">
        <x:v>2023</x:v>
      </x:c>
      <x:c r="K212" s="27" t="str">
        <x:v>Recently, high-fidelity scene reconstruction with an optimized 3D Gaussian splat representation has been introduced for novel view synthesis from sparse image sets. Making such representations suitable for applications like network streaming and rendering on low-power devices requires significantly reduced memory consumption as well as improved rendering efficiency. We propose a compressed 3D Gaussian splat representation that utilizes sensitivity-aware vector clustering with quantization-aware training to compress directional colors and Gaussian parameters. The learned codebooks have low bitrates and achieve a compression rate of up to $31\times$ on real-world scenes with only minimal degradation of visual quality. We demonstrate that the compressed splat representation can be efficiently rendered with hardware rasterization on lightweight GPUs at up to $4\times$ higher framerates than reported via an optimized GPU compute pipeline. Extensive experiments across multiple datasets demonstrate the robustness and rendering speed of the proposed approach.</x:v>
      </x:c>
      <x:c r="L212" s="17" t="str">
        <x:v>http://arxiv.org/abs/2401.02436v2</x:v>
      </x:c>
      <x:c r="M212" s="23" t="n">
        <x:v>0.732167690495396</x:v>
      </x:c>
      <x:c r="N212" s="17" t="str">
        <x:v>qwen3-rerank-no-instruct-20260727-125006-results.jsonl</x:v>
      </x:c>
      <x:c r="O212" s="24" t="str">
        <x:v>2</x:v>
      </x:c>
      <x:c r="P212" s="28" t="str">
        <x:v>量化3DGS压缩、质量和渲染速度权衡。</x:v>
      </x:c>
      <x:c r="Q212" s="25" t="str"/>
      <x:c r="R212" s="24" t="str">
        <x:f>IF(Q212&lt;&gt;"",Q212,O212)</x:f>
        <x:v>2</x:v>
      </x:c>
      <x:c r="S212" s="29" t="str"/>
    </x:row>
    <x:row r="213" ht="54" customHeight="1">
      <x:c r="A213" s="17" t="str">
        <x:v>csq011-r12</x:v>
      </x:c>
      <x:c r="B213" s="17" t="str">
        <x:v>csq011</x:v>
      </x:c>
      <x:c r="C213" s="17" t="str">
        <x:v>computer_vision</x:v>
      </x:c>
      <x:c r="D213" s="17" t="str">
        <x:v>neural_3d_representation</x:v>
      </x:c>
      <x:c r="E213" s="27" t="str">
        <x:v>What are the main neural representations for novel-view synthesis, including neural radiance fields and 3D Gaussian splatting, and what are their computational trade-offs?</x:v>
      </x:c>
      <x:c r="F213" s="22" t="n">
        <x:v>12</x:v>
      </x:c>
      <x:c r="G213" s="17" t="str">
        <x:v>arXiv:2403.04116</x:v>
      </x:c>
      <x:c r="H213" s="27" t="str">
        <x:v>Radiative Gaussian Splatting for Efficient X-ray Novel View Synthesis</x:v>
      </x:c>
      <x:c r="I213" s="17" t="str">
        <x:v>Yuanhao Cai; Yixun Liang; Jiahao Wang; Angtian Wang; Yulun Zhang; Xiaokang Yang; Zongwei Zhou; Alan Yuille</x:v>
      </x:c>
      <x:c r="J213" s="22" t="n">
        <x:v>2024</x:v>
      </x:c>
      <x:c r="K213" s="27" t="str">
        <x:v>X-ray is widely applied for transmission imaging due to its stronger penetration than natural light. When rendering novel view X-ray projections, existing methods mainly based on NeRF suffer from long training time and slow inference speed. In this paper, we propose a 3D Gaussian splatting-based framework, namely X-Gaussian, for X-ray novel view synthesis. Firstly, we redesign a radiative Gaussian point cloud model inspired by the isotropic nature of X-ray imaging. Our model excludes the influence of view direction when learning to predict the radiation intensity of 3D points. Based on this model, we develop a Differentiable Radiative Rasterization (DRR) with CUDA implementation. Secondly, we customize an Angle-pose Cuboid Uniform Initialization (ACUI) strategy that directly uses the parameters of the X-ray scanner to compute the camera information and then uniformly samples point positions within a cuboid enclosing the scanned object. Experiments show that our X-Gaussian outperforms state-of-the-art methods by 6.5 dB while enjoying less than 15% training time and over 73x inference speed. The application on sparse-view CT reconstruction also reveals the practical values of our method. Code is publicly available at https://github.com/caiyuanhao1998/X-Gaussian . A video demo of the training process visualization is at https://www.youtube.com/watch?v=gDVf_Ngeghg .</x:v>
      </x:c>
      <x:c r="L213" s="17" t="str">
        <x:v>http://arxiv.org/abs/2403.04116v3</x:v>
      </x:c>
      <x:c r="M213" s="23" t="n">
        <x:v>0.7243967257529329</x:v>
      </x:c>
      <x:c r="N213" s="17" t="str">
        <x:v>qwen3-rerank-no-instruct-20260727-125006-results.jsonl</x:v>
      </x:c>
      <x:c r="O213" s="24" t="str">
        <x:v>2</x:v>
      </x:c>
      <x:c r="P213" s="28" t="str">
        <x:v>针对X射线提出高效高斯新视角表示。</x:v>
      </x:c>
      <x:c r="Q213" s="25" t="str"/>
      <x:c r="R213" s="24" t="str">
        <x:f>IF(Q213&lt;&gt;"",Q213,O213)</x:f>
        <x:v>2</x:v>
      </x:c>
      <x:c r="S213" s="29" t="str"/>
    </x:row>
    <x:row r="214" ht="54" customHeight="1">
      <x:c r="A214" s="17" t="str">
        <x:v>csq011-r13</x:v>
      </x:c>
      <x:c r="B214" s="17" t="str">
        <x:v>csq011</x:v>
      </x:c>
      <x:c r="C214" s="17" t="str">
        <x:v>computer_vision</x:v>
      </x:c>
      <x:c r="D214" s="17" t="str">
        <x:v>neural_3d_representation</x:v>
      </x:c>
      <x:c r="E214" s="27" t="str">
        <x:v>What are the main neural representations for novel-view synthesis, including neural radiance fields and 3D Gaussian splatting, and what are their computational trade-offs?</x:v>
      </x:c>
      <x:c r="F214" s="22" t="n">
        <x:v>13</x:v>
      </x:c>
      <x:c r="G214" s="17" t="str">
        <x:v>arXiv:2408.05635</x:v>
      </x:c>
      <x:c r="H214" s="27" t="str">
        <x:v>Visual SLAM with 3D Gaussian Primitives and Depth Priors Enabling Novel View Synthesis</x:v>
      </x:c>
      <x:c r="I214" s="17" t="str">
        <x:v>Zhongche Qu; Zhi Zhang; Cong Liu; Jianhua Yin</x:v>
      </x:c>
      <x:c r="J214" s="22" t="n">
        <x:v>2024</x:v>
      </x:c>
      <x:c r="K214" s="27" t="str">
        <x:v>Conventional geometry-based SLAM systems lack dense 3D reconstruction capabilities since their data association usually relies on feature correspondences. Additionally, learning-based SLAM systems often fall short in terms of real-time performance and accuracy. Balancing real-time performance with dense 3D reconstruction capabilities is a challenging problem. In this paper, we propose a real-time RGB-D SLAM system that incorporates a novel view synthesis technique, 3D Gaussian Splatting, for 3D scene representation and pose estimation. This technique leverages the real-time rendering performance of 3D Gaussian Splatting with rasterization and allows for differentiable optimization in real time through CUDA implementation. We also enable mesh reconstruction from 3D Gaussians for explicit dense 3D reconstruction. To estimate accurate camera poses, we utilize a rotation-translation decoupled strategy with inverse optimization. This involves iteratively updating both in several iterations through gradient-based optimization. This process includes differentiably rendering RGB, depth, and silhouette maps and updating the camera parameters to minimize a combined loss of photometric loss, depth geometry loss, and visibility loss, given the existing 3D Gaussian map. However, 3D Gaussian Splatting (3DGS) struggles to accurately represent surfaces due to the multi-view inconsistency of 3D Gaussians, which can lead to reduced accuracy in both camera pose estimation and scene reconstruction. To address this, we utilize depth priors as additional regularization to enforce geometric constraints, thereby improving the accuracy of both pose estimation and 3D reconstruction. We also provide extensive experimental results on public benchmark datasets to demonstrate the effectiveness of our proposed methods in terms of pose accuracy, geometric accuracy, and rendering performance.</x:v>
      </x:c>
      <x:c r="L214" s="17" t="str">
        <x:v>http://arxiv.org/abs/2408.05635v2</x:v>
      </x:c>
      <x:c r="M214" s="23" t="n">
        <x:v>0.7129156398511962</x:v>
      </x:c>
      <x:c r="N214" s="17" t="str">
        <x:v>qwen3-rerank-no-instruct-20260727-125006-results.jsonl</x:v>
      </x:c>
      <x:c r="O214" s="24" t="str">
        <x:v>1</x:v>
      </x:c>
      <x:c r="P214" s="28" t="str">
        <x:v>主要贡献是SLAM，3DGS合成仅为组件。</x:v>
      </x:c>
      <x:c r="Q214" s="25" t="str"/>
      <x:c r="R214" s="24" t="str">
        <x:f>IF(Q214&lt;&gt;"",Q214,O214)</x:f>
        <x:v>1</x:v>
      </x:c>
      <x:c r="S214" s="29" t="str"/>
    </x:row>
    <x:row r="215" ht="54" customHeight="1">
      <x:c r="A215" s="17" t="str">
        <x:v>csq011-r14</x:v>
      </x:c>
      <x:c r="B215" s="17" t="str">
        <x:v>csq011</x:v>
      </x:c>
      <x:c r="C215" s="17" t="str">
        <x:v>computer_vision</x:v>
      </x:c>
      <x:c r="D215" s="17" t="str">
        <x:v>neural_3d_representation</x:v>
      </x:c>
      <x:c r="E215" s="27" t="str">
        <x:v>What are the main neural representations for novel-view synthesis, including neural radiance fields and 3D Gaussian splatting, and what are their computational trade-offs?</x:v>
      </x:c>
      <x:c r="F215" s="22" t="n">
        <x:v>14</x:v>
      </x:c>
      <x:c r="G215" s="17" t="str">
        <x:v>arXiv:2507.23374</x:v>
      </x:c>
      <x:c r="H215" s="27" t="str">
        <x:v>NeRF Is a Valuable Assistant for 3D Gaussian Splatting</x:v>
      </x:c>
      <x:c r="I215" s="17" t="str">
        <x:v>Shuangkang Fang; I-Chao Shen; Takeo Igarashi; Yufeng Wang; ZeSheng Wang; Yi Yang; Wenrui Ding; Shuchang Zhou</x:v>
      </x:c>
      <x:c r="J215" s="22" t="n">
        <x:v>2025</x:v>
      </x:c>
      <x:c r="K215" s="27" t="str">
        <x:v>We introduce NeRF-GS, a novel framework that jointly optimizes Neural Radiance Fields (NeRF) and 3D Gaussian Splatting (3DGS). This framework leverages the inherent continuous spatial representation of NeRF to mitigate several limitations of 3DGS, including sensitivity to Gaussian initialization, limited spatial awareness, and weak inter-Gaussian correlations, thereby enhancing its performance. In NeRF-GS, we revisit the design of 3DGS and progressively align its spatial features with NeRF, enabling both representations to be optimized within the same scene through shared 3D spatial information. We further address the formal distinctions between the two approaches by optimizing residual vectors for both implicit features and Gaussian positions to enhance the personalized capabilities of 3DGS. Experimental results on benchmark datasets show that NeRF-GS surpasses existing methods and achieves state-of-the-art performance. This outcome confirms that NeRF and 3DGS are complementary rather than competing, offering new insights into hybrid approaches that combine 3DGS and NeRF for efficient 3D scene representation.</x:v>
      </x:c>
      <x:c r="L215" s="17" t="str">
        <x:v>http://arxiv.org/abs/2507.23374v1</x:v>
      </x:c>
      <x:c r="M215" s="23" t="n">
        <x:v>0.7114852354350405</x:v>
      </x:c>
      <x:c r="N215" s="17" t="str">
        <x:v>qwen3-rerank-no-instruct-20260727-125006-results.jsonl</x:v>
      </x:c>
      <x:c r="O215" s="24" t="str">
        <x:v>2</x:v>
      </x:c>
      <x:c r="P215" s="28" t="str">
        <x:v>联合优化NeRF与3DGS并分析表示差异。</x:v>
      </x:c>
      <x:c r="Q215" s="25" t="str"/>
      <x:c r="R215" s="24" t="str">
        <x:f>IF(Q215&lt;&gt;"",Q215,O215)</x:f>
        <x:v>2</x:v>
      </x:c>
      <x:c r="S215" s="29" t="str"/>
    </x:row>
    <x:row r="216" ht="54" customHeight="1">
      <x:c r="A216" s="17" t="str">
        <x:v>csq011-r15</x:v>
      </x:c>
      <x:c r="B216" s="17" t="str">
        <x:v>csq011</x:v>
      </x:c>
      <x:c r="C216" s="17" t="str">
        <x:v>computer_vision</x:v>
      </x:c>
      <x:c r="D216" s="17" t="str">
        <x:v>neural_3d_representation</x:v>
      </x:c>
      <x:c r="E216" s="27" t="str">
        <x:v>What are the main neural representations for novel-view synthesis, including neural radiance fields and 3D Gaussian splatting, and what are their computational trade-offs?</x:v>
      </x:c>
      <x:c r="F216" s="22" t="n">
        <x:v>15</x:v>
      </x:c>
      <x:c r="G216" s="17" t="str">
        <x:v>arXiv:2206.05375</x:v>
      </x:c>
      <x:c r="H216" s="27" t="str">
        <x:v>Generalizable Neural Radiance Fields for Novel View Synthesis with Transformer</x:v>
      </x:c>
      <x:c r="I216" s="17" t="str">
        <x:v>Dan Wang; Xinrui Cui; Septimiu Salcudean; Z. Jane Wang</x:v>
      </x:c>
      <x:c r="J216" s="22" t="n">
        <x:v>2022</x:v>
      </x:c>
      <x:c r="K216" s="27" t="str">
        <x:v>We propose a Transformer-based NeRF (TransNeRF) to learn a generic neural radiance field conditioned on observed-view images for the novel view synthesis task. By contrast, existing MLP-based NeRFs are not able to directly receive observed views with an arbitrary number and require an auxiliary pooling-based operation to fuse source-view information, resulting in the missing of complicated relationships between source views and the target rendering view. Furthermore, current approaches process each 3D point individually and ignore the local consistency of a radiance field scene representation. These limitations potentially can reduce their performance in challenging real-world applications where large differences between source views and a novel rendering view may exist. To address these challenges, our TransNeRF utilizes the attention mechanism to naturally decode deep associations of an arbitrary number of source views into a coordinate-based scene representation. Local consistency of shape and appearance are considered in the ray-cast space and the surrounding-view space within a unified Transformer network. Experiments demonstrate that our TransNeRF, trained on a wide variety of scenes, can achieve better performance in comparison to state-of-the-art image-based neural rendering methods in both scene-agnostic and per-scene finetuning scenarios especially when there is a considerable gap between source views and a rendering view.</x:v>
      </x:c>
      <x:c r="L216" s="17" t="str">
        <x:v>http://arxiv.org/abs/2206.05375v1</x:v>
      </x:c>
      <x:c r="M216" s="23" t="n">
        <x:v>0.7052745008205755</x:v>
      </x:c>
      <x:c r="N216" s="17" t="str">
        <x:v>qwen3-rerank-no-instruct-20260727-125006-results.jsonl</x:v>
      </x:c>
      <x:c r="O216" s="24" t="str">
        <x:v>2</x:v>
      </x:c>
      <x:c r="P216" s="28" t="str">
        <x:v>提出Transformer条件化的可泛化NeRF。</x:v>
      </x:c>
      <x:c r="Q216" s="25" t="str"/>
      <x:c r="R216" s="24" t="str">
        <x:f>IF(Q216&lt;&gt;"",Q216,O216)</x:f>
        <x:v>2</x:v>
      </x:c>
      <x:c r="S216" s="29" t="str"/>
    </x:row>
    <x:row r="217" ht="54" customHeight="1">
      <x:c r="A217" s="17" t="str">
        <x:v>csq011-r16</x:v>
      </x:c>
      <x:c r="B217" s="17" t="str">
        <x:v>csq011</x:v>
      </x:c>
      <x:c r="C217" s="17" t="str">
        <x:v>computer_vision</x:v>
      </x:c>
      <x:c r="D217" s="17" t="str">
        <x:v>neural_3d_representation</x:v>
      </x:c>
      <x:c r="E217" s="27" t="str">
        <x:v>What are the main neural representations for novel-view synthesis, including neural radiance fields and 3D Gaussian splatting, and what are their computational trade-offs?</x:v>
      </x:c>
      <x:c r="F217" s="22" t="n">
        <x:v>16</x:v>
      </x:c>
      <x:c r="G217" s="17" t="str">
        <x:v>arXiv:2511.18672</x:v>
      </x:c>
      <x:c r="H217" s="27" t="str">
        <x:v>Sphinx: Efficiently Serving Novel View Synthesis using Regression-Guided Selective Refinement</x:v>
      </x:c>
      <x:c r="I217" s="17" t="str">
        <x:v>Yuchen Xia; Souvik Kundu; Mosharaf Chowdhury; Nishil Talati</x:v>
      </x:c>
      <x:c r="J217" s="22" t="n">
        <x:v>2025</x:v>
      </x:c>
      <x:c r="K217" s="27" t="str">
        <x:v>Novel View Synthesis (NVS) is the task of generating new images of a scene from viewpoints that were not part of the original input. Diffusion-based NVS can generate high-quality, temporally consistent images, however, remains computationally prohibitive. Conversely, regression-based NVS offers suboptimal generation quality despite requiring significantly lower compute; leaving the design objective of a high-quality, inference-efficient NVS framework an open challenge. To close this critical gap, we present Sphinx, a training-free hybrid inference framework that achieves diffusion-level fidelity at a significantly lower compute. Sphinx proposes to use regression-based fast initialization to guide and reduce the denoising workload for the diffusion model. Additionally, it integrates selective refinement with adaptive noise scheduling, allowing more compute to uncertain regions and frames. This enables Sphinx to provide flexible navigation of the performance-quality trade-off, allowing adaptation to latency and fidelity requirements for dynamically changing inference scenarios. Our evaluation shows that Sphinx achieves an average 1.8x speedup over diffusion model inference with negligible perceptual degradation of less than 5%, establishing a new Pareto frontier between quality and latency in NVS serving.</x:v>
      </x:c>
      <x:c r="L217" s="17" t="str">
        <x:v>http://arxiv.org/abs/2511.18672v1</x:v>
      </x:c>
      <x:c r="M217" s="23" t="n">
        <x:v>0.7003151624838867</x:v>
      </x:c>
      <x:c r="N217" s="17" t="str">
        <x:v>qwen3-rerank-no-instruct-20260727-125006-results.jsonl</x:v>
      </x:c>
      <x:c r="O217" s="24" t="str">
        <x:v>2</x:v>
      </x:c>
      <x:c r="P217" s="28" t="str">
        <x:v>比较扩散与回归式NVS的质量计算权衡。</x:v>
      </x:c>
      <x:c r="Q217" s="25" t="str"/>
      <x:c r="R217" s="24" t="str">
        <x:f>IF(Q217&lt;&gt;"",Q217,O217)</x:f>
        <x:v>2</x:v>
      </x:c>
      <x:c r="S217" s="29" t="str"/>
    </x:row>
    <x:row r="218" ht="54" customHeight="1">
      <x:c r="A218" s="17" t="str">
        <x:v>csq011-r17</x:v>
      </x:c>
      <x:c r="B218" s="17" t="str">
        <x:v>csq011</x:v>
      </x:c>
      <x:c r="C218" s="17" t="str">
        <x:v>computer_vision</x:v>
      </x:c>
      <x:c r="D218" s="17" t="str">
        <x:v>neural_3d_representation</x:v>
      </x:c>
      <x:c r="E218" s="27" t="str">
        <x:v>What are the main neural representations for novel-view synthesis, including neural radiance fields and 3D Gaussian splatting, and what are their computational trade-offs?</x:v>
      </x:c>
      <x:c r="F218" s="22" t="n">
        <x:v>17</x:v>
      </x:c>
      <x:c r="G218" s="17" t="str">
        <x:v>arXiv:2405.16829</x:v>
      </x:c>
      <x:c r="H218" s="27" t="str">
        <x:v>PyGS: Large-scale Scene Representation with Pyramidal 3D Gaussian Splatting</x:v>
      </x:c>
      <x:c r="I218" s="17" t="str">
        <x:v>Zipeng Wang; Dan Xu</x:v>
      </x:c>
      <x:c r="J218" s="22" t="n">
        <x:v>2024</x:v>
      </x:c>
      <x:c r="K218" s="27" t="str">
        <x:v>Neural Radiance Fields (NeRFs) have demonstrated remarkable proficiency in synthesizing photorealistic images of large-scale scenes. However, they are often plagued by a loss of fine details and long rendering durations. 3D Gaussian Splatting has recently been introduced as a potent alternative, achieving both high-fidelity visual results and accelerated rendering performance. Nonetheless, scaling 3D Gaussian Splatting is fraught with challenges. Specifically, large-scale scenes grapples with the integration of objects across multiple scales and disparate viewpoints, which often leads to compromised efficacy as the Gaussians need to balance between detail levels. Furthermore, the generation of initialization points via COLMAP from large-scale dataset is both computationally demanding and prone to incomplete reconstructions. To address these challenges, we present Pyramidal 3D Gaussian Splatting (PyGS) with NeRF Initialization. Our approach represent the scene with a hierarchical assembly of Gaussians arranged in a pyramidal fashion. The top level of the pyramid is composed of a few large Gaussians, while each subsequent layer accommodates a denser collection of smaller Gaussians. We effectively initialize these pyramidal Gaussians through sampling a rapidly trained grid-based NeRF at various frequencies. We group these pyramidal Gaussians into clusters and use a compact weighting network to dynamically determine the influence of each pyramid level of each cluster considering camera viewpoint during rendering. Our method achieves a significant performance leap across multiple large-scale datasets and attains a rendering time that is over 400 times faster than current state-of-the-art approaches.</x:v>
      </x:c>
      <x:c r="L218" s="17" t="str">
        <x:v>http://arxiv.org/abs/2405.16829v3</x:v>
      </x:c>
      <x:c r="M218" s="23" t="n">
        <x:v>0.6989547265395298</x:v>
      </x:c>
      <x:c r="N218" s="17" t="str">
        <x:v>qwen3-rerank-no-instruct-20260727-125006-results.jsonl</x:v>
      </x:c>
      <x:c r="O218" s="24" t="str">
        <x:v>2</x:v>
      </x:c>
      <x:c r="P218" s="28" t="str">
        <x:v>金字塔3DGS处理大场景表示与渲染成本。</x:v>
      </x:c>
      <x:c r="Q218" s="25" t="str"/>
      <x:c r="R218" s="24" t="str">
        <x:f>IF(Q218&lt;&gt;"",Q218,O218)</x:f>
        <x:v>2</x:v>
      </x:c>
      <x:c r="S218" s="29" t="str"/>
    </x:row>
    <x:row r="219" ht="54" customHeight="1">
      <x:c r="A219" s="17" t="str">
        <x:v>csq011-r18</x:v>
      </x:c>
      <x:c r="B219" s="17" t="str">
        <x:v>csq011</x:v>
      </x:c>
      <x:c r="C219" s="17" t="str">
        <x:v>computer_vision</x:v>
      </x:c>
      <x:c r="D219" s="17" t="str">
        <x:v>neural_3d_representation</x:v>
      </x:c>
      <x:c r="E219" s="27" t="str">
        <x:v>What are the main neural representations for novel-view synthesis, including neural radiance fields and 3D Gaussian splatting, and what are their computational trade-offs?</x:v>
      </x:c>
      <x:c r="F219" s="22" t="n">
        <x:v>18</x:v>
      </x:c>
      <x:c r="G219" s="17" t="str">
        <x:v>arXiv:2210.00379</x:v>
      </x:c>
      <x:c r="H219" s="27" t="str">
        <x:v>NeRF: Neural Radiance Field in 3D Vision: A Comprehensive Review (Updated Post-Gaussian Splatting)</x:v>
      </x:c>
      <x:c r="I219" s="17" t="str">
        <x:v>Kyle Gao; Yina Gao; Hongjie He; Dening Lu; Linlin Xu; Jonathan Li</x:v>
      </x:c>
      <x:c r="J219" s="22" t="n">
        <x:v>2022</x:v>
      </x:c>
      <x:c r="K219" s="27" t="str">
        <x:v>In March 2020, Neural Radiance Field (NeRF) revolutionized Computer Vision, allowing for implicit, neural network-based scene representation and novel view synthesis. NeRF models have found diverse applications in robotics, urban mapping, autonomous navigation, virtual reality/augmented reality, and more. In August 2023, Gaussian Splatting, a direct competitor to the NeRF-based framework, was proposed, gaining tremendous momentum and overtaking NeRF-based research in terms of interest as the dominant framework for novel view synthesis. We present a comprehensive survey of NeRF papers from the past five years (2020-2025). These include papers from the pre-Gaussian Splatting era, where NeRF dominated the field for novel view synthesis and 3D implicit and hybrid representation neural field learning. We also include works from the post-Gaussian Splatting era where NeRF and implicit/hybrid neural fields found more niche applications. Our survey is organized into architecture and application-based taxonomies in the pre-Gaussian Splatting era, as well as a categorization of active research areas for NeRF, neural field, and implicit/hybrid neural representation methods. We provide an introduction to the theory of NeRF and its training via differentiable volume rendering. We also present a benchmark comparison of the performance and speed of classical NeRF, implicit and hybrid neural representation, and neural field models, and an overview of key datasets.</x:v>
      </x:c>
      <x:c r="L219" s="17" t="str">
        <x:v>http://arxiv.org/abs/2210.00379v8</x:v>
      </x:c>
      <x:c r="M219" s="23" t="n">
        <x:v>0.698065064952255</x:v>
      </x:c>
      <x:c r="N219" s="17" t="str">
        <x:v>qwen3-rerank-no-instruct-20260727-125006-results.jsonl</x:v>
      </x:c>
      <x:c r="O219" s="24" t="str">
        <x:v>2</x:v>
      </x:c>
      <x:c r="P219" s="28" t="str">
        <x:v>综述NeRF、混合神经场及高斯泼溅。</x:v>
      </x:c>
      <x:c r="Q219" s="25" t="str"/>
      <x:c r="R219" s="24" t="str">
        <x:f>IF(Q219&lt;&gt;"",Q219,O219)</x:f>
        <x:v>2</x:v>
      </x:c>
      <x:c r="S219" s="29" t="str"/>
    </x:row>
    <x:row r="220" ht="54" customHeight="1">
      <x:c r="A220" s="17" t="str">
        <x:v>csq011-r19</x:v>
      </x:c>
      <x:c r="B220" s="17" t="str">
        <x:v>csq011</x:v>
      </x:c>
      <x:c r="C220" s="17" t="str">
        <x:v>computer_vision</x:v>
      </x:c>
      <x:c r="D220" s="17" t="str">
        <x:v>neural_3d_representation</x:v>
      </x:c>
      <x:c r="E220" s="27" t="str">
        <x:v>What are the main neural representations for novel-view synthesis, including neural radiance fields and 3D Gaussian splatting, and what are their computational trade-offs?</x:v>
      </x:c>
      <x:c r="F220" s="22" t="n">
        <x:v>19</x:v>
      </x:c>
      <x:c r="G220" s="17" t="str">
        <x:v>arXiv:2305.00375</x:v>
      </x:c>
      <x:c r="H220" s="27" t="str">
        <x:v>Neural Radiance Fields (NeRFs): A Review and Some Recent Developments</x:v>
      </x:c>
      <x:c r="I220" s="17" t="str">
        <x:v>Mohamed Debbagh</x:v>
      </x:c>
      <x:c r="J220" s="22" t="n">
        <x:v>2023</x:v>
      </x:c>
      <x:c r="K220" s="27" t="str">
        <x:v>Neural Radiance Field (NeRF) is a framework that represents a 3D scene in the weights of a fully connected neural network, known as the Multi-Layer Perception(MLP). The method was introduced for the task of novel view synthesis and is able to achieve state-of-the-art photorealistic image renderings from a given continuous viewpoint. NeRFs have become a popular field of research as recent developments have been made that expand the performance and capabilities of the base framework. Recent developments include methods that require less images to train the model for view synthesis as well as methods that are able to generate views from unconstrained and dynamic scene representations.</x:v>
      </x:c>
      <x:c r="L220" s="17" t="str">
        <x:v>http://arxiv.org/abs/2305.00375v1</x:v>
      </x:c>
      <x:c r="M220" s="23" t="n">
        <x:v>0.6797571521950864</x:v>
      </x:c>
      <x:c r="N220" s="17" t="str">
        <x:v>qwen3-rerank-no-instruct-20260727-125006-results.jsonl</x:v>
      </x:c>
      <x:c r="O220" s="24" t="str">
        <x:v>2</x:v>
      </x:c>
      <x:c r="P220" s="28" t="str">
        <x:v>综述NeRF表示及其性能扩展。</x:v>
      </x:c>
      <x:c r="Q220" s="25" t="str"/>
      <x:c r="R220" s="24" t="str">
        <x:f>IF(Q220&lt;&gt;"",Q220,O220)</x:f>
        <x:v>2</x:v>
      </x:c>
      <x:c r="S220" s="29" t="str"/>
    </x:row>
    <x:row r="221" ht="54" customHeight="1">
      <x:c r="A221" s="17" t="str">
        <x:v>csq011-r20</x:v>
      </x:c>
      <x:c r="B221" s="17" t="str">
        <x:v>csq011</x:v>
      </x:c>
      <x:c r="C221" s="17" t="str">
        <x:v>computer_vision</x:v>
      </x:c>
      <x:c r="D221" s="17" t="str">
        <x:v>neural_3d_representation</x:v>
      </x:c>
      <x:c r="E221" s="27" t="str">
        <x:v>What are the main neural representations for novel-view synthesis, including neural radiance fields and 3D Gaussian splatting, and what are their computational trade-offs?</x:v>
      </x:c>
      <x:c r="F221" s="22" t="n">
        <x:v>20</x:v>
      </x:c>
      <x:c r="G221" s="17" t="str">
        <x:v>arXiv:2302.08788</x:v>
      </x:c>
      <x:c r="H221" s="27" t="str">
        <x:v>MixNeRF: Modeling a Ray with Mixture Density for Novel View Synthesis from Sparse Inputs</x:v>
      </x:c>
      <x:c r="I221" s="17" t="str">
        <x:v>Seunghyeon Seo; Donghoon Han; Yeonjin Chang; Nojun Kwak</x:v>
      </x:c>
      <x:c r="J221" s="22" t="n">
        <x:v>2023</x:v>
      </x:c>
      <x:c r="K221" s="27" t="str">
        <x:v>Neural Radiance Field (NeRF) has broken new ground in the novel view synthesis due to its simple concept and state-of-the-art quality. However, it suffers from severe performance degradation unless trained with a dense set of images with different camera poses, which hinders its practical applications. Although previous methods addressing this problem achieved promising results, they relied heavily on the additional training resources, which goes against the philosophy of sparse-input novel-view synthesis pursuing the training efficiency. In this work, we propose MixNeRF, an effective training strategy for novel view synthesis from sparse inputs by modeling a ray with a mixture density model. Our MixNeRF estimates the joint distribution of RGB colors along the ray samples by modeling it with mixture of distributions. We also propose a new task of ray depth estimation as a useful training objective, which is highly correlated with 3D scene geometry. Moreover, we remodel the colors with regenerated blending weights based on the estimated ray depth and further improves the robustness for colors and viewpoints. Our MixNeRF outperforms other state-of-the-art methods in various standard benchmarks with superior efficiency of training and inference.</x:v>
      </x:c>
      <x:c r="L221" s="17" t="str">
        <x:v>http://arxiv.org/abs/2302.08788v2</x:v>
      </x:c>
      <x:c r="M221" s="23" t="n">
        <x:v>0.6699330270211363</x:v>
      </x:c>
      <x:c r="N221" s="17" t="str">
        <x:v>qwen3-rerank-no-instruct-20260727-125006-results.jsonl</x:v>
      </x:c>
      <x:c r="O221" s="24" t="str">
        <x:v>2</x:v>
      </x:c>
      <x:c r="P221" s="28" t="str">
        <x:v>改进NeRF射线密度表示以支持稀疏输入。</x:v>
      </x:c>
      <x:c r="Q221" s="25" t="str"/>
      <x:c r="R221" s="24" t="str">
        <x:f>IF(Q221&lt;&gt;"",Q221,O221)</x:f>
        <x:v>2</x:v>
      </x:c>
      <x:c r="S221" s="29" t="str"/>
    </x:row>
    <x:row r="222" ht="54" customHeight="1">
      <x:c r="A222" s="17" t="str">
        <x:v>csq012-r01</x:v>
      </x:c>
      <x:c r="B222" s="17" t="str">
        <x:v>csq012</x:v>
      </x:c>
      <x:c r="C222" s="17" t="str">
        <x:v>computer_vision</x:v>
      </x:c>
      <x:c r="D222" s="17" t="str">
        <x:v>image_generation</x:v>
      </x:c>
      <x:c r="E222" s="27" t="str">
        <x:v>How do diffusion-based and autoregressive image generation models compare in training objectives, sampling cost, controllability, and output quality?</x:v>
      </x:c>
      <x:c r="F222" s="22" t="n">
        <x:v>1</x:v>
      </x:c>
      <x:c r="G222" s="17" t="str">
        <x:v>arXiv:2410.02705</x:v>
      </x:c>
      <x:c r="H222" s="27" t="str">
        <x:v>ControlAR: Controllable Image Generation with Autoregressive Models</x:v>
      </x:c>
      <x:c r="I222" s="17" t="str">
        <x:v>Zongming Li; Tianheng Cheng; Shoufa Chen; Peize Sun; Haocheng Shen; Longjin Ran; Xiaoxin Chen; Wenyu Liu; Xinggang Wang</x:v>
      </x:c>
      <x:c r="J222" s="22" t="n">
        <x:v>2024</x:v>
      </x:c>
      <x:c r="K222" s="27" t="str">
        <x:v>Autoregressive (AR) models have reformulated image generation as next-token prediction, demonstrating remarkable potential and emerging as strong competitors to diffusion models. However, control-to-image generation, akin to ControlNet, remains largely unexplored within AR models. Although a natural approach, inspired by advancements in Large Language Models, is to tokenize control images into tokens and prefill them into the autoregressive model before decoding image tokens, it still falls short in generation quality compared to ControlNet and suffers from inefficiency. To this end, we introduce ControlAR, an efficient and effective framework for integrating spatial controls into autoregressive image generation models. Firstly, we explore control encoding for AR models and propose a lightweight control encoder to transform spatial inputs (e.g., canny edges or depth maps) into control tokens. Then ControlAR exploits the conditional decoding method to generate the next image token conditioned on the per-token fusion between control and image tokens, similar to positional encodings. Compared to prefilling tokens, using conditional decoding significantly strengthens the control capability of AR models but also maintains the model's efficiency. Furthermore, the proposed ControlAR surprisingly empowers AR models with arbitrary-resolution image generation via conditional decoding and specific controls. Extensive experiments can demonstrate the controllability of the proposed ControlAR for the autoregressive control-to-image generation across diverse inputs, including edges, depths, and segmentation masks. Furthermore, both quantitative and qualitative results indicate that ControlAR surpasses previous state-of-the-art controllable diffusion models, e.g., ControlNet++. Code, models, and demo will soon be available at https://github.com/hustvl/ControlAR.</x:v>
      </x:c>
      <x:c r="L222" s="17" t="str">
        <x:v>http://arxiv.org/abs/2410.02705v3</x:v>
      </x:c>
      <x:c r="M222" s="23" t="n">
        <x:v>0.6994979606336212</x:v>
      </x:c>
      <x:c r="N222" s="17" t="str">
        <x:v>qwen3-rerank-no-instruct-20260727-125006-results.jsonl</x:v>
      </x:c>
      <x:c r="O222" s="24" t="str">
        <x:v>2</x:v>
      </x:c>
      <x:c r="P222" s="28" t="str">
        <x:v>比较自回归与ControlNet的控制、效率和质量。</x:v>
      </x:c>
      <x:c r="Q222" s="25" t="str"/>
      <x:c r="R222" s="24" t="str">
        <x:f>IF(Q222&lt;&gt;"",Q222,O222)</x:f>
        <x:v>2</x:v>
      </x:c>
      <x:c r="S222" s="29" t="str"/>
    </x:row>
    <x:row r="223" ht="54" customHeight="1">
      <x:c r="A223" s="17" t="str">
        <x:v>csq012-r02</x:v>
      </x:c>
      <x:c r="B223" s="17" t="str">
        <x:v>csq012</x:v>
      </x:c>
      <x:c r="C223" s="17" t="str">
        <x:v>computer_vision</x:v>
      </x:c>
      <x:c r="D223" s="17" t="str">
        <x:v>image_generation</x:v>
      </x:c>
      <x:c r="E223" s="27" t="str">
        <x:v>How do diffusion-based and autoregressive image generation models compare in training objectives, sampling cost, controllability, and output quality?</x:v>
      </x:c>
      <x:c r="F223" s="22" t="n">
        <x:v>2</x:v>
      </x:c>
      <x:c r="G223" s="17" t="str">
        <x:v>arXiv:2410.04671</x:v>
      </x:c>
      <x:c r="H223" s="27" t="str">
        <x:v>CAR: Controllable Autoregressive Modeling for Visual Generation</x:v>
      </x:c>
      <x:c r="I223" s="17" t="str">
        <x:v>Ziyu Yao; Jialin Li; Yifeng Zhou; Yong Liu; Xi Jiang; Chengjie Wang; Feng Zheng; Yuexian Zou; Lei Li</x:v>
      </x:c>
      <x:c r="J223" s="22" t="n">
        <x:v>2024</x:v>
      </x:c>
      <x:c r="K223" s="27" t="str">
        <x:v>Controllable generation, which enables fine-grained control over generated outputs, has emerged as a critical focus in visual generative models. Currently, there are two primary technical approaches in visual generation: diffusion models and autoregressive models. Diffusion models, as exemplified by ControlNet and T2I-Adapter, offer advanced control mechanisms, whereas autoregressive models, despite showcasing impressive generative quality and scalability, remain underexplored in terms of controllability and flexibility. In this study, we introduce Controllable AutoRegressive Modeling (CAR), a novel, plug-and-play framework that integrates conditional control into multi-scale latent variable modeling, enabling efficient control generation within a pre-trained visual autoregressive model. CAR progressively refines and captures control representations, which are injected into each autoregressive step of the pre-trained model to guide the generation process. Our approach demonstrates excellent controllability across various types of conditions and delivers higher image quality compared to previous methods. Additionally, CAR achieves robust generalization with significantly fewer training resources compared to those required for pre-training the model. To the best of our knowledge, we are the first to propose a control framework for pre-trained autoregressive visual generation models.</x:v>
      </x:c>
      <x:c r="L223" s="17" t="str">
        <x:v>http://arxiv.org/abs/2410.04671v1</x:v>
      </x:c>
      <x:c r="M223" s="23" t="n">
        <x:v>0.6782402370827221</x:v>
      </x:c>
      <x:c r="N223" s="17" t="str">
        <x:v>qwen3-rerank-no-instruct-20260727-125006-results.jsonl</x:v>
      </x:c>
      <x:c r="O223" s="24" t="str">
        <x:v>2</x:v>
      </x:c>
      <x:c r="P223" s="28" t="str">
        <x:v>直接对比扩散与自回归可控视觉生成。</x:v>
      </x:c>
      <x:c r="Q223" s="25" t="str"/>
      <x:c r="R223" s="24" t="str">
        <x:f>IF(Q223&lt;&gt;"",Q223,O223)</x:f>
        <x:v>2</x:v>
      </x:c>
      <x:c r="S223" s="29" t="str"/>
    </x:row>
    <x:row r="224" ht="54" customHeight="1">
      <x:c r="A224" s="17" t="str">
        <x:v>csq012-r03</x:v>
      </x:c>
      <x:c r="B224" s="17" t="str">
        <x:v>csq012</x:v>
      </x:c>
      <x:c r="C224" s="17" t="str">
        <x:v>computer_vision</x:v>
      </x:c>
      <x:c r="D224" s="17" t="str">
        <x:v>image_generation</x:v>
      </x:c>
      <x:c r="E224" s="27" t="str">
        <x:v>How do diffusion-based and autoregressive image generation models compare in training objectives, sampling cost, controllability, and output quality?</x:v>
      </x:c>
      <x:c r="F224" s="22" t="n">
        <x:v>3</x:v>
      </x:c>
      <x:c r="G224" s="17" t="str">
        <x:v>arXiv:2505.20297</x:v>
      </x:c>
      <x:c r="H224" s="27" t="str">
        <x:v>DiSA: Diffusion Step Annealing in Autoregressive Image Generation</x:v>
      </x:c>
      <x:c r="I224" s="17" t="str">
        <x:v>Qinyu Zhao; Jaskirat Singh; Ming Xu; Akshay Asthana; Stephen Gould; Liang Zheng</x:v>
      </x:c>
      <x:c r="J224" s="22" t="n">
        <x:v>2025</x:v>
      </x:c>
      <x:c r="K224" s="27" t="str">
        <x:v>An increasing number of autoregressive models, such as MAR, FlowAR, xAR, and Harmon adopt diffusion sampling to improve the quality of image generation. However, this strategy leads to low inference efficiency, because it usually takes 50 to 100 steps for diffusion to sample a token. This paper explores how to effectively address this issue. Our key motivation is that as more tokens are generated during the autoregressive process, subsequent tokens follow more constrained distributions and are easier to sample. To intuitively explain, if a model has generated part of a dog, the remaining tokens must complete the dog and thus are more constrained. Empirical evidence supports our motivation: at later generation stages, the next tokens can be well predicted by a multilayer perceptron, exhibit low variance, and follow closer-to-straight-line denoising paths from noise to tokens. Based on our finding, we introduce diffusion step annealing (DiSA), a training-free method which gradually uses fewer diffusion steps as more tokens are generated, e.g., using 50 steps at the beginning and gradually decreasing to 5 steps at later stages. Because DiSA is derived from our finding specific to diffusion in autoregressive models, it is complementary to existing acceleration methods designed for diffusion alone. DiSA can be implemented in only a few lines of code on existing models, and albeit simple, achieves $5-10\times$ faster inference for MAR and Harmon and $1.4-2.5\times$ for FlowAR and xAR, while maintaining the generation quality.</x:v>
      </x:c>
      <x:c r="L224" s="17" t="str">
        <x:v>http://arxiv.org/abs/2505.20297v1</x:v>
      </x:c>
      <x:c r="M224" s="23" t="n">
        <x:v>0.6532442011797963</x:v>
      </x:c>
      <x:c r="N224" s="17" t="str">
        <x:v>qwen3-rerank-no-instruct-20260727-125006-results.jsonl</x:v>
      </x:c>
      <x:c r="O224" s="24" t="str">
        <x:v>2</x:v>
      </x:c>
      <x:c r="P224" s="28" t="str">
        <x:v>降低混合自回归扩散的图像采样成本。</x:v>
      </x:c>
      <x:c r="Q224" s="25" t="str"/>
      <x:c r="R224" s="24" t="str">
        <x:f>IF(Q224&lt;&gt;"",Q224,O224)</x:f>
        <x:v>2</x:v>
      </x:c>
      <x:c r="S224" s="29" t="str"/>
    </x:row>
    <x:row r="225" ht="54" customHeight="1">
      <x:c r="A225" s="17" t="str">
        <x:v>csq012-r04</x:v>
      </x:c>
      <x:c r="B225" s="17" t="str">
        <x:v>csq012</x:v>
      </x:c>
      <x:c r="C225" s="17" t="str">
        <x:v>computer_vision</x:v>
      </x:c>
      <x:c r="D225" s="17" t="str">
        <x:v>image_generation</x:v>
      </x:c>
      <x:c r="E225" s="27" t="str">
        <x:v>How do diffusion-based and autoregressive image generation models compare in training objectives, sampling cost, controllability, and output quality?</x:v>
      </x:c>
      <x:c r="F225" s="22" t="n">
        <x:v>4</x:v>
      </x:c>
      <x:c r="G225" s="17" t="str">
        <x:v>arXiv:2505.23660</x:v>
      </x:c>
      <x:c r="H225" s="27" t="str">
        <x:v>D-AR: Diffusion via Autoregressive Models</x:v>
      </x:c>
      <x:c r="I225" s="17" t="str">
        <x:v>Ziteng Gao; Mike Zheng Shou</x:v>
      </x:c>
      <x:c r="J225" s="22" t="n">
        <x:v>2025</x:v>
      </x:c>
      <x:c r="K225" s="27" t="str">
        <x:v>This paper presents Diffusion via Autoregressive models (D-AR), a new paradigm recasting the image diffusion process as a vanilla autoregressive procedure in the standard next-token-prediction fashion. We start by designing the tokenizer that converts images into sequences of discrete tokens, where tokens in different positions can be decoded into different diffusion denoising steps in the pixel space. Thanks to the diffusion properties, these tokens naturally follow a coarse-to-fine order, which directly lends itself to autoregressive modeling. Therefore, we apply standard next-token prediction on these tokens, without modifying any underlying designs (either causal masks or training/inference strategies), and such sequential autoregressive token generation directly mirrors the diffusion procedure in image space. That is, once the autoregressive model generates an increment of tokens, we can directly decode these tokens into the corresponding diffusion denoising step in the streaming manner. Our pipeline naturally reveals several intriguing properties, for example, it supports consistent previews when generating only a subset of tokens and enables zero-shot layout-controlled synthesis. On the standard ImageNet benchmark, our method achieves 2.09 FID using a 775M Llama backbone with 256 discrete tokens. We hope our work can inspire future research on unified autoregressive architectures of visual synthesis, especially with large language models. Code and models will be available at https://github.com/showlab/D-AR</x:v>
      </x:c>
      <x:c r="L225" s="17" t="str">
        <x:v>http://arxiv.org/abs/2505.23660v1</x:v>
      </x:c>
      <x:c r="M225" s="23" t="n">
        <x:v>0.6454588097813424</x:v>
      </x:c>
      <x:c r="N225" s="17" t="str">
        <x:v>qwen3-rerank-no-instruct-20260727-125006-results.jsonl</x:v>
      </x:c>
      <x:c r="O225" s="24" t="str">
        <x:v>2</x:v>
      </x:c>
      <x:c r="P225" s="28" t="str">
        <x:v>将图像扩散重写为下一词元自回归。</x:v>
      </x:c>
      <x:c r="Q225" s="25" t="str"/>
      <x:c r="R225" s="24" t="str">
        <x:f>IF(Q225&lt;&gt;"",Q225,O225)</x:f>
        <x:v>2</x:v>
      </x:c>
      <x:c r="S225" s="29" t="str"/>
    </x:row>
    <x:row r="226" ht="54" customHeight="1">
      <x:c r="A226" s="17" t="str">
        <x:v>csq012-r05</x:v>
      </x:c>
      <x:c r="B226" s="17" t="str">
        <x:v>csq012</x:v>
      </x:c>
      <x:c r="C226" s="17" t="str">
        <x:v>computer_vision</x:v>
      </x:c>
      <x:c r="D226" s="17" t="str">
        <x:v>image_generation</x:v>
      </x:c>
      <x:c r="E226" s="27" t="str">
        <x:v>How do diffusion-based and autoregressive image generation models compare in training objectives, sampling cost, controllability, and output quality?</x:v>
      </x:c>
      <x:c r="F226" s="22" t="n">
        <x:v>5</x:v>
      </x:c>
      <x:c r="G226" s="17" t="str">
        <x:v>arXiv:2508.10711</x:v>
      </x:c>
      <x:c r="H226" s="27" t="str">
        <x:v>NextStep-1: Toward Autoregressive Image Generation with Continuous Tokens at Scale</x:v>
      </x:c>
      <x:c r="I226" s="17" t="str">
        <x:v> NextStep Team; Chunrui Han; Guopeng Li; Jingwei Wu; Quan Sun; Yan Cai; Yuang Peng; Zheng Ge; Deyu Zhou; Haomiao Tang; Hongyu Zhou; Kenkun Liu; Ailin Huang; Bin Wang; Changxin Miao; Deshan Sun; En Yu; Fukun Yin; Gang Yu; Hao Nie; Haoran Lv; Hanpeng Hu; Jia Wang; Jian Zhou; Jianjian Sun; Kaijun Tan; Kang An; Kangheng Lin; Liang Zhao; Mei Chen; Peng Xing; Rui Wang; Shiyu Liu; Shutao Xia; Tianhao You; Wei Ji; Xianfang Zeng; Xin Han; Xuelin Zhang; Yana Wei; Yanming Xu; Yimin Jiang; Yingming Wang; Yu Zhou; Yucheng Han; Ziyang Meng; Binxing Jiao; Daxin Jiang; Xiangyu Zhang; Yibo Zhu</x:v>
      </x:c>
      <x:c r="J226" s="22" t="n">
        <x:v>2025</x:v>
      </x:c>
      <x:c r="K226" s="27" t="str">
        <x:v>Prevailing autoregressive (AR) models for text-to-image generation either rely on heavy, computationally-intensive diffusion models to process continuous image tokens, or employ vector quantization (VQ) to obtain discrete tokens with quantization loss. In this paper, we push the autoregressive paradigm forward with NextStep-1, a 14B autoregressive model paired with a 157M flow matching head, training on discrete text tokens and continuous image tokens with next-token prediction objectives. NextStep-1 achieves state-of-the-art performance for autoregressive models in text-to-image generation tasks, exhibiting strong capabilities in high-fidelity image synthesis. Furthermore, our method shows strong performance in image editing, highlighting the power and versatility of our unified approach. To facilitate open research, we will release our code and models to the community.</x:v>
      </x:c>
      <x:c r="L226" s="17" t="str">
        <x:v>http://arxiv.org/abs/2508.10711v2</x:v>
      </x:c>
      <x:c r="M226" s="23" t="n">
        <x:v>0.6181280924112423</x:v>
      </x:c>
      <x:c r="N226" s="17" t="str">
        <x:v>qwen3-rerank-no-instruct-20260727-125006-results.jsonl</x:v>
      </x:c>
      <x:c r="O226" s="24" t="str">
        <x:v>2</x:v>
      </x:c>
      <x:c r="P226" s="28" t="str">
        <x:v>连续图像词元AR兼顾训练目标和采样效率。</x:v>
      </x:c>
      <x:c r="Q226" s="25" t="str"/>
      <x:c r="R226" s="24" t="str">
        <x:f>IF(Q226&lt;&gt;"",Q226,O226)</x:f>
        <x:v>2</x:v>
      </x:c>
      <x:c r="S226" s="29" t="str"/>
    </x:row>
    <x:row r="227" ht="54" customHeight="1">
      <x:c r="A227" s="17" t="str">
        <x:v>csq012-r06</x:v>
      </x:c>
      <x:c r="B227" s="17" t="str">
        <x:v>csq012</x:v>
      </x:c>
      <x:c r="C227" s="17" t="str">
        <x:v>computer_vision</x:v>
      </x:c>
      <x:c r="D227" s="17" t="str">
        <x:v>image_generation</x:v>
      </x:c>
      <x:c r="E227" s="27" t="str">
        <x:v>How do diffusion-based and autoregressive image generation models compare in training objectives, sampling cost, controllability, and output quality?</x:v>
      </x:c>
      <x:c r="F227" s="22" t="n">
        <x:v>6</x:v>
      </x:c>
      <x:c r="G227" s="17" t="str">
        <x:v>arXiv:2305.14771</x:v>
      </x:c>
      <x:c r="H227" s="27" t="str">
        <x:v>David helps Goliath: Inference-Time Collaboration Between Small Specialized and Large General Diffusion LMs</x:v>
      </x:c>
      <x:c r="I227" s="17" t="str">
        <x:v>Xiaochuang Han; Sachin Kumar; Yulia Tsvetkov; Marjan Ghazvininejad</x:v>
      </x:c>
      <x:c r="J227" s="22" t="n">
        <x:v>2023</x:v>
      </x:c>
      <x:c r="K227" s="27" t="str">
        <x:v>Diffusion-based language models are emerging as a promising alternative to autoregressive LMs: they approach the competence of autoregressive LMs while offering nuanced controllability at inference time. While autoregressive LMs have benefited immensely from scaling and instruction-based learning, existing studies of diffusion LMs have been conducted on a smaller scale. Starting with a recently proposed diffusion model SSD-LM, in this work we first explore methods to scale it from 0.4B to 13B parameters, proposing techniques to improve its training and inference efficiency, and to finetune the model to follow instructions. Armed with a more powerful, general purpose diffusion LM, we introduce the primary contribution of this work -- SSD-2 -- an approach to easily ensemble at inference time a large general-purpose diffusion LM with smaller, but specialized and contextualized diffusion LMs. We show that SSD-2 facilitates novel ensembles with 100x smaller models that can be customized and deployed by individual users. We find that compared to autoregressive models, the collaboration between diffusion LMs is more effective, leading to higher-quality model responses due to their ability to dynamically incorporate bi-directional contexts.</x:v>
      </x:c>
      <x:c r="L227" s="17" t="str">
        <x:v>http://arxiv.org/abs/2305.14771v2</x:v>
      </x:c>
      <x:c r="M227" s="23" t="n">
        <x:v>0.6087798306160913</x:v>
      </x:c>
      <x:c r="N227" s="17" t="str">
        <x:v>qwen3-rerank-no-instruct-20260727-125006-results.jsonl</x:v>
      </x:c>
      <x:c r="O227" s="24" t="str">
        <x:v>0</x:v>
      </x:c>
      <x:c r="P227" s="28" t="str">
        <x:v>研究扩散语言模型而非图像生成。</x:v>
      </x:c>
      <x:c r="Q227" s="25" t="str"/>
      <x:c r="R227" s="24" t="str">
        <x:f>IF(Q227&lt;&gt;"",Q227,O227)</x:f>
        <x:v>0</x:v>
      </x:c>
      <x:c r="S227" s="29" t="str"/>
    </x:row>
    <x:row r="228" ht="54" customHeight="1">
      <x:c r="A228" s="17" t="str">
        <x:v>csq012-r07</x:v>
      </x:c>
      <x:c r="B228" s="17" t="str">
        <x:v>csq012</x:v>
      </x:c>
      <x:c r="C228" s="17" t="str">
        <x:v>computer_vision</x:v>
      </x:c>
      <x:c r="D228" s="17" t="str">
        <x:v>image_generation</x:v>
      </x:c>
      <x:c r="E228" s="27" t="str">
        <x:v>How do diffusion-based and autoregressive image generation models compare in training objectives, sampling cost, controllability, and output quality?</x:v>
      </x:c>
      <x:c r="F228" s="22" t="n">
        <x:v>7</x:v>
      </x:c>
      <x:c r="G228" s="17" t="str">
        <x:v>arXiv:2310.16834</x:v>
      </x:c>
      <x:c r="H228" s="27" t="str">
        <x:v>Discrete Diffusion Modeling by Estimating the Ratios of the Data Distribution</x:v>
      </x:c>
      <x:c r="I228" s="17" t="str">
        <x:v>Aaron Lou; Chenlin Meng; Stefano Ermon</x:v>
      </x:c>
      <x:c r="J228" s="22" t="n">
        <x:v>2023</x:v>
      </x:c>
      <x:c r="K228" s="27" t="str">
        <x:v>Despite their groundbreaking performance for many generative modeling tasks, diffusion models have fallen short on discrete data domains such as natural language. Crucially, standard diffusion models rely on the well-established theory of score matching, but efforts to generalize this to discrete structures have not yielded the same empirical gains. In this work, we bridge this gap by proposing score entropy, a novel loss that naturally extends score matching to discrete spaces, integrates seamlessly to build discrete diffusion models, and significantly boosts performance. Experimentally, we test our Score Entropy Discrete Diffusion models (SEDD) on standard language modeling tasks. For comparable model sizes, SEDD beats existing language diffusion paradigms (reducing perplexity by $25$-$75$\%) and is competitive with autoregressive models, in particular outperforming GPT-2. Furthermore, compared to autoregressive mdoels, SEDD generates faithful text without requiring distribution annealing techniques like temperature scaling (around $6$-$8\times$ better generative perplexity than un-annealed GPT-2), can trade compute and quality (similar quality with $32\times$ fewer network evaluations), and enables controllable infilling (matching nucleus sampling quality while enabling other strategies besides left to right prompting).</x:v>
      </x:c>
      <x:c r="L228" s="17" t="str">
        <x:v>http://arxiv.org/abs/2310.16834v3</x:v>
      </x:c>
      <x:c r="M228" s="23" t="n">
        <x:v>0.6015537389838366</x:v>
      </x:c>
      <x:c r="N228" s="17" t="str">
        <x:v>qwen3-rerank-no-instruct-20260727-125006-results.jsonl</x:v>
      </x:c>
      <x:c r="O228" s="24" t="str">
        <x:v>1</x:v>
      </x:c>
      <x:c r="P228" s="28" t="str">
        <x:v>离散扩散目标可作背景，但重点并非图像生成。</x:v>
      </x:c>
      <x:c r="Q228" s="25" t="str"/>
      <x:c r="R228" s="24" t="str">
        <x:f>IF(Q228&lt;&gt;"",Q228,O228)</x:f>
        <x:v>1</x:v>
      </x:c>
      <x:c r="S228" s="29" t="str"/>
    </x:row>
    <x:row r="229" ht="54" customHeight="1">
      <x:c r="A229" s="17" t="str">
        <x:v>csq012-r08</x:v>
      </x:c>
      <x:c r="B229" s="17" t="str">
        <x:v>csq012</x:v>
      </x:c>
      <x:c r="C229" s="17" t="str">
        <x:v>computer_vision</x:v>
      </x:c>
      <x:c r="D229" s="17" t="str">
        <x:v>image_generation</x:v>
      </x:c>
      <x:c r="E229" s="27" t="str">
        <x:v>How do diffusion-based and autoregressive image generation models compare in training objectives, sampling cost, controllability, and output quality?</x:v>
      </x:c>
      <x:c r="F229" s="22" t="n">
        <x:v>8</x:v>
      </x:c>
      <x:c r="G229" s="17" t="str">
        <x:v>arXiv:2412.10193</x:v>
      </x:c>
      <x:c r="H229" s="27" t="str">
        <x:v>Simple Guidance Mechanisms for Discrete Diffusion Models</x:v>
      </x:c>
      <x:c r="I229" s="17" t="str">
        <x:v>Yair Schiff; Subham Sekhar Sahoo; Hao Phung; Guanghan Wang; Sam Boshar; Hugo Dalla-torre; Bernardo P. de Almeida; Alexander Rush; Thomas Pierrot; Volodymyr Kuleshov</x:v>
      </x:c>
      <x:c r="J229" s="22" t="n">
        <x:v>2024</x:v>
      </x:c>
      <x:c r="K229" s="27" t="str">
        <x:v>Diffusion models for continuous data gained widespread adoption owing to their high quality generation and control mechanisms. However, controllable diffusion on discrete data faces challenges given that continuous guidance methods do not directly apply to discrete diffusion. Here, we provide a straightforward derivation of classifier-free and classifier-based guidance for discrete diffusion, as well as a new class of diffusion models that leverage uniform noise and that are more guidable because they can continuously edit their outputs. We improve the quality of these models with a novel continuous-time variational lower bound that yields state-of-the-art performance, especially in settings involving guidance or fast generation. Empirically, we demonstrate that our guidance mechanisms combined with uniform noise diffusion improve controllable generation relative to autoregressive and diffusion baselines on several discrete data domains, including genomic sequences, small molecule design, and discretized image generation.</x:v>
      </x:c>
      <x:c r="L229" s="17" t="str">
        <x:v>http://arxiv.org/abs/2412.10193v3</x:v>
      </x:c>
      <x:c r="M229" s="23" t="n">
        <x:v>0.5966762275908677</x:v>
      </x:c>
      <x:c r="N229" s="17" t="str">
        <x:v>qwen3-rerank-no-instruct-20260727-125006-results.jsonl</x:v>
      </x:c>
      <x:c r="O229" s="24" t="str">
        <x:v>2</x:v>
      </x:c>
      <x:c r="P229" s="28" t="str">
        <x:v>离散扩散覆盖图像控制、质量与快速采样。</x:v>
      </x:c>
      <x:c r="Q229" s="25" t="str"/>
      <x:c r="R229" s="24" t="str">
        <x:f>IF(Q229&lt;&gt;"",Q229,O229)</x:f>
        <x:v>2</x:v>
      </x:c>
      <x:c r="S229" s="29" t="str"/>
    </x:row>
    <x:row r="230" ht="54" customHeight="1">
      <x:c r="A230" s="17" t="str">
        <x:v>csq012-r09</x:v>
      </x:c>
      <x:c r="B230" s="17" t="str">
        <x:v>csq012</x:v>
      </x:c>
      <x:c r="C230" s="17" t="str">
        <x:v>computer_vision</x:v>
      </x:c>
      <x:c r="D230" s="17" t="str">
        <x:v>image_generation</x:v>
      </x:c>
      <x:c r="E230" s="27" t="str">
        <x:v>How do diffusion-based and autoregressive image generation models compare in training objectives, sampling cost, controllability, and output quality?</x:v>
      </x:c>
      <x:c r="F230" s="22" t="n">
        <x:v>9</x:v>
      </x:c>
      <x:c r="G230" s="17" t="str">
        <x:v>arXiv:2503.09573</x:v>
      </x:c>
      <x:c r="H230" s="27" t="str">
        <x:v>Block Diffusion: Interpolating Between Autoregressive and Diffusion Language Models</x:v>
      </x:c>
      <x:c r="I230" s="17" t="str">
        <x:v>Marianne Arriola; Aaron Gokaslan; Justin T. Chiu; Zhihan Yang; Zhixuan Qi; Jiaqi Han; Subham Sekhar Sahoo; Volodymyr Kuleshov</x:v>
      </x:c>
      <x:c r="J230" s="22" t="n">
        <x:v>2025</x:v>
      </x:c>
      <x:c r="K230" s="27" t="str">
        <x:v>Diffusion language models offer unique benefits over autoregressive models due to their potential for parallelized generation and controllability, yet they lag in likelihood modeling and are limited to fixed-length generation. In this work, we introduce a class of block diffusion language models that interpolate between discrete denoising diffusion and autoregressive models. Block diffusion overcomes key limitations of both approaches by supporting flexible-length generation and improving inference efficiency with KV caching and parallel token sampling. We propose a recipe for building effective block diffusion models that includes an efficient training algorithm, estimators of gradient variance, and data-driven noise schedules to minimize the variance. Block diffusion sets a new state-of-the-art performance among diffusion models on language modeling benchmarks and enables generation of arbitrary-length sequences. We provide the code, along with the model weights and blog post on the project page: https://m-arriola.com/bd3lms</x:v>
      </x:c>
      <x:c r="L230" s="17" t="str">
        <x:v>http://arxiv.org/abs/2503.09573v3</x:v>
      </x:c>
      <x:c r="M230" s="23" t="n">
        <x:v>0.5958206960560459</x:v>
      </x:c>
      <x:c r="N230" s="17" t="str">
        <x:v>qwen3-rerank-no-instruct-20260727-125006-results.jsonl</x:v>
      </x:c>
      <x:c r="O230" s="24" t="str">
        <x:v>0</x:v>
      </x:c>
      <x:c r="P230" s="28" t="str">
        <x:v>研究语言模型而非图像生成。</x:v>
      </x:c>
      <x:c r="Q230" s="25" t="str"/>
      <x:c r="R230" s="24" t="str">
        <x:f>IF(Q230&lt;&gt;"",Q230,O230)</x:f>
        <x:v>0</x:v>
      </x:c>
      <x:c r="S230" s="29" t="str"/>
    </x:row>
    <x:row r="231" ht="54" customHeight="1">
      <x:c r="A231" s="17" t="str">
        <x:v>csq012-r10</x:v>
      </x:c>
      <x:c r="B231" s="17" t="str">
        <x:v>csq012</x:v>
      </x:c>
      <x:c r="C231" s="17" t="str">
        <x:v>computer_vision</x:v>
      </x:c>
      <x:c r="D231" s="17" t="str">
        <x:v>image_generation</x:v>
      </x:c>
      <x:c r="E231" s="27" t="str">
        <x:v>How do diffusion-based and autoregressive image generation models compare in training objectives, sampling cost, controllability, and output quality?</x:v>
      </x:c>
      <x:c r="F231" s="22" t="n">
        <x:v>10</x:v>
      </x:c>
      <x:c r="G231" s="17" t="str">
        <x:v>arXiv:2411.00776</x:v>
      </x:c>
      <x:c r="H231" s="27" t="str">
        <x:v>Randomized Autoregressive Visual Generation</x:v>
      </x:c>
      <x:c r="I231" s="17" t="str">
        <x:v>Qihang Yu; Ju He; Xueqing Deng; Xiaohui Shen; Liang-Chieh Chen</x:v>
      </x:c>
      <x:c r="J231" s="22" t="n">
        <x:v>2024</x:v>
      </x:c>
      <x:c r="K231" s="27" t="str">
        <x:v>This paper presents Randomized AutoRegressive modeling (RAR) for visual generation, which sets a new state-of-the-art performance on the image generation task while maintaining full compatibility with language modeling frameworks. The proposed RAR is simple: during a standard autoregressive training process with a next-token prediction objective, the input sequence-typically ordered in raster form-is randomly permuted into different factorization orders with a probability r, where r starts at 1 and linearly decays to 0 over the course of training. This annealing training strategy enables the model to learn to maximize the expected likelihood over all factorization orders and thus effectively improve the model's capability of modeling bidirectional contexts. Importantly, RAR preserves the integrity of the autoregressive modeling framework, ensuring full compatibility with language modeling while significantly improving performance in image generation. On the ImageNet-256 benchmark, RAR achieves an FID score of 1.48, not only surpassing prior state-of-the-art autoregressive image generators but also outperforming leading diffusion-based and masked transformer-based methods. Code and models will be made available at https://github.com/bytedance/1d-tokenizer</x:v>
      </x:c>
      <x:c r="L231" s="17" t="str">
        <x:v>http://arxiv.org/abs/2411.00776v1</x:v>
      </x:c>
      <x:c r="M231" s="23" t="n">
        <x:v>0.5875183214781518</x:v>
      </x:c>
      <x:c r="N231" s="17" t="str">
        <x:v>qwen3-rerank-no-instruct-20260727-125006-results.jsonl</x:v>
      </x:c>
      <x:c r="O231" s="24" t="str">
        <x:v>2</x:v>
      </x:c>
      <x:c r="P231" s="28" t="str">
        <x:v>提出AR训练目标并与扩散图像质量比较。</x:v>
      </x:c>
      <x:c r="Q231" s="25" t="str"/>
      <x:c r="R231" s="24" t="str">
        <x:f>IF(Q231&lt;&gt;"",Q231,O231)</x:f>
        <x:v>2</x:v>
      </x:c>
      <x:c r="S231" s="29" t="str"/>
    </x:row>
    <x:row r="232" ht="54" customHeight="1">
      <x:c r="A232" s="17" t="str">
        <x:v>csq012-r11</x:v>
      </x:c>
      <x:c r="B232" s="17" t="str">
        <x:v>csq012</x:v>
      </x:c>
      <x:c r="C232" s="17" t="str">
        <x:v>computer_vision</x:v>
      </x:c>
      <x:c r="D232" s="17" t="str">
        <x:v>image_generation</x:v>
      </x:c>
      <x:c r="E232" s="27" t="str">
        <x:v>How do diffusion-based and autoregressive image generation models compare in training objectives, sampling cost, controllability, and output quality?</x:v>
      </x:c>
      <x:c r="F232" s="22" t="n">
        <x:v>11</x:v>
      </x:c>
      <x:c r="G232" s="17" t="str">
        <x:v>arXiv:2504.06144</x:v>
      </x:c>
      <x:c r="H232" s="27" t="str">
        <x:v>A Training-Free Style-aligned Image Generation with Scale-wise Autoregressive Model</x:v>
      </x:c>
      <x:c r="I232" s="17" t="str">
        <x:v>Jihun Park; Jongmin Gim; Kyoungmin Lee; Minseok Oh; Minwoo Choi; Jaeyeul Kim; Woo Chool Park; Sunghoon Im</x:v>
      </x:c>
      <x:c r="J232" s="22" t="n">
        <x:v>2025</x:v>
      </x:c>
      <x:c r="K232" s="27" t="str">
        <x:v>We present a training-free style-aligned image generation method that leverages a scale-wise autoregressive model. While large-scale text-to-image (T2I) models, particularly diffusion-based methods, have demonstrated impressive generation quality, they often suffer from style misalignment across generated image sets and slow inference speeds, limiting their practical usability. To address these issues, we propose three key components: initial feature replacement to ensure consistent background appearance, pivotal feature interpolation to align object placement, and dynamic style injection, which reinforces style consistency using a schedule function. Unlike previous methods requiring fine-tuning or additional training, our approach maintains fast inference while preserving individual content details. Extensive experiments show that our method achieves generation quality comparable to competing approaches, significantly improves style alignment, and delivers inference speeds over six times faster than the fastest model.</x:v>
      </x:c>
      <x:c r="L232" s="17" t="str">
        <x:v>http://arxiv.org/abs/2504.06144v2</x:v>
      </x:c>
      <x:c r="M232" s="23" t="n">
        <x:v>0.5852724431919507</x:v>
      </x:c>
      <x:c r="N232" s="17" t="str">
        <x:v>qwen3-rerank-no-instruct-20260727-125006-results.jsonl</x:v>
      </x:c>
      <x:c r="O232" s="24" t="str">
        <x:v>2</x:v>
      </x:c>
      <x:c r="P232" s="28" t="str">
        <x:v>比较扩散图像生成的慢采样并提出AR方案。</x:v>
      </x:c>
      <x:c r="Q232" s="25" t="str"/>
      <x:c r="R232" s="24" t="str">
        <x:f>IF(Q232&lt;&gt;"",Q232,O232)</x:f>
        <x:v>2</x:v>
      </x:c>
      <x:c r="S232" s="29" t="str"/>
    </x:row>
    <x:row r="233" ht="54" customHeight="1">
      <x:c r="A233" s="17" t="str">
        <x:v>csq012-r12</x:v>
      </x:c>
      <x:c r="B233" s="17" t="str">
        <x:v>csq012</x:v>
      </x:c>
      <x:c r="C233" s="17" t="str">
        <x:v>computer_vision</x:v>
      </x:c>
      <x:c r="D233" s="17" t="str">
        <x:v>image_generation</x:v>
      </x:c>
      <x:c r="E233" s="27" t="str">
        <x:v>How do diffusion-based and autoregressive image generation models compare in training objectives, sampling cost, controllability, and output quality?</x:v>
      </x:c>
      <x:c r="F233" s="22" t="n">
        <x:v>12</x:v>
      </x:c>
      <x:c r="G233" s="17" t="str">
        <x:v>arXiv:2510.16751</x:v>
      </x:c>
      <x:c r="H233" s="27" t="str">
        <x:v>Visual Autoregressive Models Beat Diffusion Models on Inference Time Scaling</x:v>
      </x:c>
      <x:c r="I233" s="17" t="str">
        <x:v>Erik Riise; Mehmet Onurcan Kaya; Dim P. Papadopoulos</x:v>
      </x:c>
      <x:c r="J233" s="22" t="n">
        <x:v>2025</x:v>
      </x:c>
      <x:c r="K233" s="27" t="str">
        <x:v>While inference-time scaling through search has revolutionized Large Language Models, translating these gains to image generation has proven difficult. Recent attempts to apply search strategies to continuous diffusion models show limited benefits, with simple random sampling often performing best. We demonstrate that the discrete, sequential nature of visual autoregressive models enables effective search for image generation. We show that beam search substantially improves text-to-image generation, enabling a 2B parameter autoregressive model to outperform a 12B parameter diffusion model across benchmarks. Systematic ablations show that this advantage comes from the discrete token space, which allows early pruning and computational reuse, and our verifier analysis highlights trade-offs between speed and reasoning capability. These findings suggest that model architecture, not just scale, is critical for inference-time optimization in visual generation.</x:v>
      </x:c>
      <x:c r="L233" s="17" t="str">
        <x:v>http://arxiv.org/abs/2510.16751v2</x:v>
      </x:c>
      <x:c r="M233" s="23" t="n">
        <x:v>0.5713888913772849</x:v>
      </x:c>
      <x:c r="N233" s="17" t="str">
        <x:v>qwen3-rerank-no-instruct-20260727-125006-results.jsonl</x:v>
      </x:c>
      <x:c r="O233" s="24" t="str">
        <x:v>2</x:v>
      </x:c>
      <x:c r="P233" s="28" t="str">
        <x:v>直接比较视觉AR与扩散推理扩展和质量。</x:v>
      </x:c>
      <x:c r="Q233" s="25" t="str"/>
      <x:c r="R233" s="24" t="str">
        <x:f>IF(Q233&lt;&gt;"",Q233,O233)</x:f>
        <x:v>2</x:v>
      </x:c>
      <x:c r="S233" s="29" t="str"/>
    </x:row>
    <x:row r="234" ht="54" customHeight="1">
      <x:c r="A234" s="17" t="str">
        <x:v>csq012-r13</x:v>
      </x:c>
      <x:c r="B234" s="17" t="str">
        <x:v>csq012</x:v>
      </x:c>
      <x:c r="C234" s="17" t="str">
        <x:v>computer_vision</x:v>
      </x:c>
      <x:c r="D234" s="17" t="str">
        <x:v>image_generation</x:v>
      </x:c>
      <x:c r="E234" s="27" t="str">
        <x:v>How do diffusion-based and autoregressive image generation models compare in training objectives, sampling cost, controllability, and output quality?</x:v>
      </x:c>
      <x:c r="F234" s="22" t="n">
        <x:v>13</x:v>
      </x:c>
      <x:c r="G234" s="17" t="str">
        <x:v>arXiv:2406.06525</x:v>
      </x:c>
      <x:c r="H234" s="27" t="str">
        <x:v>Autoregressive Model Beats Diffusion: Llama for Scalable Image Generation</x:v>
      </x:c>
      <x:c r="I234" s="17" t="str">
        <x:v>Peize Sun; Yi Jiang; Shoufa Chen; Shilong Zhang; Bingyue Peng; Ping Luo; Zehuan Yuan</x:v>
      </x:c>
      <x:c r="J234" s="22" t="n">
        <x:v>2024</x:v>
      </x:c>
      <x:c r="K234" s="27" t="str">
        <x:v>We introduce LlamaGen, a new family of image generation models that apply original ``next-token prediction'' paradigm of large language models to visual generation domain. It is an affirmative answer to whether vanilla autoregressive models, e.g., Llama, without inductive biases on visual signals can achieve state-of-the-art image generation performance if scaling properly. We reexamine design spaces of image tokenizers, scalability properties of image generation models, and their training data quality. The outcome of this exploration consists of: (1) An image tokenizer with downsample ratio of 16, reconstruction quality of 0.94 rFID and codebook usage of 97% on ImageNet benchmark. (2) A series of class-conditional image generation models ranging from 111M to 3.1B parameters, achieving 2.18 FID on ImageNet 256x256 benchmarks, outperforming the popular diffusion models such as LDM, DiT. (3) A text-conditional image generation model with 775M parameters, from two-stage training on LAION-COCO and high aesthetics quality images, demonstrating competitive performance of visual quality and text alignment. (4) We verify the effectiveness of LLM serving frameworks in optimizing the inference speed of image generation models and achieve 326% - 414% speedup. We release all models and codes to facilitate open-source community of visual generation and multimodal foundation models.</x:v>
      </x:c>
      <x:c r="L234" s="17" t="str">
        <x:v>http://arxiv.org/abs/2406.06525v1</x:v>
      </x:c>
      <x:c r="M234" s="23" t="n">
        <x:v>0.5573963702950966</x:v>
      </x:c>
      <x:c r="N234" s="17" t="str">
        <x:v>qwen3-rerank-no-instruct-20260727-125006-results.jsonl</x:v>
      </x:c>
      <x:c r="O234" s="24" t="str">
        <x:v>2</x:v>
      </x:c>
      <x:c r="P234" s="28" t="str">
        <x:v>标准下一词元图像生成与扩散质量对比。</x:v>
      </x:c>
      <x:c r="Q234" s="25" t="str"/>
      <x:c r="R234" s="24" t="str">
        <x:f>IF(Q234&lt;&gt;"",Q234,O234)</x:f>
        <x:v>2</x:v>
      </x:c>
      <x:c r="S234" s="29" t="str"/>
    </x:row>
    <x:row r="235" ht="54" customHeight="1">
      <x:c r="A235" s="17" t="str">
        <x:v>csq012-r14</x:v>
      </x:c>
      <x:c r="B235" s="17" t="str">
        <x:v>csq012</x:v>
      </x:c>
      <x:c r="C235" s="17" t="str">
        <x:v>computer_vision</x:v>
      </x:c>
      <x:c r="D235" s="17" t="str">
        <x:v>image_generation</x:v>
      </x:c>
      <x:c r="E235" s="27" t="str">
        <x:v>How do diffusion-based and autoregressive image generation models compare in training objectives, sampling cost, controllability, and output quality?</x:v>
      </x:c>
      <x:c r="F235" s="22" t="n">
        <x:v>14</x:v>
      </x:c>
      <x:c r="G235" s="17" t="str">
        <x:v>arXiv:2512.15713</x:v>
      </x:c>
      <x:c r="H235" s="27" t="str">
        <x:v>DiffusionVL: Translating Any Autoregressive Models into Diffusion Vision Language Models</x:v>
      </x:c>
      <x:c r="I235" s="17" t="str">
        <x:v>Lunbin Zeng; Jingfeng Yao; Bencheng Liao; Hongyuan Tao; Wenyu Liu; Xinggang Wang</x:v>
      </x:c>
      <x:c r="J235" s="22" t="n">
        <x:v>2025</x:v>
      </x:c>
      <x:c r="K235" s="27" t="str">
        <x:v>Diffusion-based decoding has recently emerged as an appealing alternative to autoregressive (AR) generation, offering the potential to update multiple tokens in parallel and reduce latency. However, diffusion vision language models (dVLMs) still lag significantly behind mainstream autoregressive vision language models. This is due to the scarcity and weaker performance of base diffusion language models (dLLMs) compared with their autoregressive counterparts. This raises a natural question: Can we build high-performing dVLMs directly from existing powerful AR models, without relying on dLLMs? We propose DiffusionVL, a family of dVLMs obtained by translating pretrained AR models into the diffusion paradigm via an efficient diffusion finetuning procedure that changes the training objective and decoding process while keeping the backbone architecture intact. Through an efficient diffusion finetuning strategy, we successfully adapt AR pretrained models into the diffusion paradigm. This approach yields two key observations: (1) The paradigm shift from AR-based multimodal models to diffusion is remarkably effective. (2) Direct conversion of an AR language model to a dVLM is also feasible, achieving performance comparable to that of the same AR model finetuned with standard autoregressive visual instruction tuning. To enable practical open-ended generation, we further integrate block decoding, which supports arbitrary-length outputs and KV-cache reuse for faster inference. Our experiments demonstrate that despite training with less than 5% of the data required by prior methods, DiffusionVL achieves a comprehensive performance improvement, with a 34.4% gain on the MMMU-Pro (vision) benchmark and 37.5% gain on the MME (Cog.) benchmark, alongside a 2x inference speedup. The model and code are released at https://github.com/hustvl/DiffusionVL.</x:v>
      </x:c>
      <x:c r="L235" s="17" t="str">
        <x:v>http://arxiv.org/abs/2512.15713v3</x:v>
      </x:c>
      <x:c r="M235" s="23" t="n">
        <x:v>0.5518443403285223</x:v>
      </x:c>
      <x:c r="N235" s="17" t="str">
        <x:v>qwen3-rerank-no-instruct-20260727-125006-results.jsonl</x:v>
      </x:c>
      <x:c r="O235" s="24" t="str">
        <x:v>0</x:v>
      </x:c>
      <x:c r="P235" s="28" t="str">
        <x:v>研究视觉语言模型解码，不是图像生成。</x:v>
      </x:c>
      <x:c r="Q235" s="25" t="str"/>
      <x:c r="R235" s="24" t="str">
        <x:f>IF(Q235&lt;&gt;"",Q235,O235)</x:f>
        <x:v>0</x:v>
      </x:c>
      <x:c r="S235" s="29" t="str"/>
    </x:row>
    <x:row r="236" ht="54" customHeight="1">
      <x:c r="A236" s="17" t="str">
        <x:v>csq012-r15</x:v>
      </x:c>
      <x:c r="B236" s="17" t="str">
        <x:v>csq012</x:v>
      </x:c>
      <x:c r="C236" s="17" t="str">
        <x:v>computer_vision</x:v>
      </x:c>
      <x:c r="D236" s="17" t="str">
        <x:v>image_generation</x:v>
      </x:c>
      <x:c r="E236" s="27" t="str">
        <x:v>How do diffusion-based and autoregressive image generation models compare in training objectives, sampling cost, controllability, and output quality?</x:v>
      </x:c>
      <x:c r="F236" s="22" t="n">
        <x:v>15</x:v>
      </x:c>
      <x:c r="G236" s="17" t="str">
        <x:v>arXiv:2511.14063</x:v>
      </x:c>
      <x:c r="H236" s="27" t="str">
        <x:v>Semantic Context Matters: Improving Conditioning for Autoregressive Models</x:v>
      </x:c>
      <x:c r="I236" s="17" t="str">
        <x:v>Dongyang Jin; Ryan Xu; Jianhao Zeng; Rui Lan; Yancheng Bai; Lei Sun; Xiangxiang Chu</x:v>
      </x:c>
      <x:c r="J236" s="22" t="n">
        <x:v>2025</x:v>
      </x:c>
      <x:c r="K236" s="27" t="str">
        <x:v>Recently, autoregressive (AR) models have shown strong potential in image generation, offering better scalability and easier integration with unified multi-modal systems compared to diffusion-based methods. However, extending AR models to general image editing remains challenging due to weak and inefficient conditioning, often leading to poor instruction adherence and visual artifacts. To address this, we propose SCAR, a Semantic-Context-driven method for Autoregressive models. SCAR introduces two key components: Compressed Semantic Prefilling, which encodes high-level semantics into a compact and efficient prefix, and Semantic Alignment Guidance, which aligns the last visual hidden states with target semantics during autoregressive decoding to enhance instruction fidelity. Unlike decoding-stage injection methods, SCAR builds upon the flexibility and generality of vector-quantized-based prefilling while overcoming its semantic limitations and high cost. It generalizes across both next-token and next-set AR paradigms with minimal architectural changes. SCAR achieves superior visual fidelity and semantic alignment on both instruction editing and controllable generation benchmarks, outperforming prior AR-based methods while maintaining controllability. Code will be released at https://github.com/AMAP-ML/SCAR.</x:v>
      </x:c>
      <x:c r="L236" s="17" t="str">
        <x:v>http://arxiv.org/abs/2511.14063v2</x:v>
      </x:c>
      <x:c r="M236" s="23" t="n">
        <x:v>0.5377585313877953</x:v>
      </x:c>
      <x:c r="N236" s="17" t="str">
        <x:v>qwen3-rerank-no-instruct-20260727-125006-results.jsonl</x:v>
      </x:c>
      <x:c r="O236" s="24" t="str">
        <x:v>2</x:v>
      </x:c>
      <x:c r="P236" s="28" t="str">
        <x:v>讨论AR图像编辑的条件控制与扩散差异。</x:v>
      </x:c>
      <x:c r="Q236" s="25" t="str"/>
      <x:c r="R236" s="24" t="str">
        <x:f>IF(Q236&lt;&gt;"",Q236,O236)</x:f>
        <x:v>2</x:v>
      </x:c>
      <x:c r="S236" s="29" t="str"/>
    </x:row>
    <x:row r="237" ht="54" customHeight="1">
      <x:c r="A237" s="17" t="str">
        <x:v>csq012-r16</x:v>
      </x:c>
      <x:c r="B237" s="17" t="str">
        <x:v>csq012</x:v>
      </x:c>
      <x:c r="C237" s="17" t="str">
        <x:v>computer_vision</x:v>
      </x:c>
      <x:c r="D237" s="17" t="str">
        <x:v>image_generation</x:v>
      </x:c>
      <x:c r="E237" s="27" t="str">
        <x:v>How do diffusion-based and autoregressive image generation models compare in training objectives, sampling cost, controllability, and output quality?</x:v>
      </x:c>
      <x:c r="F237" s="22" t="n">
        <x:v>16</x:v>
      </x:c>
      <x:c r="G237" s="17" t="str">
        <x:v>arXiv:2506.09482</x:v>
      </x:c>
      <x:c r="H237" s="27" t="str">
        <x:v>Marrying Autoregressive Transformer and Diffusion with Multi-Reference Autoregression</x:v>
      </x:c>
      <x:c r="I237" s="17" t="str">
        <x:v>Dingcheng Zhen; Qian Qiao; Xu Zheng; Tan Yu; Kangxi Wu; Ziwei Zhang; Siyuan Liu; Shunshun Yin; Ming Tao</x:v>
      </x:c>
      <x:c r="J237" s="22" t="n">
        <x:v>2025</x:v>
      </x:c>
      <x:c r="K237" s="27" t="str">
        <x:v>We introduce TransDiff, the first image generation model that marries Autoregressive (AR) Transformer with diffusion models. In this joint modeling framework, TransDiff encodes labels and images into high-level semantic features and employs a diffusion model to estimate the distribution of image samples. On the ImageNet 256x256 benchmark, TransDiff significantly outperforms other image generation models based on standalone AR Transformer or diffusion models. Specifically, TransDiff achieves a Frechet Inception Distance (FID) of 1.61 and an Inception Score (IS) of 293.4, and further provides x2 faster inference latency compared to state-of-the-art methods based on AR Transformer and x112 faster inference compared to diffusion-only models. Furthermore, building on the TransDiff model, we introduce a novel image generation paradigm called Multi-Reference Autoregression (MRAR), which performs autoregressive generation by predicting the next image. MRAR enables the model to reference multiple previously generated images, thereby facilitating the learning of more diverse representations and improving the quality of generated images in subsequent iterations. By applying MRAR, the performance of TransDiff is improved, with the FID reduced from 1.61 to 1.42. We expect TransDiff to open up a new frontier in the field of image generation.</x:v>
      </x:c>
      <x:c r="L237" s="17" t="str">
        <x:v>http://arxiv.org/abs/2506.09482v3</x:v>
      </x:c>
      <x:c r="M237" s="23" t="n">
        <x:v>0.5323537845317686</x:v>
      </x:c>
      <x:c r="N237" s="17" t="str">
        <x:v>qwen3-rerank-no-instruct-20260727-125006-results.jsonl</x:v>
      </x:c>
      <x:c r="O237" s="24" t="str">
        <x:v>2</x:v>
      </x:c>
      <x:c r="P237" s="28" t="str">
        <x:v>融合AR Transformer与扩散并比较图像质量。</x:v>
      </x:c>
      <x:c r="Q237" s="25" t="str"/>
      <x:c r="R237" s="24" t="str">
        <x:f>IF(Q237&lt;&gt;"",Q237,O237)</x:f>
        <x:v>2</x:v>
      </x:c>
      <x:c r="S237" s="29" t="str"/>
    </x:row>
    <x:row r="238" ht="54" customHeight="1">
      <x:c r="A238" s="17" t="str">
        <x:v>csq012-r17</x:v>
      </x:c>
      <x:c r="B238" s="17" t="str">
        <x:v>csq012</x:v>
      </x:c>
      <x:c r="C238" s="17" t="str">
        <x:v>computer_vision</x:v>
      </x:c>
      <x:c r="D238" s="17" t="str">
        <x:v>image_generation</x:v>
      </x:c>
      <x:c r="E238" s="27" t="str">
        <x:v>How do diffusion-based and autoregressive image generation models compare in training objectives, sampling cost, controllability, and output quality?</x:v>
      </x:c>
      <x:c r="F238" s="22" t="n">
        <x:v>17</x:v>
      </x:c>
      <x:c r="G238" s="17" t="str">
        <x:v>arXiv:2404.02905</x:v>
      </x:c>
      <x:c r="H238" s="27" t="str">
        <x:v>Visual Autoregressive Modeling: Scalable Image Generation via Next-Scale Prediction</x:v>
      </x:c>
      <x:c r="I238" s="17" t="str">
        <x:v>Keyu Tian; Yi Jiang; Zehuan Yuan; Bingyue Peng; Liwei Wang</x:v>
      </x:c>
      <x:c r="J238" s="22" t="n">
        <x:v>2024</x:v>
      </x:c>
      <x:c r="K238" s="27" t="str">
        <x:v>We present Visual AutoRegressive modeling (VAR), a new generation paradigm that redefines the autoregressive learning on images as coarse-to-fine "next-scale prediction" or "next-resolution prediction", diverging from the standard raster-scan "next-token prediction". This simple, intuitive methodology allows autoregressive (AR) transformers to learn visual distributions fast and generalize well: VAR, for the first time, makes GPT-like AR models surpass diffusion transformers in image generation. On ImageNet 256x256 benchmark, VAR significantly improve AR baseline by improving Frechet inception distance (FID) from 18.65 to 1.73, inception score (IS) from 80.4 to 350.2, with around 20x faster inference speed. It is also empirically verified that VAR outperforms the Diffusion Transformer (DiT) in multiple dimensions including image quality, inference speed, data efficiency, and scalability. Scaling up VAR models exhibits clear power-law scaling laws similar to those observed in LLMs, with linear correlation coefficients near -0.998 as solid evidence. VAR further showcases zero-shot generalization ability in downstream tasks including image in-painting, out-painting, and editing. These results suggest VAR has initially emulated the two important properties of LLMs: Scaling Laws and zero-shot task generalization. We have released all models and codes to promote the exploration of AR/VAR models for visual generation and unified learning.</x:v>
      </x:c>
      <x:c r="L238" s="17" t="str">
        <x:v>http://arxiv.org/abs/2404.02905v2</x:v>
      </x:c>
      <x:c r="M238" s="23" t="n">
        <x:v>0.5153960796036106</x:v>
      </x:c>
      <x:c r="N238" s="17" t="str">
        <x:v>qwen3-rerank-no-instruct-20260727-125006-results.jsonl</x:v>
      </x:c>
      <x:c r="O238" s="24" t="str">
        <x:v>2</x:v>
      </x:c>
      <x:c r="P238" s="28" t="str">
        <x:v>下一尺度AR训练并明确超越扩散图像模型。</x:v>
      </x:c>
      <x:c r="Q238" s="25" t="str"/>
      <x:c r="R238" s="24" t="str">
        <x:f>IF(Q238&lt;&gt;"",Q238,O238)</x:f>
        <x:v>2</x:v>
      </x:c>
      <x:c r="S238" s="29" t="str"/>
    </x:row>
    <x:row r="239" ht="54" customHeight="1">
      <x:c r="A239" s="17" t="str">
        <x:v>csq012-r18</x:v>
      </x:c>
      <x:c r="B239" s="17" t="str">
        <x:v>csq012</x:v>
      </x:c>
      <x:c r="C239" s="17" t="str">
        <x:v>computer_vision</x:v>
      </x:c>
      <x:c r="D239" s="17" t="str">
        <x:v>image_generation</x:v>
      </x:c>
      <x:c r="E239" s="27" t="str">
        <x:v>How do diffusion-based and autoregressive image generation models compare in training objectives, sampling cost, controllability, and output quality?</x:v>
      </x:c>
      <x:c r="F239" s="22" t="n">
        <x:v>18</x:v>
      </x:c>
      <x:c r="G239" s="17" t="str">
        <x:v>arXiv:2503.00307</x:v>
      </x:c>
      <x:c r="H239" s="27" t="str">
        <x:v>Remasking Discrete Diffusion Models with Inference-Time Scaling</x:v>
      </x:c>
      <x:c r="I239" s="17" t="str">
        <x:v>Guanghan Wang; Yair Schiff; Subham Sekhar Sahoo; Volodymyr Kuleshov</x:v>
      </x:c>
      <x:c r="J239" s="22" t="n">
        <x:v>2025</x:v>
      </x:c>
      <x:c r="K239" s="27" t="str">
        <x:v>Part of the success of diffusion models stems from their ability to perform iterative refinement, i.e., repeatedly correcting outputs during generation. However, modern masked discrete diffusion lacks this capability: when a token is generated, it cannot be updated again, even when it introduces an error. Here, we address this limitation by introducing the remasking diffusion model (ReMDM) sampler, a method that can be applied to pretrained masked diffusion models in a principled way and that is derived from a discrete diffusion model with a custom remasking backward process. Most interestingly, ReMDM endows discrete diffusion with a form of inference-time compute scaling. By increasing the number of sampling steps, ReMDM generates natural language outputs that approach the quality of autoregressive models, whereas when the computation budget is limited, ReMDM better maintains quality. ReMDM also improves sample quality of masked diffusion models for discretized images, and in scientific domains such as molecule design, ReMDM facilitates diffusion guidance and pushes the Pareto frontier of controllability relative to classical masking and uniform noise diffusion. We provide the code along with a blog post on the project page: https://guanghanwang.com/remdm</x:v>
      </x:c>
      <x:c r="L239" s="17" t="str">
        <x:v>http://arxiv.org/abs/2503.00307v4</x:v>
      </x:c>
      <x:c r="M239" s="23" t="n">
        <x:v>0.5115105033806299</x:v>
      </x:c>
      <x:c r="N239" s="17" t="str">
        <x:v>qwen3-rerank-no-instruct-20260727-125006-results.jsonl</x:v>
      </x:c>
      <x:c r="O239" s="24" t="str">
        <x:v>2</x:v>
      </x:c>
      <x:c r="P239" s="28" t="str">
        <x:v>离散扩散采样覆盖图像质量和计算扩展。</x:v>
      </x:c>
      <x:c r="Q239" s="25" t="str"/>
      <x:c r="R239" s="24" t="str">
        <x:f>IF(Q239&lt;&gt;"",Q239,O239)</x:f>
        <x:v>2</x:v>
      </x:c>
      <x:c r="S239" s="29" t="str"/>
    </x:row>
    <x:row r="240" ht="54" customHeight="1">
      <x:c r="A240" s="17" t="str">
        <x:v>csq012-r19</x:v>
      </x:c>
      <x:c r="B240" s="17" t="str">
        <x:v>csq012</x:v>
      </x:c>
      <x:c r="C240" s="17" t="str">
        <x:v>computer_vision</x:v>
      </x:c>
      <x:c r="D240" s="17" t="str">
        <x:v>image_generation</x:v>
      </x:c>
      <x:c r="E240" s="27" t="str">
        <x:v>How do diffusion-based and autoregressive image generation models compare in training objectives, sampling cost, controllability, and output quality?</x:v>
      </x:c>
      <x:c r="F240" s="22" t="n">
        <x:v>19</x:v>
      </x:c>
      <x:c r="G240" s="17" t="str">
        <x:v>arXiv:2506.08009</x:v>
      </x:c>
      <x:c r="H240" s="27" t="str">
        <x:v>Self Forcing: Bridging the Train-Test Gap in Autoregressive Video Diffusion</x:v>
      </x:c>
      <x:c r="I240" s="17" t="str">
        <x:v>Xun Huang; Zhengqi Li; Guande He; Mingyuan Zhou; Eli Shechtman</x:v>
      </x:c>
      <x:c r="J240" s="22" t="n">
        <x:v>2025</x:v>
      </x:c>
      <x:c r="K240" s="27" t="str">
        <x:v>We introduce Self Forcing, a novel training paradigm for autoregressive video diffusion models. It addresses the longstanding issue of exposure bias, where models trained on ground-truth context must generate sequences conditioned on their own imperfect outputs during inference. Unlike prior methods that denoise future frames based on ground-truth context frames, Self Forcing conditions each frame's generation on previously self-generated outputs by performing autoregressive rollout with key-value (KV) caching during training. This strategy enables supervision through a holistic loss at the video level that directly evaluates the quality of the entire generated sequence, rather than relying solely on traditional frame-wise objectives. To ensure training efficiency, we employ a few-step diffusion model along with a stochastic gradient truncation strategy, effectively balancing computational cost and performance. We further introduce a rolling KV cache mechanism that enables efficient autoregressive video extrapolation. Extensive experiments demonstrate that our approach achieves real-time streaming video generation with sub-second latency on a single GPU, while matching or even surpassing the generation quality of significantly slower and non-causal diffusion models. Project website: http://self-forcing.github.io/</x:v>
      </x:c>
      <x:c r="L240" s="17" t="str">
        <x:v>http://arxiv.org/abs/2506.08009v2</x:v>
      </x:c>
      <x:c r="M240" s="23" t="n">
        <x:v>0.5089944182490146</x:v>
      </x:c>
      <x:c r="N240" s="17" t="str">
        <x:v>qwen3-rerank-no-instruct-20260727-125006-results.jsonl</x:v>
      </x:c>
      <x:c r="O240" s="24" t="str">
        <x:v>1</x:v>
      </x:c>
      <x:c r="P240" s="28" t="str">
        <x:v>研究自回归视频扩散，模态相邻但非图像。</x:v>
      </x:c>
      <x:c r="Q240" s="25" t="str"/>
      <x:c r="R240" s="24" t="str">
        <x:f>IF(Q240&lt;&gt;"",Q240,O240)</x:f>
        <x:v>1</x:v>
      </x:c>
      <x:c r="S240" s="29" t="str"/>
    </x:row>
    <x:row r="241" ht="54" customHeight="1">
      <x:c r="A241" s="17" t="str">
        <x:v>csq012-r20</x:v>
      </x:c>
      <x:c r="B241" s="17" t="str">
        <x:v>csq012</x:v>
      </x:c>
      <x:c r="C241" s="17" t="str">
        <x:v>computer_vision</x:v>
      </x:c>
      <x:c r="D241" s="17" t="str">
        <x:v>image_generation</x:v>
      </x:c>
      <x:c r="E241" s="27" t="str">
        <x:v>How do diffusion-based and autoregressive image generation models compare in training objectives, sampling cost, controllability, and output quality?</x:v>
      </x:c>
      <x:c r="F241" s="22" t="n">
        <x:v>20</x:v>
      </x:c>
      <x:c r="G241" s="17" t="str">
        <x:v>arXiv:2505.12274</x:v>
      </x:c>
      <x:c r="H241" s="27" t="str">
        <x:v>Context-Aware Autoregressive Models for Multi-Conditional Image Generation</x:v>
      </x:c>
      <x:c r="I241" s="17" t="str">
        <x:v>Yixiao Chen; Zhiyuan Ma; Guoli Jia; Che Jiang; Jianjun Li; Bowen Zhou</x:v>
      </x:c>
      <x:c r="J241" s="22" t="n">
        <x:v>2025</x:v>
      </x:c>
      <x:c r="K241" s="27" t="str">
        <x:v>Autoregressive transformers have recently shown impressive image generation quality and efficiency on par with state-of-the-art diffusion models. Unlike diffusion architectures, autoregressive models can naturally incorporate arbitrary modalities into a single, unified token sequence--offering a concise solution for multi-conditional image generation tasks. In this work, we propose $\textbf{ContextAR}$, a flexible and effective framework for multi-conditional image generation. ContextAR embeds diverse conditions (e.g., canny edges, depth maps, poses) directly into the token sequence, preserving modality-specific semantics. To maintain spatial alignment while enhancing discrimination among different condition types, we introduce hybrid positional encodings that fuse Rotary Position Embedding with Learnable Positional Embedding. We design Conditional Context-aware Attention to reduces computational complexity while preserving effective intra-condition perception. Without any fine-tuning, ContextAR supports arbitrary combinations of conditions during inference time. Experimental results demonstrate the powerful controllability and versatility of our approach, and show that the competitive perpormance than diffusion-based multi-conditional control approaches the existing autoregressive baseline across diverse multi-condition driven scenarios. Project page: $\href{https://context-ar.github.io/}{https://context-ar.github.io/.}$</x:v>
      </x:c>
      <x:c r="L241" s="17" t="str">
        <x:v>http://arxiv.org/abs/2505.12274v1</x:v>
      </x:c>
      <x:c r="M241" s="23" t="n">
        <x:v>0.5058073430626878</x:v>
      </x:c>
      <x:c r="N241" s="17" t="str">
        <x:v>qwen3-rerank-no-instruct-20260727-125006-results.jsonl</x:v>
      </x:c>
      <x:c r="O241" s="24" t="str">
        <x:v>2</x:v>
      </x:c>
      <x:c r="P241" s="28" t="str">
        <x:v>AR图像生成直接比较扩散的控制和效率。</x:v>
      </x:c>
      <x:c r="Q241" s="25" t="str"/>
      <x:c r="R241" s="24" t="str">
        <x:f>IF(Q241&lt;&gt;"",Q241,O241)</x:f>
        <x:v>2</x:v>
      </x:c>
      <x:c r="S241" s="29" t="str"/>
    </x:row>
    <x:row r="242" ht="54" customHeight="1">
      <x:c r="A242" s="17" t="str">
        <x:v>csq013-r01</x:v>
      </x:c>
      <x:c r="B242" s="17" t="str">
        <x:v>csq013</x:v>
      </x:c>
      <x:c r="C242" s="17" t="str">
        <x:v>computer_vision</x:v>
      </x:c>
      <x:c r="D242" s="17" t="str">
        <x:v>vision_language_evaluation</x:v>
      </x:c>
      <x:c r="E242" s="27" t="str">
        <x:v>Which benchmarks and metrics have been proposed to evaluate hallucination in vision-language models, and what aspects of model behavior does each benchmark test?</x:v>
      </x:c>
      <x:c r="F242" s="22" t="n">
        <x:v>1</x:v>
      </x:c>
      <x:c r="G242" s="17" t="str">
        <x:v>arXiv:2407.13442</x:v>
      </x:c>
      <x:c r="H242" s="27" t="str">
        <x:v>BEAF: Observing BEfore-AFter Changes to Evaluate Hallucination in Vision-language Models</x:v>
      </x:c>
      <x:c r="I242" s="17" t="str">
        <x:v>Moon Ye-Bin; Nam Hyeon-Woo; Wonseok Choi; Tae-Hyun Oh</x:v>
      </x:c>
      <x:c r="J242" s="22" t="n">
        <x:v>2024</x:v>
      </x:c>
      <x:c r="K242" s="27" t="str">
        <x:v>Vision language models (VLMs) perceive the world through a combination of a visual encoder and a large language model (LLM). The visual encoder, pre-trained on large-scale vision-text datasets, provides zero-shot generalization to visual data, and the LLM endows its high reasoning ability to VLMs. It leads VLMs to achieve high performance on wide benchmarks without fine-tuning, exhibiting zero or few-shot capability. However, recent studies show that VLMs are vulnerable to hallucination. This undesirable behavior degrades reliability and credibility, thereby making users unable to fully trust the output from VLMs. To enhance trustworthiness and better tackle the hallucination of VLMs, we curate a new evaluation dataset, called the BEfore-AFter hallucination dataset (BEAF), and introduce new metrics: True Understanding (TU), IGnorance (IG), StuBbornness (SB), and InDecision (ID). Unlike prior works that focus only on constructing questions and answers, the key idea of our benchmark is to manipulate visual scene information by image editing models and to design the metrics based on scene changes. This allows us to clearly assess whether VLMs correctly understand a given scene by observing the ability to perceive changes. We also visualize image-wise object relationship by virtue of our two-axis view: vision and text. Upon evaluating VLMs with our dataset, we observed that our metrics reveal different aspects of VLM hallucination that have not been reported before. Project page: \url{https://beafbench.github.io/}</x:v>
      </x:c>
      <x:c r="L242" s="17" t="str">
        <x:v>http://arxiv.org/abs/2407.13442v1</x:v>
      </x:c>
      <x:c r="M242" s="23" t="n">
        <x:v>0.9491076563593142</x:v>
      </x:c>
      <x:c r="N242" s="17" t="str">
        <x:v>qwen3-rerank-no-instruct-20260727-125006-results.jsonl</x:v>
      </x:c>
      <x:c r="O242" s="24" t="str">
        <x:v>2</x:v>
      </x:c>
      <x:c r="P242" s="28" t="str">
        <x:v>提出前后变化式VLM幻觉评测。</x:v>
      </x:c>
      <x:c r="Q242" s="25" t="str"/>
      <x:c r="R242" s="24" t="str">
        <x:f>IF(Q242&lt;&gt;"",Q242,O242)</x:f>
        <x:v>2</x:v>
      </x:c>
      <x:c r="S242" s="29" t="str"/>
    </x:row>
    <x:row r="243" ht="54" customHeight="1">
      <x:c r="A243" s="17" t="str">
        <x:v>csq013-r02</x:v>
      </x:c>
      <x:c r="B243" s="17" t="str">
        <x:v>csq013</x:v>
      </x:c>
      <x:c r="C243" s="17" t="str">
        <x:v>computer_vision</x:v>
      </x:c>
      <x:c r="D243" s="17" t="str">
        <x:v>vision_language_evaluation</x:v>
      </x:c>
      <x:c r="E243" s="27" t="str">
        <x:v>Which benchmarks and metrics have been proposed to evaluate hallucination in vision-language models, and what aspects of model behavior does each benchmark test?</x:v>
      </x:c>
      <x:c r="F243" s="22" t="n">
        <x:v>2</x:v>
      </x:c>
      <x:c r="G243" s="17" t="str">
        <x:v>arXiv:2511.13420</x:v>
      </x:c>
      <x:c r="H243" s="27" t="str">
        <x:v>VOPE: Revisiting Hallucination of Vision-Language Models in Voluntary Imagination Task</x:v>
      </x:c>
      <x:c r="I243" s="17" t="str">
        <x:v>Xingming Long; Jie Zhang; Shiguang Shan; Xilin Chen</x:v>
      </x:c>
      <x:c r="J243" s="22" t="n">
        <x:v>2025</x:v>
      </x:c>
      <x:c r="K243" s="27" t="str">
        <x:v>Most research on hallucinations in Large Vision-Language Models (LVLMs) focuses on factual description tasks that prohibit any output absent from the image. However, little attention has been paid to hallucinations in voluntary imagination tasks, such as story writing, despite this human-like cognitive ability being essential for real-world generative applications. To address this limitation, we introduce Voluntary-imagined Object Presence Evaluation (VOPE) -- a recheck-based evaluation benchmark for assessing LVLMs' grounding behavior in voluntary imagination tasks. Specifically, VOPE poses recheck-based questions to evaluate how an LVLM interprets the presence of the imagined objects in its own response. Rather than penalizing the imagined content itself, VOPE identifies hallucinations based on the correctness of the model's presence judgments for the generated objects. Built on this idea, we construct a dataset covering captioning, reasoning, and writing tasks with different levels of voluntary imagination. We apply VOPE to several mainstream LVLMs and hallucination mitigation methods, revealing two key findings: (1) most LVLMs hallucinate heavily during voluntary imagination, and their performance in presence evaluation is notably poor on imagined objects; (2) existing hallucination mitigation methods show limited effect in voluntary imagination tasks, making this an important direction for future research.</x:v>
      </x:c>
      <x:c r="L243" s="17" t="str">
        <x:v>http://arxiv.org/abs/2511.13420v2</x:v>
      </x:c>
      <x:c r="M243" s="23" t="n">
        <x:v>0.9061108458051929</x:v>
      </x:c>
      <x:c r="N243" s="17" t="str">
        <x:v>qwen3-rerank-no-instruct-20260727-125006-results.jsonl</x:v>
      </x:c>
      <x:c r="O243" s="24" t="str">
        <x:v>2</x:v>
      </x:c>
      <x:c r="P243" s="28" t="str">
        <x:v>提出想象任务幻觉评测基准VOPE。</x:v>
      </x:c>
      <x:c r="Q243" s="25" t="str"/>
      <x:c r="R243" s="24" t="str">
        <x:f>IF(Q243&lt;&gt;"",Q243,O243)</x:f>
        <x:v>2</x:v>
      </x:c>
      <x:c r="S243" s="29" t="str"/>
    </x:row>
    <x:row r="244" ht="54" customHeight="1">
      <x:c r="A244" s="17" t="str">
        <x:v>csq013-r03</x:v>
      </x:c>
      <x:c r="B244" s="17" t="str">
        <x:v>csq013</x:v>
      </x:c>
      <x:c r="C244" s="17" t="str">
        <x:v>computer_vision</x:v>
      </x:c>
      <x:c r="D244" s="17" t="str">
        <x:v>vision_language_evaluation</x:v>
      </x:c>
      <x:c r="E244" s="27" t="str">
        <x:v>Which benchmarks and metrics have been proposed to evaluate hallucination in vision-language models, and what aspects of model behavior does each benchmark test?</x:v>
      </x:c>
      <x:c r="F244" s="22" t="n">
        <x:v>3</x:v>
      </x:c>
      <x:c r="G244" s="17" t="str">
        <x:v>arXiv:2410.23114</x:v>
      </x:c>
      <x:c r="H244" s="27" t="str">
        <x:v>Unified Triplet-Level Hallucination Evaluation for Large Vision-Language Models</x:v>
      </x:c>
      <x:c r="I244" s="17" t="str">
        <x:v>Junjie Wu; Tsz Ting Chung; Kai Chen; Dit-Yan Yeung</x:v>
      </x:c>
      <x:c r="J244" s="22" t="n">
        <x:v>2024</x:v>
      </x:c>
      <x:c r="K244" s="27" t="str">
        <x:v>Despite the outstanding performance in vision-language reasoning, Large Vision-Language Models (LVLMs) might generate hallucinated contents that do not exist in the given image. Most existing LVLM hallucination benchmarks are constrained to evaluate the object-related hallucinations. However, the potential hallucination on the relations between two objects, i.e., relation hallucination, still lacks investigation. To remedy that, we design a unified framework to measure the object and relation hallucination in LVLMs simultaneously. The core idea of our framework is to evaluate hallucinations via (object, relation, object) triplets extracted from LVLMs' responses, making it easily generalizable to different vision-language tasks. Based on our framework, we further introduce Tri-HE, a novel Triplet-level Hallucination Evaluation benchmark which can be used to study both object and relation hallucination at the same time. With comprehensive evaluations on Tri-HE, we observe that the relation hallucination issue is even more serious than object hallucination among existing LVLMs, highlighting a previously neglected problem towards reliable LVLMs. Moreover, based on our findings, we design a simple training-free approach that effectively mitigates hallucinations for LVLMs. Our dataset and code for the reproduction of our experiments are available publicly at https://github.com/wujunjie1998/Tri-HE.</x:v>
      </x:c>
      <x:c r="L244" s="17" t="str">
        <x:v>http://arxiv.org/abs/2410.23114v4</x:v>
      </x:c>
      <x:c r="M244" s="23" t="n">
        <x:v>0.8716301952409405</x:v>
      </x:c>
      <x:c r="N244" s="17" t="str">
        <x:v>qwen3-rerank-no-instruct-20260727-125006-results.jsonl</x:v>
      </x:c>
      <x:c r="O244" s="24" t="str">
        <x:v>2</x:v>
      </x:c>
      <x:c r="P244" s="28" t="str">
        <x:v>统一评测对象和关系三元组幻觉。</x:v>
      </x:c>
      <x:c r="Q244" s="25" t="str"/>
      <x:c r="R244" s="24" t="str">
        <x:f>IF(Q244&lt;&gt;"",Q244,O244)</x:f>
        <x:v>2</x:v>
      </x:c>
      <x:c r="S244" s="29" t="str"/>
    </x:row>
    <x:row r="245" ht="54" customHeight="1">
      <x:c r="A245" s="17" t="str">
        <x:v>csq013-r04</x:v>
      </x:c>
      <x:c r="B245" s="17" t="str">
        <x:v>csq013</x:v>
      </x:c>
      <x:c r="C245" s="17" t="str">
        <x:v>computer_vision</x:v>
      </x:c>
      <x:c r="D245" s="17" t="str">
        <x:v>vision_language_evaluation</x:v>
      </x:c>
      <x:c r="E245" s="27" t="str">
        <x:v>Which benchmarks and metrics have been proposed to evaluate hallucination in vision-language models, and what aspects of model behavior does each benchmark test?</x:v>
      </x:c>
      <x:c r="F245" s="22" t="n">
        <x:v>4</x:v>
      </x:c>
      <x:c r="G245" s="17" t="str">
        <x:v>arXiv:2407.06192</x:v>
      </x:c>
      <x:c r="H245" s="27" t="str">
        <x:v>Multi-Object Hallucination in Vision-Language Models</x:v>
      </x:c>
      <x:c r="I245" s="17" t="str">
        <x:v>Xuweiyi Chen; Ziqiao Ma; Xuejun Zhang; Sihan Xu; Shengyi Qian; Jianing Yang; David F. Fouhey; Joyce Chai</x:v>
      </x:c>
      <x:c r="J245" s="22" t="n">
        <x:v>2024</x:v>
      </x:c>
      <x:c r="K245" s="27" t="str">
        <x:v>Large vision language models (LVLMs) often suffer from object hallucination, producing objects not present in the given images. While current benchmarks for object hallucination primarily concentrate on the presence of a single object class rather than individual entities, this work systematically investigates multi-object hallucination, examining how models misperceive (e.g., invent nonexistent objects or become distracted) when tasked with focusing on multiple objects simultaneously. We introduce Recognition-based Object Probing Evaluation (ROPE), an automated evaluation protocol that considers the distribution of object classes within a single image during testing and uses visual referring prompts to eliminate ambiguity. With comprehensive empirical studies and analysis of potential factors leading to multi-object hallucination, we found that (1). LVLMs suffer more hallucinations when focusing on multiple objects compared to a single object. (2). The tested object class distribution affects hallucination behaviors, indicating that LVLMs may follow shortcuts and spurious correlations. (3). Hallucinatory behaviors are influenced by data-specific factors, salience and frequency, and model intrinsic behaviors. We hope to enable LVLMs to recognize and reason about multiple objects that often occur in realistic visual scenes, provide insights, and quantify our progress towards mitigating the issues.</x:v>
      </x:c>
      <x:c r="L245" s="17" t="str">
        <x:v>http://arxiv.org/abs/2407.06192v2</x:v>
      </x:c>
      <x:c r="M245" s="23" t="n">
        <x:v>0.8703917632488555</x:v>
      </x:c>
      <x:c r="N245" s="17" t="str">
        <x:v>qwen3-rerank-no-instruct-20260727-125006-results.jsonl</x:v>
      </x:c>
      <x:c r="O245" s="24" t="str">
        <x:v>2</x:v>
      </x:c>
      <x:c r="P245" s="28" t="str">
        <x:v>提出多对象幻觉基准及评测协议。</x:v>
      </x:c>
      <x:c r="Q245" s="25" t="str"/>
      <x:c r="R245" s="24" t="str">
        <x:f>IF(Q245&lt;&gt;"",Q245,O245)</x:f>
        <x:v>2</x:v>
      </x:c>
      <x:c r="S245" s="29" t="str"/>
    </x:row>
    <x:row r="246" ht="54" customHeight="1">
      <x:c r="A246" s="17" t="str">
        <x:v>csq013-r05</x:v>
      </x:c>
      <x:c r="B246" s="17" t="str">
        <x:v>csq013</x:v>
      </x:c>
      <x:c r="C246" s="17" t="str">
        <x:v>computer_vision</x:v>
      </x:c>
      <x:c r="D246" s="17" t="str">
        <x:v>vision_language_evaluation</x:v>
      </x:c>
      <x:c r="E246" s="27" t="str">
        <x:v>Which benchmarks and metrics have been proposed to evaluate hallucination in vision-language models, and what aspects of model behavior does each benchmark test?</x:v>
      </x:c>
      <x:c r="F246" s="22" t="n">
        <x:v>5</x:v>
      </x:c>
      <x:c r="G246" s="17" t="str">
        <x:v>arXiv:2511.12693</x:v>
      </x:c>
      <x:c r="H246" s="27" t="str">
        <x:v>HEDGE: Hallucination Estimation via Dense Geometric Entropy for VQA with Vision-Language Models</x:v>
      </x:c>
      <x:c r="I246" s="17" t="str">
        <x:v>Sushant Gautam; Michael A. Riegler; Pål Halvorsen</x:v>
      </x:c>
      <x:c r="J246" s="22" t="n">
        <x:v>2025</x:v>
      </x:c>
      <x:c r="K246" s="27" t="str">
        <x:v>Vision-language models (VLMs) enable open-ended visual question answering but remain prone to hallucinations. We present HEDGE, a unified framework for hallucination detection that combines controlled visual perturbations, semantic clustering, and robust uncertainty metrics. HEDGE integrates sampling, distortion synthesis, clustering (entailment- and embedding-based), and metric computation into a reproducible pipeline applicable across multimodal architectures. Evaluations on VQA-RAD and KvasirVQA-x1 with three representative VLMs (LLaVA-Med, Med-Gemma, Qwen2.5-VL) reveal clear architecture- and prompt-dependent trends. Hallucination detectability is highest for unified-fusion models with dense visual tokenization (Qwen2.5-VL) and lowest for architectures with restricted tokenization (Med-Gemma). Embedding-based clustering often yields stronger separation when applied directly to the generated answers, whereas NLI-based clustering remains advantageous for LLaVA-Med and for longer, sentence-level responses. Across configurations, the VASE metric consistently provides the most robust hallucination signal, especially when paired with embedding clustering and a moderate sampling budget (n ~ 10-15). Prompt design also matters: concise, label-style outputs offer clearer semantic structure than syntactically constrained one-sentence responses. By framing hallucination detection as a geometric robustness problem shaped jointly by sampling scale, prompt structure, model architecture, and clustering strategy, HEDGE provides a principled, compute-aware foundation for evaluating multimodal reliability. The hedge-bench PyPI library enables reproducible and extensible benchmarking, with full code and experimental resources available at https://github.com/Simula/HEDGE .</x:v>
      </x:c>
      <x:c r="L246" s="17" t="str">
        <x:v>http://arxiv.org/abs/2511.12693v1</x:v>
      </x:c>
      <x:c r="M246" s="23" t="n">
        <x:v>0.8495103460034656</x:v>
      </x:c>
      <x:c r="N246" s="17" t="str">
        <x:v>qwen3-rerank-no-instruct-20260727-125006-results.jsonl</x:v>
      </x:c>
      <x:c r="O246" s="24" t="str">
        <x:v>2</x:v>
      </x:c>
      <x:c r="P246" s="28" t="str">
        <x:v>提出VQA幻觉检测和不确定性指标。</x:v>
      </x:c>
      <x:c r="Q246" s="25" t="str"/>
      <x:c r="R246" s="24" t="str">
        <x:f>IF(Q246&lt;&gt;"",Q246,O246)</x:f>
        <x:v>2</x:v>
      </x:c>
      <x:c r="S246" s="29" t="str"/>
    </x:row>
    <x:row r="247" ht="54" customHeight="1">
      <x:c r="A247" s="17" t="str">
        <x:v>csq013-r06</x:v>
      </x:c>
      <x:c r="B247" s="17" t="str">
        <x:v>csq013</x:v>
      </x:c>
      <x:c r="C247" s="17" t="str">
        <x:v>computer_vision</x:v>
      </x:c>
      <x:c r="D247" s="17" t="str">
        <x:v>vision_language_evaluation</x:v>
      </x:c>
      <x:c r="E247" s="27" t="str">
        <x:v>Which benchmarks and metrics have been proposed to evaluate hallucination in vision-language models, and what aspects of model behavior does each benchmark test?</x:v>
      </x:c>
      <x:c r="F247" s="22" t="n">
        <x:v>6</x:v>
      </x:c>
      <x:c r="G247" s="17" t="str">
        <x:v>arXiv:2406.16449</x:v>
      </x:c>
      <x:c r="H247" s="27" t="str">
        <x:v>Evaluating and Analyzing Relationship Hallucinations in Large Vision-Language Models</x:v>
      </x:c>
      <x:c r="I247" s="17" t="str">
        <x:v>Mingrui Wu; Jiayi Ji; Oucheng Huang; Jiale Li; Yuhang Wu; Xiaoshuai Sun; Rongrong Ji</x:v>
      </x:c>
      <x:c r="J247" s="22" t="n">
        <x:v>2024</x:v>
      </x:c>
      <x:c r="K247" s="27" t="str">
        <x:v>The issue of hallucinations is a prevalent concern in existing Large Vision-Language Models (LVLMs). Previous efforts have primarily focused on investigating object hallucinations, which can be easily alleviated by introducing object detectors. However, these efforts neglect hallucinations in inter-object relationships, which is essential for visual comprehension. In this work, we introduce R-Bench, a novel benchmark for evaluating Vision Relationship Hallucination. R-Bench features image-level questions that focus on the existence of relationships and instance-level questions that assess local visual comprehension. We identify three types of relationship co-occurrences that lead to hallucinations: relationship-relationship, subject-relationship, and relationship-object. The visual instruction tuning dataset's long-tail distribution significantly impacts LVLMs' understanding of visual relationships. Furthermore, our analysis reveals that current LVLMs tend to disregard visual content and overly rely on the common sense knowledge of Large Language Models. They also struggle with reasoning about spatial relationships based on contextual information.</x:v>
      </x:c>
      <x:c r="L247" s="17" t="str">
        <x:v>http://arxiv.org/abs/2406.16449v4</x:v>
      </x:c>
      <x:c r="M247" s="23" t="n">
        <x:v>0.8355502309391272</x:v>
      </x:c>
      <x:c r="N247" s="17" t="str">
        <x:v>qwen3-rerank-no-instruct-20260727-125006-results.jsonl</x:v>
      </x:c>
      <x:c r="O247" s="24" t="str">
        <x:v>2</x:v>
      </x:c>
      <x:c r="P247" s="28" t="str">
        <x:v>提出关系幻觉R-Bench。</x:v>
      </x:c>
      <x:c r="Q247" s="25" t="str"/>
      <x:c r="R247" s="24" t="str">
        <x:f>IF(Q247&lt;&gt;"",Q247,O247)</x:f>
        <x:v>2</x:v>
      </x:c>
      <x:c r="S247" s="29" t="str"/>
    </x:row>
    <x:row r="248" ht="54" customHeight="1">
      <x:c r="A248" s="17" t="str">
        <x:v>csq013-r07</x:v>
      </x:c>
      <x:c r="B248" s="17" t="str">
        <x:v>csq013</x:v>
      </x:c>
      <x:c r="C248" s="17" t="str">
        <x:v>computer_vision</x:v>
      </x:c>
      <x:c r="D248" s="17" t="str">
        <x:v>vision_language_evaluation</x:v>
      </x:c>
      <x:c r="E248" s="27" t="str">
        <x:v>Which benchmarks and metrics have been proposed to evaluate hallucination in vision-language models, and what aspects of model behavior does each benchmark test?</x:v>
      </x:c>
      <x:c r="F248" s="22" t="n">
        <x:v>7</x:v>
      </x:c>
      <x:c r="G248" s="17" t="str">
        <x:v>arXiv:2311.01477</x:v>
      </x:c>
      <x:c r="H248" s="27" t="str">
        <x:v>FaithScore: Fine-grained Evaluations of Hallucinations in Large Vision-Language Models</x:v>
      </x:c>
      <x:c r="I248" s="17" t="str">
        <x:v>Liqiang Jing; Ruosen Li; Yunmo Chen; Xinya Du</x:v>
      </x:c>
      <x:c r="J248" s="22" t="n">
        <x:v>2023</x:v>
      </x:c>
      <x:c r="K248" s="27" t="str">
        <x:v>We introduce FaithScore (Faithfulness to Atomic Image Facts Score), a reference-free and fine-grained evaluation metric that measures the faithfulness of the generated free-form answers from large vision-language models (LVLMs). The FaithScore evaluation first identifies sub-sentences containing descriptive statements that need to be verified, then extracts a comprehensive list of atomic facts from these sub-sentences, and finally conducts consistency verification between fine-grained atomic facts and the input image. Meta-evaluation demonstrates that our metric highly correlates with human judgments of faithfulness. We collect two benchmark datasets (i.e. LLaVA-1k and MSCOCO-Cap) for evaluating LVLMs instruction-following hallucinations. We measure hallucinations in state-of-the-art LVLMs with FaithScore on the datasets. Results reveal that current systems are prone to generate hallucinated content unfaithful to the image, which leaves room for future improvements. We hope our metric FaithScore can help evaluate future LVLMs in terms of faithfulness and provide insightful advice for enhancing LVLMs' faithfulness.</x:v>
      </x:c>
      <x:c r="L248" s="17" t="str">
        <x:v>http://arxiv.org/abs/2311.01477v2</x:v>
      </x:c>
      <x:c r="M248" s="23" t="n">
        <x:v>0.8249119828424265</x:v>
      </x:c>
      <x:c r="N248" s="17" t="str">
        <x:v>qwen3-rerank-no-instruct-20260727-125006-results.jsonl</x:v>
      </x:c>
      <x:c r="O248" s="24" t="str">
        <x:v>2</x:v>
      </x:c>
      <x:c r="P248" s="28" t="str">
        <x:v>提出细粒度无参考FaithScore指标。</x:v>
      </x:c>
      <x:c r="Q248" s="25" t="str"/>
      <x:c r="R248" s="24" t="str">
        <x:f>IF(Q248&lt;&gt;"",Q248,O248)</x:f>
        <x:v>2</x:v>
      </x:c>
      <x:c r="S248" s="29" t="str"/>
    </x:row>
    <x:row r="249" ht="54" customHeight="1">
      <x:c r="A249" s="17" t="str">
        <x:v>csq013-r08</x:v>
      </x:c>
      <x:c r="B249" s="17" t="str">
        <x:v>csq013</x:v>
      </x:c>
      <x:c r="C249" s="17" t="str">
        <x:v>computer_vision</x:v>
      </x:c>
      <x:c r="D249" s="17" t="str">
        <x:v>vision_language_evaluation</x:v>
      </x:c>
      <x:c r="E249" s="27" t="str">
        <x:v>Which benchmarks and metrics have been proposed to evaluate hallucination in vision-language models, and what aspects of model behavior does each benchmark test?</x:v>
      </x:c>
      <x:c r="F249" s="22" t="n">
        <x:v>8</x:v>
      </x:c>
      <x:c r="G249" s="17" t="str">
        <x:v>arXiv:2406.10185</x:v>
      </x:c>
      <x:c r="H249" s="27" t="str">
        <x:v>Detecting and Evaluating Medical Hallucinations in Large Vision Language Models</x:v>
      </x:c>
      <x:c r="I249" s="17" t="str">
        <x:v>Jiawei Chen; Dingkang Yang; Tong Wu; Yue Jiang; Xiaolu Hou; Mingcheng Li; Shunli Wang; Dongling Xiao; Ke Li; Lihua Zhang</x:v>
      </x:c>
      <x:c r="J249" s="22" t="n">
        <x:v>2024</x:v>
      </x:c>
      <x:c r="K249" s="27" t="str">
        <x:v>Large Vision Language Models (LVLMs) are increasingly integral to healthcare applications, including medical visual question answering and imaging report generation. While these models inherit the robust capabilities of foundational Large Language Models (LLMs), they also inherit susceptibility to hallucinations-a significant concern in high-stakes medical contexts where the margin for error is minimal. However, currently, there are no dedicated methods or benchmarks for hallucination detection and evaluation in the medical field. To bridge this gap, we introduce Med-HallMark, the first benchmark specifically designed for hallucination detection and evaluation within the medical multimodal domain. This benchmark provides multi-tasking hallucination support, multifaceted hallucination data, and hierarchical hallucination categorization. Furthermore, we propose the MediHall Score, a new medical evaluative metric designed to assess LVLMs' hallucinations through a hierarchical scoring system that considers the severity and type of hallucination, thereby enabling a granular assessment of potential clinical impacts. We also present MediHallDetector, a novel Medical LVLM engineered for precise hallucination detection, which employs multitask training for hallucination detection. Through extensive experimental evaluations, we establish baselines for popular LVLMs using our benchmark. The findings indicate that MediHall Score provides a more nuanced understanding of hallucination impacts compared to traditional metrics and demonstrate the enhanced performance of MediHallDetector. We hope this work can significantly improve the reliability of LVLMs in medical applications. All resources of this work have been released at https://github.com/ydk122024/Med-HallMark.</x:v>
      </x:c>
      <x:c r="L249" s="17" t="str">
        <x:v>http://arxiv.org/abs/2406.10185v2</x:v>
      </x:c>
      <x:c r="M249" s="23" t="n">
        <x:v>0.8234192166054133</x:v>
      </x:c>
      <x:c r="N249" s="17" t="str">
        <x:v>qwen3-rerank-no-instruct-20260727-125006-results.jsonl</x:v>
      </x:c>
      <x:c r="O249" s="24" t="str">
        <x:v>2</x:v>
      </x:c>
      <x:c r="P249" s="28" t="str">
        <x:v>提出医疗LVLM幻觉检测评测基准。</x:v>
      </x:c>
      <x:c r="Q249" s="25" t="str"/>
      <x:c r="R249" s="24" t="str">
        <x:f>IF(Q249&lt;&gt;"",Q249,O249)</x:f>
        <x:v>2</x:v>
      </x:c>
      <x:c r="S249" s="29" t="str"/>
    </x:row>
    <x:row r="250" ht="54" customHeight="1">
      <x:c r="A250" s="17" t="str">
        <x:v>csq013-r09</x:v>
      </x:c>
      <x:c r="B250" s="17" t="str">
        <x:v>csq013</x:v>
      </x:c>
      <x:c r="C250" s="17" t="str">
        <x:v>computer_vision</x:v>
      </x:c>
      <x:c r="D250" s="17" t="str">
        <x:v>vision_language_evaluation</x:v>
      </x:c>
      <x:c r="E250" s="27" t="str">
        <x:v>Which benchmarks and metrics have been proposed to evaluate hallucination in vision-language models, and what aspects of model behavior does each benchmark test?</x:v>
      </x:c>
      <x:c r="F250" s="22" t="n">
        <x:v>9</x:v>
      </x:c>
      <x:c r="G250" s="17" t="str">
        <x:v>arXiv:2505.01958</x:v>
      </x:c>
      <x:c r="H250" s="27" t="str">
        <x:v>A Comprehensive Analysis for Visual Object Hallucination in Large Vision-Language Models</x:v>
      </x:c>
      <x:c r="I250" s="17" t="str">
        <x:v>Liqiang Jing; Guiming Hardy Chen; Ehsan Aghazadeh; Xin Eric Wang; Xinya Du</x:v>
      </x:c>
      <x:c r="J250" s="22" t="n">
        <x:v>2025</x:v>
      </x:c>
      <x:c r="K250" s="27" t="str">
        <x:v>Large Vision-Language Models (LVLMs) demonstrate remarkable capabilities in multimodal tasks, but visual object hallucination remains a persistent issue. It refers to scenarios where models generate inaccurate visual object-related information based on the query input, potentially leading to misinformation and concerns about safety and reliability. Previous works focus on the evaluation and mitigation of visual hallucinations, but the underlying causes have not been comprehensively investigated. In this paper, we analyze each component of LLaVA-like LVLMs -- the large language model, the vision backbone, and the projector -- to identify potential sources of error and their impact. Based on our observations, we propose methods to mitigate hallucination for each problematic component. Additionally, we developed two hallucination benchmarks: QA-VisualGenome, which emphasizes attribute and relation hallucinations, and QA-FB15k, which focuses on cognition-based hallucinations.</x:v>
      </x:c>
      <x:c r="L250" s="17" t="str">
        <x:v>http://arxiv.org/abs/2505.01958v1</x:v>
      </x:c>
      <x:c r="M250" s="23" t="n">
        <x:v>0.8166707863786432</x:v>
      </x:c>
      <x:c r="N250" s="17" t="str">
        <x:v>qwen3-rerank-no-instruct-20260727-125006-results.jsonl</x:v>
      </x:c>
      <x:c r="O250" s="24" t="str">
        <x:v>1</x:v>
      </x:c>
      <x:c r="P250" s="28" t="str">
        <x:v>主要分析对象幻觉成因，评测为研究手段。</x:v>
      </x:c>
      <x:c r="Q250" s="25" t="str"/>
      <x:c r="R250" s="24" t="str">
        <x:f>IF(Q250&lt;&gt;"",Q250,O250)</x:f>
        <x:v>1</x:v>
      </x:c>
      <x:c r="S250" s="29" t="str"/>
    </x:row>
    <x:row r="251" ht="54" customHeight="1">
      <x:c r="A251" s="17" t="str">
        <x:v>csq013-r10</x:v>
      </x:c>
      <x:c r="B251" s="17" t="str">
        <x:v>csq013</x:v>
      </x:c>
      <x:c r="C251" s="17" t="str">
        <x:v>computer_vision</x:v>
      </x:c>
      <x:c r="D251" s="17" t="str">
        <x:v>vision_language_evaluation</x:v>
      </x:c>
      <x:c r="E251" s="27" t="str">
        <x:v>Which benchmarks and metrics have been proposed to evaluate hallucination in vision-language models, and what aspects of model behavior does each benchmark test?</x:v>
      </x:c>
      <x:c r="F251" s="22" t="n">
        <x:v>10</x:v>
      </x:c>
      <x:c r="G251" s="17" t="str">
        <x:v>arXiv:2502.20780</x:v>
      </x:c>
      <x:c r="H251" s="27" t="str">
        <x:v>MedHallTune: An Instruction-Tuning Benchmark for Mitigating Medical Hallucination in Vision-Language Models</x:v>
      </x:c>
      <x:c r="I251" s="17" t="str">
        <x:v>Qiao Yan; Yuchen Yuan; Xiaowei Hu; Yihan Wang; Jiaqi Xu; Jinpeng Li; Chi-Wing Fu; Pheng-Ann Heng</x:v>
      </x:c>
      <x:c r="J251" s="22" t="n">
        <x:v>2025</x:v>
      </x:c>
      <x:c r="K251" s="27" t="str">
        <x:v>The increasing use of vision-language models (VLMs) in healthcare applications presents great challenges related to hallucinations, in which the models may generate seemingly plausible results that are in fact incorrect. Such hallucinations can jeopardize clinical decision making, potentially harming the diagnosis and treatments. In this work, we propose MedHallTune, a large-scale benchmark designed specifically to evaluate and mitigate hallucinations in medical VLMs. Comprising over 100,000 images and 1,000,000 instruction pairs, MedHallTune includes both hallucination and non-hallucination samples, each with ground-truth annotations. We conduct a comprehensive evaluation of current medical and general VLMs using MedHallTune, assessing their performance across key metrics, including clinical accuracy, relevance, detail level, and risk level. The experimental results show that fine-tuning with MedHallTune successfully improves the ability of several existing models to manage hallucinations and boost their zero-shot performance on downstream visual-question-answering (VQA) tasks, making them more reliable for practical medical applications. Our work contributes to the development of more trustworthy VLMs. Codes and dataset will be available at \href{https://github.com/russellyq/MedHallTune}{MedHallTune}.</x:v>
      </x:c>
      <x:c r="L251" s="17" t="str">
        <x:v>http://arxiv.org/abs/2502.20780v1</x:v>
      </x:c>
      <x:c r="M251" s="23" t="n">
        <x:v>0.7704879744244744</x:v>
      </x:c>
      <x:c r="N251" s="17" t="str">
        <x:v>qwen3-rerank-no-instruct-20260727-125006-results.jsonl</x:v>
      </x:c>
      <x:c r="O251" s="24" t="str">
        <x:v>2</x:v>
      </x:c>
      <x:c r="P251" s="28" t="str">
        <x:v>医疗VLM幻觉评测与缓解基准。</x:v>
      </x:c>
      <x:c r="Q251" s="25" t="str"/>
      <x:c r="R251" s="24" t="str">
        <x:f>IF(Q251&lt;&gt;"",Q251,O251)</x:f>
        <x:v>2</x:v>
      </x:c>
      <x:c r="S251" s="29" t="str"/>
    </x:row>
    <x:row r="252" ht="54" customHeight="1">
      <x:c r="A252" s="17" t="str">
        <x:v>csq013-r11</x:v>
      </x:c>
      <x:c r="B252" s="17" t="str">
        <x:v>csq013</x:v>
      </x:c>
      <x:c r="C252" s="17" t="str">
        <x:v>computer_vision</x:v>
      </x:c>
      <x:c r="D252" s="17" t="str">
        <x:v>vision_language_evaluation</x:v>
      </x:c>
      <x:c r="E252" s="27" t="str">
        <x:v>Which benchmarks and metrics have been proposed to evaluate hallucination in vision-language models, and what aspects of model behavior does each benchmark test?</x:v>
      </x:c>
      <x:c r="F252" s="22" t="n">
        <x:v>11</x:v>
      </x:c>
      <x:c r="G252" s="17" t="str">
        <x:v>arXiv:2406.10900</x:v>
      </x:c>
      <x:c r="H252" s="27" t="str">
        <x:v>AutoHallusion: Automatic Generation of Hallucination Benchmarks for Vision-Language Models</x:v>
      </x:c>
      <x:c r="I252" s="17" t="str">
        <x:v>Xiyang Wu; Tianrui Guan; Dianqi Li; Shuaiyi Huang; Xiaoyu Liu; Xijun Wang; Ruiqi Xian; Abhinav Shrivastava; Furong Huang; Jordan Lee Boyd-Graber; Tianyi Zhou; Dinesh Manocha</x:v>
      </x:c>
      <x:c r="J252" s="22" t="n">
        <x:v>2024</x:v>
      </x:c>
      <x:c r="K252" s="27" t="str">
        <x:v>Large vision-language models (LVLMs) are prone to hallucinations, where certain contextual cues in an image can trigger the language module to produce overconfident and incorrect reasoning about abnormal or hypothetical objects. While some benchmarks have been developed to investigate LVLM hallucinations, they often rely on hand-crafted corner cases whose failure patterns may not generalize well. Additionally, fine-tuning on these examples could undermine their validity. To address this, we aim to scale up the number of cases through an automated approach, reducing human bias in crafting such corner cases. This motivates the development of AutoHallusion, the first automated benchmark generation approach that employs several key strategies to create a diverse range of hallucination examples. Our generated visual-question pairs pose significant challenges to LVLMs, requiring them to overcome contextual biases and distractions to arrive at correct answers. AutoHallusion enables us to create new benchmarks at the minimum cost and thus overcomes the fragility of hand-crafted benchmarks. It also reveals common failure patterns and reasons, providing key insights to detect, avoid, or control hallucinations. Comprehensive evaluations of top-tier LVLMs, e.g., GPT-4V(ision), Gemini Pro Vision, Claude 3, and LLaVA-1.5, show a 97.7% and 98.7% success rate of hallucination induction on synthetic and real-world datasets of AutoHallusion, paving the way for a long battle against hallucinations. The codebase and data can be accessed at https://github.com/wuxiyang1996/AutoHallusion.</x:v>
      </x:c>
      <x:c r="L252" s="17" t="str">
        <x:v>http://arxiv.org/abs/2406.10900v2</x:v>
      </x:c>
      <x:c r="M252" s="23" t="n">
        <x:v>0.7673909413501228</x:v>
      </x:c>
      <x:c r="N252" s="17" t="str">
        <x:v>qwen3-rerank-no-instruct-20260727-125006-results.jsonl</x:v>
      </x:c>
      <x:c r="O252" s="24" t="str">
        <x:v>2</x:v>
      </x:c>
      <x:c r="P252" s="28" t="str">
        <x:v>自动生成VLM幻觉测试案例。</x:v>
      </x:c>
      <x:c r="Q252" s="25" t="str"/>
      <x:c r="R252" s="24" t="str">
        <x:f>IF(Q252&lt;&gt;"",Q252,O252)</x:f>
        <x:v>2</x:v>
      </x:c>
      <x:c r="S252" s="29" t="str"/>
    </x:row>
    <x:row r="253" ht="54" customHeight="1">
      <x:c r="A253" s="17" t="str">
        <x:v>csq013-r12</x:v>
      </x:c>
      <x:c r="B253" s="17" t="str">
        <x:v>csq013</x:v>
      </x:c>
      <x:c r="C253" s="17" t="str">
        <x:v>computer_vision</x:v>
      </x:c>
      <x:c r="D253" s="17" t="str">
        <x:v>vision_language_evaluation</x:v>
      </x:c>
      <x:c r="E253" s="27" t="str">
        <x:v>Which benchmarks and metrics have been proposed to evaluate hallucination in vision-language models, and what aspects of model behavior does each benchmark test?</x:v>
      </x:c>
      <x:c r="F253" s="22" t="n">
        <x:v>12</x:v>
      </x:c>
      <x:c r="G253" s="17" t="str">
        <x:v>arXiv:2411.11919</x:v>
      </x:c>
      <x:c r="H253" s="27" t="str">
        <x:v>VL-Uncertainty: Detecting Hallucination in Large Vision-Language Model via Uncertainty Estimation</x:v>
      </x:c>
      <x:c r="I253" s="17" t="str">
        <x:v>Ruiyang Zhang; Hu Zhang; Zhedong Zheng</x:v>
      </x:c>
      <x:c r="J253" s="22" t="n">
        <x:v>2024</x:v>
      </x:c>
      <x:c r="K253" s="27" t="str">
        <x:v>Given the higher information load processed by large vision-language models (LVLMs) compared to single-modal LLMs, detecting LVLM hallucinations requires more human and time expense, and thus rise a wider safety concerns. In this paper, we introduce VL-Uncertainty, the first uncertainty-based framework for detecting hallucinations in LVLMs. Different from most existing methods that require ground-truth or pseudo annotations, VL-Uncertainty utilizes uncertainty as an intrinsic metric. We measure uncertainty by analyzing the prediction variance across semantically equivalent but perturbed prompts, including visual and textual data. When LVLMs are highly confident, they provide consistent responses to semantically equivalent queries. However, when uncertain, the responses of the target LVLM become more random. Considering semantically similar answers with different wordings, we cluster LVLM responses based on their semantic content and then calculate the cluster distribution entropy as the uncertainty measure to detect hallucination. Our extensive experiments on 10 LVLMs across four benchmarks, covering both free-form and multi-choice tasks, show that VL-Uncertainty significantly outperforms strong baseline methods in hallucination detection.</x:v>
      </x:c>
      <x:c r="L253" s="17" t="str">
        <x:v>http://arxiv.org/abs/2411.11919v2</x:v>
      </x:c>
      <x:c r="M253" s="23" t="n">
        <x:v>0.7397288240439658</x:v>
      </x:c>
      <x:c r="N253" s="17" t="str">
        <x:v>qwen3-rerank-no-instruct-20260727-125006-results.jsonl</x:v>
      </x:c>
      <x:c r="O253" s="24" t="str">
        <x:v>2</x:v>
      </x:c>
      <x:c r="P253" s="28" t="str">
        <x:v>以不确定性作为内在幻觉检测指标。</x:v>
      </x:c>
      <x:c r="Q253" s="25" t="str"/>
      <x:c r="R253" s="24" t="str">
        <x:f>IF(Q253&lt;&gt;"",Q253,O253)</x:f>
        <x:v>2</x:v>
      </x:c>
      <x:c r="S253" s="29" t="str"/>
    </x:row>
    <x:row r="254" ht="54" customHeight="1">
      <x:c r="A254" s="17" t="str">
        <x:v>csq013-r13</x:v>
      </x:c>
      <x:c r="B254" s="17" t="str">
        <x:v>csq013</x:v>
      </x:c>
      <x:c r="C254" s="17" t="str">
        <x:v>computer_vision</x:v>
      </x:c>
      <x:c r="D254" s="17" t="str">
        <x:v>vision_language_evaluation</x:v>
      </x:c>
      <x:c r="E254" s="27" t="str">
        <x:v>Which benchmarks and metrics have been proposed to evaluate hallucination in vision-language models, and what aspects of model behavior does each benchmark test?</x:v>
      </x:c>
      <x:c r="F254" s="22" t="n">
        <x:v>13</x:v>
      </x:c>
      <x:c r="G254" s="17" t="str">
        <x:v>arXiv:2408.00555</x:v>
      </x:c>
      <x:c r="H254" s="27" t="str">
        <x:v>Alleviating Hallucination in Large Vision-Language Models with Active Retrieval Augmentation</x:v>
      </x:c>
      <x:c r="I254" s="17" t="str">
        <x:v>Xiaoye Qu; Qiyuan Chen; Wei Wei; Jishuo Sun; Jianfeng Dong</x:v>
      </x:c>
      <x:c r="J254" s="22" t="n">
        <x:v>2024</x:v>
      </x:c>
      <x:c r="K254" s="27" t="str">
        <x:v>Despite the remarkable ability of large vision-language models (LVLMs) in image comprehension, these models frequently generate plausible yet factually incorrect responses, a phenomenon known as hallucination.Recently, in large language models (LLMs), augmenting LLMs by retrieving information from external knowledge resources has been proven as a promising solution to mitigate hallucinations.However, the retrieval augmentation in LVLM significantly lags behind the widespread applications of LVLM. Moreover, when transferred to augmenting LVLMs, sometimes the hallucination degree of the model is even exacerbated.Motivated by the research gap and counter-intuitive phenomenon, we introduce a novel framework, the Active Retrieval-Augmented large vision-language model (ARA), specifically designed to address hallucinations by incorporating three critical dimensions: (i) dissecting the retrieval targets based on the inherent hierarchical structures of images. (ii) pinpointing the most effective retrieval methods and filtering out the reliable retrieval results. (iii) timing the retrieval process to coincide with episodes of low certainty, while circumventing unnecessary retrieval during periods of high certainty. To assess the capability of our proposed ARA model in reducing hallucination, we employ three widely used LVLM models (LLaVA-1.5, Qwen-VL, and mPLUG-Owl2) across four benchmarks. Our empirical observations suggest that by utilizing fitting retrieval mechanisms and timing the retrieval judiciously, we can effectively mitigate the hallucination problem. We hope that this study can provide deeper insights into how to adapt the retrieval augmentation to LVLMs for reducing hallucinations with more effective retrieval and minimal retrieval occurrences.</x:v>
      </x:c>
      <x:c r="L254" s="17" t="str">
        <x:v>http://arxiv.org/abs/2408.00555v1</x:v>
      </x:c>
      <x:c r="M254" s="23" t="n">
        <x:v>0.6811406852835628</x:v>
      </x:c>
      <x:c r="N254" s="17" t="str">
        <x:v>qwen3-rerank-no-instruct-20260727-125006-results.jsonl</x:v>
      </x:c>
      <x:c r="O254" s="24" t="str">
        <x:v>1</x:v>
      </x:c>
      <x:c r="P254" s="28" t="str">
        <x:v>主要研究检索增强缓解幻觉。</x:v>
      </x:c>
      <x:c r="Q254" s="25" t="str"/>
      <x:c r="R254" s="24" t="str">
        <x:f>IF(Q254&lt;&gt;"",Q254,O254)</x:f>
        <x:v>1</x:v>
      </x:c>
      <x:c r="S254" s="29" t="str"/>
    </x:row>
    <x:row r="255" ht="54" customHeight="1">
      <x:c r="A255" s="17" t="str">
        <x:v>csq013-r14</x:v>
      </x:c>
      <x:c r="B255" s="17" t="str">
        <x:v>csq013</x:v>
      </x:c>
      <x:c r="C255" s="17" t="str">
        <x:v>computer_vision</x:v>
      </x:c>
      <x:c r="D255" s="17" t="str">
        <x:v>vision_language_evaluation</x:v>
      </x:c>
      <x:c r="E255" s="27" t="str">
        <x:v>Which benchmarks and metrics have been proposed to evaluate hallucination in vision-language models, and what aspects of model behavior does each benchmark test?</x:v>
      </x:c>
      <x:c r="F255" s="22" t="n">
        <x:v>14</x:v>
      </x:c>
      <x:c r="G255" s="17" t="str">
        <x:v>arXiv:2511.11502</x:v>
      </x:c>
      <x:c r="H255" s="27" t="str">
        <x:v>PAS : Prelim Attention Score for Detecting Object Hallucinations in Large Vision--Language Models</x:v>
      </x:c>
      <x:c r="I255" s="17" t="str">
        <x:v>Nhat Hoang-Xuan; Minh Vu; My T. Thai; Manish Bhattarai</x:v>
      </x:c>
      <x:c r="J255" s="22" t="n">
        <x:v>2025</x:v>
      </x:c>
      <x:c r="K255" s="27" t="str">
        <x:v>Large vision-language models (LVLMs) are powerful, yet they remain unreliable due to object hallucinations. In this work, we show that in many hallucinatory predictions the LVLM effectively ignores the image and instead relies on previously generated output (prelim) tokens to infer new objects. We quantify this behavior via the mutual information between the image and the predicted object conditioned on the prelim, demonstrating that weak image dependence strongly correlates with hallucination. Building on this finding, we introduce the Prelim Attention Score (PAS), a lightweight, training-free signal computed from attention weights over prelim tokens. PAS requires no additional forward passes and can be computed on the fly during inference. Exploiting this previously overlooked signal, PAS achieves state-of-the-art object-hallucination detection across multiple models and datasets, enabling real-time filtering and intervention.</x:v>
      </x:c>
      <x:c r="L255" s="17" t="str">
        <x:v>http://arxiv.org/abs/2511.11502v1</x:v>
      </x:c>
      <x:c r="M255" s="23" t="n">
        <x:v>0.6723022579636235</x:v>
      </x:c>
      <x:c r="N255" s="17" t="str">
        <x:v>qwen3-rerank-no-instruct-20260727-125006-results.jsonl</x:v>
      </x:c>
      <x:c r="O255" s="24" t="str">
        <x:v>2</x:v>
      </x:c>
      <x:c r="P255" s="28" t="str">
        <x:v>提出注意力式对象幻觉检测分数。</x:v>
      </x:c>
      <x:c r="Q255" s="25" t="str"/>
      <x:c r="R255" s="24" t="str">
        <x:f>IF(Q255&lt;&gt;"",Q255,O255)</x:f>
        <x:v>2</x:v>
      </x:c>
      <x:c r="S255" s="29" t="str"/>
    </x:row>
    <x:row r="256" ht="54" customHeight="1">
      <x:c r="A256" s="17" t="str">
        <x:v>csq013-r15</x:v>
      </x:c>
      <x:c r="B256" s="17" t="str">
        <x:v>csq013</x:v>
      </x:c>
      <x:c r="C256" s="17" t="str">
        <x:v>computer_vision</x:v>
      </x:c>
      <x:c r="D256" s="17" t="str">
        <x:v>vision_language_evaluation</x:v>
      </x:c>
      <x:c r="E256" s="27" t="str">
        <x:v>Which benchmarks and metrics have been proposed to evaluate hallucination in vision-language models, and what aspects of model behavior does each benchmark test?</x:v>
      </x:c>
      <x:c r="F256" s="22" t="n">
        <x:v>15</x:v>
      </x:c>
      <x:c r="G256" s="17" t="str">
        <x:v>arXiv:2410.15778</x:v>
      </x:c>
      <x:c r="H256" s="27" t="str">
        <x:v>Reducing Hallucinations in Vision-Language Models via Latent Space Steering</x:v>
      </x:c>
      <x:c r="I256" s="17" t="str">
        <x:v>Sheng Liu; Haotian Ye; Lei Xing; James Zou</x:v>
      </x:c>
      <x:c r="J256" s="22" t="n">
        <x:v>2024</x:v>
      </x:c>
      <x:c r="K256" s="27" t="str">
        <x:v>Hallucination poses a challenge to the deployment of large vision-language models (LVLMs) in applications. Unlike in large language models (LLMs), hallucination in LVLMs often arises from misalignments between visual inputs and textual outputs. This paper investigates the underlying mechanisms of hallucination, focusing on the unique structure of LVLMs that distinguishes them from large language models (LLMs). We identify that hallucinations often arise from the sensitivity of text decoders to vision inputs, a natural phenomenon when image encoders and text decoders are pre-trained separately. Inspired by this, we introduce Visual and Textual Intervention (VTI), a novel technique designed to reduce hallucinations by steering latent space representations during inference to enhance the stability of vision features. As a task-agnostic test-time intervention, VTI can be easily applied to any problem without additional cost. Extensive experiments demonstrate that it can effectively reduce hallucinations and outperform baseline methods across multiple metrics, highlighting the critical role of vision feature stability in LVLMs.</x:v>
      </x:c>
      <x:c r="L256" s="17" t="str">
        <x:v>http://arxiv.org/abs/2410.15778v2</x:v>
      </x:c>
      <x:c r="M256" s="23" t="n">
        <x:v>0.6438069713348001</x:v>
      </x:c>
      <x:c r="N256" s="17" t="str">
        <x:v>qwen3-rerank-no-instruct-20260727-125006-results.jsonl</x:v>
      </x:c>
      <x:c r="O256" s="24" t="str">
        <x:v>1</x:v>
      </x:c>
      <x:c r="P256" s="28" t="str">
        <x:v>主要提出潜空间干预缓解幻觉。</x:v>
      </x:c>
      <x:c r="Q256" s="25" t="str"/>
      <x:c r="R256" s="24" t="str">
        <x:f>IF(Q256&lt;&gt;"",Q256,O256)</x:f>
        <x:v>1</x:v>
      </x:c>
      <x:c r="S256" s="29" t="str"/>
    </x:row>
    <x:row r="257" ht="54" customHeight="1">
      <x:c r="A257" s="17" t="str">
        <x:v>csq013-r16</x:v>
      </x:c>
      <x:c r="B257" s="17" t="str">
        <x:v>csq013</x:v>
      </x:c>
      <x:c r="C257" s="17" t="str">
        <x:v>computer_vision</x:v>
      </x:c>
      <x:c r="D257" s="17" t="str">
        <x:v>vision_language_evaluation</x:v>
      </x:c>
      <x:c r="E257" s="27" t="str">
        <x:v>Which benchmarks and metrics have been proposed to evaluate hallucination in vision-language models, and what aspects of model behavior does each benchmark test?</x:v>
      </x:c>
      <x:c r="F257" s="22" t="n">
        <x:v>16</x:v>
      </x:c>
      <x:c r="G257" s="17" t="str">
        <x:v>arXiv:2505.24649</x:v>
      </x:c>
      <x:c r="H257" s="27" t="str">
        <x:v>BIMA: Bijective Maximum Likelihood Learning Approach to Hallucination Prediction and Mitigation in Large Vision-Language Models</x:v>
      </x:c>
      <x:c r="I257" s="17" t="str">
        <x:v>Huu-Thien Tran; Thanh-Dat Truong; Khoa Luu</x:v>
      </x:c>
      <x:c r="J257" s="22" t="n">
        <x:v>2025</x:v>
      </x:c>
      <x:c r="K257" s="27" t="str">
        <x:v>Large vision-language models have become widely adopted to advance in various domains. However, developing a trustworthy system with minimal interpretable characteristics of large-scale models presents a significant challenge. One of the most prevalent terms associated with the fallacy functions caused by these systems is hallucination, where the language model generates a response that does not correspond to the visual content. To mitigate this problem, several approaches have been developed, and one prominent direction is to ameliorate the decoding process. In this paper, we propose a new Bijective Maximum Likelihood Learning (BIMA) approach to hallucination mitigation using normalizing flow theories. The proposed BIMA method can efficiently mitigate the hallucination problem in prevailing vision-language models, resulting in significant improvements. Notably, BIMA achieves the average F1 score of 85.06% on POPE benchmark and remarkably reduce CHAIRS and CHAIRI by 7.6% and 2.6%, respectively. To the best of our knowledge, this is one of the first studies that contemplates the bijection means to reduce hallucination induced by large vision-language models.</x:v>
      </x:c>
      <x:c r="L257" s="17" t="str">
        <x:v>http://arxiv.org/abs/2505.24649v1</x:v>
      </x:c>
      <x:c r="M257" s="23" t="n">
        <x:v>0.6400333693874337</x:v>
      </x:c>
      <x:c r="N257" s="17" t="str">
        <x:v>qwen3-rerank-no-instruct-20260727-125006-results.jsonl</x:v>
      </x:c>
      <x:c r="O257" s="24" t="str">
        <x:v>1</x:v>
      </x:c>
      <x:c r="P257" s="28" t="str">
        <x:v>主要预测并缓解幻觉，非系统基准研究。</x:v>
      </x:c>
      <x:c r="Q257" s="25" t="str"/>
      <x:c r="R257" s="24" t="str">
        <x:f>IF(Q257&lt;&gt;"",Q257,O257)</x:f>
        <x:v>1</x:v>
      </x:c>
      <x:c r="S257" s="29" t="str"/>
    </x:row>
    <x:row r="258" ht="54" customHeight="1">
      <x:c r="A258" s="17" t="str">
        <x:v>csq013-r17</x:v>
      </x:c>
      <x:c r="B258" s="17" t="str">
        <x:v>csq013</x:v>
      </x:c>
      <x:c r="C258" s="17" t="str">
        <x:v>computer_vision</x:v>
      </x:c>
      <x:c r="D258" s="17" t="str">
        <x:v>vision_language_evaluation</x:v>
      </x:c>
      <x:c r="E258" s="27" t="str">
        <x:v>Which benchmarks and metrics have been proposed to evaluate hallucination in vision-language models, and what aspects of model behavior does each benchmark test?</x:v>
      </x:c>
      <x:c r="F258" s="22" t="n">
        <x:v>17</x:v>
      </x:c>
      <x:c r="G258" s="17" t="str">
        <x:v>arXiv:2305.10355</x:v>
      </x:c>
      <x:c r="H258" s="27" t="str">
        <x:v>Evaluating Object Hallucination in Large Vision-Language Models</x:v>
      </x:c>
      <x:c r="I258" s="17" t="str">
        <x:v>Yifan Li; Yifan Du; Kun Zhou; Jinpeng Wang; Wayne Xin Zhao; Ji-Rong Wen</x:v>
      </x:c>
      <x:c r="J258" s="22" t="n">
        <x:v>2023</x:v>
      </x:c>
      <x:c r="K258" s="27" t="str">
        <x:v>Inspired by the superior language abilities of large language models (LLM), large vision-language models (LVLM) have been recently explored by integrating powerful LLMs for improving the performance on complex multimodal tasks. Despite the promising progress on LVLMs, we find that LVLMs suffer from the hallucination problem, i.e. they tend to generate objects that are inconsistent with the target images in the descriptions. To investigate it, this work presents the first systematic study on object hallucination of LVLMs. We conduct the evaluation experiments on several representative LVLMs, and show that they mostly suffer from severe object hallucination issue. We further discuss that the visual instructions may influence the hallucination, and find that: objects that frequently occur in the visual instructions or co-occur with the image objects, are obviously prone to be hallucinated by LVLMs. Besides, we find that existing evaluation methods might be affected by the input instructions and generation styles of LVLMs. Thus, we further design an improved evaluation method for object hallucination by proposing a polling-based query method called POPE. Experiment results demonstrate that our POPE can evaluate the object hallucination in a more stable and flexible way. Our codes and data are publicly available at https://github.com/RUCAIBox/POPE.</x:v>
      </x:c>
      <x:c r="L258" s="17" t="str">
        <x:v>http://arxiv.org/abs/2305.10355v3</x:v>
      </x:c>
      <x:c r="M258" s="23" t="n">
        <x:v>0.6363600391326512</x:v>
      </x:c>
      <x:c r="N258" s="17" t="str">
        <x:v>qwen3-rerank-no-instruct-20260727-125006-results.jsonl</x:v>
      </x:c>
      <x:c r="O258" s="24" t="str">
        <x:v>2</x:v>
      </x:c>
      <x:c r="P258" s="28" t="str">
        <x:v>首批系统对象幻觉评测研究。</x:v>
      </x:c>
      <x:c r="Q258" s="25" t="str"/>
      <x:c r="R258" s="24" t="str">
        <x:f>IF(Q258&lt;&gt;"",Q258,O258)</x:f>
        <x:v>2</x:v>
      </x:c>
      <x:c r="S258" s="29" t="str"/>
    </x:row>
    <x:row r="259" ht="54" customHeight="1">
      <x:c r="A259" s="17" t="str">
        <x:v>csq013-r18</x:v>
      </x:c>
      <x:c r="B259" s="17" t="str">
        <x:v>csq013</x:v>
      </x:c>
      <x:c r="C259" s="17" t="str">
        <x:v>computer_vision</x:v>
      </x:c>
      <x:c r="D259" s="17" t="str">
        <x:v>vision_language_evaluation</x:v>
      </x:c>
      <x:c r="E259" s="27" t="str">
        <x:v>Which benchmarks and metrics have been proposed to evaluate hallucination in vision-language models, and what aspects of model behavior does each benchmark test?</x:v>
      </x:c>
      <x:c r="F259" s="22" t="n">
        <x:v>18</x:v>
      </x:c>
      <x:c r="G259" s="17" t="str">
        <x:v>arXiv:2402.11622</x:v>
      </x:c>
      <x:c r="H259" s="27" t="str">
        <x:v>Logical Closed Loop: Uncovering Object Hallucinations in Large Vision-Language Models</x:v>
      </x:c>
      <x:c r="I259" s="17" t="str">
        <x:v>Junfei Wu; Qiang Liu; Ding Wang; Jinghao Zhang; Shu Wu; Liang Wang; Tieniu Tan</x:v>
      </x:c>
      <x:c r="J259" s="22" t="n">
        <x:v>2024</x:v>
      </x:c>
      <x:c r="K259" s="27" t="str">
        <x:v>Object hallucination has been an Achilles' heel which hinders the broader applications of large vision-language models (LVLMs). Object hallucination refers to the phenomenon that the LVLMs claim non-existent objects in the image. To mitigate the object hallucinations, instruction tuning and external model-based detection methods have been proposed, which either require large-scare computational resources or depend on the detection result of external models. However, there remains an under-explored field to utilize the LVLM itself to alleviate object hallucinations. In this work, we adopt the intuition that the LVLM tends to respond logically consistently for existent objects but inconsistently for hallucinated objects. Therefore, we propose a Logical Closed Loop-based framework for Object Hallucination Detection and Mitigation, namely LogicCheckGPT. In specific, we devise logical consistency probing to raise questions with logical correlations, inquiring about attributes from objects and vice versa. Whether their responses can form a logical closed loop serves as an indicator of object hallucination. As a plug-and-play method, it can be seamlessly applied to all existing LVLMs. Comprehensive experiments conducted on three benchmarks across four LVLMs have demonstrated significant improvements brought by our method, indicating its effectiveness and generality.</x:v>
      </x:c>
      <x:c r="L259" s="17" t="str">
        <x:v>http://arxiv.org/abs/2402.11622v2</x:v>
      </x:c>
      <x:c r="M259" s="23" t="n">
        <x:v>0.6332816116892788</x:v>
      </x:c>
      <x:c r="N259" s="17" t="str">
        <x:v>qwen3-rerank-no-instruct-20260727-125006-results.jsonl</x:v>
      </x:c>
      <x:c r="O259" s="24" t="str">
        <x:v>2</x:v>
      </x:c>
      <x:c r="P259" s="28" t="str">
        <x:v>提出逻辑闭环发现对象幻觉的方法。</x:v>
      </x:c>
      <x:c r="Q259" s="25" t="str"/>
      <x:c r="R259" s="24" t="str">
        <x:f>IF(Q259&lt;&gt;"",Q259,O259)</x:f>
        <x:v>2</x:v>
      </x:c>
      <x:c r="S259" s="29" t="str"/>
    </x:row>
    <x:row r="260" ht="54" customHeight="1">
      <x:c r="A260" s="17" t="str">
        <x:v>csq013-r19</x:v>
      </x:c>
      <x:c r="B260" s="17" t="str">
        <x:v>csq013</x:v>
      </x:c>
      <x:c r="C260" s="17" t="str">
        <x:v>computer_vision</x:v>
      </x:c>
      <x:c r="D260" s="17" t="str">
        <x:v>vision_language_evaluation</x:v>
      </x:c>
      <x:c r="E260" s="27" t="str">
        <x:v>Which benchmarks and metrics have been proposed to evaluate hallucination in vision-language models, and what aspects of model behavior does each benchmark test?</x:v>
      </x:c>
      <x:c r="F260" s="22" t="n">
        <x:v>19</x:v>
      </x:c>
      <x:c r="G260" s="17" t="str">
        <x:v>arXiv:2502.14908</x:v>
      </x:c>
      <x:c r="H260" s="27" t="str">
        <x:v>SegSub: Evaluating Robustness to Knowledge Conflicts and Hallucinations in Vision-Language Models</x:v>
      </x:c>
      <x:c r="I260" s="17" t="str">
        <x:v>Peter Carragher; Nikitha Rao; Abhinand Jha; R Raghav; Kathleen M. Carley</x:v>
      </x:c>
      <x:c r="J260" s="22" t="n">
        <x:v>2025</x:v>
      </x:c>
      <x:c r="K260" s="27" t="str">
        <x:v>Vision language models (VLM) demonstrate sophisticated multimodal reasoning yet are prone to hallucination when confronted with knowledge conflicts, impeding their deployment in information-sensitive contexts. While existing research addresses robustness in unimodal models, the multimodal domain lacks systematic investigation of cross-modal knowledge conflicts. This research introduces \segsub, a framework for applying targeted image perturbations to investigate VLM resilience against knowledge conflicts. Our analysis reveals distinct vulnerability patterns: while VLMs are robust to parametric conflicts (20% adherence rates), they exhibit significant weaknesses in identifying counterfactual conditions (&lt;30% accuracy) and resolving source conflicts (&lt;1% accuracy). Correlations between contextual richness and hallucination rate (r = -0.368, p = 0.003) reveal the kinds of images that are likely to cause hallucinations. Through targeted fine-tuning on our benchmark dataset, we demonstrate improvements in VLM knowledge conflict detection, establishing a foundation for developing hallucination-resilient multimodal systems in information-sensitive environments.</x:v>
      </x:c>
      <x:c r="L260" s="17" t="str">
        <x:v>http://arxiv.org/abs/2502.14908v2</x:v>
      </x:c>
      <x:c r="M260" s="23" t="n">
        <x:v>0.6242716040197396</x:v>
      </x:c>
      <x:c r="N260" s="17" t="str">
        <x:v>qwen3-rerank-no-instruct-20260727-125006-results.jsonl</x:v>
      </x:c>
      <x:c r="O260" s="24" t="str">
        <x:v>2</x:v>
      </x:c>
      <x:c r="P260" s="28" t="str">
        <x:v>评测知识冲突下的VLM幻觉鲁棒性。</x:v>
      </x:c>
      <x:c r="Q260" s="25" t="str"/>
      <x:c r="R260" s="24" t="str">
        <x:f>IF(Q260&lt;&gt;"",Q260,O260)</x:f>
        <x:v>2</x:v>
      </x:c>
      <x:c r="S260" s="29" t="str"/>
    </x:row>
    <x:row r="261" ht="54" customHeight="1">
      <x:c r="A261" s="17" t="str">
        <x:v>csq013-r20</x:v>
      </x:c>
      <x:c r="B261" s="17" t="str">
        <x:v>csq013</x:v>
      </x:c>
      <x:c r="C261" s="17" t="str">
        <x:v>computer_vision</x:v>
      </x:c>
      <x:c r="D261" s="17" t="str">
        <x:v>vision_language_evaluation</x:v>
      </x:c>
      <x:c r="E261" s="27" t="str">
        <x:v>Which benchmarks and metrics have been proposed to evaluate hallucination in vision-language models, and what aspects of model behavior does each benchmark test?</x:v>
      </x:c>
      <x:c r="F261" s="22" t="n">
        <x:v>20</x:v>
      </x:c>
      <x:c r="G261" s="17" t="str">
        <x:v>arXiv:2410.06795</x:v>
      </x:c>
      <x:c r="H261" s="27" t="str">
        <x:v>From Pixels to Tokens: Revisiting Object Hallucinations in Large Vision-Language Models</x:v>
      </x:c>
      <x:c r="I261" s="17" t="str">
        <x:v>Yuying Shang; Xinyi Zeng; Yutao Zhu; Xiao Yang; Zhengwei Fang; Jingyuan Zhang; Jiawei Chen; Zinan Liu; Yu Tian</x:v>
      </x:c>
      <x:c r="J261" s="22" t="n">
        <x:v>2024</x:v>
      </x:c>
      <x:c r="K261" s="27" t="str">
        <x:v>Hallucinations in large vision-language models (LVLMs) are a significant challenge, i.e., generating objects that are not presented in the visual input, which impairs their reliability. Recent studies often attribute hallucinations to a lack of understanding of visual input, yet ignore a more fundamental issue: the model's inability to effectively extract or decouple visual features. In this paper, we revisit the hallucinations in LVLMs from an architectural perspective, investigating whether the primary cause lies in the visual encoder (feature extraction) or the modal alignment module (feature decoupling). Motivated by our findings on the preliminary investigation, we propose a novel tuning strategy, PATCH, to mitigate hallucinations in LVLMs. This plug-and-play method can be integrated into various LVLMs, utilizing adaptive virtual tokens to extract object features from bounding boxes, thereby addressing hallucinations caused by insufficient decoupling of visual features. PATCH achieves state-of-the-art performance on multiple multi-modal hallucination datasets. We hope this approach provides researchers with deeper insights into the underlying causes of hallucinations in LVLMs, fostering further advancements and innovation in this field.</x:v>
      </x:c>
      <x:c r="L261" s="17" t="str">
        <x:v>http://arxiv.org/abs/2410.06795v2</x:v>
      </x:c>
      <x:c r="M261" s="23" t="n">
        <x:v>0.5994399016244727</x:v>
      </x:c>
      <x:c r="N261" s="17" t="str">
        <x:v>qwen3-rerank-no-instruct-20260727-125006-results.jsonl</x:v>
      </x:c>
      <x:c r="O261" s="24" t="str">
        <x:v>1</x:v>
      </x:c>
      <x:c r="P261" s="28" t="str">
        <x:v>主要从架构角度分析对象幻觉成因。</x:v>
      </x:c>
      <x:c r="Q261" s="25" t="str"/>
      <x:c r="R261" s="24" t="str">
        <x:f>IF(Q261&lt;&gt;"",Q261,O261)</x:f>
        <x:v>1</x:v>
      </x:c>
      <x:c r="S261" s="29" t="str"/>
    </x:row>
    <x:row r="262" ht="54" customHeight="1">
      <x:c r="A262" s="17" t="str">
        <x:v>csq014-r01</x:v>
      </x:c>
      <x:c r="B262" s="17" t="str">
        <x:v>csq014</x:v>
      </x:c>
      <x:c r="C262" s="17" t="str">
        <x:v>computer_vision</x:v>
      </x:c>
      <x:c r="D262" s="17" t="str">
        <x:v>adversarial_robustness</x:v>
      </x:c>
      <x:c r="E262" s="27" t="str">
        <x:v>What limitations of adversarial training as a defense for image classifiers have been established, particularly regarding accuracy, computational cost, and generalization to unseen attacks?</x:v>
      </x:c>
      <x:c r="F262" s="22" t="n">
        <x:v>1</x:v>
      </x:c>
      <x:c r="G262" s="17" t="str">
        <x:v>arXiv:2305.15241</x:v>
      </x:c>
      <x:c r="H262" s="27" t="str">
        <x:v>Robust Classification via a Single Diffusion Model</x:v>
      </x:c>
      <x:c r="I262" s="17" t="str">
        <x:v>Huanran Chen; Yinpeng Dong; Zhengyi Wang; Xiao Yang; Chengqi Duan; Hang Su; Jun Zhu</x:v>
      </x:c>
      <x:c r="J262" s="22" t="n">
        <x:v>2023</x:v>
      </x:c>
      <x:c r="K262" s="27" t="str">
        <x:v>Diffusion models have been applied to improve adversarial robustness of image classifiers by purifying the adversarial noises or generating realistic data for adversarial training. However, diffusion-based purification can be evaded by stronger adaptive attacks while adversarial training does not perform well under unseen threats, exhibiting inevitable limitations of these methods. To better harness the expressive power of diffusion models, this paper proposes Robust Diffusion Classifier (RDC), a generative classifier that is constructed from a pre-trained diffusion model to be adversarially robust. RDC first maximizes the data likelihood of a given input and then predicts the class probabilities of the optimized input using the conditional likelihood estimated by the diffusion model through Bayes' theorem. To further reduce the computational cost, we propose a new diffusion backbone called multi-head diffusion and develop efficient sampling strategies. As RDC does not require training on particular adversarial attacks, we demonstrate that it is more generalizable to defend against multiple unseen threats. In particular, RDC achieves $75.67\%$ robust accuracy against various $\ell_\infty$ norm-bounded adaptive attacks with $ε_\infty=8/255$ on CIFAR-10, surpassing the previous state-of-the-art adversarial training models by $+4.77\%$. The results highlight the potential of generative classifiers by employing pre-trained diffusion models for adversarial robustness compared with the commonly studied discriminative classifiers. Code is available at \url{https://github.com/huanranchen/DiffusionClassifier}.</x:v>
      </x:c>
      <x:c r="L262" s="17" t="str">
        <x:v>http://arxiv.org/abs/2305.15241v2</x:v>
      </x:c>
      <x:c r="M262" s="23" t="n">
        <x:v>0.810375840948352</x:v>
      </x:c>
      <x:c r="N262" s="17" t="str">
        <x:v>qwen3-rerank-no-instruct-20260727-125006-results.jsonl</x:v>
      </x:c>
      <x:c r="O262" s="24" t="str">
        <x:v>2</x:v>
      </x:c>
      <x:c r="P262" s="28" t="str">
        <x:v>明确指出AT对未见威胁泛化不足。</x:v>
      </x:c>
      <x:c r="Q262" s="25" t="str"/>
      <x:c r="R262" s="24" t="str">
        <x:f>IF(Q262&lt;&gt;"",Q262,O262)</x:f>
        <x:v>2</x:v>
      </x:c>
      <x:c r="S262" s="29" t="str"/>
    </x:row>
    <x:row r="263" ht="54" customHeight="1">
      <x:c r="A263" s="17" t="str">
        <x:v>csq014-r02</x:v>
      </x:c>
      <x:c r="B263" s="17" t="str">
        <x:v>csq014</x:v>
      </x:c>
      <x:c r="C263" s="17" t="str">
        <x:v>computer_vision</x:v>
      </x:c>
      <x:c r="D263" s="17" t="str">
        <x:v>adversarial_robustness</x:v>
      </x:c>
      <x:c r="E263" s="27" t="str">
        <x:v>What limitations of adversarial training as a defense for image classifiers have been established, particularly regarding accuracy, computational cost, and generalization to unseen attacks?</x:v>
      </x:c>
      <x:c r="F263" s="22" t="n">
        <x:v>2</x:v>
      </x:c>
      <x:c r="G263" s="17" t="str">
        <x:v>arXiv:2404.09349</x:v>
      </x:c>
      <x:c r="H263" s="27" t="str">
        <x:v>Adversarial Robustness Limits via Scaling-Law and Human-Alignment Studies</x:v>
      </x:c>
      <x:c r="I263" s="17" t="str">
        <x:v>Brian R. Bartoldson; James Diffenderfer; Konstantinos Parasyris; Bhavya Kailkhura</x:v>
      </x:c>
      <x:c r="J263" s="22" t="n">
        <x:v>2024</x:v>
      </x:c>
      <x:c r="K263" s="27" t="str">
        <x:v>This paper revisits the simple, long-studied, yet still unsolved problem of making image classifiers robust to imperceptible perturbations. Taking CIFAR10 as an example, SOTA clean accuracy is about $100$%, but SOTA robustness to $\ell_{\infty}$-norm bounded perturbations barely exceeds $70$%. To understand this gap, we analyze how model size, dataset size, and synthetic data quality affect robustness by developing the first scaling laws for adversarial training. Our scaling laws reveal inefficiencies in prior art and provide actionable feedback to advance the field. For instance, we discovered that SOTA methods diverge notably from compute-optimal setups, using excess compute for their level of robustness. Leveraging a compute-efficient setup, we surpass the prior SOTA with $20$% ($70$%) fewer training (inference) FLOPs. We trained various compute-efficient models, with our best achieving $74$% AutoAttack accuracy ($+3$% gain). However, our scaling laws also predict robustness slowly grows then plateaus at $90$%: dwarfing our new SOTA by scaling is impractical, and perfect robustness is impossible. To better understand this predicted limit, we carry out a small-scale human evaluation on the AutoAttack data that fools our top-performing model. Concerningly, we estimate that human performance also plateaus near $90$%, which we show to be attributable to $\ell_{\infty}$-constrained attacks' generation of invalid images not consistent with their original labels. Having characterized limiting roadblocks, we outline promising paths for future research.</x:v>
      </x:c>
      <x:c r="L263" s="17" t="str">
        <x:v>http://arxiv.org/abs/2404.09349v2</x:v>
      </x:c>
      <x:c r="M263" s="23" t="n">
        <x:v>0.7368093491319394</x:v>
      </x:c>
      <x:c r="N263" s="17" t="str">
        <x:v>qwen3-rerank-no-instruct-20260727-125006-results.jsonl</x:v>
      </x:c>
      <x:c r="O263" s="24" t="str">
        <x:v>2</x:v>
      </x:c>
      <x:c r="P263" s="28" t="str">
        <x:v>以缩放律量化鲁棒准确率和训练效率极限。</x:v>
      </x:c>
      <x:c r="Q263" s="25" t="str"/>
      <x:c r="R263" s="24" t="str">
        <x:f>IF(Q263&lt;&gt;"",Q263,O263)</x:f>
        <x:v>2</x:v>
      </x:c>
      <x:c r="S263" s="29" t="str"/>
    </x:row>
    <x:row r="264" ht="54" customHeight="1">
      <x:c r="A264" s="17" t="str">
        <x:v>csq014-r03</x:v>
      </x:c>
      <x:c r="B264" s="17" t="str">
        <x:v>csq014</x:v>
      </x:c>
      <x:c r="C264" s="17" t="str">
        <x:v>computer_vision</x:v>
      </x:c>
      <x:c r="D264" s="17" t="str">
        <x:v>adversarial_robustness</x:v>
      </x:c>
      <x:c r="E264" s="27" t="str">
        <x:v>What limitations of adversarial training as a defense for image classifiers have been established, particularly regarding accuracy, computational cost, and generalization to unseen attacks?</x:v>
      </x:c>
      <x:c r="F264" s="22" t="n">
        <x:v>3</x:v>
      </x:c>
      <x:c r="G264" s="17" t="str">
        <x:v>arXiv:1909.09552</x:v>
      </x:c>
      <x:c r="H264" s="27" t="str">
        <x:v>Defending Against Physically Realizable Attacks on Image Classification</x:v>
      </x:c>
      <x:c r="I264" s="17" t="str">
        <x:v>Tong Wu; Liang Tong; Yevgeniy Vorobeychik</x:v>
      </x:c>
      <x:c r="J264" s="22" t="n">
        <x:v>2019</x:v>
      </x:c>
      <x:c r="K264" s="27" t="str">
        <x:v>We study the problem of defending deep neural network approaches for image classification from physically realizable attacks. First, we demonstrate that the two most scalable and effective methods for learning robust models, adversarial training with PGD attacks and randomized smoothing, exhibit very limited effectiveness against three of the highest profile physical attacks. Next, we propose a new abstract adversarial model, rectangular occlusion attacks, in which an adversary places a small adversarially crafted rectangle in an image, and develop two approaches for efficiently computing the resulting adversarial examples. Finally, we demonstrate that adversarial training using our new attack yields image classification models that exhibit high robustness against the physically realizable attacks we study, offering the first effective generic defense against such attacks.</x:v>
      </x:c>
      <x:c r="L264" s="17" t="str">
        <x:v>http://arxiv.org/abs/1909.09552v2</x:v>
      </x:c>
      <x:c r="M264" s="23" t="n">
        <x:v>0.6341870436379718</x:v>
      </x:c>
      <x:c r="N264" s="17" t="str">
        <x:v>qwen3-rerank-no-instruct-20260727-125006-results.jsonl</x:v>
      </x:c>
      <x:c r="O264" s="24" t="str">
        <x:v>2</x:v>
      </x:c>
      <x:c r="P264" s="28" t="str">
        <x:v>证明AT对未见物理攻击效果有限。</x:v>
      </x:c>
      <x:c r="Q264" s="25" t="str"/>
      <x:c r="R264" s="24" t="str">
        <x:f>IF(Q264&lt;&gt;"",Q264,O264)</x:f>
        <x:v>2</x:v>
      </x:c>
      <x:c r="S264" s="29" t="str"/>
    </x:row>
    <x:row r="265" ht="54" customHeight="1">
      <x:c r="A265" s="17" t="str">
        <x:v>csq014-r04</x:v>
      </x:c>
      <x:c r="B265" s="17" t="str">
        <x:v>csq014</x:v>
      </x:c>
      <x:c r="C265" s="17" t="str">
        <x:v>computer_vision</x:v>
      </x:c>
      <x:c r="D265" s="17" t="str">
        <x:v>adversarial_robustness</x:v>
      </x:c>
      <x:c r="E265" s="27" t="str">
        <x:v>What limitations of adversarial training as a defense for image classifiers have been established, particularly regarding accuracy, computational cost, and generalization to unseen attacks?</x:v>
      </x:c>
      <x:c r="F265" s="22" t="n">
        <x:v>4</x:v>
      </x:c>
      <x:c r="G265" s="17" t="str">
        <x:v>arXiv:1909.04779</x:v>
      </x:c>
      <x:c r="H265" s="27" t="str">
        <x:v>Localized Adversarial Training for Increased Accuracy and Robustness in Image Classification</x:v>
      </x:c>
      <x:c r="I265" s="17" t="str">
        <x:v>Eitan Rothberg; Tingting Chen; Luo Jie; Hao Ji</x:v>
      </x:c>
      <x:c r="J265" s="22" t="n">
        <x:v>2019</x:v>
      </x:c>
      <x:c r="K265" s="27" t="str">
        <x:v>Today's state-of-the-art image classifiers fail to correctly classify carefully manipulated adversarial images. In this work, we develop a new, localized adversarial attack that generates adversarial examples by imperceptibly altering the backgrounds of normal images. We first use this attack to highlight the unnecessary sensitivity of neural networks to changes in the background of an image, then use it as part of a new training technique: localized adversarial training. By including locally adversarial images in the training set, we are able to create a classifier that suffers less loss than a non-adversarially trained counterpart model on both natural and adversarial inputs. The evaluation of our localized adversarial training algorithm on MNIST and CIFAR-10 datasets shows decreased accuracy loss on natural images, and increased robustness against adversarial inputs.</x:v>
      </x:c>
      <x:c r="L265" s="17" t="str">
        <x:v>http://arxiv.org/abs/1909.04779v1</x:v>
      </x:c>
      <x:c r="M265" s="23" t="n">
        <x:v>0.5884206060117375</x:v>
      </x:c>
      <x:c r="N265" s="17" t="str">
        <x:v>qwen3-rerank-no-instruct-20260727-125006-results.jsonl</x:v>
      </x:c>
      <x:c r="O265" s="24" t="str">
        <x:v>2</x:v>
      </x:c>
      <x:c r="P265" s="28" t="str">
        <x:v>新局部攻击揭示分类器局限并专门训练防御。</x:v>
      </x:c>
      <x:c r="Q265" s="25" t="str"/>
      <x:c r="R265" s="24" t="str">
        <x:f>IF(Q265&lt;&gt;"",Q265,O265)</x:f>
        <x:v>2</x:v>
      </x:c>
      <x:c r="S265" s="29" t="str"/>
    </x:row>
    <x:row r="266" ht="54" customHeight="1">
      <x:c r="A266" s="17" t="str">
        <x:v>csq014-r05</x:v>
      </x:c>
      <x:c r="B266" s="17" t="str">
        <x:v>csq014</x:v>
      </x:c>
      <x:c r="C266" s="17" t="str">
        <x:v>computer_vision</x:v>
      </x:c>
      <x:c r="D266" s="17" t="str">
        <x:v>adversarial_robustness</x:v>
      </x:c>
      <x:c r="E266" s="27" t="str">
        <x:v>What limitations of adversarial training as a defense for image classifiers have been established, particularly regarding accuracy, computational cost, and generalization to unseen attacks?</x:v>
      </x:c>
      <x:c r="F266" s="22" t="n">
        <x:v>5</x:v>
      </x:c>
      <x:c r="G266" s="17" t="str">
        <x:v>arXiv:2210.15318</x:v>
      </x:c>
      <x:c r="H266" s="27" t="str">
        <x:v>Efficient and Effective Augmentation Strategy for Adversarial Training</x:v>
      </x:c>
      <x:c r="I266" s="17" t="str">
        <x:v>Sravanti Addepalli; Samyak Jain; R. Venkatesh Babu</x:v>
      </x:c>
      <x:c r="J266" s="22" t="n">
        <x:v>2022</x:v>
      </x:c>
      <x:c r="K266" s="27" t="str">
        <x:v>Adversarial training of Deep Neural Networks is known to be significantly more data-hungry when compared to standard training. Furthermore, complex data augmentations such as AutoAugment, which have led to substantial gains in standard training of image classifiers, have not been successful with Adversarial Training. We first explain this contrasting behavior by viewing augmentation during training as a problem of domain generalization, and further propose Diverse Augmentation-based Joint Adversarial Training (DAJAT) to use data augmentations effectively in adversarial training. We aim to handle the conflicting goals of enhancing the diversity of the training dataset and training with data that is close to the test distribution by using a combination of simple and complex augmentations with separate batch normalization layers during training. We further utilize the popular Jensen-Shannon divergence loss to encourage the joint learning of the diverse augmentations, thereby allowing simple augmentations to guide the learning of complex ones. Lastly, to improve the computational efficiency of the proposed method, we propose and utilize a two-step defense, Ascending Constraint Adversarial Training (ACAT), that uses an increasing epsilon schedule and weight-space smoothing to prevent gradient masking. The proposed method DAJAT achieves substantially better robustness-accuracy trade-off when compared to existing methods on the RobustBench Leaderboard on ResNet-18 and WideResNet-34-10. The code for implementing DAJAT is available here: https://github.com/val-iisc/DAJAT.</x:v>
      </x:c>
      <x:c r="L266" s="17" t="str">
        <x:v>http://arxiv.org/abs/2210.15318v1</x:v>
      </x:c>
      <x:c r="M266" s="23" t="n">
        <x:v>0.5855576736755175</x:v>
      </x:c>
      <x:c r="N266" s="17" t="str">
        <x:v>qwen3-rerank-no-instruct-20260727-125006-results.jsonl</x:v>
      </x:c>
      <x:c r="O266" s="24" t="str">
        <x:v>2</x:v>
      </x:c>
      <x:c r="P266" s="28" t="str">
        <x:v>直接讨论AT数据成本和增强泛化失败。</x:v>
      </x:c>
      <x:c r="Q266" s="25" t="str"/>
      <x:c r="R266" s="24" t="str">
        <x:f>IF(Q266&lt;&gt;"",Q266,O266)</x:f>
        <x:v>2</x:v>
      </x:c>
      <x:c r="S266" s="29" t="str"/>
    </x:row>
    <x:row r="267" ht="54" customHeight="1">
      <x:c r="A267" s="17" t="str">
        <x:v>csq014-r06</x:v>
      </x:c>
      <x:c r="B267" s="17" t="str">
        <x:v>csq014</x:v>
      </x:c>
      <x:c r="C267" s="17" t="str">
        <x:v>computer_vision</x:v>
      </x:c>
      <x:c r="D267" s="17" t="str">
        <x:v>adversarial_robustness</x:v>
      </x:c>
      <x:c r="E267" s="27" t="str">
        <x:v>What limitations of adversarial training as a defense for image classifiers have been established, particularly regarding accuracy, computational cost, and generalization to unseen attacks?</x:v>
      </x:c>
      <x:c r="F267" s="22" t="n">
        <x:v>6</x:v>
      </x:c>
      <x:c r="G267" s="17" t="str">
        <x:v>arXiv:2303.13955</x:v>
      </x:c>
      <x:c r="H267" s="27" t="str">
        <x:v>PIAT: Parameter Interpolation based Adversarial Training for Image Classification</x:v>
      </x:c>
      <x:c r="I267" s="17" t="str">
        <x:v>Kun He; Xin Liu; Yichen Yang; Zhou Qin; Weigao Wen; Hui Xue; John E. Hopcroft</x:v>
      </x:c>
      <x:c r="J267" s="22" t="n">
        <x:v>2023</x:v>
      </x:c>
      <x:c r="K267" s="27" t="str">
        <x:v>Adversarial training has been demonstrated to be the most effective approach to defend against adversarial attacks. However, existing adversarial training methods show apparent oscillations and overfitting issue in the training process, degrading the defense efficacy. In this work, we propose a novel framework, termed Parameter Interpolation based Adversarial Training (PIAT), that makes full use of the historical information during training. Specifically, at the end of each epoch, PIAT tunes the model parameters as the interpolation of the parameters of the previous and current epochs. Besides, we suggest to use the Normalized Mean Square Error (NMSE) to further improve the robustness by aligning the clean and adversarial examples. Compared with other regularization methods, NMSE focuses more on the relative magnitude of the logits rather than the absolute magnitude. Extensive experiments on several benchmark datasets and various networks show that our method could prominently improve the model robustness and reduce the generalization error. Moreover, our framework is general and could further boost the robust accuracy when combined with other adversarial training methods.</x:v>
      </x:c>
      <x:c r="L267" s="17" t="str">
        <x:v>http://arxiv.org/abs/2303.13955v1</x:v>
      </x:c>
      <x:c r="M267" s="23" t="n">
        <x:v>0.5363494625916634</x:v>
      </x:c>
      <x:c r="N267" s="17" t="str">
        <x:v>qwen3-rerank-no-instruct-20260727-125006-results.jsonl</x:v>
      </x:c>
      <x:c r="O267" s="24" t="str">
        <x:v>2</x:v>
      </x:c>
      <x:c r="P267" s="28" t="str">
        <x:v>处理AT训练振荡和鲁棒过拟合。</x:v>
      </x:c>
      <x:c r="Q267" s="25" t="str"/>
      <x:c r="R267" s="24" t="str">
        <x:f>IF(Q267&lt;&gt;"",Q267,O267)</x:f>
        <x:v>2</x:v>
      </x:c>
      <x:c r="S267" s="29" t="str"/>
    </x:row>
    <x:row r="268" ht="54" customHeight="1">
      <x:c r="A268" s="17" t="str">
        <x:v>csq014-r07</x:v>
      </x:c>
      <x:c r="B268" s="17" t="str">
        <x:v>csq014</x:v>
      </x:c>
      <x:c r="C268" s="17" t="str">
        <x:v>computer_vision</x:v>
      </x:c>
      <x:c r="D268" s="17" t="str">
        <x:v>adversarial_robustness</x:v>
      </x:c>
      <x:c r="E268" s="27" t="str">
        <x:v>What limitations of adversarial training as a defense for image classifiers have been established, particularly regarding accuracy, computational cost, and generalization to unseen attacks?</x:v>
      </x:c>
      <x:c r="F268" s="22" t="n">
        <x:v>7</x:v>
      </x:c>
      <x:c r="G268" s="17" t="str">
        <x:v>arXiv:1801.09344</x:v>
      </x:c>
      <x:c r="H268" s="27" t="str">
        <x:v>Certified Defenses against Adversarial Examples</x:v>
      </x:c>
      <x:c r="I268" s="17" t="str">
        <x:v>Aditi Raghunathan; Jacob Steinhardt; Percy Liang</x:v>
      </x:c>
      <x:c r="J268" s="22" t="n">
        <x:v>2018</x:v>
      </x:c>
      <x:c r="K268" s="27" t="str">
        <x:v>While neural networks have achieved high accuracy on standard image classification benchmarks, their accuracy drops to nearly zero in the presence of small adversarial perturbations to test inputs. Defenses based on regularization and adversarial training have been proposed, but often followed by new, stronger attacks that defeat these defenses. Can we somehow end this arms race? In this work, we study this problem for neural networks with one hidden layer. We first propose a method based on a semidefinite relaxation that outputs a certificate that for a given network and test input, no attack can force the error to exceed a certain value. Second, as this certificate is differentiable, we jointly optimize it with the network parameters, providing an adaptive regularizer that encourages robustness against all attacks. On MNIST, our approach produces a network and a certificate that no attack that perturbs each pixel by at most ε= 0.1 can cause more than 35% test error.</x:v>
      </x:c>
      <x:c r="L268" s="17" t="str">
        <x:v>http://arxiv.org/abs/1801.09344v2</x:v>
      </x:c>
      <x:c r="M268" s="23" t="n">
        <x:v>0.5276646601491217</x:v>
      </x:c>
      <x:c r="N268" s="17" t="str">
        <x:v>qwen3-rerank-no-instruct-20260727-125006-results.jsonl</x:v>
      </x:c>
      <x:c r="O268" s="24" t="str">
        <x:v>2</x:v>
      </x:c>
      <x:c r="P268" s="28" t="str">
        <x:v>指出经验AT常被更强攻击击破。</x:v>
      </x:c>
      <x:c r="Q268" s="25" t="str"/>
      <x:c r="R268" s="24" t="str">
        <x:f>IF(Q268&lt;&gt;"",Q268,O268)</x:f>
        <x:v>2</x:v>
      </x:c>
      <x:c r="S268" s="29" t="str"/>
    </x:row>
    <x:row r="269" ht="54" customHeight="1">
      <x:c r="A269" s="17" t="str">
        <x:v>csq014-r08</x:v>
      </x:c>
      <x:c r="B269" s="17" t="str">
        <x:v>csq014</x:v>
      </x:c>
      <x:c r="C269" s="17" t="str">
        <x:v>computer_vision</x:v>
      </x:c>
      <x:c r="D269" s="17" t="str">
        <x:v>adversarial_robustness</x:v>
      </x:c>
      <x:c r="E269" s="27" t="str">
        <x:v>What limitations of adversarial training as a defense for image classifiers have been established, particularly regarding accuracy, computational cost, and generalization to unseen attacks?</x:v>
      </x:c>
      <x:c r="F269" s="22" t="n">
        <x:v>8</x:v>
      </x:c>
      <x:c r="G269" s="17" t="str">
        <x:v>arXiv:2306.06081</x:v>
      </x:c>
      <x:c r="H269" s="27" t="str">
        <x:v>Blending adversarial training and representation-conditional purification via aggregation improves adversarial robustness</x:v>
      </x:c>
      <x:c r="I269" s="17" t="str">
        <x:v>Emanuele Ballarin; Alessio Ansuini; Luca Bortolussi</x:v>
      </x:c>
      <x:c r="J269" s="22" t="n">
        <x:v>2023</x:v>
      </x:c>
      <x:c r="K269" s="27" t="str">
        <x:v>In this work, we propose a novel adversarial defence mechanism for image classification - CARSO - blending the paradigms of adversarial training and adversarial purification in a synergistic robustness-enhancing way. The method builds upon an adversarially-trained classifier, and learns to map its internal representation associated with a potentially perturbed input onto a distribution of tentative clean reconstructions. Multiple samples from such distribution are classified by the same adversarially-trained model, and a carefully chosen aggregation of its outputs finally constitutes the robust prediction of interest. Experimental evaluation by a well-established benchmark of strong adaptive attacks, across different image datasets, shows that CARSO is able to defend itself against adaptive end-to-end white-box attacks devised for stochastic defences. Paying a modest clean accuracy toll, our method improves by a significant margin the state-of-the-art for Cifar-10, Cifar-100, and TinyImageNet-200 $\ell_\infty$ robust classification accuracy against AutoAttack. Code, and instructions to obtain pre-trained models are available at: https://github.com/emaballarin/CARSO .</x:v>
      </x:c>
      <x:c r="L269" s="17" t="str">
        <x:v>http://arxiv.org/abs/2306.06081v6</x:v>
      </x:c>
      <x:c r="M269" s="23" t="n">
        <x:v>0.5237191088425927</x:v>
      </x:c>
      <x:c r="N269" s="17" t="str">
        <x:v>qwen3-rerank-no-instruct-20260727-125006-results.jsonl</x:v>
      </x:c>
      <x:c r="O269" s="24" t="str">
        <x:v>1</x:v>
      </x:c>
      <x:c r="P269" s="28" t="str">
        <x:v>混合净化防御间接说明单独AT不足。</x:v>
      </x:c>
      <x:c r="Q269" s="25" t="str"/>
      <x:c r="R269" s="24" t="str">
        <x:f>IF(Q269&lt;&gt;"",Q269,O269)</x:f>
        <x:v>1</x:v>
      </x:c>
      <x:c r="S269" s="29" t="str"/>
    </x:row>
    <x:row r="270" ht="54" customHeight="1">
      <x:c r="A270" s="17" t="str">
        <x:v>csq014-r09</x:v>
      </x:c>
      <x:c r="B270" s="17" t="str">
        <x:v>csq014</x:v>
      </x:c>
      <x:c r="C270" s="17" t="str">
        <x:v>computer_vision</x:v>
      </x:c>
      <x:c r="D270" s="17" t="str">
        <x:v>adversarial_robustness</x:v>
      </x:c>
      <x:c r="E270" s="27" t="str">
        <x:v>What limitations of adversarial training as a defense for image classifiers have been established, particularly regarding accuracy, computational cost, and generalization to unseen attacks?</x:v>
      </x:c>
      <x:c r="F270" s="22" t="n">
        <x:v>9</x:v>
      </x:c>
      <x:c r="G270" s="17" t="str">
        <x:v>arXiv:2003.09461</x:v>
      </x:c>
      <x:c r="H270" s="27" t="str">
        <x:v>Adversarial Robustness on In- and Out-Distribution Improves Explainability</x:v>
      </x:c>
      <x:c r="I270" s="17" t="str">
        <x:v>Maximilian Augustin; Alexander Meinke; Matthias Hein</x:v>
      </x:c>
      <x:c r="J270" s="22" t="n">
        <x:v>2020</x:v>
      </x:c>
      <x:c r="K270" s="27" t="str">
        <x:v>Neural networks have led to major improvements in image classification but suffer from being non-robust to adversarial changes, unreliable uncertainty estimates on out-distribution samples and their inscrutable black-box decisions. In this work we propose RATIO, a training procedure for Robustness via Adversarial Training on In- and Out-distribution, which leads to robust models with reliable and robust confidence estimates on the out-distribution. RATIO has similar generative properties to adversarial training so that visual counterfactuals produce class specific features. While adversarial training comes at the price of lower clean accuracy, RATIO achieves state-of-the-art $l_2$-adversarial robustness on CIFAR10 and maintains better clean accuracy.</x:v>
      </x:c>
      <x:c r="L270" s="17" t="str">
        <x:v>http://arxiv.org/abs/2003.09461v2</x:v>
      </x:c>
      <x:c r="M270" s="23" t="n">
        <x:v>0.5217406770414011</x:v>
      </x:c>
      <x:c r="N270" s="17" t="str">
        <x:v>qwen3-rerank-no-instruct-20260727-125006-results.jsonl</x:v>
      </x:c>
      <x:c r="O270" s="24" t="str">
        <x:v>1</x:v>
      </x:c>
      <x:c r="P270" s="28" t="str">
        <x:v>研究AT的OOD鲁棒和可解释性收益。</x:v>
      </x:c>
      <x:c r="Q270" s="25" t="str"/>
      <x:c r="R270" s="24" t="str">
        <x:f>IF(Q270&lt;&gt;"",Q270,O270)</x:f>
        <x:v>1</x:v>
      </x:c>
      <x:c r="S270" s="29" t="str"/>
    </x:row>
    <x:row r="271" ht="54" customHeight="1">
      <x:c r="A271" s="17" t="str">
        <x:v>csq014-r10</x:v>
      </x:c>
      <x:c r="B271" s="17" t="str">
        <x:v>csq014</x:v>
      </x:c>
      <x:c r="C271" s="17" t="str">
        <x:v>computer_vision</x:v>
      </x:c>
      <x:c r="D271" s="17" t="str">
        <x:v>adversarial_robustness</x:v>
      </x:c>
      <x:c r="E271" s="27" t="str">
        <x:v>What limitations of adversarial training as a defense for image classifiers have been established, particularly regarding accuracy, computational cost, and generalization to unseen attacks?</x:v>
      </x:c>
      <x:c r="F271" s="22" t="n">
        <x:v>10</x:v>
      </x:c>
      <x:c r="G271" s="17" t="str">
        <x:v>arXiv:2512.15123</x:v>
      </x:c>
      <x:c r="H271" s="27" t="str">
        <x:v>TrajSyn: Privacy-Preserving Dataset Distillation from Federated Model Trajectories for Server-Side Adversarial Training</x:v>
      </x:c>
      <x:c r="I271" s="17" t="str">
        <x:v>Mukur Gupta; Niharika Gupta; Saifur Rahman; Shantanu Pal; Chandan Karmakar</x:v>
      </x:c>
      <x:c r="J271" s="22" t="n">
        <x:v>2025</x:v>
      </x:c>
      <x:c r="K271" s="27" t="str">
        <x:v>Deep learning models deployed on edge devices are increasingly used in safety-critical applications. However, their vulnerability to adversarial perturbations poses significant risks, especially in Federated Learning (FL) settings where identical models are distributed across thousands of clients. While adversarial training is a strong defense, it is difficult to apply in FL due to strict client-data privacy constraints and the limited compute available on edge devices. In this work, we introduce TrajSyn, a privacy-preserving framework that enables effective server-side adversarial training by synthesizing a proxy dataset from the trajectories of client model updates, without accessing raw client data. We show that TrajSyn consistently improves adversarial robustness on image classification benchmarks with no extra compute burden on the client device.</x:v>
      </x:c>
      <x:c r="L271" s="17" t="str">
        <x:v>http://arxiv.org/abs/2512.15123v1</x:v>
      </x:c>
      <x:c r="M271" s="23" t="n">
        <x:v>0.5205841285760093</x:v>
      </x:c>
      <x:c r="N271" s="17" t="str">
        <x:v>qwen3-rerank-no-instruct-20260727-125006-results.jsonl</x:v>
      </x:c>
      <x:c r="O271" s="24" t="str">
        <x:v>1</x:v>
      </x:c>
      <x:c r="P271" s="28" t="str">
        <x:v>联邦环境下AT受隐私和边缘计算约束。</x:v>
      </x:c>
      <x:c r="Q271" s="25" t="str"/>
      <x:c r="R271" s="24" t="str">
        <x:f>IF(Q271&lt;&gt;"",Q271,O271)</x:f>
        <x:v>1</x:v>
      </x:c>
      <x:c r="S271" s="29" t="str"/>
    </x:row>
    <x:row r="272" ht="54" customHeight="1">
      <x:c r="A272" s="17" t="str">
        <x:v>csq014-r11</x:v>
      </x:c>
      <x:c r="B272" s="17" t="str">
        <x:v>csq014</x:v>
      </x:c>
      <x:c r="C272" s="17" t="str">
        <x:v>computer_vision</x:v>
      </x:c>
      <x:c r="D272" s="17" t="str">
        <x:v>adversarial_robustness</x:v>
      </x:c>
      <x:c r="E272" s="27" t="str">
        <x:v>What limitations of adversarial training as a defense for image classifiers have been established, particularly regarding accuracy, computational cost, and generalization to unseen attacks?</x:v>
      </x:c>
      <x:c r="F272" s="22" t="n">
        <x:v>11</x:v>
      </x:c>
      <x:c r="G272" s="17" t="str">
        <x:v>arXiv:2305.13678</x:v>
      </x:c>
      <x:c r="H272" s="27" t="str">
        <x:v>Enhancing Accuracy and Robustness through Adversarial Training in Class Incremental Continual Learning</x:v>
      </x:c>
      <x:c r="I272" s="17" t="str">
        <x:v>Minchan Kwon; Kangil Kim</x:v>
      </x:c>
      <x:c r="J272" s="22" t="n">
        <x:v>2023</x:v>
      </x:c>
      <x:c r="K272" s="27" t="str">
        <x:v>In real life, adversarial attack to deep learning models is a fatal security issue. However, the issue has been rarely discussed in a widely used class-incremental continual learning (CICL). In this paper, we address problems of applying adversarial training to CICL, which is well-known defense method against adversarial attack. A well-known problem of CICL is class-imbalance that biases a model to the current task by a few samples of previous tasks. Meeting with the adversarial training, the imbalance causes another imbalance of attack trials over tasks. Lacking clean data of a minority class by the class-imbalance and increasing of attack trials from a majority class by the secondary imbalance, adversarial training distorts optimal decision boundaries. The distortion eventually decreases both accuracy and robustness than adversarial training. To exclude the effects, we propose a straightforward but significantly effective method, External Adversarial Training (EAT) which can be applied to methods using experience replay. This method conduct adversarial training to an auxiliary external model for the current task data at each time step, and applies generated adversarial examples to train the target model. We verify the effects on a toy problem and show significance on CICL benchmarks of image classification. We expect that the results will be used as the first baseline for robustness research of CICL.</x:v>
      </x:c>
      <x:c r="L272" s="17" t="str">
        <x:v>http://arxiv.org/abs/2305.13678v1</x:v>
      </x:c>
      <x:c r="M272" s="23" t="n">
        <x:v>0.49336694651323837</x:v>
      </x:c>
      <x:c r="N272" s="17" t="str">
        <x:v>qwen3-rerank-no-instruct-20260727-125006-results.jsonl</x:v>
      </x:c>
      <x:c r="O272" s="24" t="str">
        <x:v>1</x:v>
      </x:c>
      <x:c r="P272" s="28" t="str">
        <x:v>持续学习中特定AT问题，范围较窄。</x:v>
      </x:c>
      <x:c r="Q272" s="25" t="str"/>
      <x:c r="R272" s="24" t="str">
        <x:f>IF(Q272&lt;&gt;"",Q272,O272)</x:f>
        <x:v>1</x:v>
      </x:c>
      <x:c r="S272" s="29" t="str"/>
    </x:row>
    <x:row r="273" ht="54" customHeight="1">
      <x:c r="A273" s="17" t="str">
        <x:v>csq014-r12</x:v>
      </x:c>
      <x:c r="B273" s="17" t="str">
        <x:v>csq014</x:v>
      </x:c>
      <x:c r="C273" s="17" t="str">
        <x:v>computer_vision</x:v>
      </x:c>
      <x:c r="D273" s="17" t="str">
        <x:v>adversarial_robustness</x:v>
      </x:c>
      <x:c r="E273" s="27" t="str">
        <x:v>What limitations of adversarial training as a defense for image classifiers have been established, particularly regarding accuracy, computational cost, and generalization to unseen attacks?</x:v>
      </x:c>
      <x:c r="F273" s="22" t="n">
        <x:v>12</x:v>
      </x:c>
      <x:c r="G273" s="17" t="str">
        <x:v>arXiv:2302.03523</x:v>
      </x:c>
      <x:c r="H273" s="27" t="str">
        <x:v>Sparse Mixture Once-for-all Adversarial Training for Efficient In-Situ Trade-Off Between Accuracy and Robustness of DNNs</x:v>
      </x:c>
      <x:c r="I273" s="17" t="str">
        <x:v>Souvik Kundu; Sairam Sundaresan; Sharath Nittur Sridhar; Shunlin Lu; Han Tang; Peter A. Beerel</x:v>
      </x:c>
      <x:c r="J273" s="22" t="n">
        <x:v>2022</x:v>
      </x:c>
      <x:c r="K273" s="27" t="str">
        <x:v>Existing deep neural networks (DNNs) that achieve state-of-the-art (SOTA) performance on both clean and adversarially-perturbed images rely on either activation or weight conditioned convolution operations. However, such conditional learning costs additional multiply-accumulate (MAC) or addition operations, increasing inference memory and compute costs. To that end, we present a sparse mixture once for all adversarial training (SMART), that allows a model to train once and then in-situ trade-off between accuracy and robustness, that too at a reduced compute and parameter overhead. In particular, SMART develops two expert paths, for clean and adversarial images, respectively, that are then conditionally trained via respective dedicated sets of binary sparsity masks. Extensive evaluations on multiple image classification datasets across different models show SMART to have up to 2.72x fewer non-zero parameters costing proportional reduction in compute overhead, while yielding SOTA accuracy-robustness trade-off. Additionally, we present insightful observations in designing sparse masks to successfully condition on both clean and perturbed images.</x:v>
      </x:c>
      <x:c r="L273" s="17" t="str">
        <x:v>http://arxiv.org/abs/2302.03523v1</x:v>
      </x:c>
      <x:c r="M273" s="23" t="n">
        <x:v>0.48713149796189065</x:v>
      </x:c>
      <x:c r="N273" s="17" t="str">
        <x:v>qwen3-rerank-no-instruct-20260727-125006-results.jsonl</x:v>
      </x:c>
      <x:c r="O273" s="24" t="str">
        <x:v>2</x:v>
      </x:c>
      <x:c r="P273" s="28" t="str">
        <x:v>直接权衡图像鲁棒准确率与计算成本。</x:v>
      </x:c>
      <x:c r="Q273" s="25" t="str"/>
      <x:c r="R273" s="24" t="str">
        <x:f>IF(Q273&lt;&gt;"",Q273,O273)</x:f>
        <x:v>2</x:v>
      </x:c>
      <x:c r="S273" s="29" t="str"/>
    </x:row>
    <x:row r="274" ht="54" customHeight="1">
      <x:c r="A274" s="17" t="str">
        <x:v>csq014-r13</x:v>
      </x:c>
      <x:c r="B274" s="17" t="str">
        <x:v>csq014</x:v>
      </x:c>
      <x:c r="C274" s="17" t="str">
        <x:v>computer_vision</x:v>
      </x:c>
      <x:c r="D274" s="17" t="str">
        <x:v>adversarial_robustness</x:v>
      </x:c>
      <x:c r="E274" s="27" t="str">
        <x:v>What limitations of adversarial training as a defense for image classifiers have been established, particularly regarding accuracy, computational cost, and generalization to unseen attacks?</x:v>
      </x:c>
      <x:c r="F274" s="22" t="n">
        <x:v>13</x:v>
      </x:c>
      <x:c r="G274" s="17" t="str">
        <x:v>arXiv:2103.04513</x:v>
      </x:c>
      <x:c r="H274" s="27" t="str">
        <x:v>Improving Global Adversarial Robustness Generalization With Adversarially Trained GAN</x:v>
      </x:c>
      <x:c r="I274" s="17" t="str">
        <x:v>Desheng Wang; Weidong Jin; Yunpu Wu; Aamir Khan</x:v>
      </x:c>
      <x:c r="J274" s="22" t="n">
        <x:v>2021</x:v>
      </x:c>
      <x:c r="K274" s="27" t="str">
        <x:v>Convolutional neural networks (CNNs) have achieved beyond human-level accuracy in the image classification task and are widely deployed in real-world environments. However, CNNs show vulnerability to adversarial perturbations that are well-designed noises aiming to mislead the classification models. In order to defend against the adversarial perturbations, adversarially trained GAN (ATGAN) is proposed to improve the adversarial robustness generalization of the state-of-the-art CNNs trained by adversarial training. ATGAN incorporates adversarial training into standard GAN training procedure to remove obfuscated gradients which can lead to a false sense in defending against the adversarial perturbations and are commonly observed in existing GANs-based adversarial defense methods. Moreover, ATGAN adopts the image-to-image generator as data augmentation to increase the sample complexity needed for adversarial robustness generalization in adversarial training. Experimental results in MNIST SVHN and CIFAR-10 datasets show that the proposed method doesn't rely on obfuscated gradients and achieves better global adversarial robustness generalization performance than the adversarially trained state-of-the-art CNNs.</x:v>
      </x:c>
      <x:c r="L274" s="17" t="str">
        <x:v>http://arxiv.org/abs/2103.04513v1</x:v>
      </x:c>
      <x:c r="M274" s="23" t="n">
        <x:v>0.48294047997758266</x:v>
      </x:c>
      <x:c r="N274" s="17" t="str">
        <x:v>qwen3-rerank-no-instruct-20260727-125006-results.jsonl</x:v>
      </x:c>
      <x:c r="O274" s="24" t="str">
        <x:v>2</x:v>
      </x:c>
      <x:c r="P274" s="28" t="str">
        <x:v>直接研究图像分类AT的全局泛化。</x:v>
      </x:c>
      <x:c r="Q274" s="25" t="str"/>
      <x:c r="R274" s="24" t="str">
        <x:f>IF(Q274&lt;&gt;"",Q274,O274)</x:f>
        <x:v>2</x:v>
      </x:c>
      <x:c r="S274" s="29" t="str"/>
    </x:row>
    <x:row r="275" ht="54" customHeight="1">
      <x:c r="A275" s="17" t="str">
        <x:v>csq014-r14</x:v>
      </x:c>
      <x:c r="B275" s="17" t="str">
        <x:v>csq014</x:v>
      </x:c>
      <x:c r="C275" s="17" t="str">
        <x:v>computer_vision</x:v>
      </x:c>
      <x:c r="D275" s="17" t="str">
        <x:v>adversarial_robustness</x:v>
      </x:c>
      <x:c r="E275" s="27" t="str">
        <x:v>What limitations of adversarial training as a defense for image classifiers have been established, particularly regarding accuracy, computational cost, and generalization to unseen attacks?</x:v>
      </x:c>
      <x:c r="F275" s="22" t="n">
        <x:v>14</x:v>
      </x:c>
      <x:c r="G275" s="17" t="str">
        <x:v>arXiv:2104.01231</x:v>
      </x:c>
      <x:c r="H275" s="27" t="str">
        <x:v>Diverse Gaussian Noise Consistency Regularization for Robustness and Uncertainty Calibration</x:v>
      </x:c>
      <x:c r="I275" s="17" t="str">
        <x:v>Theodoros Tsiligkaridis; Athanasios Tsiligkaridis</x:v>
      </x:c>
      <x:c r="J275" s="22" t="n">
        <x:v>2021</x:v>
      </x:c>
      <x:c r="K275" s="27" t="str">
        <x:v>Deep neural networks achieve high prediction accuracy when the train and test distributions coincide. In practice though, various types of corruptions occur which deviate from this setup and cause severe performance degradations. Few methods have been proposed to address generalization in the presence of unforeseen domain shifts. In particular, digital noise corruptions arise commonly in practice during the image acquisition stage and present a significant challenge for current methods. In this paper, we propose a diverse Gaussian noise consistency regularization method for improving robustness of image classifiers under a variety of corruptions while still maintaining high clean accuracy. We derive bounds to motivate and understand the behavior of our Gaussian noise consistency regularization using a local loss landscape analysis. Our approach improves robustness against unforeseen noise corruptions by 4.2-18.4% over adversarial training and other strong diverse data augmentation baselines across several benchmarks. Furthermore, it improves robustness and uncertainty calibration by 3.7% and 5.5%, respectively, against all common corruptions (weather, digital, blur, noise) when combined with state-of-the-art diverse data augmentations.</x:v>
      </x:c>
      <x:c r="L275" s="17" t="str">
        <x:v>http://arxiv.org/abs/2104.01231v6</x:v>
      </x:c>
      <x:c r="M275" s="23" t="n">
        <x:v>0.4619935585573458</x:v>
      </x:c>
      <x:c r="N275" s="17" t="str">
        <x:v>qwen3-rerank-no-instruct-20260727-125006-results.jsonl</x:v>
      </x:c>
      <x:c r="O275" s="24" t="str">
        <x:v>0</x:v>
      </x:c>
      <x:c r="P275" s="28" t="str">
        <x:v>研究噪声一致性而非对抗训练。</x:v>
      </x:c>
      <x:c r="Q275" s="25" t="str"/>
      <x:c r="R275" s="24" t="str">
        <x:f>IF(Q275&lt;&gt;"",Q275,O275)</x:f>
        <x:v>0</x:v>
      </x:c>
      <x:c r="S275" s="29" t="str"/>
    </x:row>
    <x:row r="276" ht="54" customHeight="1">
      <x:c r="A276" s="17" t="str">
        <x:v>csq014-r15</x:v>
      </x:c>
      <x:c r="B276" s="17" t="str">
        <x:v>csq014</x:v>
      </x:c>
      <x:c r="C276" s="17" t="str">
        <x:v>computer_vision</x:v>
      </x:c>
      <x:c r="D276" s="17" t="str">
        <x:v>adversarial_robustness</x:v>
      </x:c>
      <x:c r="E276" s="27" t="str">
        <x:v>What limitations of adversarial training as a defense for image classifiers have been established, particularly regarding accuracy, computational cost, and generalization to unseen attacks?</x:v>
      </x:c>
      <x:c r="F276" s="22" t="n">
        <x:v>15</x:v>
      </x:c>
      <x:c r="G276" s="17" t="str">
        <x:v>arXiv:2403.05030</x:v>
      </x:c>
      <x:c r="H276" s="27" t="str">
        <x:v>Defending Against Unforeseen Failure Modes with Latent Adversarial Training</x:v>
      </x:c>
      <x:c r="I276" s="17" t="str">
        <x:v>Stephen Casper; Lennart Schulze; Oam Patel; Dylan Hadfield-Menell</x:v>
      </x:c>
      <x:c r="J276" s="22" t="n">
        <x:v>2024</x:v>
      </x:c>
      <x:c r="K276" s="27" t="str">
        <x:v>Despite extensive diagnostics and debugging by developers, AI systems sometimes exhibit harmful unintended behaviors. Finding and fixing these is challenging because the attack surface is so large -- it is not tractable to exhaustively search for inputs that may elicit harmful behaviors. Red-teaming and adversarial training (AT) are commonly used to improve robustness, however, they empirically struggle to fix failure modes that differ from the attacks used during training. In this work, we utilize latent adversarial training (LAT) to defend against vulnerabilities without leveraging knowledge of what they are or using inputs that elicit them. LAT makes use of the compressed, abstract, and structured latent representations of concepts that the network actually uses for prediction. Here, we use it to defend against failure modes without examples that elicit them. Specifically, we use LAT to remove backdoors and defend against held-out classes of adversarial attacks. We show in image classification, text classification, and text generation tasks that LAT usually improves both robustness to novel attacks and performance on clean data relative to AT. This suggests that LAT can be a promising tool for defending against failure modes that are not explicitly identified by developers.</x:v>
      </x:c>
      <x:c r="L276" s="17" t="str">
        <x:v>http://arxiv.org/abs/2403.05030v6</x:v>
      </x:c>
      <x:c r="M276" s="23" t="n">
        <x:v>0.46127396824438216</x:v>
      </x:c>
      <x:c r="N276" s="17" t="str">
        <x:v>qwen3-rerank-no-instruct-20260727-125006-results.jsonl</x:v>
      </x:c>
      <x:c r="O276" s="24" t="str">
        <x:v>1</x:v>
      </x:c>
      <x:c r="P276" s="28" t="str">
        <x:v>指出AT难泛化到未见故障，但范围不限图像。</x:v>
      </x:c>
      <x:c r="Q276" s="25" t="str"/>
      <x:c r="R276" s="24" t="str">
        <x:f>IF(Q276&lt;&gt;"",Q276,O276)</x:f>
        <x:v>1</x:v>
      </x:c>
      <x:c r="S276" s="29" t="str"/>
    </x:row>
    <x:row r="277" ht="54" customHeight="1">
      <x:c r="A277" s="17" t="str">
        <x:v>csq014-r16</x:v>
      </x:c>
      <x:c r="B277" s="17" t="str">
        <x:v>csq014</x:v>
      </x:c>
      <x:c r="C277" s="17" t="str">
        <x:v>computer_vision</x:v>
      </x:c>
      <x:c r="D277" s="17" t="str">
        <x:v>adversarial_robustness</x:v>
      </x:c>
      <x:c r="E277" s="27" t="str">
        <x:v>What limitations of adversarial training as a defense for image classifiers have been established, particularly regarding accuracy, computational cost, and generalization to unseen attacks?</x:v>
      </x:c>
      <x:c r="F277" s="22" t="n">
        <x:v>16</x:v>
      </x:c>
      <x:c r="G277" s="17" t="str">
        <x:v>arXiv:2307.10235</x:v>
      </x:c>
      <x:c r="H277" s="27" t="str">
        <x:v>Towards Viewpoint-Invariant Visual Recognition via Adversarial Training</x:v>
      </x:c>
      <x:c r="I277" s="17" t="str">
        <x:v>Shouwei Ruan; Yinpeng Dong; Hang Su; Jianteng Peng; Ning Chen; Xingxing Wei</x:v>
      </x:c>
      <x:c r="J277" s="22" t="n">
        <x:v>2023</x:v>
      </x:c>
      <x:c r="K277" s="27" t="str">
        <x:v>Visual recognition models are not invariant to viewpoint changes in the 3D world, as different viewing directions can dramatically affect the predictions given the same object. Although many efforts have been devoted to making neural networks invariant to 2D image translations and rotations, viewpoint invariance is rarely investigated. As most models process images in the perspective view, it is challenging to impose invariance to 3D viewpoint changes based only on 2D inputs. Motivated by the success of adversarial training in promoting model robustness, we propose Viewpoint-Invariant Adversarial Training (VIAT) to improve viewpoint robustness of common image classifiers. By regarding viewpoint transformation as an attack, VIAT is formulated as a minimax optimization problem, where the inner maximization characterizes diverse adversarial viewpoints by learning a Gaussian mixture distribution based on a new attack GMVFool, while the outer minimization trains a viewpoint-invariant classifier by minimizing the expected loss over the worst-case adversarial viewpoint distributions. To further improve the generalization performance, a distribution sharing strategy is introduced leveraging the transferability of adversarial viewpoints across objects. Experiments validate the effectiveness of VIAT in improving the viewpoint robustness of various image classifiers based on the diversity of adversarial viewpoints generated by GMVFool.</x:v>
      </x:c>
      <x:c r="L277" s="17" t="str">
        <x:v>http://arxiv.org/abs/2307.10235v1</x:v>
      </x:c>
      <x:c r="M277" s="23" t="n">
        <x:v>0.45456454698295845</x:v>
      </x:c>
      <x:c r="N277" s="17" t="str">
        <x:v>qwen3-rerank-no-instruct-20260727-125006-results.jsonl</x:v>
      </x:c>
      <x:c r="O277" s="24" t="str">
        <x:v>0</x:v>
      </x:c>
      <x:c r="P277" s="28" t="str">
        <x:v>用对抗训练学习视点不变性，非对抗攻击防御。</x:v>
      </x:c>
      <x:c r="Q277" s="25" t="str"/>
      <x:c r="R277" s="24" t="str">
        <x:f>IF(Q277&lt;&gt;"",Q277,O277)</x:f>
        <x:v>0</x:v>
      </x:c>
      <x:c r="S277" s="29" t="str"/>
    </x:row>
    <x:row r="278" ht="54" customHeight="1">
      <x:c r="A278" s="17" t="str">
        <x:v>csq014-r17</x:v>
      </x:c>
      <x:c r="B278" s="17" t="str">
        <x:v>csq014</x:v>
      </x:c>
      <x:c r="C278" s="17" t="str">
        <x:v>computer_vision</x:v>
      </x:c>
      <x:c r="D278" s="17" t="str">
        <x:v>adversarial_robustness</x:v>
      </x:c>
      <x:c r="E278" s="27" t="str">
        <x:v>What limitations of adversarial training as a defense for image classifiers have been established, particularly regarding accuracy, computational cost, and generalization to unseen attacks?</x:v>
      </x:c>
      <x:c r="F278" s="22" t="n">
        <x:v>17</x:v>
      </x:c>
      <x:c r="G278" s="17" t="str">
        <x:v>arXiv:2306.12941</x:v>
      </x:c>
      <x:c r="H278" s="27" t="str">
        <x:v>Towards Reliable Evaluation and Fast Training of Robust Semantic Segmentation Models</x:v>
      </x:c>
      <x:c r="I278" s="17" t="str">
        <x:v>Francesco Croce; Naman D Singh; Matthias Hein</x:v>
      </x:c>
      <x:c r="J278" s="22" t="n">
        <x:v>2023</x:v>
      </x:c>
      <x:c r="K278" s="27" t="str">
        <x:v>Adversarial robustness has been studied extensively in image classification, especially for the $\ell_\infty$-threat model, but significantly less so for related tasks such as object detection and semantic segmentation, where attacks turn out to be a much harder optimization problem than for image classification. We propose several problem-specific novel attacks minimizing different metrics in accuracy and mIoU. The ensemble of our attacks, SEA, shows that existing attacks severely overestimate the robustness of semantic segmentation models. Surprisingly, existing attempts of adversarial training for semantic segmentation models turn out to be weak or even completely non-robust. We investigate why previous adaptations of adversarial training to semantic segmentation failed and show how recently proposed robust ImageNet backbones can be used to obtain adversarially robust semantic segmentation models with up to six times less training time for PASCAL-VOC and the more challenging ADE20k. The associated code and robust models are available at https://github.com/nmndeep/robust-segmentation</x:v>
      </x:c>
      <x:c r="L278" s="17" t="str">
        <x:v>http://arxiv.org/abs/2306.12941v2</x:v>
      </x:c>
      <x:c r="M278" s="23" t="n">
        <x:v>0.4453282910019077</x:v>
      </x:c>
      <x:c r="N278" s="17" t="str">
        <x:v>qwen3-rerank-no-instruct-20260727-125006-results.jsonl</x:v>
      </x:c>
      <x:c r="O278" s="24" t="str">
        <x:v>0</x:v>
      </x:c>
      <x:c r="P278" s="28" t="str">
        <x:v>研究语义分割而非图像分类。</x:v>
      </x:c>
      <x:c r="Q278" s="25" t="str"/>
      <x:c r="R278" s="24" t="str">
        <x:f>IF(Q278&lt;&gt;"",Q278,O278)</x:f>
        <x:v>0</x:v>
      </x:c>
      <x:c r="S278" s="29" t="str"/>
    </x:row>
    <x:row r="279" ht="54" customHeight="1">
      <x:c r="A279" s="17" t="str">
        <x:v>csq014-r18</x:v>
      </x:c>
      <x:c r="B279" s="17" t="str">
        <x:v>csq014</x:v>
      </x:c>
      <x:c r="C279" s="17" t="str">
        <x:v>computer_vision</x:v>
      </x:c>
      <x:c r="D279" s="17" t="str">
        <x:v>adversarial_robustness</x:v>
      </x:c>
      <x:c r="E279" s="27" t="str">
        <x:v>What limitations of adversarial training as a defense for image classifiers have been established, particularly regarding accuracy, computational cost, and generalization to unseen attacks?</x:v>
      </x:c>
      <x:c r="F279" s="22" t="n">
        <x:v>18</x:v>
      </x:c>
      <x:c r="G279" s="17" t="str">
        <x:v>arXiv:2204.00426</x:v>
      </x:c>
      <x:c r="H279" s="27" t="str">
        <x:v>A Fast and Efficient Conditional Learning for Tunable Trade-Off between Accuracy and Robustness</x:v>
      </x:c>
      <x:c r="I279" s="17" t="str">
        <x:v>Souvik Kundu; Sairam Sundaresan; Massoud Pedram; Peter A. Beerel</x:v>
      </x:c>
      <x:c r="J279" s="22" t="n">
        <x:v>2022</x:v>
      </x:c>
      <x:c r="K279" s="27" t="str">
        <x:v>Existing models that achieve state-of-the-art (SOTA) performance on both clean and adversarially-perturbed images rely on convolution operations conditioned with feature-wise linear modulation (FiLM) layers. These layers require many new parameters and are hyperparameter sensitive. They significantly increase training time, memory cost, and potential latency which can prove costly for resource-limited or real-time applications. In this paper, we present a fast learnable once-for-all adversarial training (FLOAT) algorithm, which instead of the existing FiLM-based conditioning, presents a unique weight conditioned learning that requires no additional layer, thereby incurring no significant increase in parameter count, training time, or network latency compared to standard adversarial training. In particular, we add configurable scaled noise to the weight tensors that enables a trade-off between clean and adversarial performance. Extensive experiments show that FLOAT can yield SOTA performance improving both clean and perturbed image classification by up to ~6% and ~10%, respectively. Moreover, real hardware measurement shows that FLOAT can reduce the training time by up to 1.43x with fewer model parameters of up to 1.47x on iso-hyperparameter settings compared to the FiLM-based alternatives. Additionally, to further improve memory efficiency we introduce FLOAT sparse (FLOATS), a form of non-iterative model pruning and provide detailed empirical analysis to provide a three way accuracy-robustness-complexity trade-off for these new class of pruned conditionally trained models.</x:v>
      </x:c>
      <x:c r="L279" s="17" t="str">
        <x:v>http://arxiv.org/abs/2204.00426v1</x:v>
      </x:c>
      <x:c r="M279" s="23" t="n">
        <x:v>0.441225006791545</x:v>
      </x:c>
      <x:c r="N279" s="17" t="str">
        <x:v>qwen3-rerank-no-instruct-20260727-125006-results.jsonl</x:v>
      </x:c>
      <x:c r="O279" s="24" t="str">
        <x:v>2</x:v>
      </x:c>
      <x:c r="P279" s="28" t="str">
        <x:v>明确分析鲁棒准确率模型的训练和内存成本。</x:v>
      </x:c>
      <x:c r="Q279" s="25" t="str"/>
      <x:c r="R279" s="24" t="str">
        <x:f>IF(Q279&lt;&gt;"",Q279,O279)</x:f>
        <x:v>2</x:v>
      </x:c>
      <x:c r="S279" s="29" t="str"/>
    </x:row>
    <x:row r="280" ht="54" customHeight="1">
      <x:c r="A280" s="17" t="str">
        <x:v>csq014-r19</x:v>
      </x:c>
      <x:c r="B280" s="17" t="str">
        <x:v>csq014</x:v>
      </x:c>
      <x:c r="C280" s="17" t="str">
        <x:v>computer_vision</x:v>
      </x:c>
      <x:c r="D280" s="17" t="str">
        <x:v>adversarial_robustness</x:v>
      </x:c>
      <x:c r="E280" s="27" t="str">
        <x:v>What limitations of adversarial training as a defense for image classifiers have been established, particularly regarding accuracy, computational cost, and generalization to unseen attacks?</x:v>
      </x:c>
      <x:c r="F280" s="22" t="n">
        <x:v>19</x:v>
      </x:c>
      <x:c r="G280" s="17" t="str">
        <x:v>arXiv:1909.12927</x:v>
      </x:c>
      <x:c r="H280" s="27" t="str">
        <x:v>Toward Robust Image Classification</x:v>
      </x:c>
      <x:c r="I280" s="17" t="str">
        <x:v>Basemah Alshemali; Alta Graham; Jugal Kalita</x:v>
      </x:c>
      <x:c r="J280" s="22" t="n">
        <x:v>2019</x:v>
      </x:c>
      <x:c r="K280" s="27" t="str">
        <x:v>Neural networks are frequently used for image classification, but can be vulnerable to misclassification caused by adversarial images. Attempts to make neural network image classification more robust have included variations on preprocessing (cropping, applying noise, blurring), adversarial training, and dropout randomization. In this paper, we implemented a model for adversarial detection based on a combination of two of these techniques: dropout randomization with preprocessing applied to images within a given Bayesian uncertainty. We evaluated our model on the MNIST dataset, using adversarial images generated using Fast Gradient Sign Method (FGSM), Jacobian-based Saliency Map Attack (JSMA) and Basic Iterative Method (BIM) attacks. Our model achieved an average adversarial image detection accuracy of 97%, with an average image classification accuracy, after discarding images flagged as adversarial, of 99%. Our average detection accuracy exceeded that of recent papers using similar techniques.</x:v>
      </x:c>
      <x:c r="L280" s="17" t="str">
        <x:v>http://arxiv.org/abs/1909.12927v1</x:v>
      </x:c>
      <x:c r="M280" s="23" t="n">
        <x:v>0.4404802333622756</x:v>
      </x:c>
      <x:c r="N280" s="17" t="str">
        <x:v>qwen3-rerank-no-instruct-20260727-125006-results.jsonl</x:v>
      </x:c>
      <x:c r="O280" s="24" t="str">
        <x:v>1</x:v>
      </x:c>
      <x:c r="P280" s="28" t="str">
        <x:v>图像鲁棒防御综述性实验，AT仅为一类方法。</x:v>
      </x:c>
      <x:c r="Q280" s="25" t="str"/>
      <x:c r="R280" s="24" t="str">
        <x:f>IF(Q280&lt;&gt;"",Q280,O280)</x:f>
        <x:v>1</x:v>
      </x:c>
      <x:c r="S280" s="29" t="str"/>
    </x:row>
    <x:row r="281" ht="54" customHeight="1">
      <x:c r="A281" s="17" t="str">
        <x:v>csq014-r20</x:v>
      </x:c>
      <x:c r="B281" s="17" t="str">
        <x:v>csq014</x:v>
      </x:c>
      <x:c r="C281" s="17" t="str">
        <x:v>computer_vision</x:v>
      </x:c>
      <x:c r="D281" s="17" t="str">
        <x:v>adversarial_robustness</x:v>
      </x:c>
      <x:c r="E281" s="27" t="str">
        <x:v>What limitations of adversarial training as a defense for image classifiers have been established, particularly regarding accuracy, computational cost, and generalization to unseen attacks?</x:v>
      </x:c>
      <x:c r="F281" s="22" t="n">
        <x:v>20</x:v>
      </x:c>
      <x:c r="G281" s="17" t="str">
        <x:v>arXiv:2105.11144</x:v>
      </x:c>
      <x:c r="H281" s="27" t="str">
        <x:v>Improved OOD Generalization via Adversarial Training and Pre-training</x:v>
      </x:c>
      <x:c r="I281" s="17" t="str">
        <x:v>Mingyang Yi; Lu Hou; Jiacheng Sun; Lifeng Shang; Xin Jiang; Qun Liu; Zhi-Ming Ma</x:v>
      </x:c>
      <x:c r="J281" s="22" t="n">
        <x:v>2021</x:v>
      </x:c>
      <x:c r="K281" s="27" t="str">
        <x:v>Recently, learning a model that generalizes well on out-of-distribution (OOD) data has attracted great attention in the machine learning community. In this paper, after defining OOD generalization via Wasserstein distance, we theoretically show that a model robust to input perturbation generalizes well on OOD data. Inspired by previous findings that adversarial training helps improve input-robustness, we theoretically show that adversarially trained models have converged excess risk on OOD data, and empirically verify it on both image classification and natural language understanding tasks. Besides, in the paradigm of first pre-training and then fine-tuning, we theoretically show that a pre-trained model that is more robust to input perturbation provides a better initialization for generalization on downstream OOD data. Empirically, after fine-tuning, this better-initialized model from adversarial pre-training also has better OOD generalization.</x:v>
      </x:c>
      <x:c r="L281" s="17" t="str">
        <x:v>http://arxiv.org/abs/2105.11144v1</x:v>
      </x:c>
      <x:c r="M281" s="23" t="n">
        <x:v>0.4377353320665641</x:v>
      </x:c>
      <x:c r="N281" s="17" t="str">
        <x:v>qwen3-rerank-no-instruct-20260727-125006-results.jsonl</x:v>
      </x:c>
      <x:c r="O281" s="24" t="str">
        <x:v>1</x:v>
      </x:c>
      <x:c r="P281" s="28" t="str">
        <x:v>论证AT改善OOD泛化，可作反向权衡证据。</x:v>
      </x:c>
      <x:c r="Q281" s="25" t="str"/>
      <x:c r="R281" s="24" t="str">
        <x:f>IF(Q281&lt;&gt;"",Q281,O281)</x:f>
        <x:v>1</x:v>
      </x:c>
      <x:c r="S281" s="29" t="str"/>
    </x:row>
    <x:row r="282" ht="54" customHeight="1">
      <x:c r="A282" s="17" t="str">
        <x:v>csq015-r01</x:v>
      </x:c>
      <x:c r="B282" s="17" t="str">
        <x:v>csq015</x:v>
      </x:c>
      <x:c r="C282" s="17" t="str">
        <x:v>systems_and_networking</x:v>
      </x:c>
      <x:c r="D282" s="17" t="str">
        <x:v>distributed_consensus</x:v>
      </x:c>
      <x:c r="E282" s="27" t="str">
        <x:v>What are the main approaches for reducing communication and latency costs in Byzantine fault-tolerant consensus protocols?</x:v>
      </x:c>
      <x:c r="F282" s="22" t="n">
        <x:v>1</x:v>
      </x:c>
      <x:c r="G282" s="17" t="str">
        <x:v>arXiv:1906.04381</x:v>
      </x:c>
      <x:c r="H282" s="27" t="str">
        <x:v>Window Based BFT Blockchain Consensus</x:v>
      </x:c>
      <x:c r="I282" s="17" t="str">
        <x:v>Mohammad M. Jalalzai; Costas Busch</x:v>
      </x:c>
      <x:c r="J282" s="22" t="n">
        <x:v>2019</x:v>
      </x:c>
      <x:c r="K282" s="27" t="str">
        <x:v>There is surge of interest to the blockchain technology not only in the scientific community but in the business community as well. Proof of Work (PoW) and Byzantine Fault Tolerant (BFT) are the two main classes of consensus protocols that are used in the blockchain consensus layer. PoW is highly scalable but very slow with about 7 (transactions/second) performance. BFT based protocols are highly efficient but their scalability are limited to only tens of nodes. One of the main reasons for the BFT limitation is the quadratic $O(n^2)$ communication complexity of BFT based protocols for $n$ nodes that requires $n \times n$ broadcasting. In this paper, we present the {\em Musch} protocol which is BFT based and provides communication complexity $O(f n + n)$ for $f$ failures and $n$ nodes, where $f &lt; n/3$, without compromising the latency. Hence, the performance adjusts to $f$ such that for constant $f$ the communication complexity is linear. Musch achieves this by introducing the notion of exponentially increasing windows of nodes to which complains are reported, instead of broadcasting to all the nodes. To our knowledge, this is the first BFT-based blockchain protocol which efficiently addresses simultaneously the issues of communication complexity and latency under the presence of failures.</x:v>
      </x:c>
      <x:c r="L282" s="17" t="str">
        <x:v>http://arxiv.org/abs/1906.04381v1</x:v>
      </x:c>
      <x:c r="M282" s="23" t="n">
        <x:v>0.8474665220577088</x:v>
      </x:c>
      <x:c r="N282" s="17" t="str">
        <x:v>qwen3-rerank-no-instruct-20260727-125006-results.jsonl</x:v>
      </x:c>
      <x:c r="O282" s="24" t="str">
        <x:v>2</x:v>
      </x:c>
      <x:c r="P282" s="28" t="str">
        <x:v>窗口式BFT直接降低二次广播复杂度。</x:v>
      </x:c>
      <x:c r="Q282" s="25" t="str"/>
      <x:c r="R282" s="24" t="str">
        <x:f>IF(Q282&lt;&gt;"",Q282,O282)</x:f>
        <x:v>2</x:v>
      </x:c>
      <x:c r="S282" s="29" t="str"/>
    </x:row>
    <x:row r="283" ht="54" customHeight="1">
      <x:c r="A283" s="17" t="str">
        <x:v>csq015-r02</x:v>
      </x:c>
      <x:c r="B283" s="17" t="str">
        <x:v>csq015</x:v>
      </x:c>
      <x:c r="C283" s="17" t="str">
        <x:v>systems_and_networking</x:v>
      </x:c>
      <x:c r="D283" s="17" t="str">
        <x:v>distributed_consensus</x:v>
      </x:c>
      <x:c r="E283" s="27" t="str">
        <x:v>What are the main approaches for reducing communication and latency costs in Byzantine fault-tolerant consensus protocols?</x:v>
      </x:c>
      <x:c r="F283" s="22" t="n">
        <x:v>2</x:v>
      </x:c>
      <x:c r="G283" s="17" t="str">
        <x:v>arXiv:2202.13408</x:v>
      </x:c>
      <x:c r="H283" s="27" t="str">
        <x:v>Scalable Byzantine Fault Tolerance via Partial Decentralization</x:v>
      </x:c>
      <x:c r="I283" s="17" t="str">
        <x:v>Balaji Arun; Binoy Ravindran</x:v>
      </x:c>
      <x:c r="J283" s="22" t="n">
        <x:v>2022</x:v>
      </x:c>
      <x:c r="K283" s="27" t="str">
        <x:v>Byzantine consensus is a critical component in many permissioned Blockchains and distributed ledgers. We propose a new paradigm for designing BFT protocols called DQBFT that addresses three major performance and scalability challenges that plague past protocols: (i) high communication costs to reach geo-distributed agreement, (ii) uneven resource utilization hampering performance, and (iii) performance degradation under varying node and network conditions and high-contention workloads. Specifically, DQBFT divides consensus into two parts: 1) durable command replication without a global order, and 2) consistent global ordering of commands across all replicas. DQBFT achieves this by decentralizing the heavy task of replicating commands while centralizing the ordering process. Under the new paradigm, we develop a new protocol, Destiny that uses a combination of three techniques to achieve high performance and scalability: using a trusted subsystem to decrease consensus's quorum size, using threshold signatures to attain linear communication costs, reducing client communication. Our evaluations on 300-replica geo-distributed deployment reveal that DQBFT protocols achieve significant performance gains over prior art: $\approx$3x better throughput and $\approx$50\% better latency.</x:v>
      </x:c>
      <x:c r="L283" s="17" t="str">
        <x:v>http://arxiv.org/abs/2202.13408v1</x:v>
      </x:c>
      <x:c r="M283" s="23" t="n">
        <x:v>0.8290396987365724</x:v>
      </x:c>
      <x:c r="N283" s="17" t="str">
        <x:v>qwen3-rerank-no-instruct-20260727-125006-results.jsonl</x:v>
      </x:c>
      <x:c r="O283" s="24" t="str">
        <x:v>2</x:v>
      </x:c>
      <x:c r="P283" s="28" t="str">
        <x:v>分解共识以降低地理分布通信成本。</x:v>
      </x:c>
      <x:c r="Q283" s="25" t="str"/>
      <x:c r="R283" s="24" t="str">
        <x:f>IF(Q283&lt;&gt;"",Q283,O283)</x:f>
        <x:v>2</x:v>
      </x:c>
      <x:c r="S283" s="29" t="str"/>
    </x:row>
    <x:row r="284" ht="54" customHeight="1">
      <x:c r="A284" s="17" t="str">
        <x:v>csq015-r03</x:v>
      </x:c>
      <x:c r="B284" s="17" t="str">
        <x:v>csq015</x:v>
      </x:c>
      <x:c r="C284" s="17" t="str">
        <x:v>systems_and_networking</x:v>
      </x:c>
      <x:c r="D284" s="17" t="str">
        <x:v>distributed_consensus</x:v>
      </x:c>
      <x:c r="E284" s="27" t="str">
        <x:v>What are the main approaches for reducing communication and latency costs in Byzantine fault-tolerant consensus protocols?</x:v>
      </x:c>
      <x:c r="F284" s="22" t="n">
        <x:v>3</x:v>
      </x:c>
      <x:c r="G284" s="17" t="str">
        <x:v>arXiv:2509.03145</x:v>
      </x:c>
      <x:c r="H284" s="27" t="str">
        <x:v>Efficient and Secure Sleepy Model for BFT Consensus</x:v>
      </x:c>
      <x:c r="I284" s="17" t="str">
        <x:v>Pengkun Ren; Hai Dong; Zahir Tari; Pengcheng Zhang</x:v>
      </x:c>
      <x:c r="J284" s="22" t="n">
        <x:v>2025</x:v>
      </x:c>
      <x:c r="K284" s="27" t="str">
        <x:v>Byzantine Fault Tolerant (BFT) consensus protocols for dynamically available systems face a critical challenge: balancing latency and security in fluctuating node participation. Existing solutions often require multiple rounds of voting per decision, leading to high latency or limited resilience to adversarial behavior. This paper presents a BFT protocol integrating a pre-commit mechanism with publicly verifiable secret sharing (PVSS) into message transmission. By binding users' identities to their messages through PVSS, our approach reduces communication rounds. Compared to other state-of-the-art methods, our protocol typically requires only four network delays (4$Δ$) in common scenarios while being resilient to up to 1/2 adversarial participants. This integration enhances the efficiency and security of the protocol without compromising integrity. Theoretical analysis demonstrates the robustness of the protocol against Byzantine attacks. Experimental evaluations show that, compared to traditional BFT protocols, our protocol significantly prevents fork occurrences and improves chain stability. Furthermore, compared to longest-chain protocol, our protocol maintains stability and lower latency in scenarios with moderate participation fluctuations.</x:v>
      </x:c>
      <x:c r="L284" s="17" t="str">
        <x:v>http://arxiv.org/abs/2509.03145v1</x:v>
      </x:c>
      <x:c r="M284" s="23" t="n">
        <x:v>0.8263479607101967</x:v>
      </x:c>
      <x:c r="N284" s="17" t="str">
        <x:v>qwen3-rerank-no-instruct-20260727-125006-results.jsonl</x:v>
      </x:c>
      <x:c r="O284" s="24" t="str">
        <x:v>2</x:v>
      </x:c>
      <x:c r="P284" s="28" t="str">
        <x:v>以预提交和PVSS平衡BFT延迟与安全。</x:v>
      </x:c>
      <x:c r="Q284" s="25" t="str"/>
      <x:c r="R284" s="24" t="str">
        <x:f>IF(Q284&lt;&gt;"",Q284,O284)</x:f>
        <x:v>2</x:v>
      </x:c>
      <x:c r="S284" s="29" t="str"/>
    </x:row>
    <x:row r="285" ht="54" customHeight="1">
      <x:c r="A285" s="17" t="str">
        <x:v>csq015-r04</x:v>
      </x:c>
      <x:c r="B285" s="17" t="str">
        <x:v>csq015</x:v>
      </x:c>
      <x:c r="C285" s="17" t="str">
        <x:v>systems_and_networking</x:v>
      </x:c>
      <x:c r="D285" s="17" t="str">
        <x:v>distributed_consensus</x:v>
      </x:c>
      <x:c r="E285" s="27" t="str">
        <x:v>What are the main approaches for reducing communication and latency costs in Byzantine fault-tolerant consensus protocols?</x:v>
      </x:c>
      <x:c r="F285" s="22" t="n">
        <x:v>4</x:v>
      </x:c>
      <x:c r="G285" s="17" t="str">
        <x:v>arXiv:2209.00750</x:v>
      </x:c>
      <x:c r="H285" s="27" t="str">
        <x:v>Dumbo-NG: Fast Asynchronous BFT Consensus with Throughput-Oblivious Latency</x:v>
      </x:c>
      <x:c r="I285" s="17" t="str">
        <x:v>Yingzi Gao; Yuan Lu; Zhenliang Lu; Qiang Tang; Jing Xu; Zhenfeng Zhang</x:v>
      </x:c>
      <x:c r="J285" s="22" t="n">
        <x:v>2022</x:v>
      </x:c>
      <x:c r="K285" s="27" t="str">
        <x:v>Despite recent progresses of practical asynchronous Byzantine fault tolerant (BFT) consensus, the state-of-the-art designs still suffer from suboptimal performance. Particularly, to obtain maximum throughput, most existing protocols with guaranteed linear amortized communication complexity require each participating node to broadcast a huge batch of transactions, which dramatically sacrifices latency. Worse still, the f slowest nodes' broadcasts might never be agreed to output and thus can be censored (where f is the number of faults). Implementable mitigation to the threat either uses computationally costly threshold encryption or incurs communication blow-up, thus causing further efficiency issues. We present Dumbo-NG, a novel asynchronous BFT consensus (atomic broadcast) to solve the remaining practical issues. Its technical core is a non-trivial direct reduction from asynchronous atomic broadcast to multi-valued validated Byzantine agreement (MVBA) with quality property. Most interestingly, the new protocol structure empowers completely concurrent execution of transaction dissemination and asynchronous agreement. This brings about two benefits: (i) the throughput-latency tension is resolved to approach peak throughput with minimal increase in latency; (ii) the transactions broadcasted by any honest node can be agreed to output, thus conquering the censorship threat with no extra cost. We implement Dumbo-NG and compare it to the state-of-the-art asynchronous BFT with guaranteed censorship resilience including Dumbo (CCS'20) and Speeding-Dumbo (NDSS'22). We also apply the techniques from Speeding-Dumbo to DispersedLedger (NSDI'22) and obtain an improved variant of DispersedLedger called sDumbo-DL for comprehensive comparison. Extensive experiments reveal: Dumbo-NG realizes better peak throughput performance and its latency can almost remain stable when throughput grows.</x:v>
      </x:c>
      <x:c r="L285" s="17" t="str">
        <x:v>http://arxiv.org/abs/2209.00750v3</x:v>
      </x:c>
      <x:c r="M285" s="23" t="n">
        <x:v>0.7122266681460373</x:v>
      </x:c>
      <x:c r="N285" s="17" t="str">
        <x:v>qwen3-rerank-no-instruct-20260727-125006-results.jsonl</x:v>
      </x:c>
      <x:c r="O285" s="24" t="str">
        <x:v>2</x:v>
      </x:c>
      <x:c r="P285" s="28" t="str">
        <x:v>直接处理线性通信下的吞吐延迟牺牲。</x:v>
      </x:c>
      <x:c r="Q285" s="25" t="str"/>
      <x:c r="R285" s="24" t="str">
        <x:f>IF(Q285&lt;&gt;"",Q285,O285)</x:f>
        <x:v>2</x:v>
      </x:c>
      <x:c r="S285" s="29" t="str"/>
    </x:row>
    <x:row r="286" ht="54" customHeight="1">
      <x:c r="A286" s="17" t="str">
        <x:v>csq015-r05</x:v>
      </x:c>
      <x:c r="B286" s="17" t="str">
        <x:v>csq015</x:v>
      </x:c>
      <x:c r="C286" s="17" t="str">
        <x:v>systems_and_networking</x:v>
      </x:c>
      <x:c r="D286" s="17" t="str">
        <x:v>distributed_consensus</x:v>
      </x:c>
      <x:c r="E286" s="27" t="str">
        <x:v>What are the main approaches for reducing communication and latency costs in Byzantine fault-tolerant consensus protocols?</x:v>
      </x:c>
      <x:c r="F286" s="22" t="n">
        <x:v>5</x:v>
      </x:c>
      <x:c r="G286" s="17" t="str">
        <x:v>arXiv:2405.04606</x:v>
      </x:c>
      <x:c r="H286" s="27" t="str">
        <x:v>Probabilistic Byzantine Fault Tolerance (Extended Version)</x:v>
      </x:c>
      <x:c r="I286" s="17" t="str">
        <x:v>Diogo Avelãs; Hasan Heydari; Eduardo Alchieri; Tobias Distler; Alysson Bessani</x:v>
      </x:c>
      <x:c r="J286" s="22" t="n">
        <x:v>2024</x:v>
      </x:c>
      <x:c r="K286" s="27" t="str">
        <x:v>Consensus is a fundamental building block for constructing reliable and fault-tolerant distributed services. Many Byzantine fault-tolerant consensus protocols designed for partially synchronous systems adopt a pessimistic approach when dealing with adversaries, ensuring safety in a deterministic way even under the worst-case scenarios that adversaries can create. Following this approach typically results in either an increase in the message complexity (e.g., PBFT) or an increase in the number of communication steps (e.g., HotStuff). In practice, however, adversaries are not as powerful as the ones assumed by these protocols. Furthermore, it might suffice to ensure safety and liveness properties with high probability. In order to accommodate more realistic and optimistic adversaries and improve the scalability of the BFT consensus, we propose ProBFT (Probabilistic Byzantine Fault Tolerance). ProBFT is a leader-based probabilistic consensus protocol with a message complexity of $O(n\sqrt{n})$ and an optimal number of communication steps that tolerates Byzantine faults in permissioned partially synchronous systems. It is built on top of well-known primitives, such as probabilistic Byzantine quorums and verifiable random functions. ProBFT guarantees safety and liveness with high probabilities even with faulty leaders, as long as a supermajority of replicas is correct, and using only a fraction of messages employed in PBFT (e.g., $20\%$). We provide a detailed description of ProBFT's protocol and its analysis.</x:v>
      </x:c>
      <x:c r="L286" s="17" t="str">
        <x:v>http://arxiv.org/abs/2405.04606v3</x:v>
      </x:c>
      <x:c r="M286" s="23" t="n">
        <x:v>0.7107687933775109</x:v>
      </x:c>
      <x:c r="N286" s="17" t="str">
        <x:v>qwen3-rerank-no-instruct-20260727-125006-results.jsonl</x:v>
      </x:c>
      <x:c r="O286" s="24" t="str">
        <x:v>2</x:v>
      </x:c>
      <x:c r="P286" s="28" t="str">
        <x:v>概率化BFT权衡消息复杂度与通信轮次。</x:v>
      </x:c>
      <x:c r="Q286" s="25" t="str"/>
      <x:c r="R286" s="24" t="str">
        <x:f>IF(Q286&lt;&gt;"",Q286,O286)</x:f>
        <x:v>2</x:v>
      </x:c>
      <x:c r="S286" s="29" t="str"/>
    </x:row>
    <x:row r="287" ht="54" customHeight="1">
      <x:c r="A287" s="17" t="str">
        <x:v>csq015-r06</x:v>
      </x:c>
      <x:c r="B287" s="17" t="str">
        <x:v>csq015</x:v>
      </x:c>
      <x:c r="C287" s="17" t="str">
        <x:v>systems_and_networking</x:v>
      </x:c>
      <x:c r="D287" s="17" t="str">
        <x:v>distributed_consensus</x:v>
      </x:c>
      <x:c r="E287" s="27" t="str">
        <x:v>What are the main approaches for reducing communication and latency costs in Byzantine fault-tolerant consensus protocols?</x:v>
      </x:c>
      <x:c r="F287" s="22" t="n">
        <x:v>6</x:v>
      </x:c>
      <x:c r="G287" s="17" t="str">
        <x:v>arXiv:2509.01118</x:v>
      </x:c>
      <x:c r="H287" s="27" t="str">
        <x:v>Ocior: Ultra-Fast Asynchronous Leaderless Consensus with Two-Round Finality, Linear Overhead, and Adaptive Security</x:v>
      </x:c>
      <x:c r="I287" s="17" t="str">
        <x:v>Jinyuan Chen</x:v>
      </x:c>
      <x:c r="J287" s="22" t="n">
        <x:v>2025</x:v>
      </x:c>
      <x:c r="K287" s="27" t="str">
        <x:v>In this work, we propose Ocior, a practical asynchronous Byzantine fault-tolerant (BFT) consensus protocol that achieves the optimal performance in resilience, communication, computation, and round complexity. Unlike traditional BFT consensus protocols, Ocior processes incoming transactions individually and concurrently using parallel instances of consensus. While leader-based consensus protocols rely on a designated leader to propose transactions, Ocior is a leaderless consensus protocol that guarantees stable liveness. Ocior achieves: 1) Optimal resilience: Ocior tolerates up to $t$ faulty nodes controlled by an adaptive adversary, for $n\geq 3t+1$. 2) Optimal communication complexity: The total expected communication per transaction is $O(n)$. 3) Optimal (or near-optimal) computation complexity: The total computation per transaction is $O(n)$ in the best case, or $O(n \log^2 n)$ in the worst case. 4) Optimal round complexity: A legitimate two-party transaction can be finalized with a good-case latency of two asynchronous rounds, for any $n\geq 3t+1$. The good case in terms of latency refers to the scenario where the transaction is proposed by any (not necessarily designated) honest node. A two-party transaction involves the transfer of digital assets from one user (or group of users) to one or more recipients. To support efficient consensus, we introduce a novel non-interactive threshold signature (TS) scheme called OciorBLSts. It offers fast signature aggregation, and is adaptively secure. OciorBLSts achieves a computation complexity of signature aggregation of only $O(n)$ in the good cases. Moreover, OciorBLSts supports the property of Instantaneous TS Aggregation. This enables real-time aggregation of partial signatures as they arrive, reducing waiting time and improving responsiveness.</x:v>
      </x:c>
      <x:c r="L287" s="17" t="str">
        <x:v>http://arxiv.org/abs/2509.01118v2</x:v>
      </x:c>
      <x:c r="M287" s="23" t="n">
        <x:v>0.7009024353931219</x:v>
      </x:c>
      <x:c r="N287" s="17" t="str">
        <x:v>qwen3-rerank-no-instruct-20260727-125006-results.jsonl</x:v>
      </x:c>
      <x:c r="O287" s="24" t="str">
        <x:v>2</x:v>
      </x:c>
      <x:c r="P287" s="28" t="str">
        <x:v>两轮终局和线性开销直接降低延迟通信。</x:v>
      </x:c>
      <x:c r="Q287" s="25" t="str"/>
      <x:c r="R287" s="24" t="str">
        <x:f>IF(Q287&lt;&gt;"",Q287,O287)</x:f>
        <x:v>2</x:v>
      </x:c>
      <x:c r="S287" s="29" t="str"/>
    </x:row>
    <x:row r="288" ht="54" customHeight="1">
      <x:c r="A288" s="17" t="str">
        <x:v>csq015-r07</x:v>
      </x:c>
      <x:c r="B288" s="17" t="str">
        <x:v>csq015</x:v>
      </x:c>
      <x:c r="C288" s="17" t="str">
        <x:v>systems_and_networking</x:v>
      </x:c>
      <x:c r="D288" s="17" t="str">
        <x:v>distributed_consensus</x:v>
      </x:c>
      <x:c r="E288" s="27" t="str">
        <x:v>What are the main approaches for reducing communication and latency costs in Byzantine fault-tolerant consensus protocols?</x:v>
      </x:c>
      <x:c r="F288" s="22" t="n">
        <x:v>7</x:v>
      </x:c>
      <x:c r="G288" s="17" t="str">
        <x:v>arXiv:2109.12664</x:v>
      </x:c>
      <x:c r="H288" s="27" t="str">
        <x:v>BigBFT: A Multileader Byzantine Fault Tolerance Protocol for High Throughput</x:v>
      </x:c>
      <x:c r="I288" s="17" t="str">
        <x:v>Salem Alqahtani; Murat Demirbas</x:v>
      </x:c>
      <x:c r="J288" s="22" t="n">
        <x:v>2021</x:v>
      </x:c>
      <x:c r="K288" s="27" t="str">
        <x:v>This paper describes BigBFT, a multi-leader Byzantine fault tolerance protocol that achieves high throughput and scalable consensus in blockchain systems. BigBFT achieves this by (1) enabling every node to be a leader that can propose and order the blocks in parallel, (2) piggybacking votes within rounds, (3) pipelining blocks across rounds, and (4) using only two communication steps to order blocks in the common case. BigBFT has an amortized communication cost of $O(n)$ over $n$ requests. We evaluate BigBFT's performance both analytically, using back-of-the-envelope load formulas to construct a cost analysis, and also empirically by implementing it in our PaxiBFT framework. Our evaluation compares BigBFT with PBFT, Tendermint, Streamlet, and Hotstuff under various workloads using deployments of 4 to 20 nodes. Our results show that BigBFT outperforms PBFT, Tendermint, Streamlet, and Hotstuff protocols either in terms of latency (by up to $70\%$) or in terms of throughput (by up to $190\%$).</x:v>
      </x:c>
      <x:c r="L288" s="17" t="str">
        <x:v>http://arxiv.org/abs/2109.12664v2</x:v>
      </x:c>
      <x:c r="M288" s="23" t="n">
        <x:v>0.6874328657403586</x:v>
      </x:c>
      <x:c r="N288" s="17" t="str">
        <x:v>qwen3-rerank-no-instruct-20260727-125006-results.jsonl</x:v>
      </x:c>
      <x:c r="O288" s="24" t="str">
        <x:v>2</x:v>
      </x:c>
      <x:c r="P288" s="28" t="str">
        <x:v>多领导者、流水线和两步通信提升吞吐。</x:v>
      </x:c>
      <x:c r="Q288" s="25" t="str"/>
      <x:c r="R288" s="24" t="str">
        <x:f>IF(Q288&lt;&gt;"",Q288,O288)</x:f>
        <x:v>2</x:v>
      </x:c>
      <x:c r="S288" s="29" t="str"/>
    </x:row>
    <x:row r="289" ht="54" customHeight="1">
      <x:c r="A289" s="17" t="str">
        <x:v>csq015-r08</x:v>
      </x:c>
      <x:c r="B289" s="17" t="str">
        <x:v>csq015</x:v>
      </x:c>
      <x:c r="C289" s="17" t="str">
        <x:v>systems_and_networking</x:v>
      </x:c>
      <x:c r="D289" s="17" t="str">
        <x:v>distributed_consensus</x:v>
      </x:c>
      <x:c r="E289" s="27" t="str">
        <x:v>What are the main approaches for reducing communication and latency costs in Byzantine fault-tolerant consensus protocols?</x:v>
      </x:c>
      <x:c r="F289" s="22" t="n">
        <x:v>8</x:v>
      </x:c>
      <x:c r="G289" s="17" t="str">
        <x:v>arXiv:2306.03058</x:v>
      </x:c>
      <x:c r="H289" s="27" t="str">
        <x:v>Shoal: Improving DAG-BFT Latency And Robustness</x:v>
      </x:c>
      <x:c r="I289" s="17" t="str">
        <x:v>Alexander Spiegelman; Balaji Arun; Rati Gelashvili; Zekun Li</x:v>
      </x:c>
      <x:c r="J289" s="22" t="n">
        <x:v>2023</x:v>
      </x:c>
      <x:c r="K289" s="27" t="str">
        <x:v>The Narwhal system is a state-of-the-art Byzantine fault-tolerant scalable architecture that involves constructing a directed acyclic graph (DAG) of messages among a set of validators in a Blockchain network. Bullshark is a zero-overhead consensus protocol on top of the Narwhal's DAG that can order over 100k transactions per second. Unfortunately, the high throughput of Bullshark comes with a latency price due to the DAG construction, increasing the latency compared to the state-of-the-art leader-based BFT consensus protocols. We introduce Shoal, a protocol-agnostic framework for enhancing Narwhal-based consensus. By incorporating leader reputation and pipelining support for the first time, Shoal significantly reduces latency. Moreover, the combination of properties of the DAG construction and the leader reputation mechanism enables the elimination of timeouts in all but extremely uncommon scenarios in practice, a property we name Prevalent Responsiveness" (it strictly subsumes the established and often desired Optimistic Responsiveness property for BFT protocols). We integrated Shoal instantiated with Bullshark, the fastest existing Narwhal-based consensus protocol, in an open-source Blockchain project and provide experimental evaluations demonstrating up to 40% latency reduction in the failure-free executions, and up-to 80% reduction in executions with failures against the vanilla Bullshark implementation.</x:v>
      </x:c>
      <x:c r="L289" s="17" t="str">
        <x:v>http://arxiv.org/abs/2306.03058v2</x:v>
      </x:c>
      <x:c r="M289" s="23" t="n">
        <x:v>0.6867640042829516</x:v>
      </x:c>
      <x:c r="N289" s="17" t="str">
        <x:v>qwen3-rerank-no-instruct-20260727-125006-results.jsonl</x:v>
      </x:c>
      <x:c r="O289" s="24" t="str">
        <x:v>2</x:v>
      </x:c>
      <x:c r="P289" s="28" t="str">
        <x:v>针对DAG-BFT高吞吐的延迟代价优化。</x:v>
      </x:c>
      <x:c r="Q289" s="25" t="str"/>
      <x:c r="R289" s="24" t="str">
        <x:f>IF(Q289&lt;&gt;"",Q289,O289)</x:f>
        <x:v>2</x:v>
      </x:c>
      <x:c r="S289" s="29" t="str"/>
    </x:row>
    <x:row r="290" ht="54" customHeight="1">
      <x:c r="A290" s="17" t="str">
        <x:v>csq015-r09</x:v>
      </x:c>
      <x:c r="B290" s="17" t="str">
        <x:v>csq015</x:v>
      </x:c>
      <x:c r="C290" s="17" t="str">
        <x:v>systems_and_networking</x:v>
      </x:c>
      <x:c r="D290" s="17" t="str">
        <x:v>distributed_consensus</x:v>
      </x:c>
      <x:c r="E290" s="27" t="str">
        <x:v>What are the main approaches for reducing communication and latency costs in Byzantine fault-tolerant consensus protocols?</x:v>
      </x:c>
      <x:c r="F290" s="22" t="n">
        <x:v>9</x:v>
      </x:c>
      <x:c r="G290" s="17" t="str">
        <x:v>arXiv:2507.08281</x:v>
      </x:c>
      <x:c r="H290" s="27" t="str">
        <x:v>Fast and Interactive Byzantine Fault-tolerant Web Services via Session-Based Consensus Decoupling</x:v>
      </x:c>
      <x:c r="I290" s="17" t="str">
        <x:v>Ahmad Zaki Akmal; Azkario Rizky Pratama; Guntur Dharma Putra</x:v>
      </x:c>
      <x:c r="J290" s="22" t="n">
        <x:v>2025</x:v>
      </x:c>
      <x:c r="K290" s="27" t="str">
        <x:v>Byzantine fault-tolerant (BFT) web services provide critical integrity guarantees for distributed applications but face significant latency challenges that hinder interactive user experiences. We propose a novel two-layer architecture that addresses this fundamental tension between security and responsiveness in BFT systems. Our approach introduces a session-aware transaction buffer layer (Layer 2) that delivers immediate feedback to users through consensus simulation, while periodically committing batched operations to a fully Byzantine fault-tolerant consensus layer (Layer 1). By separating interactive operations from consensus finalization, our system achieves responsive user experiences of under 200ms, while maintaining strong BFT security guarantees. We demonstrate the efficacy of our architecture through a supply chain management implementation, where operators require both immediate feedback during multi-step workflows and tamper-proof record keeping. Our evaluation shows that our Layer 2 operations perform four times faster than the Layer 1 counterpart, while substantially preserving the end-to-end transaction integrity. Our approach enables BFT applications in domains previously considered impractical due to latency constraints, such as metaverse environments, where users require both responsive interaction and guaranteed state consistency.</x:v>
      </x:c>
      <x:c r="L290" s="17" t="str">
        <x:v>http://arxiv.org/abs/2507.08281v1</x:v>
      </x:c>
      <x:c r="M290" s="23" t="n">
        <x:v>0.6723835488275172</x:v>
      </x:c>
      <x:c r="N290" s="17" t="str">
        <x:v>qwen3-rerank-no-instruct-20260727-125006-results.jsonl</x:v>
      </x:c>
      <x:c r="O290" s="24" t="str">
        <x:v>2</x:v>
      </x:c>
      <x:c r="P290" s="28" t="str">
        <x:v>会话缓冲与批量提交降低交互延迟。</x:v>
      </x:c>
      <x:c r="Q290" s="25" t="str"/>
      <x:c r="R290" s="24" t="str">
        <x:f>IF(Q290&lt;&gt;"",Q290,O290)</x:f>
        <x:v>2</x:v>
      </x:c>
      <x:c r="S290" s="29" t="str"/>
    </x:row>
    <x:row r="291" ht="54" customHeight="1">
      <x:c r="A291" s="17" t="str">
        <x:v>csq015-r10</x:v>
      </x:c>
      <x:c r="B291" s="17" t="str">
        <x:v>csq015</x:v>
      </x:c>
      <x:c r="C291" s="17" t="str">
        <x:v>systems_and_networking</x:v>
      </x:c>
      <x:c r="D291" s="17" t="str">
        <x:v>distributed_consensus</x:v>
      </x:c>
      <x:c r="E291" s="27" t="str">
        <x:v>What are the main approaches for reducing communication and latency costs in Byzantine fault-tolerant consensus protocols?</x:v>
      </x:c>
      <x:c r="F291" s="22" t="n">
        <x:v>10</x:v>
      </x:c>
      <x:c r="G291" s="17" t="str">
        <x:v>arXiv:2006.04616</x:v>
      </x:c>
      <x:c r="H291" s="27" t="str">
        <x:v>Consensus Beyond Thresholds: Generalized Byzantine Quorums Made Live</x:v>
      </x:c>
      <x:c r="I291" s="17" t="str">
        <x:v>Orestis Alpos; Christian Cachin</x:v>
      </x:c>
      <x:c r="J291" s="22" t="n">
        <x:v>2020</x:v>
      </x:c>
      <x:c r="K291" s="27" t="str">
        <x:v>Existing Byzantine fault-tolerant (BFT) consensus protocols address only threshold failures, where the participating nodes fail independently of each other, each one fails equally likely, and the protocol's guarantees follow from a simple bound on the number of faulty nodes. With the widespread deployment of Byzantine consensus in blockchains and distributed ledgers today, however, more sophisticated trust assumptions are needed. This paper presents the first implementation of BFT consensus with generalized quorums. It starts from a number of generalized trust structures motivated by practice and explores methods to specify and implement them efficiently. In particular, it expresses the trust assumption by a monotone Boolean formula (MBF) with threshold operators and by a monotone span program (MSP), a linear-algebraic model for computation. An implementation of HotStuff BFT consensus using these quorum systems is described as well and compared to the existing threshold model. Benchmarks with HotStuff running on up to 40 replicas demonstrate that the MBF specification incurs no significant slowdown, whereas the MSP expression affects latency and throughput noticeably due to the involved computations.</x:v>
      </x:c>
      <x:c r="L291" s="17" t="str">
        <x:v>http://arxiv.org/abs/2006.04616v2</x:v>
      </x:c>
      <x:c r="M291" s="23" t="n">
        <x:v>0.6680180321319108</x:v>
      </x:c>
      <x:c r="N291" s="17" t="str">
        <x:v>qwen3-rerank-no-instruct-20260727-125006-results.jsonl</x:v>
      </x:c>
      <x:c r="O291" s="24" t="str">
        <x:v>1</x:v>
      </x:c>
      <x:c r="P291" s="28" t="str">
        <x:v>重点是广义法定人数活性而非性能优化。</x:v>
      </x:c>
      <x:c r="Q291" s="25" t="str"/>
      <x:c r="R291" s="24" t="str">
        <x:f>IF(Q291&lt;&gt;"",Q291,O291)</x:f>
        <x:v>1</x:v>
      </x:c>
      <x:c r="S291" s="29" t="str"/>
    </x:row>
    <x:row r="292" ht="54" customHeight="1">
      <x:c r="A292" s="17" t="str">
        <x:v>csq015-r11</x:v>
      </x:c>
      <x:c r="B292" s="17" t="str">
        <x:v>csq015</x:v>
      </x:c>
      <x:c r="C292" s="17" t="str">
        <x:v>systems_and_networking</x:v>
      </x:c>
      <x:c r="D292" s="17" t="str">
        <x:v>distributed_consensus</x:v>
      </x:c>
      <x:c r="E292" s="27" t="str">
        <x:v>What are the main approaches for reducing communication and latency costs in Byzantine fault-tolerant consensus protocols?</x:v>
      </x:c>
      <x:c r="F292" s="22" t="n">
        <x:v>11</x:v>
      </x:c>
      <x:c r="G292" s="17" t="str">
        <x:v>arXiv:1803.05069</x:v>
      </x:c>
      <x:c r="H292" s="27" t="str">
        <x:v>HotStuff: BFT Consensus in the Lens of Blockchain</x:v>
      </x:c>
      <x:c r="I292" s="17" t="str">
        <x:v>Maofan Yin; Dahlia Malkhi; Michael K. Reiter; Guy Golan Gueta; Ittai Abraham</x:v>
      </x:c>
      <x:c r="J292" s="22" t="n">
        <x:v>2018</x:v>
      </x:c>
      <x:c r="K292" s="27" t="str">
        <x:v>We present HotStuff, a leader-based Byzantine fault-tolerant replication protocol for the partially synchronous model. Once network communication becomes synchronous, HotStuff enables a correct leader to drive the protocol to consensus at the pace of actual (vs. maximum) network delay--a property called responsiveness--and with communication complexity that is linear in the number of replicas. To our knowledge, HotStuff is the first partially synchronous BFT replication protocol exhibiting these combined properties. HotStuff is built around a novel framework that forms a bridge between classical BFT foundations and blockchains. It allows the expression of other known protocols (DLS, PBFT, Tendermint, Casper), and ours, in a common framework. Our deployment of HotStuff over a network with over 100 replicas achieves throughput and latency comparable to that of BFT-SMaRt, while enjoying linear communication footprint during leader failover (vs. quadratic with BFT-SMaRt).</x:v>
      </x:c>
      <x:c r="L292" s="17" t="str">
        <x:v>http://arxiv.org/abs/1803.05069v6</x:v>
      </x:c>
      <x:c r="M292" s="23" t="n">
        <x:v>0.6529954139128891</x:v>
      </x:c>
      <x:c r="N292" s="17" t="str">
        <x:v>qwen3-rerank-no-instruct-20260727-125006-results.jsonl</x:v>
      </x:c>
      <x:c r="O292" s="24" t="str">
        <x:v>2</x:v>
      </x:c>
      <x:c r="P292" s="28" t="str">
        <x:v>HotStuff实现响应性和线性通信。</x:v>
      </x:c>
      <x:c r="Q292" s="25" t="str"/>
      <x:c r="R292" s="24" t="str">
        <x:f>IF(Q292&lt;&gt;"",Q292,O292)</x:f>
        <x:v>2</x:v>
      </x:c>
      <x:c r="S292" s="29" t="str"/>
    </x:row>
    <x:row r="293" ht="54" customHeight="1">
      <x:c r="A293" s="17" t="str">
        <x:v>csq015-r12</x:v>
      </x:c>
      <x:c r="B293" s="17" t="str">
        <x:v>csq015</x:v>
      </x:c>
      <x:c r="C293" s="17" t="str">
        <x:v>systems_and_networking</x:v>
      </x:c>
      <x:c r="D293" s="17" t="str">
        <x:v>distributed_consensus</x:v>
      </x:c>
      <x:c r="E293" s="27" t="str">
        <x:v>What are the main approaches for reducing communication and latency costs in Byzantine fault-tolerant consensus protocols?</x:v>
      </x:c>
      <x:c r="F293" s="22" t="n">
        <x:v>12</x:v>
      </x:c>
      <x:c r="G293" s="17" t="str">
        <x:v>arXiv:2204.03181</x:v>
      </x:c>
      <x:c r="H293" s="27" t="str">
        <x:v>Reaching Consensus in the Byzantine Empire: A Comprehensive Review of BFT Consensus Algorithms</x:v>
      </x:c>
      <x:c r="I293" s="17" t="str">
        <x:v>Gengrui Zhang; Fei Pan; Yunhao Mao; Sofia Tijanic; Michael Dang'ana; Shashank Motepalli; Shiquan Zhang; Hans-Arno Jacobsen</x:v>
      </x:c>
      <x:c r="J293" s="22" t="n">
        <x:v>2022</x:v>
      </x:c>
      <x:c r="K293" s="27" t="str">
        <x:v>Byzantine fault-tolerant (BFT) consensus algorithms are at the core of providing safety and liveness guarantees for distributed systems that must operate in the presence of arbitrary failures. Recently, numerous new BFT algorithms have been proposed, not least due to the traction blockchain technologies have garnered in the search for consensus solutions that offer high throughput, low latency, and robust system designs. In this paper, we conduct a systematic survey of selected and distinguished BFT algorithms that have received extensive attention in academia and industry alike. We perform a qualitative comparison among all algorithms we review considering message and time complexities. Furthermore, we decompose each consensus algorithm into its constituent subprotocols for replication and view change backed by intuitive figures to illustrate the message-passing pattern. We also elaborate on the strengths and weaknesses of each algorithm as compared to the state-of-the-art approaches.</x:v>
      </x:c>
      <x:c r="L293" s="17" t="str">
        <x:v>http://arxiv.org/abs/2204.03181v3</x:v>
      </x:c>
      <x:c r="M293" s="23" t="n">
        <x:v>0.6488986251718383</x:v>
      </x:c>
      <x:c r="N293" s="17" t="str">
        <x:v>qwen3-rerank-no-instruct-20260727-125006-results.jsonl</x:v>
      </x:c>
      <x:c r="O293" s="24" t="str">
        <x:v>2</x:v>
      </x:c>
      <x:c r="P293" s="28" t="str">
        <x:v>综述BFT算法的吞吐、延迟和通信设计。</x:v>
      </x:c>
      <x:c r="Q293" s="25" t="str"/>
      <x:c r="R293" s="24" t="str">
        <x:f>IF(Q293&lt;&gt;"",Q293,O293)</x:f>
        <x:v>2</x:v>
      </x:c>
      <x:c r="S293" s="29" t="str"/>
    </x:row>
    <x:row r="294" ht="54" customHeight="1">
      <x:c r="A294" s="17" t="str">
        <x:v>csq015-r13</x:v>
      </x:c>
      <x:c r="B294" s="17" t="str">
        <x:v>csq015</x:v>
      </x:c>
      <x:c r="C294" s="17" t="str">
        <x:v>systems_and_networking</x:v>
      </x:c>
      <x:c r="D294" s="17" t="str">
        <x:v>distributed_consensus</x:v>
      </x:c>
      <x:c r="E294" s="27" t="str">
        <x:v>What are the main approaches for reducing communication and latency costs in Byzantine fault-tolerant consensus protocols?</x:v>
      </x:c>
      <x:c r="F294" s="22" t="n">
        <x:v>13</x:v>
      </x:c>
      <x:c r="G294" s="17" t="str">
        <x:v>arXiv:2312.05869</x:v>
      </x:c>
      <x:c r="H294" s="27" t="str">
        <x:v>Banyan: Fast Rotating Leader BFT</x:v>
      </x:c>
      <x:c r="I294" s="17" t="str">
        <x:v>Yann Vonlanthen; Jakub Sliwinski; Massimo Albarello; Roger Wattenhofer</x:v>
      </x:c>
      <x:c r="J294" s="22" t="n">
        <x:v>2023</x:v>
      </x:c>
      <x:c r="K294" s="27" t="str">
        <x:v>This paper presents Banyan, the first rotating leader state machine replication (SMR) protocol that allows transactions to be confirmed in just a single round-trip time in the Byzantine fault tolerance (BFT) setting. Based on minimal alterations to the Internet Computer Consensus (ICC) protocol and with negligible communication overhead, we introduce a novel dual mode mechanism that enables optimal block finalization latency in the fast path. Crucially, the modes of operation are integrated, such that even if the fast path is not effective, no penalties are incurred. Moreover, our algorithm maintains the core attributes of the ICC protocol it is based on, including optimistic responsiveness and rotating leaders without the necessity for a view-change protocol. We prove the correctness of our protocol and provide an open-source implementation of it. Banyan is compared to its predecessor ICC, as well as other well known BFT protocols, in a globally distributed wide-area network. Our evaluation reveals that Banyan reduces latency by up to 30% compared to state-of-the-art protocols, without requiring additional security assumptions.</x:v>
      </x:c>
      <x:c r="L294" s="17" t="str">
        <x:v>http://arxiv.org/abs/2312.05869v3</x:v>
      </x:c>
      <x:c r="M294" s="23" t="n">
        <x:v>0.6073965144015401</x:v>
      </x:c>
      <x:c r="N294" s="17" t="str">
        <x:v>qwen3-rerank-no-instruct-20260727-125006-results.jsonl</x:v>
      </x:c>
      <x:c r="O294" s="24" t="str">
        <x:v>2</x:v>
      </x:c>
      <x:c r="P294" s="28" t="str">
        <x:v>旋转领导者以单轮往返和低开销确认。</x:v>
      </x:c>
      <x:c r="Q294" s="25" t="str"/>
      <x:c r="R294" s="24" t="str">
        <x:f>IF(Q294&lt;&gt;"",Q294,O294)</x:f>
        <x:v>2</x:v>
      </x:c>
      <x:c r="S294" s="29" t="str"/>
    </x:row>
    <x:row r="295" ht="54" customHeight="1">
      <x:c r="A295" s="17" t="str">
        <x:v>csq015-r14</x:v>
      </x:c>
      <x:c r="B295" s="17" t="str">
        <x:v>csq015</x:v>
      </x:c>
      <x:c r="C295" s="17" t="str">
        <x:v>systems_and_networking</x:v>
      </x:c>
      <x:c r="D295" s="17" t="str">
        <x:v>distributed_consensus</x:v>
      </x:c>
      <x:c r="E295" s="27" t="str">
        <x:v>What are the main approaches for reducing communication and latency costs in Byzantine fault-tolerant consensus protocols?</x:v>
      </x:c>
      <x:c r="F295" s="22" t="n">
        <x:v>14</x:v>
      </x:c>
      <x:c r="G295" s="17" t="str">
        <x:v>arXiv:2310.06335</x:v>
      </x:c>
      <x:c r="H295" s="27" t="str">
        <x:v>BBCA-CHAIN: Low Latency, High Throughput BFT Consensus on a DAG</x:v>
      </x:c>
      <x:c r="I295" s="17" t="str">
        <x:v>Dahlia Malkhi; Chrysoula Stathakopoulou; Maofan Yin</x:v>
      </x:c>
      <x:c r="J295" s="22" t="n">
        <x:v>2023</x:v>
      </x:c>
      <x:c r="K295" s="27" t="str">
        <x:v>This paper presents a partially synchronous BFT consensus protocol powered by BBCA, a lightly modified Byzantine Consistent Broadcast (BCB) primitive. BBCA provides a Complete-Adopt semantic through an added probing interface to allow either aborting the broadcast by correct nodes or exclusively, adopting the message consistently in case of a potential delivery. It does not introduce any extra types of messages or additional communication costs to BCB. BBCA is harnessed into BBCA-CHAIN to make direct commits on a chained backbone of a causally ordered graph of blocks, without any additional voting blocks or artificial layering. With the help of Complete-Adopt, the additional knowledge gained from the underlying BCB completely removes the voting latency in popular DAG-based protocols. At the same time, causal ordering allows nodes to propose blocks in parallel and achieve high throughput. BBCA-CHAIN thus closes up the gap between protocols built by consistent broadcasts (e.g., Bullshark) to those without such an abstraction (e.g., PBFT/HotStuff), emphasizing their shared fundamental principles. Using a Bracha-style BCB as an example, we fully specify BBCA-CHAIN with simplicity, serving as a solid basis for high-performance replication systems (and blockchains).</x:v>
      </x:c>
      <x:c r="L295" s="17" t="str">
        <x:v>http://arxiv.org/abs/2310.06335v2</x:v>
      </x:c>
      <x:c r="M295" s="23" t="n">
        <x:v>0.6001152316419318</x:v>
      </x:c>
      <x:c r="N295" s="17" t="str">
        <x:v>qwen3-rerank-no-instruct-20260727-125006-results.jsonl</x:v>
      </x:c>
      <x:c r="O295" s="24" t="str">
        <x:v>2</x:v>
      </x:c>
      <x:c r="P295" s="28" t="str">
        <x:v>DAG广播原语实现低延迟且无额外通信。</x:v>
      </x:c>
      <x:c r="Q295" s="25" t="str"/>
      <x:c r="R295" s="24" t="str">
        <x:f>IF(Q295&lt;&gt;"",Q295,O295)</x:f>
        <x:v>2</x:v>
      </x:c>
      <x:c r="S295" s="29" t="str"/>
    </x:row>
    <x:row r="296" ht="54" customHeight="1">
      <x:c r="A296" s="17" t="str">
        <x:v>csq015-r15</x:v>
      </x:c>
      <x:c r="B296" s="17" t="str">
        <x:v>csq015</x:v>
      </x:c>
      <x:c r="C296" s="17" t="str">
        <x:v>systems_and_networking</x:v>
      </x:c>
      <x:c r="D296" s="17" t="str">
        <x:v>distributed_consensus</x:v>
      </x:c>
      <x:c r="E296" s="27" t="str">
        <x:v>What are the main approaches for reducing communication and latency costs in Byzantine fault-tolerant consensus protocols?</x:v>
      </x:c>
      <x:c r="F296" s="22" t="n">
        <x:v>15</x:v>
      </x:c>
      <x:c r="G296" s="17" t="str">
        <x:v>arXiv:2410.08670</x:v>
      </x:c>
      <x:c r="H296" s="27" t="str">
        <x:v>Mahi-Mahi: Low-Latency Asynchronous BFT DAG-Based Consensus</x:v>
      </x:c>
      <x:c r="I296" s="17" t="str">
        <x:v>Philipp Jovanovic; Lefteris Kokoris Kogias; Bryan Kumara; Alberto Sonnino; Pasindu Tennage; Igor Zablotchi</x:v>
      </x:c>
      <x:c r="J296" s="22" t="n">
        <x:v>2024</x:v>
      </x:c>
      <x:c r="K296" s="27" t="str">
        <x:v>We present Mahi-Mahi, the first asynchronous BFT consensus protocol that achieves sub-second latency in the WAN while processing over 100,000 transactions per second. We accomplish this remarkable performance by building Mahi-Mahi on an uncertified structured Directed Acyclic Graph (DAG). By forgoing explicit certification, we significantly reduce the number of messages required to commit and minimize CPU overhead associated with certificate verification. Mahi-Mahi introduces a novel commit rule that allows committing multiple blocks in each DAG round, while ensuring liveness in the presence of an asynchronous adversary. Mahi-Mahi can be parametrized to either attempt to commit within 5 message delays, maximizing the probability of commitment under a continuously active asynchronous adversary, or within 4 message delays, which reduces latency under a more moderate and realistic asynchronous adversary. We demonstrate the safety and liveness of Mahi-Mahi in a Byzantine context. Subsequently, we evaluate Mahi-Mahi in a geo-replicated setting and compare its performance against state-of-the-art asynchronous consensus protocols, showcasing Mahi-Mahi's significantly lower latency.</x:v>
      </x:c>
      <x:c r="L296" s="17" t="str">
        <x:v>http://arxiv.org/abs/2410.08670v2</x:v>
      </x:c>
      <x:c r="M296" s="23" t="n">
        <x:v>0.5829029550549594</x:v>
      </x:c>
      <x:c r="N296" s="17" t="str">
        <x:v>qwen3-rerank-no-instruct-20260727-125006-results.jsonl</x:v>
      </x:c>
      <x:c r="O296" s="24" t="str">
        <x:v>2</x:v>
      </x:c>
      <x:c r="P296" s="28" t="str">
        <x:v>无认证DAG减少消息和证书计算开销。</x:v>
      </x:c>
      <x:c r="Q296" s="25" t="str"/>
      <x:c r="R296" s="24" t="str">
        <x:f>IF(Q296&lt;&gt;"",Q296,O296)</x:f>
        <x:v>2</x:v>
      </x:c>
      <x:c r="S296" s="29" t="str"/>
    </x:row>
    <x:row r="297" ht="54" customHeight="1">
      <x:c r="A297" s="17" t="str">
        <x:v>csq015-r16</x:v>
      </x:c>
      <x:c r="B297" s="17" t="str">
        <x:v>csq015</x:v>
      </x:c>
      <x:c r="C297" s="17" t="str">
        <x:v>systems_and_networking</x:v>
      </x:c>
      <x:c r="D297" s="17" t="str">
        <x:v>distributed_consensus</x:v>
      </x:c>
      <x:c r="E297" s="27" t="str">
        <x:v>What are the main approaches for reducing communication and latency costs in Byzantine fault-tolerant consensus protocols?</x:v>
      </x:c>
      <x:c r="F297" s="22" t="n">
        <x:v>16</x:v>
      </x:c>
      <x:c r="G297" s="17" t="str">
        <x:v>arXiv:2307.10185</x:v>
      </x:c>
      <x:c r="H297" s="27" t="str">
        <x:v>BigDipper: Sharded Censorship Resistant Data Availability for Leader-Based BFT</x:v>
      </x:c>
      <x:c r="I297" s="17" t="str">
        <x:v>Bowen Xue; Samuel Laferriere; Soubhik Deb; Sreeram Kannan</x:v>
      </x:c>
      <x:c r="J297" s="22" t="n">
        <x:v>2023</x:v>
      </x:c>
      <x:c r="K297" s="27" t="str">
        <x:v>Leader-based Byzantine-fault-tolerant (BFT) protocols provide low latency and simple communication structure, but they give the leader short-term control over transaction inclusion. A malicious leader can keep the protocol live while delaying or excluding time-sensitive transactions such as auction bids, oracle updates, liquidations, and bridge messages. Existing responses often build a fixed censorship-resistance, hiding, or ordering mechanism into the protocol path, forcing all transactions to pay for the same protection level. name follows the end-to-end principle: the consensus layer exposes inclusion primitives rather than hardcoding stronger policies. Higher-layer protocols can then choose their own submission strategies and resources, whether through replication, erasure coding, or other mechanisms, to obtain the censorship-resistance, hiding, ordering, or execution guarantees they need. At the core of BigDipper is censorship-resistant data availability, or DA-CR, which certifies available replica-contributed mini-blocks for use by leader-based consensus. A central design goal is that data remains sharded on the consensus critical path: validators do not reconstruct or execute the full payload before voting, but instead check commitments, availability evidence, and the DA-CR inclusion rule. We define DA-CR guarantees for data-tampering resistance, honest mini-block inclusion, and residual leader influence. We then give concrete constructions based on erasure coding and linear commitments, analyze client-tunable transaction submission, and instantiate BigDipper inside HotStuff-2.</x:v>
      </x:c>
      <x:c r="L297" s="17" t="str">
        <x:v>http://arxiv.org/abs/2307.10185v4</x:v>
      </x:c>
      <x:c r="M297" s="23" t="n">
        <x:v>0.5792736951136782</x:v>
      </x:c>
      <x:c r="N297" s="17" t="str">
        <x:v>qwen3-rerank-no-instruct-20260727-125006-results.jsonl</x:v>
      </x:c>
      <x:c r="O297" s="24" t="str">
        <x:v>1</x:v>
      </x:c>
      <x:c r="P297" s="28" t="str">
        <x:v>主要解决BFT数据可用性和审查抵抗。</x:v>
      </x:c>
      <x:c r="Q297" s="25" t="str"/>
      <x:c r="R297" s="24" t="str">
        <x:f>IF(Q297&lt;&gt;"",Q297,O297)</x:f>
        <x:v>1</x:v>
      </x:c>
      <x:c r="S297" s="29" t="str"/>
    </x:row>
    <x:row r="298" ht="54" customHeight="1">
      <x:c r="A298" s="17" t="str">
        <x:v>csq015-r17</x:v>
      </x:c>
      <x:c r="B298" s="17" t="str">
        <x:v>csq015</x:v>
      </x:c>
      <x:c r="C298" s="17" t="str">
        <x:v>systems_and_networking</x:v>
      </x:c>
      <x:c r="D298" s="17" t="str">
        <x:v>distributed_consensus</x:v>
      </x:c>
      <x:c r="E298" s="27" t="str">
        <x:v>What are the main approaches for reducing communication and latency costs in Byzantine fault-tolerant consensus protocols?</x:v>
      </x:c>
      <x:c r="F298" s="22" t="n">
        <x:v>17</x:v>
      </x:c>
      <x:c r="G298" s="17" t="str">
        <x:v>arXiv:2503.21279</x:v>
      </x:c>
      <x:c r="H298" s="27" t="str">
        <x:v>Asynchronous BFT Consensus Made Wireless</x:v>
      </x:c>
      <x:c r="I298" s="17" t="str">
        <x:v>Shuo Liu; Minghui Xu; Tianyi Sun; Xiuzhen Cheng</x:v>
      </x:c>
      <x:c r="J298" s="22" t="n">
        <x:v>2025</x:v>
      </x:c>
      <x:c r="K298" s="27" t="str">
        <x:v>Asynchronous Byzantine fault-tolerant (BFT) consensus protocols, known for their robustness in unpredictable environments without relying on timing assumptions, are becoming increasingly vital for wireless applications. While these protocols have proven effective in wired networks, their adaptation to wireless environments presents significant challenges. Asynchronous BFT consensus, characterized by its N parallel consensus components (e.g., asynchronous Byzantine agreement, reliable broadcast), suffers from high message complexity, leading to network congestion and inefficiency, especially in resource-constrained wireless networks. Asynchronous Byzantine agreement (ABA) protocols, a foundational component of asynchronous BFT, require careful balancing of message complexity and cryptographic overhead to achieve efficient implementation in wireless settings. Additionally, the absence of dedicated testbeds for asynchronous wireless BFT consensus protocols hinders development and performance evaluation. To address these challenges, we propose a consensus batching protocol (ConsensusBatcher), which supports both vertical and horizontal batching of multiple parallel consensus components. We leverage ConsensusBatcher to adapt three asynchronous BFT consensus protocols (HoneyBadgerBFT, BEAT, and Dumbo) from wired networks to resource-constrained wireless networks. To evaluate the performance of ConsensusBatcher-enabled consensus protocols in wireless environments, we develop and open-source a testbed for deployment and performance assessment of these protocols. Using this testbed, we demonstrate that ConsensusBatcher-based consensus reduces latency by 48% to 59% and increases throughput by 48% to 62% compared to baseline consensus protocols.</x:v>
      </x:c>
      <x:c r="L298" s="17" t="str">
        <x:v>http://arxiv.org/abs/2503.21279v3</x:v>
      </x:c>
      <x:c r="M298" s="23" t="n">
        <x:v>0.5679090741495327</x:v>
      </x:c>
      <x:c r="N298" s="17" t="str">
        <x:v>qwen3-rerank-no-instruct-20260727-125006-results.jsonl</x:v>
      </x:c>
      <x:c r="O298" s="24" t="str">
        <x:v>2</x:v>
      </x:c>
      <x:c r="P298" s="28" t="str">
        <x:v>针对无线异步BFT高消息复杂度。</x:v>
      </x:c>
      <x:c r="Q298" s="25" t="str"/>
      <x:c r="R298" s="24" t="str">
        <x:f>IF(Q298&lt;&gt;"",Q298,O298)</x:f>
        <x:v>2</x:v>
      </x:c>
      <x:c r="S298" s="29" t="str"/>
    </x:row>
    <x:row r="299" ht="54" customHeight="1">
      <x:c r="A299" s="17" t="str">
        <x:v>csq015-r18</x:v>
      </x:c>
      <x:c r="B299" s="17" t="str">
        <x:v>csq015</x:v>
      </x:c>
      <x:c r="C299" s="17" t="str">
        <x:v>systems_and_networking</x:v>
      </x:c>
      <x:c r="D299" s="17" t="str">
        <x:v>distributed_consensus</x:v>
      </x:c>
      <x:c r="E299" s="27" t="str">
        <x:v>What are the main approaches for reducing communication and latency costs in Byzantine fault-tolerant consensus protocols?</x:v>
      </x:c>
      <x:c r="F299" s="22" t="n">
        <x:v>18</x:v>
      </x:c>
      <x:c r="G299" s="17" t="str">
        <x:v>arXiv:2002.07565</x:v>
      </x:c>
      <x:c r="H299" s="27" t="str">
        <x:v>SURFACE: A Practical Blockchain Consensus Algorithm for Real-World Networks</x:v>
      </x:c>
      <x:c r="I299" s="17" t="str">
        <x:v>Zhijie Ren; Ziheng Zhou</x:v>
      </x:c>
      <x:c r="J299" s="22" t="n">
        <x:v>2020</x:v>
      </x:c>
      <x:c r="K299" s="27" t="str">
        <x:v>SURFACE, standing for Secure, Use-case adaptive, and Relatively Fork-free Approach of Chain Extension, is a consensus algorithm that is designed for real-world networks and enjoys the benefits from both the Nakamoto consensus and Byzantine Fault Tolerance (BFT) consensus. In SURFACE, a committee is randomly selected every round to validate and endorse the proposed new block. The size of the committee can be adjusted according to the underlying network to make the blockchain mostly fork-free with a reasonable overhead in communication. Consequently, the blockchain can normally achieve fast probabilistic confirmation with high throughput and low latency. SURFACE also provides a BFT mechanism to guarantee ledger consistency in case of an extreme network situation such as large network partition or being under massive DDoS attacks.</x:v>
      </x:c>
      <x:c r="L299" s="17" t="str">
        <x:v>http://arxiv.org/abs/2002.07565v3</x:v>
      </x:c>
      <x:c r="M299" s="23" t="n">
        <x:v>0.5670612085728872</x:v>
      </x:c>
      <x:c r="N299" s="17" t="str">
        <x:v>qwen3-rerank-no-instruct-20260727-125006-results.jsonl</x:v>
      </x:c>
      <x:c r="O299" s="24" t="str">
        <x:v>2</x:v>
      </x:c>
      <x:c r="P299" s="28" t="str">
        <x:v>可调委员会混合共识面向真实网络性能。</x:v>
      </x:c>
      <x:c r="Q299" s="25" t="str"/>
      <x:c r="R299" s="24" t="str">
        <x:f>IF(Q299&lt;&gt;"",Q299,O299)</x:f>
        <x:v>2</x:v>
      </x:c>
      <x:c r="S299" s="29" t="str"/>
    </x:row>
    <x:row r="300" ht="54" customHeight="1">
      <x:c r="A300" s="17" t="str">
        <x:v>csq015-r19</x:v>
      </x:c>
      <x:c r="B300" s="17" t="str">
        <x:v>csq015</x:v>
      </x:c>
      <x:c r="C300" s="17" t="str">
        <x:v>systems_and_networking</x:v>
      </x:c>
      <x:c r="D300" s="17" t="str">
        <x:v>distributed_consensus</x:v>
      </x:c>
      <x:c r="E300" s="27" t="str">
        <x:v>What are the main approaches for reducing communication and latency costs in Byzantine fault-tolerant consensus protocols?</x:v>
      </x:c>
      <x:c r="F300" s="22" t="n">
        <x:v>19</x:v>
      </x:c>
      <x:c r="G300" s="17" t="str">
        <x:v>arXiv:2504.12766</x:v>
      </x:c>
      <x:c r="H300" s="27" t="str">
        <x:v>Falcon: Advancing Asynchronous BFT Consensus for Lower Latency and Enhanced Throughput</x:v>
      </x:c>
      <x:c r="I300" s="17" t="str">
        <x:v>Xiaohai Dai; Chaozheng Ding; Wei Li; Jiang Xiao; Bolin Zhang; Chen Yu; Albert Y. Zomaya; Hai Jin</x:v>
      </x:c>
      <x:c r="J300" s="22" t="n">
        <x:v>2025</x:v>
      </x:c>
      <x:c r="K300" s="27" t="str">
        <x:v>Asynchronous Byzantine Fault Tolerant (BFT) consensus protocols have garnered significant attention with the rise of blockchain technology. A typical asynchronous protocol is designed by executing sequential instances of the Asynchronous Common Sub-seQuence (ACSQ). The ACSQ protocol consists of two primary components: the Asynchronous Common Subset (ACS) protocol and a block sorting mechanism, with the ACS protocol comprising two stages: broadcast and agreement. However, current protocols encounter three critical issues: high latency arising from the execution of the agreement stage, latency instability due to the integral-sorting mechanism, and reduced throughput caused by block discarding. To address these issues,we propose Falcon, an asynchronous BFT protocol that achieves low latency and enhanced throughput. Falcon introduces a novel broadcast protocol, Graded Broadcast (GBC), which enables a block to be included in the ACS set directly, bypassing the agreement stage and thereby reducing latency. To ensure safety, Falcon incorporates a new binary agreement protocol called Asymmetrical Asynchronous Binary Agreement (AABA), designed to complement GBC. Additionally, Falcon employs a partial-sorting mechanism, allowing continuous rather than simultaneous block committing, enhancing latency stability. Finally, we incorporate an agreement trigger that, before its activation, enables nodes to wait for more blocks to be delivered and committed, thereby boosting throughput. We conduct a series of experiments to evaluate Falcon, demonstrating its superior performance.</x:v>
      </x:c>
      <x:c r="L300" s="17" t="str">
        <x:v>http://arxiv.org/abs/2504.12766v1</x:v>
      </x:c>
      <x:c r="M300" s="23" t="n">
        <x:v>0.5645778211608735</x:v>
      </x:c>
      <x:c r="N300" s="17" t="str">
        <x:v>qwen3-rerank-no-instruct-20260727-125006-results.jsonl</x:v>
      </x:c>
      <x:c r="O300" s="24" t="str">
        <x:v>2</x:v>
      </x:c>
      <x:c r="P300" s="28" t="str">
        <x:v>优化异步BFT子协议以降低延迟提升吞吐。</x:v>
      </x:c>
      <x:c r="Q300" s="25" t="str"/>
      <x:c r="R300" s="24" t="str">
        <x:f>IF(Q300&lt;&gt;"",Q300,O300)</x:f>
        <x:v>2</x:v>
      </x:c>
      <x:c r="S300" s="29" t="str"/>
    </x:row>
    <x:row r="301" ht="54" customHeight="1">
      <x:c r="A301" s="17" t="str">
        <x:v>csq015-r20</x:v>
      </x:c>
      <x:c r="B301" s="17" t="str">
        <x:v>csq015</x:v>
      </x:c>
      <x:c r="C301" s="17" t="str">
        <x:v>systems_and_networking</x:v>
      </x:c>
      <x:c r="D301" s="17" t="str">
        <x:v>distributed_consensus</x:v>
      </x:c>
      <x:c r="E301" s="27" t="str">
        <x:v>What are the main approaches for reducing communication and latency costs in Byzantine fault-tolerant consensus protocols?</x:v>
      </x:c>
      <x:c r="F301" s="22" t="n">
        <x:v>20</x:v>
      </x:c>
      <x:c r="G301" s="17" t="str">
        <x:v>arXiv:1807.01829</x:v>
      </x:c>
      <x:c r="H301" s="27" t="str">
        <x:v>LinBFT: Linear-Communication Byzantine Fault Tolerance for Public Blockchains</x:v>
      </x:c>
      <x:c r="I301" s="17" t="str">
        <x:v>Yin Yang</x:v>
      </x:c>
      <x:c r="J301" s="22" t="n">
        <x:v>2018</x:v>
      </x:c>
      <x:c r="K301" s="27" t="str">
        <x:v>This paper presents LinBFT, a novel Byzantine fault tolerance (BFT) protocol for blockchain systems that achieves amortized O(n) communication volume per block under reasonable conditions (where n is the number of participants), while satisfying determinist guarantees on safety and liveness. This significantly improves previous results, which either incurs quadratic communication complexity, or only satisfies safety in a probabilistic sense. LinBFT is based on the popular PBFT protocol, and cuts down its $O(n^4)$ complexity with three tricks, each by $O(n)$: linear view change, threshold signatures, and verifiable random functions. All three are known, i.e., the solutions are right in front of our eyes, and yet LinBFT is the first $O(n)$ solution with deterministic security guarantees. Further, LinBFT also addresses issues that are specific to permission-less, public blockchain systems, such as anonymous participants without a public-key infrastructure, proof-of-stake with slashing, rotating leader, and a dynamic participant set. In addition, LinBFT contains no proof-of-work module, reaches consensus for every block, and tolerates changing honesty of the participants for different blocks.</x:v>
      </x:c>
      <x:c r="L301" s="17" t="str">
        <x:v>http://arxiv.org/abs/1807.01829v1</x:v>
      </x:c>
      <x:c r="M301" s="23" t="n">
        <x:v>0.5602045022838401</x:v>
      </x:c>
      <x:c r="N301" s="17" t="str">
        <x:v>qwen3-rerank-no-instruct-20260727-125006-results.jsonl</x:v>
      </x:c>
      <x:c r="O301" s="24" t="str">
        <x:v>2</x:v>
      </x:c>
      <x:c r="P301" s="28" t="str">
        <x:v>门限签名等技巧实现线性通信。</x:v>
      </x:c>
      <x:c r="Q301" s="25" t="str"/>
      <x:c r="R301" s="24" t="str">
        <x:f>IF(Q301&lt;&gt;"",Q301,O301)</x:f>
        <x:v>2</x:v>
      </x:c>
      <x:c r="S301" s="29" t="str"/>
    </x:row>
    <x:row r="302" ht="54" customHeight="1">
      <x:c r="A302" s="17" t="str">
        <x:v>csq016-r01</x:v>
      </x:c>
      <x:c r="B302" s="17" t="str">
        <x:v>csq016</x:v>
      </x:c>
      <x:c r="C302" s="17" t="str">
        <x:v>systems_and_networking</x:v>
      </x:c>
      <x:c r="D302" s="17" t="str">
        <x:v>serverless_computing</x:v>
      </x:c>
      <x:c r="E302" s="27" t="str">
        <x:v>How do research systems mitigate cold starts in serverless computing, and how do prewarming, snapshotting, and prediction-based approaches compare?</x:v>
      </x:c>
      <x:c r="F302" s="22" t="n">
        <x:v>1</x:v>
      </x:c>
      <x:c r="G302" s="17" t="str">
        <x:v>arXiv:2105.13894</x:v>
      </x:c>
      <x:c r="H302" s="27" t="str">
        <x:v>Performance Evaluation of Snapshot Methods to Warm the Serverless Cold Start</x:v>
      </x:c>
      <x:c r="I302" s="17" t="str">
        <x:v>Paulo Silva; Thiago Emmanuel Pereira</x:v>
      </x:c>
      <x:c r="J302" s="22" t="n">
        <x:v>2021</x:v>
      </x:c>
      <x:c r="K302" s="27" t="str">
        <x:v>The serverless computing model strengthens the cloud computing tendency to abstract resource management. Serverless platforms are responsible for deploying and scaling the developer's applications. Serverless also incorporated the pay-as-you-go billing model, which only considers the time spent processing client requests. Such a decision created a natural incentive for improving the platform's efficient resource usage. This search for efficiency can lead to the cold start problem, which represents a delay to execute serverless applications. Among the solutions proposed to deal with the cold start, those based on the snapshot method stand out. Despite the rich exploration of the technique, there is a lack of research that evaluates the solution's trade-offs. In this direction, this work compares two solutions to mitigate the cold start: Prebaking and SEUSS. We analyzed the solution's performance with functions of different levels of complexity: NoOp, a function that renders Markdown to HTML, and a function that loads 41 MB of dependencies. Preliminary results indicated that Prebaking showed a 33% and 25% superior performance to startup the NoOp and Markdown functions, respectively. Further analysis also revealed that Prebaking's warmup mechanism reduced the Markdown first request processing time by 69%.</x:v>
      </x:c>
      <x:c r="L302" s="17" t="str">
        <x:v>http://arxiv.org/abs/2105.13894v1</x:v>
      </x:c>
      <x:c r="M302" s="23" t="n">
        <x:v>0.8475197008522442</x:v>
      </x:c>
      <x:c r="N302" s="17" t="str">
        <x:v>qwen3-rerank-no-instruct-20260727-125006-results.jsonl</x:v>
      </x:c>
      <x:c r="O302" s="24" t="str">
        <x:v>2</x:v>
      </x:c>
      <x:c r="P302" s="28" t="str">
        <x:v>直接评测多种快照冷启动方法。</x:v>
      </x:c>
      <x:c r="Q302" s="25" t="str"/>
      <x:c r="R302" s="24" t="str">
        <x:f>IF(Q302&lt;&gt;"",Q302,O302)</x:f>
        <x:v>2</x:v>
      </x:c>
      <x:c r="S302" s="29" t="str"/>
    </x:row>
    <x:row r="303" ht="54" customHeight="1">
      <x:c r="A303" s="17" t="str">
        <x:v>csq016-r02</x:v>
      </x:c>
      <x:c r="B303" s="17" t="str">
        <x:v>csq016</x:v>
      </x:c>
      <x:c r="C303" s="17" t="str">
        <x:v>systems_and_networking</x:v>
      </x:c>
      <x:c r="D303" s="17" t="str">
        <x:v>serverless_computing</x:v>
      </x:c>
      <x:c r="E303" s="27" t="str">
        <x:v>How do research systems mitigate cold starts in serverless computing, and how do prewarming, snapshotting, and prediction-based approaches compare?</x:v>
      </x:c>
      <x:c r="F303" s="22" t="n">
        <x:v>2</x:v>
      </x:c>
      <x:c r="G303" s="17" t="str">
        <x:v>arXiv:2508.07640</x:v>
      </x:c>
      <x:c r="H303" s="27" t="str">
        <x:v>Taming Cold Starts: Proactive Serverless Scheduling with Model Predictive Control</x:v>
      </x:c>
      <x:c r="I303" s="17" t="str">
        <x:v>Chanh Nguyen; Monowar Bhuyan; Erik Elmroth</x:v>
      </x:c>
      <x:c r="J303" s="22" t="n">
        <x:v>2025</x:v>
      </x:c>
      <x:c r="K303" s="27" t="str">
        <x:v>Serverless computing has transformed cloud application deployment by introducing a fine-grained, event-driven execution model that abstracts away infrastructure management. Its on-demand nature makes it especially appealing for latency-sensitive and bursty workloads. However, the cold start problem, i.e., where the platform incurs significant delay when provisioning new containers, remains the Achilles' heel of such platforms. This paper presents a predictive serverless scheduling framework based on Model Predictive Control to proactively mitigate cold starts, thereby improving end-to-end response time. By forecasting future invocations, the controller jointly optimizes container prewarming and request dispatching, improving latency while minimizing resource overhead. We implement our approach on Apache OpenWhisk, deployed on a Kubernetes-based testbed. Experimental results using real-world function traces and synthetic workloads demonstrate that our method significantly outperforms state-of-the-art baselines, achieving up to 85% lower tail latency and a 34% reduction in resource usage.</x:v>
      </x:c>
      <x:c r="L303" s="17" t="str">
        <x:v>http://arxiv.org/abs/2508.07640v2</x:v>
      </x:c>
      <x:c r="M303" s="23" t="n">
        <x:v>0.8001422718606054</x:v>
      </x:c>
      <x:c r="N303" s="17" t="str">
        <x:v>qwen3-rerank-no-instruct-20260727-125006-results.jsonl</x:v>
      </x:c>
      <x:c r="O303" s="24" t="str">
        <x:v>2</x:v>
      </x:c>
      <x:c r="P303" s="28" t="str">
        <x:v>以预测控制预调度和预热函数。</x:v>
      </x:c>
      <x:c r="Q303" s="25" t="str"/>
      <x:c r="R303" s="24" t="str">
        <x:f>IF(Q303&lt;&gt;"",Q303,O303)</x:f>
        <x:v>2</x:v>
      </x:c>
      <x:c r="S303" s="29" t="str"/>
    </x:row>
    <x:row r="304" ht="54" customHeight="1">
      <x:c r="A304" s="17" t="str">
        <x:v>csq016-r03</x:v>
      </x:c>
      <x:c r="B304" s="17" t="str">
        <x:v>csq016</x:v>
      </x:c>
      <x:c r="C304" s="17" t="str">
        <x:v>systems_and_networking</x:v>
      </x:c>
      <x:c r="D304" s="17" t="str">
        <x:v>serverless_computing</x:v>
      </x:c>
      <x:c r="E304" s="27" t="str">
        <x:v>How do research systems mitigate cold starts in serverless computing, and how do prewarming, snapshotting, and prediction-based approaches compare?</x:v>
      </x:c>
      <x:c r="F304" s="22" t="n">
        <x:v>3</x:v>
      </x:c>
      <x:c r="G304" s="17" t="str">
        <x:v>arXiv:2101.09355</x:v>
      </x:c>
      <x:c r="H304" s="27" t="str">
        <x:v>Benchmarking, Analysis, and Optimization of Serverless Function Snapshots</x:v>
      </x:c>
      <x:c r="I304" s="17" t="str">
        <x:v>Dmitrii Ustiugov; Plamen Petrov; Marios Kogias; Edouard Bugnion; Boris Grot</x:v>
      </x:c>
      <x:c r="J304" s="22" t="n">
        <x:v>2021</x:v>
      </x:c>
      <x:c r="K304" s="27" t="str">
        <x:v>Serverless computing has seen rapid adoption due to its high scalability and flexible, pay-as-you-go billing model. In serverless, developers structure their services as a collection of functions, sporadically invoked by various events like clicks. High inter-arrival time variability of function invocations motivates the providers to start new function instances upon each invocation, leading to significant cold-start delays that degrade user experience. To reduce cold-start latency, the industry has turned to snapshotting, whereby an image of a fully-booted function is stored on disk, enabling a faster invocation compared to booting a function from scratch. This work introduces vHive, an open-source framework for serverless experimentation with the goal of enabling researchers to study and innovate across the entire serverless stack. Using vHive, we characterize a state-of-the-art snapshot-based serverless infrastructure, based on industry-leading Containerd orchestration framework and Firecracker hypervisor technologies. We find that the execution time of a function started from a snapshot is 95% higher, on average, than when the same function is memory-resident. We show that the high latency is attributable to frequent page faults as the function's state is brought from disk into guest memory one page at a time. Our analysis further reveals that functions access the same stable working set of pages across different invocations of the same function. By leveraging this insight, we build REAP, a light-weight software mechanism for serverless hosts that records functions' stable working set of guest memory pages and proactively prefetches it from disk into memory. Compared to baseline snapshotting, REAP slashes the cold-start delays by 3.7x, on average.</x:v>
      </x:c>
      <x:c r="L304" s="17" t="str">
        <x:v>http://arxiv.org/abs/2101.09355v3</x:v>
      </x:c>
      <x:c r="M304" s="23" t="n">
        <x:v>0.7863259980559141</x:v>
      </x:c>
      <x:c r="N304" s="17" t="str">
        <x:v>qwen3-rerank-no-instruct-20260727-125006-results.jsonl</x:v>
      </x:c>
      <x:c r="O304" s="24" t="str">
        <x:v>2</x:v>
      </x:c>
      <x:c r="P304" s="28" t="str">
        <x:v>基准分析并优化无服务器快照。</x:v>
      </x:c>
      <x:c r="Q304" s="25" t="str"/>
      <x:c r="R304" s="24" t="str">
        <x:f>IF(Q304&lt;&gt;"",Q304,O304)</x:f>
        <x:v>2</x:v>
      </x:c>
      <x:c r="S304" s="29" t="str"/>
    </x:row>
    <x:row r="305" ht="54" customHeight="1">
      <x:c r="A305" s="17" t="str">
        <x:v>csq016-r04</x:v>
      </x:c>
      <x:c r="B305" s="17" t="str">
        <x:v>csq016</x:v>
      </x:c>
      <x:c r="C305" s="17" t="str">
        <x:v>systems_and_networking</x:v>
      </x:c>
      <x:c r="D305" s="17" t="str">
        <x:v>serverless_computing</x:v>
      </x:c>
      <x:c r="E305" s="27" t="str">
        <x:v>How do research systems mitigate cold starts in serverless computing, and how do prewarming, snapshotting, and prediction-based approaches compare?</x:v>
      </x:c>
      <x:c r="F305" s="22" t="n">
        <x:v>4</x:v>
      </x:c>
      <x:c r="G305" s="17" t="str">
        <x:v>arXiv:2212.10131</x:v>
      </x:c>
      <x:c r="H305" s="27" t="str">
        <x:v>Hydra: Virtualized Multi-Language Runtime for High-Density Serverless Platforms</x:v>
      </x:c>
      <x:c r="I305" s="17" t="str">
        <x:v>Serhii Ivanenko; Vasyl Lanko; Rudi Horn; Vojin Jovanovic; Rodrigo Bruno</x:v>
      </x:c>
      <x:c r="J305" s="22" t="n">
        <x:v>2022</x:v>
      </x:c>
      <x:c r="K305" s="27" t="str">
        <x:v>Serverless is an attractive computing model that offers seamless scalability and elasticity; it takes the infrastructure management burden away from users and enables a pay-as-you-use billing model. As a result, serverless is becoming increasingly popular to support highly elastic and bursty workloads. However, existing platforms are supported by bloated virtualization stacks, which, combined with bursty and irregular invocations, lead to high memory and latency overheads. To reduce the virtualization stack bloat, we propose Hydra, a virtualized multi-language runtime and platform capable of hosting multiple sandboxes running concurrently. To fully leverage Hydra's virtualized runtime, we revisit the existing serverless platform design to make it colocation-aware across owners and functions, and to feature a caching layer of pre-allocated Hydra instances that can be used by different functions written in different languages to reduce cold starts. We also propose a snapshotting mechanism to checkpoint and restore individual sandboxes. By consolidating multiple serverless function invocations through Hydra, we improve the overall function density (ops/GB-sec) by 2.41x on average compared to OpenWhisk runtimes, the state-of-the-art single-language runtimes used in most serverless platforms, and by 1.43x on average compared to Knative runtimes supporting invocation colocation within the same function. When reproducing the Azure Functions trace, our serverless platform operating Hydra instances reduces the overall memory footprint by 21.3-43.9% compared to operating OpenWhisk instances and by 14.5-30% compared to operating Knative instances. Hydra eliminates cold starts thanks to the pool of pre-warmed runtime instances, reducing p99 latency by 45.3-375.5x compared to OpenWhisk and by 1.9-51.4x compared to Knative.</x:v>
      </x:c>
      <x:c r="L305" s="17" t="str">
        <x:v>http://arxiv.org/abs/2212.10131v3</x:v>
      </x:c>
      <x:c r="M305" s="23" t="n">
        <x:v>0.7844199814046868</x:v>
      </x:c>
      <x:c r="N305" s="17" t="str">
        <x:v>qwen3-rerank-no-instruct-20260727-125006-results.jsonl</x:v>
      </x:c>
      <x:c r="O305" s="24" t="str">
        <x:v>2</x:v>
      </x:c>
      <x:c r="P305" s="28" t="str">
        <x:v>轻量多语言运行时直接降低实例启动成本。</x:v>
      </x:c>
      <x:c r="Q305" s="25" t="str"/>
      <x:c r="R305" s="24" t="str">
        <x:f>IF(Q305&lt;&gt;"",Q305,O305)</x:f>
        <x:v>2</x:v>
      </x:c>
      <x:c r="S305" s="29" t="str"/>
    </x:row>
    <x:row r="306" ht="54" customHeight="1">
      <x:c r="A306" s="17" t="str">
        <x:v>csq016-r05</x:v>
      </x:c>
      <x:c r="B306" s="17" t="str">
        <x:v>csq016</x:v>
      </x:c>
      <x:c r="C306" s="17" t="str">
        <x:v>systems_and_networking</x:v>
      </x:c>
      <x:c r="D306" s="17" t="str">
        <x:v>serverless_computing</x:v>
      </x:c>
      <x:c r="E306" s="27" t="str">
        <x:v>How do research systems mitigate cold starts in serverless computing, and how do prewarming, snapshotting, and prediction-based approaches compare?</x:v>
      </x:c>
      <x:c r="F306" s="22" t="n">
        <x:v>5</x:v>
      </x:c>
      <x:c r="G306" s="17" t="str">
        <x:v>arXiv:2206.15176</x:v>
      </x:c>
      <x:c r="H306" s="27" t="str">
        <x:v>A Time Series Forecasting Approach to Minimize Cold Start Time in Cloud-Serverless Platform</x:v>
      </x:c>
      <x:c r="I306" s="17" t="str">
        <x:v>Akash Puliyadi Jegannathan; Rounak Saha; Sourav Kanti Addya</x:v>
      </x:c>
      <x:c r="J306" s="22" t="n">
        <x:v>2022</x:v>
      </x:c>
      <x:c r="K306" s="27" t="str">
        <x:v>Serverless computing is a buzzword that is being used commonly in the world of technology and among developers and businesses. Using the Function-as-a-Service (FaaS) model of serverless, one can easily deploy their applications to the cloud and go live in a matter of days, it facilitates the developers to focus on their core business logic and the backend process such as managing the infrastructure, scaling of the application, updation of software and other dependencies is handled by the Cloud Service Provider. One of the features of serverless computing is ability to scale the containers to zero, which results in a problem called cold start. The challenging part is to reduce the cold start latency without the consumption of extra resources. In this paper, we use SARIMA (Seasonal Auto Regressive Integrated Moving Average), one of the classical time series forecasting models to predict the time at which the incoming request comes, and accordingly increase or decrease the amount of required containers to minimize the resource wastage, thus reducing the function launching time. Finally, we implement PBA (Prediction Based Autoscaler) and compare it with the default HPA (Horizontal Pod Autoscaler), which comes inbuilt with kubernetes. The results showed that PBA performs fairly better than the default HPA, while reducing the wastage of resources.</x:v>
      </x:c>
      <x:c r="L306" s="17" t="str">
        <x:v>http://arxiv.org/abs/2206.15176v1</x:v>
      </x:c>
      <x:c r="M306" s="23" t="n">
        <x:v>0.7824662729627592</x:v>
      </x:c>
      <x:c r="N306" s="17" t="str">
        <x:v>qwen3-rerank-no-instruct-20260727-125006-results.jsonl</x:v>
      </x:c>
      <x:c r="O306" s="24" t="str">
        <x:v>2</x:v>
      </x:c>
      <x:c r="P306" s="28" t="str">
        <x:v>以时间序列预测调用并预防冷启动。</x:v>
      </x:c>
      <x:c r="Q306" s="25" t="str"/>
      <x:c r="R306" s="24" t="str">
        <x:f>IF(Q306&lt;&gt;"",Q306,O306)</x:f>
        <x:v>2</x:v>
      </x:c>
      <x:c r="S306" s="29" t="str"/>
    </x:row>
    <x:row r="307" ht="54" customHeight="1">
      <x:c r="A307" s="17" t="str">
        <x:v>csq016-r06</x:v>
      </x:c>
      <x:c r="B307" s="17" t="str">
        <x:v>csq016</x:v>
      </x:c>
      <x:c r="C307" s="17" t="str">
        <x:v>systems_and_networking</x:v>
      </x:c>
      <x:c r="D307" s="17" t="str">
        <x:v>serverless_computing</x:v>
      </x:c>
      <x:c r="E307" s="27" t="str">
        <x:v>How do research systems mitigate cold starts in serverless computing, and how do prewarming, snapshotting, and prediction-based approaches compare?</x:v>
      </x:c>
      <x:c r="F307" s="22" t="n">
        <x:v>6</x:v>
      </x:c>
      <x:c r="G307" s="17" t="str">
        <x:v>arXiv:2509.14292</x:v>
      </x:c>
      <x:c r="H307" s="27" t="str">
        <x:v>Taming Serverless Cold Starts Through OS Co-Design</x:v>
      </x:c>
      <x:c r="I307" s="17" t="str">
        <x:v>Ben Holmes; Baltasar Dinis; Lana Honcharuk; Joshua Fried; Adam Belay</x:v>
      </x:c>
      <x:c r="J307" s="22" t="n">
        <x:v>2025</x:v>
      </x:c>
      <x:c r="K307" s="27" t="str">
        <x:v>Serverless computing promises fine-grained elasticity and operational simplicity, fueling widespread interest from both industry and academia. Yet this promise is undercut by the cold setart problem, where invoking a function after a period of inactivity triggers costly initialization before any work can begin. Even with today's high-speed storage, the prevailing view is that achieving sub-millisecond cold starts requires keeping state resident in memory. This paper challenges that assumption. Our analysis of existing snapshot/restore mechanisms show that OS-level limitations, not storage speed, are the real barrier to ultra-fast restores from disk. These limitations force current systems to either restore state piecemeal in a costly manner or capture too much state, leading to longer restore times and unpredictable performance. Futhermore, current memory primitives exposed by the OS make it difficult to reliably fetch data into memory and avoid costly runtime page faults. To overcome these barriers, we present Spice, an execution engine purpose-built for serverless snapshot/restore. Spice integrates directly with the OS to restore kernel state without costly replay and introduces dedicated primitives for restoring memory mappings efficiently and reliably. As a result, Spice delivers near-warm performance on cold restores from disk, reducing latency by up to 14.9x over state-of-the-art process-based systems and 10.6x over VM-based systems. This proves that high performance and memory elasticity no longer need to be a trade-off in serverless computing.</x:v>
      </x:c>
      <x:c r="L307" s="17" t="str">
        <x:v>http://arxiv.org/abs/2509.14292v1</x:v>
      </x:c>
      <x:c r="M307" s="23" t="n">
        <x:v>0.7481639965535655</x:v>
      </x:c>
      <x:c r="N307" s="17" t="str">
        <x:v>qwen3-rerank-no-instruct-20260727-125006-results.jsonl</x:v>
      </x:c>
      <x:c r="O307" s="24" t="str">
        <x:v>2</x:v>
      </x:c>
      <x:c r="P307" s="28" t="str">
        <x:v>分析快照恢复瓶颈并协同优化操作系统。</x:v>
      </x:c>
      <x:c r="Q307" s="25" t="str"/>
      <x:c r="R307" s="24" t="str">
        <x:f>IF(Q307&lt;&gt;"",Q307,O307)</x:f>
        <x:v>2</x:v>
      </x:c>
      <x:c r="S307" s="29" t="str"/>
    </x:row>
    <x:row r="308" ht="54" customHeight="1">
      <x:c r="A308" s="17" t="str">
        <x:v>csq016-r07</x:v>
      </x:c>
      <x:c r="B308" s="17" t="str">
        <x:v>csq016</x:v>
      </x:c>
      <x:c r="C308" s="17" t="str">
        <x:v>systems_and_networking</x:v>
      </x:c>
      <x:c r="D308" s="17" t="str">
        <x:v>serverless_computing</x:v>
      </x:c>
      <x:c r="E308" s="27" t="str">
        <x:v>How do research systems mitigate cold starts in serverless computing, and how do prewarming, snapshotting, and prediction-based approaches compare?</x:v>
      </x:c>
      <x:c r="F308" s="22" t="n">
        <x:v>7</x:v>
      </x:c>
      <x:c r="G308" s="17" t="str">
        <x:v>arXiv:1903.12221</x:v>
      </x:c>
      <x:c r="H308" s="27" t="str">
        <x:v>Mitigating Cold Starts in Serverless Platforms: A Pool-Based Approach</x:v>
      </x:c>
      <x:c r="I308" s="17" t="str">
        <x:v>Ping-Min Lin; Alex Glikson</x:v>
      </x:c>
      <x:c r="J308" s="22" t="n">
        <x:v>2019</x:v>
      </x:c>
      <x:c r="K308" s="27" t="str">
        <x:v>Rapid adoption of the serverless (or Function-as-a-Service, FaaS) paradigm, pioneered by Amazon with AWS Lambda and followed by numerous commercial offerings and open source projects, introduces new challenges in designing the cloud infrastructure, balancing between performance and cost. While instant per-request elasticity that FaaS platforms typically offer application developers makes it possible to achieve high performance of bursty workloads without over-provisioning, such elasticity often involves extra latency associated with on-demand provisioning of individual runtime containers that serve the functions. This phenomenon is often called cold starts, as opposed to the situation when a function is served by a pre-provisioned "warm" container, ready to serve requests with close to zero overhead. Providers are constantly working on techniques aimed at reducing cold starts. A common approach to reduce cold starts is to maintain a pool of warm containers, in anticipation of future requests. In this report, we address the cold start problem in serverless architectures, specifically under the Knative Serving FaaS platform. We describe our implementation leveraging a pool of function instances, and evaluate the latency compared to the original implementation, resulting in a 85% reduction of P99 response time for a single instance pool.</x:v>
      </x:c>
      <x:c r="L308" s="17" t="str">
        <x:v>http://arxiv.org/abs/1903.12221v1</x:v>
      </x:c>
      <x:c r="M308" s="23" t="n">
        <x:v>0.7435320374990687</x:v>
      </x:c>
      <x:c r="N308" s="17" t="str">
        <x:v>qwen3-rerank-no-instruct-20260727-125006-results.jsonl</x:v>
      </x:c>
      <x:c r="O308" s="24" t="str">
        <x:v>2</x:v>
      </x:c>
      <x:c r="P308" s="28" t="str">
        <x:v>以实例池直接缓解容器冷启动。</x:v>
      </x:c>
      <x:c r="Q308" s="25" t="str"/>
      <x:c r="R308" s="24" t="str">
        <x:f>IF(Q308&lt;&gt;"",Q308,O308)</x:f>
        <x:v>2</x:v>
      </x:c>
      <x:c r="S308" s="29" t="str"/>
    </x:row>
    <x:row r="309" ht="54" customHeight="1">
      <x:c r="A309" s="17" t="str">
        <x:v>csq016-r08</x:v>
      </x:c>
      <x:c r="B309" s="17" t="str">
        <x:v>csq016</x:v>
      </x:c>
      <x:c r="C309" s="17" t="str">
        <x:v>systems_and_networking</x:v>
      </x:c>
      <x:c r="D309" s="17" t="str">
        <x:v>serverless_computing</x:v>
      </x:c>
      <x:c r="E309" s="27" t="str">
        <x:v>How do research systems mitigate cold starts in serverless computing, and how do prewarming, snapshotting, and prediction-based approaches compare?</x:v>
      </x:c>
      <x:c r="F309" s="22" t="n">
        <x:v>8</x:v>
      </x:c>
      <x:c r="G309" s="17" t="str">
        <x:v>arXiv:2102.12892</x:v>
      </x:c>
      <x:c r="H309" s="27" t="str">
        <x:v>Restoring Uniqueness in MicroVM Snapshots</x:v>
      </x:c>
      <x:c r="I309" s="17" t="str">
        <x:v>Marc Brooker; Adrian Costin Catangiu; Mike Danilov; Alexander Graf; Colm MacCarthaigh; Andrei Sandu</x:v>
      </x:c>
      <x:c r="J309" s="22" t="n">
        <x:v>2021</x:v>
      </x:c>
      <x:c r="K309" s="27" t="str">
        <x:v>Code initialization -- the step of loading code, executing static code, filling caches, and forming re-used connections -- tends to dominate cold-start time in serverless compute systems such as AWS Lambda. Post-initialization memory snapshots, cloned and restored on start, have emerged as a viable solution to this problem, with incremental snapshot and fast restore support in VMMs like Firecracker. Saving memory introduces the challenge of managing high-value memory contents, such as cryptographic secrets. Cloning introduces the challenge of restoring the uniqueness of the VMs, to allow them to do unique things like generate UUIDs, secrets, and nonces. This paper examines solutions to these problems in the every microsecond counts context of serverless cold-start, and discusses the state-of-the-art of available solutions. We present two new interfaces aimed at solving this problem -- MADV\_WIPEONSUSPEND and SysGenId -- and compare them to alternative solutions.</x:v>
      </x:c>
      <x:c r="L309" s="17" t="str">
        <x:v>http://arxiv.org/abs/2102.12892v1</x:v>
      </x:c>
      <x:c r="M309" s="23" t="n">
        <x:v>0.7324390306948999</x:v>
      </x:c>
      <x:c r="N309" s="17" t="str">
        <x:v>qwen3-rerank-no-instruct-20260727-125006-results.jsonl</x:v>
      </x:c>
      <x:c r="O309" s="24" t="str">
        <x:v>2</x:v>
      </x:c>
      <x:c r="P309" s="28" t="str">
        <x:v>解决MicroVM快照恢复的唯一性与安全。</x:v>
      </x:c>
      <x:c r="Q309" s="25" t="str"/>
      <x:c r="R309" s="24" t="str">
        <x:f>IF(Q309&lt;&gt;"",Q309,O309)</x:f>
        <x:v>2</x:v>
      </x:c>
      <x:c r="S309" s="29" t="str"/>
    </x:row>
    <x:row r="310" ht="54" customHeight="1">
      <x:c r="A310" s="17" t="str">
        <x:v>csq016-r09</x:v>
      </x:c>
      <x:c r="B310" s="17" t="str">
        <x:v>csq016</x:v>
      </x:c>
      <x:c r="C310" s="17" t="str">
        <x:v>systems_and_networking</x:v>
      </x:c>
      <x:c r="D310" s="17" t="str">
        <x:v>serverless_computing</x:v>
      </x:c>
      <x:c r="E310" s="27" t="str">
        <x:v>How do research systems mitigate cold starts in serverless computing, and how do prewarming, snapshotting, and prediction-based approaches compare?</x:v>
      </x:c>
      <x:c r="F310" s="22" t="n">
        <x:v>9</x:v>
      </x:c>
      <x:c r="G310" s="17" t="str">
        <x:v>arXiv:2409.09202</x:v>
      </x:c>
      <x:c r="H310" s="27" t="str">
        <x:v>HotSwap: Enabling Live Dependency Sharing in Serverless Computing</x:v>
      </x:c>
      <x:c r="I310" s="17" t="str">
        <x:v>Rui Li; Devesh Tiwari; Gene Cooperman</x:v>
      </x:c>
      <x:c r="J310" s="22" t="n">
        <x:v>2024</x:v>
      </x:c>
      <x:c r="K310" s="27" t="str">
        <x:v>This work presents HotSwap, a novel provider-side cold-start optimization for serverless computing. This optimization reduces cold-start time when booting and loading dependencies at runtime inside a function container. Previous research has extensively focused on reducing cold-start latency for specific functions. However, little attention has been given to skewed production workloads. In such cases, cross-function optimization becomes essential. Without cross-function optimization, a cloud provider is left with two equally poor options: (i) Either the cloud provider gives up optimization for each function in the long tail (which is slow); or (ii) the cloud provider applies function-specific optimizations (e.g., cache function images) to every function in the long tail (which violates the vendor's cache constraints). HotSwap demonstrates cross-function optimization using a novel pre-warming strategy. In this strategy, a pre-initialized live dependency image is migrated to the new function instance. At the same time, HotSwap respects the provider's cache constraints, because a single pre-warmed dependency image in the cache can be shared among all serverless functions that require that image. HotSwap has been tested on seven representative functions from FunctionBench. In those tests, HotSwap accelerates dependency loading for those serverless functions with large dependency requirements by a factor ranging from 2.2 to 3.2. Simulation experiments using Azure traces indicate that HotSwap can save 88\% of space, compared with a previous function-specific method, PreBaking, when sharing a dependency image among ten different functions.</x:v>
      </x:c>
      <x:c r="L310" s="17" t="str">
        <x:v>http://arxiv.org/abs/2409.09202v3</x:v>
      </x:c>
      <x:c r="M310" s="23" t="n">
        <x:v>0.6928701819713536</x:v>
      </x:c>
      <x:c r="N310" s="17" t="str">
        <x:v>qwen3-rerank-no-instruct-20260727-125006-results.jsonl</x:v>
      </x:c>
      <x:c r="O310" s="24" t="str">
        <x:v>2</x:v>
      </x:c>
      <x:c r="P310" s="28" t="str">
        <x:v>跨函数实时共享依赖以降低冷启动。</x:v>
      </x:c>
      <x:c r="Q310" s="25" t="str"/>
      <x:c r="R310" s="24" t="str">
        <x:f>IF(Q310&lt;&gt;"",Q310,O310)</x:f>
        <x:v>2</x:v>
      </x:c>
      <x:c r="S310" s="29" t="str"/>
    </x:row>
    <x:row r="311" ht="54" customHeight="1">
      <x:c r="A311" s="17" t="str">
        <x:v>csq016-r10</x:v>
      </x:c>
      <x:c r="B311" s="17" t="str">
        <x:v>csq016</x:v>
      </x:c>
      <x:c r="C311" s="17" t="str">
        <x:v>systems_and_networking</x:v>
      </x:c>
      <x:c r="D311" s="17" t="str">
        <x:v>serverless_computing</x:v>
      </x:c>
      <x:c r="E311" s="27" t="str">
        <x:v>How do research systems mitigate cold starts in serverless computing, and how do prewarming, snapshotting, and prediction-based approaches compare?</x:v>
      </x:c>
      <x:c r="F311" s="22" t="n">
        <x:v>10</x:v>
      </x:c>
      <x:c r="G311" s="17" t="str">
        <x:v>arXiv:2512.16066</x:v>
      </x:c>
      <x:c r="H311" s="27" t="str">
        <x:v>Cold-Start Anti-Patterns and Refactorings in Serverless Systems: An Empirical Study</x:v>
      </x:c>
      <x:c r="I311" s="17" t="str">
        <x:v>Syed Salauddin Mohammad Tariq; Foyzul Hassan; Amiangshu Bosu; Probir Roy</x:v>
      </x:c>
      <x:c r="J311" s="22" t="n">
        <x:v>2025</x:v>
      </x:c>
      <x:c r="K311" s="27" t="str">
        <x:v>Serverless computing simplifies deployment and scaling, yet cold-start latency remains a major performance bottleneck. Unlike prior work that treats mitigation as a black-box optimization, we study cold starts as a developer-visible design problem. From 81 adjudicated issue reports across open-source serverless systems, we derive taxonomies of initialization anti-patterns, remediation strategies, and diagnostic challenges spanning design, packaging, and runtime layers. Building on these insights, we introduce SCABENCH, a reproducible benchmark, and INITSCOPE, a lightweight analysis framework linking what code is loaded with what is executed. On SCABENCH, INITSCOPE improved localization accuracy by up to 40% and reduced diagnostic effort by 64% compared with prior tools, while a developer study showed higher task accuracy and faster diagnosis. Together, these results advance evidence-driven, performance-aware practices for cold-start mitigation in serverless design. Availability: The research artifact is publicly accessible for future studies and improvements.</x:v>
      </x:c>
      <x:c r="L311" s="17" t="str">
        <x:v>http://arxiv.org/abs/2512.16066v1</x:v>
      </x:c>
      <x:c r="M311" s="23" t="n">
        <x:v>0.6772591571956479</x:v>
      </x:c>
      <x:c r="N311" s="17" t="str">
        <x:v>qwen3-rerank-no-instruct-20260727-125006-results.jsonl</x:v>
      </x:c>
      <x:c r="O311" s="24" t="str">
        <x:v>2</x:v>
      </x:c>
      <x:c r="P311" s="28" t="str">
        <x:v>总结冷启动反模式与重构缓解策略。</x:v>
      </x:c>
      <x:c r="Q311" s="25" t="str"/>
      <x:c r="R311" s="24" t="str">
        <x:f>IF(Q311&lt;&gt;"",Q311,O311)</x:f>
        <x:v>2</x:v>
      </x:c>
      <x:c r="S311" s="29" t="str"/>
    </x:row>
    <x:row r="312" ht="54" customHeight="1">
      <x:c r="A312" s="17" t="str">
        <x:v>csq016-r11</x:v>
      </x:c>
      <x:c r="B312" s="17" t="str">
        <x:v>csq016</x:v>
      </x:c>
      <x:c r="C312" s="17" t="str">
        <x:v>systems_and_networking</x:v>
      </x:c>
      <x:c r="D312" s="17" t="str">
        <x:v>serverless_computing</x:v>
      </x:c>
      <x:c r="E312" s="27" t="str">
        <x:v>How do research systems mitigate cold starts in serverless computing, and how do prewarming, snapshotting, and prediction-based approaches compare?</x:v>
      </x:c>
      <x:c r="F312" s="22" t="n">
        <x:v>11</x:v>
      </x:c>
      <x:c r="G312" s="17" t="str">
        <x:v>arXiv:2403.17574</x:v>
      </x:c>
      <x:c r="H312" s="27" t="str">
        <x:v>SPES: Towards Optimizing Performance-Resource Trade-Off for Serverless Functions</x:v>
      </x:c>
      <x:c r="I312" s="17" t="str">
        <x:v>Cheryl Lee; Zhouruixing Zhu; Tianyi Yang; Yintong Huo; Yuxin Su; Pinjia He; Michael R. Lyu</x:v>
      </x:c>
      <x:c r="J312" s="22" t="n">
        <x:v>2024</x:v>
      </x:c>
      <x:c r="K312" s="27" t="str">
        <x:v>As an emerging cloud computing deployment paradigm, serverless computing is gaining traction due to its efficiency and ability to harness on-demand cloud resources. However, a significant hurdle remains in the form of the cold start problem, causing latency when launching new function instances from scratch. Existing solutions tend to use over-simplistic strategies for function pre-loading/unloading without full invocation pattern exploitation, rendering unsatisfactory optimization of the trade-off between cold start latency and resource waste. To bridge this gap, we propose SPES, the first differentiated scheduler for runtime cold start mitigation by optimizing serverless function provision. Our insight is that the common architecture of serverless systems prompts the concentration of certain invocation patterns, leading to predictable invocation behaviors. This allows us to categorize functions and pre-load/unload proper function instances with finer-grained strategies based on accurate invocation prediction. Experiments demonstrate the success of SPES in optimizing serverless function provision on both sides: reducing the 75th-percentile cold start rates by 49.77% and the wasted memory time by 56.43%, compared to the state-of-the-art. By mitigating the cold start issue, SPES is a promising advancement in facilitating cloud services deployed on serverless architectures.</x:v>
      </x:c>
      <x:c r="L312" s="17" t="str">
        <x:v>http://arxiv.org/abs/2403.17574v2</x:v>
      </x:c>
      <x:c r="M312" s="23" t="n">
        <x:v>0.6671105216013148</x:v>
      </x:c>
      <x:c r="N312" s="17" t="str">
        <x:v>qwen3-rerank-no-instruct-20260727-125006-results.jsonl</x:v>
      </x:c>
      <x:c r="O312" s="24" t="str">
        <x:v>2</x:v>
      </x:c>
      <x:c r="P312" s="28" t="str">
        <x:v>按调用模式调度，权衡预加载资源与延迟。</x:v>
      </x:c>
      <x:c r="Q312" s="25" t="str"/>
      <x:c r="R312" s="24" t="str">
        <x:f>IF(Q312&lt;&gt;"",Q312,O312)</x:f>
        <x:v>2</x:v>
      </x:c>
      <x:c r="S312" s="29" t="str"/>
    </x:row>
    <x:row r="313" ht="54" customHeight="1">
      <x:c r="A313" s="17" t="str">
        <x:v>csq016-r12</x:v>
      </x:c>
      <x:c r="B313" s="17" t="str">
        <x:v>csq016</x:v>
      </x:c>
      <x:c r="C313" s="17" t="str">
        <x:v>systems_and_networking</x:v>
      </x:c>
      <x:c r="D313" s="17" t="str">
        <x:v>serverless_computing</x:v>
      </x:c>
      <x:c r="E313" s="27" t="str">
        <x:v>How do research systems mitigate cold starts in serverless computing, and how do prewarming, snapshotting, and prediction-based approaches compare?</x:v>
      </x:c>
      <x:c r="F313" s="22" t="n">
        <x:v>12</x:v>
      </x:c>
      <x:c r="G313" s="17" t="str">
        <x:v>arXiv:2504.06512</x:v>
      </x:c>
      <x:c r="H313" s="27" t="str">
        <x:v>ICPS: Real-Time Resource Configuration for Cloud Serverless Functions Considering Affinity</x:v>
      </x:c>
      <x:c r="I313" s="17" t="str">
        <x:v>Long Chen; Xinshuai Hua; Jinquan Zhang; Wenshuai Li; Xiaoping Li; Shijie Guo</x:v>
      </x:c>
      <x:c r="J313" s="22" t="n">
        <x:v>2025</x:v>
      </x:c>
      <x:c r="K313" s="27" t="str">
        <x:v>Serverless computing, with its operational simplicity and on-demand scalability, has become a preferred paradigm for deploying workflow applications. However, resource allocation for workflows, particularly those with branching structures, is complicated by cold starts and network delays between dependent functions, significantly degrading execution efficiency and response times. In this paper, we propose the Invocation Concurrency Prediction-Based Scaling (ICPS) algorithm to address these challenges. ICPS employs Long Short-Term Memory (LSTM) networks to predict function concurrency, dynamically pre-warming function instances, and an affinity-based deployment strategy to co-locate dependent functions on the same worker node, minimizing network latency. The experimental results demonstrate that ICPS consistently outperforms existing approaches in diverse scenarios. The results confirm ICPS as a robust and scalable solution for optimizing serverless workflow execution.</x:v>
      </x:c>
      <x:c r="L313" s="17" t="str">
        <x:v>http://arxiv.org/abs/2504.06512v1</x:v>
      </x:c>
      <x:c r="M313" s="23" t="n">
        <x:v>0.6664884867074969</x:v>
      </x:c>
      <x:c r="N313" s="17" t="str">
        <x:v>qwen3-rerank-no-instruct-20260727-125006-results.jsonl</x:v>
      </x:c>
      <x:c r="O313" s="24" t="str">
        <x:v>2</x:v>
      </x:c>
      <x:c r="P313" s="28" t="str">
        <x:v>LSTM预测并动态预热函数实例。</x:v>
      </x:c>
      <x:c r="Q313" s="25" t="str"/>
      <x:c r="R313" s="24" t="str">
        <x:f>IF(Q313&lt;&gt;"",Q313,O313)</x:f>
        <x:v>2</x:v>
      </x:c>
      <x:c r="S313" s="29" t="str"/>
    </x:row>
    <x:row r="314" ht="54" customHeight="1">
      <x:c r="A314" s="17" t="str">
        <x:v>csq016-r13</x:v>
      </x:c>
      <x:c r="B314" s="17" t="str">
        <x:v>csq016</x:v>
      </x:c>
      <x:c r="C314" s="17" t="str">
        <x:v>systems_and_networking</x:v>
      </x:c>
      <x:c r="D314" s="17" t="str">
        <x:v>serverless_computing</x:v>
      </x:c>
      <x:c r="E314" s="27" t="str">
        <x:v>How do research systems mitigate cold starts in serverless computing, and how do prewarming, snapshotting, and prediction-based approaches compare?</x:v>
      </x:c>
      <x:c r="F314" s="22" t="n">
        <x:v>13</x:v>
      </x:c>
      <x:c r="G314" s="17" t="str">
        <x:v>arXiv:2505.19880</x:v>
      </x:c>
      <x:c r="H314" s="27" t="str">
        <x:v>Universal Workers: A Vision for Eliminating Cold Starts in Serverless Computing</x:v>
      </x:c>
      <x:c r="I314" s="17" t="str">
        <x:v>Saman Akbari; Manfred Hauswirth</x:v>
      </x:c>
      <x:c r="J314" s="22" t="n">
        <x:v>2025</x:v>
      </x:c>
      <x:c r="K314" s="27" t="str">
        <x:v>Serverless computing enables developers to deploy code without managing infrastructure, but suffers from cold start overhead when initializing new function instances. Existing solutions such as "keep-alive" or "pre-warming" are costly and unreliable under bursty workloads. We propose universal workers, which are computational units capable of executing any function with minimal initialization overhead. Based on an analysis of production workload traces, our key insight is that requests in Function-as-a-Service (FaaS) platforms show a highly skewed distribution, with most requests invoking a small subset of functions. We exploit this observation to approximate universal workers through locality groups and three-tier caching (handler, install, import). With this work, we aim to enable more efficient and scalable FaaS platforms capable of handling diverse workloads with minimal initialization overhead.</x:v>
      </x:c>
      <x:c r="L314" s="17" t="str">
        <x:v>http://arxiv.org/abs/2505.19880v2</x:v>
      </x:c>
      <x:c r="M314" s="23" t="n">
        <x:v>0.6574310569792162</x:v>
      </x:c>
      <x:c r="N314" s="17" t="str">
        <x:v>qwen3-rerank-no-instruct-20260727-125006-results.jsonl</x:v>
      </x:c>
      <x:c r="O314" s="24" t="str">
        <x:v>2</x:v>
      </x:c>
      <x:c r="P314" s="28" t="str">
        <x:v>比较预热局限并提出通用工作器。</x:v>
      </x:c>
      <x:c r="Q314" s="25" t="str"/>
      <x:c r="R314" s="24" t="str">
        <x:f>IF(Q314&lt;&gt;"",Q314,O314)</x:f>
        <x:v>2</x:v>
      </x:c>
      <x:c r="S314" s="29" t="str"/>
    </x:row>
    <x:row r="315" ht="54" customHeight="1">
      <x:c r="A315" s="17" t="str">
        <x:v>csq016-r14</x:v>
      </x:c>
      <x:c r="B315" s="17" t="str">
        <x:v>csq016</x:v>
      </x:c>
      <x:c r="C315" s="17" t="str">
        <x:v>systems_and_networking</x:v>
      </x:c>
      <x:c r="D315" s="17" t="str">
        <x:v>serverless_computing</x:v>
      </x:c>
      <x:c r="E315" s="27" t="str">
        <x:v>How do research systems mitigate cold starts in serverless computing, and how do prewarming, snapshotting, and prediction-based approaches compare?</x:v>
      </x:c>
      <x:c r="F315" s="22" t="n">
        <x:v>14</x:v>
      </x:c>
      <x:c r="G315" s="17" t="str">
        <x:v>arXiv:2411.15664</x:v>
      </x:c>
      <x:c r="H315" s="27" t="str">
        <x:v>Enabling Efficient Serverless Inference Serving for LLM (Large Language Model) in the Cloud</x:v>
      </x:c>
      <x:c r="I315" s="17" t="str">
        <x:v>Himel Ghosh</x:v>
      </x:c>
      <x:c r="J315" s="22" t="n">
        <x:v>2024</x:v>
      </x:c>
      <x:c r="K315" s="27" t="str">
        <x:v>This review report discusses the cold start latency in serverless inference and existing solutions. It particularly reviews the ServerlessLLM method, a system designed to address the cold start problem in serverless inference for large language models. Traditional serverless approaches struggle with high latency due to the size of LLM checkpoints and the overhead of initializing GPU resources. ServerlessLLM introduces a multitier checkpoint loading system, leveraging underutilized GPU memory and storage to reduce startup times by 6--8x compared to existing methods. It also proposes live inference migration and a startup-time-optimized model scheduler, ensuring efficient resource allocation and minimizing delays. This system significantly improves performance and scalability in serverless environments for LLM workloads. Besides ServerlessLLM, several other methods from recent research literature, including Rainbowcake, are reviewed in this paper. Further discussions explore how FaaS providers tackle cold starts and the possible future scopes.</x:v>
      </x:c>
      <x:c r="L315" s="17" t="str">
        <x:v>http://arxiv.org/abs/2411.15664v1</x:v>
      </x:c>
      <x:c r="M315" s="23" t="n">
        <x:v>0.6301746311244856</x:v>
      </x:c>
      <x:c r="N315" s="17" t="str">
        <x:v>qwen3-rerank-no-instruct-20260727-125006-results.jsonl</x:v>
      </x:c>
      <x:c r="O315" s="24" t="str">
        <x:v>2</x:v>
      </x:c>
      <x:c r="P315" s="28" t="str">
        <x:v>综述LLM无服务器推理的快照加载方案。</x:v>
      </x:c>
      <x:c r="Q315" s="25" t="str"/>
      <x:c r="R315" s="24" t="str">
        <x:f>IF(Q315&lt;&gt;"",Q315,O315)</x:f>
        <x:v>2</x:v>
      </x:c>
      <x:c r="S315" s="29" t="str"/>
    </x:row>
    <x:row r="316" ht="54" customHeight="1">
      <x:c r="A316" s="17" t="str">
        <x:v>csq016-r15</x:v>
      </x:c>
      <x:c r="B316" s="17" t="str">
        <x:v>csq016</x:v>
      </x:c>
      <x:c r="C316" s="17" t="str">
        <x:v>systems_and_networking</x:v>
      </x:c>
      <x:c r="D316" s="17" t="str">
        <x:v>serverless_computing</x:v>
      </x:c>
      <x:c r="E316" s="27" t="str">
        <x:v>How do research systems mitigate cold starts in serverless computing, and how do prewarming, snapshotting, and prediction-based approaches compare?</x:v>
      </x:c>
      <x:c r="F316" s="22" t="n">
        <x:v>15</x:v>
      </x:c>
      <x:c r="G316" s="17" t="str">
        <x:v>arXiv:2310.08437</x:v>
      </x:c>
      <x:c r="H316" s="27" t="str">
        <x:v>Cold Start Latency in Serverless Computing: A Systematic Review, Taxonomy, and Future Directions</x:v>
      </x:c>
      <x:c r="I316" s="17" t="str">
        <x:v>Muhammed Golec; Guneet Kaur Walia; Mohit Kumar; Felix Cuadrado; Sukhpal Singh Gill; Steve Uhlig</x:v>
      </x:c>
      <x:c r="J316" s="22" t="n">
        <x:v>2023</x:v>
      </x:c>
      <x:c r="K316" s="27" t="str">
        <x:v>Recently, academics and the corporate sector have paid attention to serverless computing, which enables dynamic scalability and an economic model. In serverless computing, users only pay for the time they actually use resources, enabling zero scaling to optimise cost and resource utilisation. However, this approach also introduces the serverless cold start problem. Researchers have developed various solutions to address the cold start problem, yet it remains an unresolved research area. In this article, we propose a systematic literature review on clod start latency in serverless computing. Furthermore, we create a detailed taxonomy of approaches to cold start latency, which we use to investigate existing techniques for reducing the cold start time and frequency. We have classified the current studies on cold start latency into several categories such as caching and application-level optimisation-based solutions, as well as Artificial Intelligence (AI)/Machine Learning (ML)-based solutions. Moreover, we have analyzed the impact of cold start latency on quality of service, explored current cold start latency mitigation methods, datasets, and implementation platforms, and classified them into categories based on their common characteristics and features. Finally, we outline the open challenges and highlight the possible future directions.</x:v>
      </x:c>
      <x:c r="L316" s="17" t="str">
        <x:v>http://arxiv.org/abs/2310.08437v2</x:v>
      </x:c>
      <x:c r="M316" s="23" t="n">
        <x:v>0.6236816218751208</x:v>
      </x:c>
      <x:c r="N316" s="17" t="str">
        <x:v>qwen3-rerank-no-instruct-20260727-125006-results.jsonl</x:v>
      </x:c>
      <x:c r="O316" s="24" t="str">
        <x:v>2</x:v>
      </x:c>
      <x:c r="P316" s="28" t="str">
        <x:v>系统综述冷启动方法、分类与权衡。</x:v>
      </x:c>
      <x:c r="Q316" s="25" t="str"/>
      <x:c r="R316" s="24" t="str">
        <x:f>IF(Q316&lt;&gt;"",Q316,O316)</x:f>
        <x:v>2</x:v>
      </x:c>
      <x:c r="S316" s="29" t="str"/>
    </x:row>
    <x:row r="317" ht="54" customHeight="1">
      <x:c r="A317" s="17" t="str">
        <x:v>csq016-r16</x:v>
      </x:c>
      <x:c r="B317" s="17" t="str">
        <x:v>csq016</x:v>
      </x:c>
      <x:c r="C317" s="17" t="str">
        <x:v>systems_and_networking</x:v>
      </x:c>
      <x:c r="D317" s="17" t="str">
        <x:v>serverless_computing</x:v>
      </x:c>
      <x:c r="E317" s="27" t="str">
        <x:v>How do research systems mitigate cold starts in serverless computing, and how do prewarming, snapshotting, and prediction-based approaches compare?</x:v>
      </x:c>
      <x:c r="F317" s="22" t="n">
        <x:v>16</x:v>
      </x:c>
      <x:c r="G317" s="17" t="str">
        <x:v>arXiv:2109.13319</x:v>
      </x:c>
      <x:c r="H317" s="27" t="str">
        <x:v>How Low Can You Go? Practical cold-start performance limits in FaaS</x:v>
      </x:c>
      <x:c r="I317" s="17" t="str">
        <x:v>Yue Tan; David Liu; Nanqinqin Li; Amit Levy</x:v>
      </x:c>
      <x:c r="J317" s="22" t="n">
        <x:v>2021</x:v>
      </x:c>
      <x:c r="K317" s="27" t="str">
        <x:v>Function-as-a-Service (FaaS) has recently emerged as a new cloud computing paradigm. It promises high utilization of data center resources through allocating resources on demand at per-function request granularity. High cold-start overheads, however, have been limiting FaaS systems' such potential. Prior work has recognized that time redundancy exists across different cold function invocations and has proposed varied snapshots that capture the instantaneous execution state so allow for jump-starts through restoration. However, it remains unclear what the cold-start performance limits are as the previous snapshots employ different techniques and aredesigned for different environments. In this paper, we summarize these snapshots from a taxonomic perspective andpresent a model that depicts the cold-start performance fromfirst principles. To approximate the performance limits, we propose a snapshot design SnapFaaS. We evaluate SnapFaaS using real-world FaaS functions. Our empirical results prove SnapFaaS' efficiency. It is 2-10x as fast as prior work for most functions and achieves near-optimal cold-start performance.</x:v>
      </x:c>
      <x:c r="L317" s="17" t="str">
        <x:v>http://arxiv.org/abs/2109.13319v1</x:v>
      </x:c>
      <x:c r="M317" s="23" t="n">
        <x:v>0.6125479402277028</x:v>
      </x:c>
      <x:c r="N317" s="17" t="str">
        <x:v>qwen3-rerank-no-instruct-20260727-125006-results.jsonl</x:v>
      </x:c>
      <x:c r="O317" s="24" t="str">
        <x:v>2</x:v>
      </x:c>
      <x:c r="P317" s="28" t="str">
        <x:v>系统分析不同快照技术性能极限。</x:v>
      </x:c>
      <x:c r="Q317" s="25" t="str"/>
      <x:c r="R317" s="24" t="str">
        <x:f>IF(Q317&lt;&gt;"",Q317,O317)</x:f>
        <x:v>2</x:v>
      </x:c>
      <x:c r="S317" s="29" t="str"/>
    </x:row>
    <x:row r="318" ht="54" customHeight="1">
      <x:c r="A318" s="17" t="str">
        <x:v>csq016-r17</x:v>
      </x:c>
      <x:c r="B318" s="17" t="str">
        <x:v>csq016</x:v>
      </x:c>
      <x:c r="C318" s="17" t="str">
        <x:v>systems_and_networking</x:v>
      </x:c>
      <x:c r="D318" s="17" t="str">
        <x:v>serverless_computing</x:v>
      </x:c>
      <x:c r="E318" s="27" t="str">
        <x:v>How do research systems mitigate cold starts in serverless computing, and how do prewarming, snapshotting, and prediction-based approaches compare?</x:v>
      </x:c>
      <x:c r="F318" s="22" t="n">
        <x:v>17</x:v>
      </x:c>
      <x:c r="G318" s="17" t="str">
        <x:v>arXiv:2403.00433</x:v>
      </x:c>
      <x:c r="H318" s="27" t="str">
        <x:v>Jiagu: Optimizing Serverless Computing Resource Utilization with Harmonized Efficiency and Practicability</x:v>
      </x:c>
      <x:c r="I318" s="17" t="str">
        <x:v>Qingyuan Liu; Yanning Yang; Dong Du; Yubin Xia; Ping Zhang; Jia Feng; James Larus; Haibo Chen</x:v>
      </x:c>
      <x:c r="J318" s="22" t="n">
        <x:v>2024</x:v>
      </x:c>
      <x:c r="K318" s="27" t="str">
        <x:v>Current serverless platforms struggle to optimize resource utilization due to their dynamic and fine-grained nature. Conventional techniques like overcommitment and autoscaling fall short, often sacrificing utilization for practicability or incurring performance trade-offs. Overcommitment requires predicting performance to prevent QoS violation, introducing trade-off between prediction accuracy and overheads. Autoscaling requires scaling instances in response to load fluctuations quickly to reduce resource wastage, but more frequent scaling also leads to more cold start overheads. This paper introduces Jiagu, which harmonizes efficiency with practicability through two novel techniques. First, pre-decision scheduling achieves accurate prediction while eliminating overheads by decoupling prediction and scheduling. Second, dual-staged scaling achieves frequent adjustment of instances with minimum overhead. We have implemented a prototype and evaluated it using real-world applications and traces from the public cloud platform. Our evaluation shows a 54.8% improvement in deployment density over commercial clouds (with Kubernetes) while maintaining QoS, and 81.0%--93.7% lower scheduling costs and a 57.4%--69.3% reduction in cold start latency compared to existing QoS-aware schedulers in research work.</x:v>
      </x:c>
      <x:c r="L318" s="17" t="str">
        <x:v>http://arxiv.org/abs/2403.00433v1</x:v>
      </x:c>
      <x:c r="M318" s="23" t="n">
        <x:v>0.5856729358786783</x:v>
      </x:c>
      <x:c r="N318" s="17" t="str">
        <x:v>qwen3-rerank-no-instruct-20260727-125006-results.jsonl</x:v>
      </x:c>
      <x:c r="O318" s="24" t="str">
        <x:v>1</x:v>
      </x:c>
      <x:c r="P318" s="28" t="str">
        <x:v>主要优化资源利用，冷启动仅是相关性能因素。</x:v>
      </x:c>
      <x:c r="Q318" s="25" t="str"/>
      <x:c r="R318" s="24" t="str">
        <x:f>IF(Q318&lt;&gt;"",Q318,O318)</x:f>
        <x:v>1</x:v>
      </x:c>
      <x:c r="S318" s="29" t="str"/>
    </x:row>
    <x:row r="319" ht="54" customHeight="1">
      <x:c r="A319" s="17" t="str">
        <x:v>csq016-r18</x:v>
      </x:c>
      <x:c r="B319" s="17" t="str">
        <x:v>csq016</x:v>
      </x:c>
      <x:c r="C319" s="17" t="str">
        <x:v>systems_and_networking</x:v>
      </x:c>
      <x:c r="D319" s="17" t="str">
        <x:v>serverless_computing</x:v>
      </x:c>
      <x:c r="E319" s="27" t="str">
        <x:v>How do research systems mitigate cold starts in serverless computing, and how do prewarming, snapshotting, and prediction-based approaches compare?</x:v>
      </x:c>
      <x:c r="F319" s="22" t="n">
        <x:v>18</x:v>
      </x:c>
      <x:c r="G319" s="17" t="str">
        <x:v>arXiv:2504.11338</x:v>
      </x:c>
      <x:c r="H319" s="27" t="str">
        <x:v>Transformer-Based Model for Cold Start Mitigation in FaaS Architecture</x:v>
      </x:c>
      <x:c r="I319" s="17" t="str">
        <x:v>Alexandre Savi Fayam Mbala Mouen; Jerry Lacmou Zeutouo; Vianney Kengne Tchendji</x:v>
      </x:c>
      <x:c r="J319" s="22" t="n">
        <x:v>2025</x:v>
      </x:c>
      <x:c r="K319" s="27" t="str">
        <x:v>Serverless architectures, particularly the Function as a Service (FaaS) model, have become a cornerstone of modern cloud computing due to their ability to simplify resource management and enhance application deployment agility. However, a significant challenge remains: the cold start problem. This phenomenon occurs when an idle FaaS function is invoked, requiring a full initialization process, which increases latency and degrades user experience. Existing solutions for cold start mitigation are limited in terms of invocation pattern generalization and implementation complexity. In this study, we propose an innovative approach leveraging Transformer models to mitigate the impact of cold starts in FaaS architectures. Our solution excels in accurately modeling function initialization delays and optimizing serverless system performance. Experimental evaluation using a public dataset provided by Azure demonstrates a significant reduction in cold start times, reaching up to 79\% compared to conventional methods.</x:v>
      </x:c>
      <x:c r="L319" s="17" t="str">
        <x:v>http://arxiv.org/abs/2504.11338v1</x:v>
      </x:c>
      <x:c r="M319" s="23" t="n">
        <x:v>0.5844971555648132</x:v>
      </x:c>
      <x:c r="N319" s="17" t="str">
        <x:v>qwen3-rerank-no-instruct-20260727-125006-results.jsonl</x:v>
      </x:c>
      <x:c r="O319" s="24" t="str">
        <x:v>2</x:v>
      </x:c>
      <x:c r="P319" s="28" t="str">
        <x:v>以Transformer预测调用进行冷启动缓解。</x:v>
      </x:c>
      <x:c r="Q319" s="25" t="str"/>
      <x:c r="R319" s="24" t="str">
        <x:f>IF(Q319&lt;&gt;"",Q319,O319)</x:f>
        <x:v>2</x:v>
      </x:c>
      <x:c r="S319" s="29" t="str"/>
    </x:row>
    <x:row r="320" ht="54" customHeight="1">
      <x:c r="A320" s="17" t="str">
        <x:v>csq016-r19</x:v>
      </x:c>
      <x:c r="B320" s="17" t="str">
        <x:v>csq016</x:v>
      </x:c>
      <x:c r="C320" s="17" t="str">
        <x:v>systems_and_networking</x:v>
      </x:c>
      <x:c r="D320" s="17" t="str">
        <x:v>serverless_computing</x:v>
      </x:c>
      <x:c r="E320" s="27" t="str">
        <x:v>How do research systems mitigate cold starts in serverless computing, and how do prewarming, snapshotting, and prediction-based approaches compare?</x:v>
      </x:c>
      <x:c r="F320" s="22" t="n">
        <x:v>19</x:v>
      </x:c>
      <x:c r="G320" s="17" t="str">
        <x:v>arXiv:2409.00550</x:v>
      </x:c>
      <x:c r="H320" s="27" t="str">
        <x:v>CASA: A Framework for SLO and Carbon-Aware Autoscaling and Scheduling in Serverless Cloud Computing</x:v>
      </x:c>
      <x:c r="I320" s="17" t="str">
        <x:v>S. Qi; H. Moore; N. Hogade; D. Milojicic; C. Bash; S. Pasricha</x:v>
      </x:c>
      <x:c r="J320" s="22" t="n">
        <x:v>2024</x:v>
      </x:c>
      <x:c r="K320" s="27" t="str">
        <x:v>Serverless computing is an emerging cloud computing paradigm that can reduce costs for cloud providers and their customers. However, serverless cloud platforms have stringent performance requirements (due to the need to execute short duration functions in a timely manner) and a growing carbon footprint. Traditional carbon-reducing techniques such as shutting down idle containers can reduce performance by increasing cold-start latencies of containers required in the future. This can cause higher violation rates of service level objectives (SLOs). Conversely, traditional latency-reduction approaches of prewarming containers or keeping them alive when not in use can improve performance but increase the associated carbon footprint of the serverless cluster platform. To strike a balance between sustainability and performance, in this paper, we propose a novel carbon- and SLO-aware framework called CASA to schedule and autoscale containers in a serverless cloud computing cluster. Experimental results indicate that CASA reduces the operational carbon footprint of a FaaS cluster by up to 2.6x while also reducing the SLO violation rate by up to 1.4x compared to the state-of-the-art.</x:v>
      </x:c>
      <x:c r="L320" s="17" t="str">
        <x:v>http://arxiv.org/abs/2409.00550v1</x:v>
      </x:c>
      <x:c r="M320" s="23" t="n">
        <x:v>0.5767243413648101</x:v>
      </x:c>
      <x:c r="N320" s="17" t="str">
        <x:v>qwen3-rerank-no-instruct-20260727-125006-results.jsonl</x:v>
      </x:c>
      <x:c r="O320" s="24" t="str">
        <x:v>2</x:v>
      </x:c>
      <x:c r="P320" s="28" t="str">
        <x:v>比较预热的延迟、资源和碳排权衡。</x:v>
      </x:c>
      <x:c r="Q320" s="25" t="str"/>
      <x:c r="R320" s="24" t="str">
        <x:f>IF(Q320&lt;&gt;"",Q320,O320)</x:f>
        <x:v>2</x:v>
      </x:c>
      <x:c r="S320" s="29" t="str"/>
    </x:row>
    <x:row r="321" ht="54" customHeight="1">
      <x:c r="A321" s="17" t="str">
        <x:v>csq016-r20</x:v>
      </x:c>
      <x:c r="B321" s="17" t="str">
        <x:v>csq016</x:v>
      </x:c>
      <x:c r="C321" s="17" t="str">
        <x:v>systems_and_networking</x:v>
      </x:c>
      <x:c r="D321" s="17" t="str">
        <x:v>serverless_computing</x:v>
      </x:c>
      <x:c r="E321" s="27" t="str">
        <x:v>How do research systems mitigate cold starts in serverless computing, and how do prewarming, snapshotting, and prediction-based approaches compare?</x:v>
      </x:c>
      <x:c r="F321" s="22" t="n">
        <x:v>20</x:v>
      </x:c>
      <x:c r="G321" s="17" t="str">
        <x:v>arXiv:2304.00396</x:v>
      </x:c>
      <x:c r="H321" s="27" t="str">
        <x:v>Managing Cold-start in The Serverless Cloud with Temporal Convolutional Networks</x:v>
      </x:c>
      <x:c r="I321" s="17" t="str">
        <x:v>Tam N. Nguyen</x:v>
      </x:c>
      <x:c r="J321" s="22" t="n">
        <x:v>2023</x:v>
      </x:c>
      <x:c r="K321" s="27" t="str">
        <x:v>Serverless cloud is an innovative cloud service model that frees customers from most cloud management duties. It also offers the same advantages as other cloud models but at much lower costs. As a result, the serverless cloud has been increasingly employed in high-impact areas such as system security, banking, and health care. A big threat to the serverless cloud's performance is cold-start, which is when the time of provisioning the needed cloud resource to serve customers' requests incurs unacceptable costs to the service providers and/or the customers. This paper proposes a novel low-coupling, high-cohesion ensemble policy that addresses the cold-start problem at infrastructure- and function-levels of the serverless cloud stack, while the state of the art policies have a more narrowed focus. This ensemble policy anchors on the prediction of function instance arrivals, 10 to 15 minutes into the future. It is achievable by using the temporal convolutional network (TCN) deep-learning method. Bench-marking results on a real-world dataset from a large-scale serverless cloud provider show that TCN out-performs other popular machine learning algorithms for time series. Going beyond cold-start management, the proposed policy and publicly available codes can be adopted in solving other cloud problems such as optimizing the provisioning of virtual software-defined network assets.</x:v>
      </x:c>
      <x:c r="L321" s="17" t="str">
        <x:v>http://arxiv.org/abs/2304.00396v1</x:v>
      </x:c>
      <x:c r="M321" s="23" t="n">
        <x:v>0.567057065260028</x:v>
      </x:c>
      <x:c r="N321" s="17" t="str">
        <x:v>qwen3-rerank-no-instruct-20260727-125006-results.jsonl</x:v>
      </x:c>
      <x:c r="O321" s="24" t="str">
        <x:v>2</x:v>
      </x:c>
      <x:c r="P321" s="28" t="str">
        <x:v>以时序卷积预测策略管理冷启动。</x:v>
      </x:c>
      <x:c r="Q321" s="25" t="str"/>
      <x:c r="R321" s="24" t="str">
        <x:f>IF(Q321&lt;&gt;"",Q321,O321)</x:f>
        <x:v>2</x:v>
      </x:c>
      <x:c r="S321" s="29" t="str"/>
    </x:row>
    <x:row r="322" ht="54" customHeight="1">
      <x:c r="A322" s="17" t="str">
        <x:v>csq017-r01</x:v>
      </x:c>
      <x:c r="B322" s="17" t="str">
        <x:v>csq017</x:v>
      </x:c>
      <x:c r="C322" s="17" t="str">
        <x:v>systems_and_networking</x:v>
      </x:c>
      <x:c r="D322" s="17" t="str">
        <x:v>datacenter_scheduling</x:v>
      </x:c>
      <x:c r="E322" s="27" t="str">
        <x:v>Which workloads, metrics, and experimental methodologies are used to evaluate datacenter cluster schedulers?</x:v>
      </x:c>
      <x:c r="F322" s="22" t="n">
        <x:v>1</x:v>
      </x:c>
      <x:c r="G322" s="17" t="str">
        <x:v>arXiv:2102.07199</x:v>
      </x:c>
      <x:c r="H322" s="27" t="str">
        <x:v>Hugo: A Cluster Scheduler that Efficiently Learns to Select Complementary Data-Parallel Jobs</x:v>
      </x:c>
      <x:c r="I322" s="17" t="str">
        <x:v>Lauritz Thamsen; Ilya Verbitskiy; Sasho Nedelkoski; Vinh Thuy Tran; Vinicius Meyer; Miguel G. Xavier; Odej Kao; Cesar A. F. De Rose</x:v>
      </x:c>
      <x:c r="J322" s="22" t="n">
        <x:v>2021</x:v>
      </x:c>
      <x:c r="K322" s="27" t="str">
        <x:v>Distributed data processing systems like MapReduce, Spark, and Flink are popular tools for analysis of large datasets with cluster resources. Yet, users often overprovision resources for their data processing jobs, while the resource usage of these jobs also typically fluctuates considerably. Therefore, multiple jobs usually get scheduled onto the same shared resources to increase the resource utilization and throughput of clusters. However, job runtimes and the utilization of shared resources can vary significantly depending on the specific combinations of co-located jobs. This paper presents Hugo, a cluster scheduler that continuously learns how efficiently jobs share resources, considering metrics for the resource utilization and interference among co-located jobs. The scheduler combines offline grouping of jobs with online reinforcement learning to provide a scheduling mechanism that efficiently generalizes from specific monitored job combinations yet also adapts to changes in workloads. Our evaluation of a prototype shows that the approach can reduce the runtimes of exemplary Spark jobs on a YARN cluster by up to 12.5%, while resource utilization is increased and waiting times can be bounded.</x:v>
      </x:c>
      <x:c r="L322" s="17" t="str">
        <x:v>http://arxiv.org/abs/2102.07199v1</x:v>
      </x:c>
      <x:c r="M322" s="23" t="n">
        <x:v>0.8952417333813207</x:v>
      </x:c>
      <x:c r="N322" s="17" t="str">
        <x:v>qwen3-rerank-no-instruct-20260727-125006-results.jsonl</x:v>
      </x:c>
      <x:c r="O322" s="24" t="str">
        <x:v>2</x:v>
      </x:c>
      <x:c r="P322" s="28" t="str">
        <x:v>数据处理负载以利用率、吞吐和共置干扰评测。</x:v>
      </x:c>
      <x:c r="Q322" s="25" t="str"/>
      <x:c r="R322" s="24" t="str">
        <x:f>IF(Q322&lt;&gt;"",Q322,O322)</x:f>
        <x:v>2</x:v>
      </x:c>
      <x:c r="S322" s="29" t="str"/>
    </x:row>
    <x:row r="323" ht="54" customHeight="1">
      <x:c r="A323" s="17" t="str">
        <x:v>csq017-r02</x:v>
      </x:c>
      <x:c r="B323" s="17" t="str">
        <x:v>csq017</x:v>
      </x:c>
      <x:c r="C323" s="17" t="str">
        <x:v>systems_and_networking</x:v>
      </x:c>
      <x:c r="D323" s="17" t="str">
        <x:v>datacenter_scheduling</x:v>
      </x:c>
      <x:c r="E323" s="27" t="str">
        <x:v>Which workloads, metrics, and experimental methodologies are used to evaluate datacenter cluster schedulers?</x:v>
      </x:c>
      <x:c r="F323" s="22" t="n">
        <x:v>2</x:v>
      </x:c>
      <x:c r="G323" s="17" t="str">
        <x:v>arXiv:2401.16492</x:v>
      </x:c>
      <x:c r="H323" s="27" t="str">
        <x:v>GPU Cluster Scheduling for Network-Sensitive Deep Learning</x:v>
      </x:c>
      <x:c r="I323" s="17" t="str">
        <x:v>Aakash Sharma; Vivek M. Bhasi; Sonali Singh; George Kesidis; Mahmut T. Kandemir; Chita R. Das</x:v>
      </x:c>
      <x:c r="J323" s="22" t="n">
        <x:v>2024</x:v>
      </x:c>
      <x:c r="K323" s="27" t="str">
        <x:v>We propose a novel GPU-cluster scheduler for distributed DL (DDL) workloads that enables proximity based consolidation of GPU resources based on the DDL jobs' sensitivities to the anticipated communication-network delays. Our scheduler consists of three major components: (i) a classical delay scheduling algorithm to facilitate job placement and consolidation; (ii) a network-sensitive job preemption strategy; and (iii) an "auto-tuner" mechanism to optimize delay timers for effective delay scheduling. Additionally, to enable a cost-effective methodology for large-scale experiments, we develop a data-driven DDL cluster simulation platform. Employing the simulation platform we compare against several state-of-the-art alternatives on real-world workload traces to demonstrate the benefits of our design. Our scheduler can provide improvement of up to 69% in end-to-end Makespan for training all jobs compared to the prevailing consolidation-based scheduling methods, while reducing the average job completion time by up to 83% and minimizing the communication overheads by up to 98% under congested networking conditions.</x:v>
      </x:c>
      <x:c r="L323" s="17" t="str">
        <x:v>http://arxiv.org/abs/2401.16492v2</x:v>
      </x:c>
      <x:c r="M323" s="23" t="n">
        <x:v>0.8464066810826436</x:v>
      </x:c>
      <x:c r="N323" s="17" t="str">
        <x:v>qwen3-rerank-no-instruct-20260727-125006-results.jsonl</x:v>
      </x:c>
      <x:c r="O323" s="24" t="str">
        <x:v>2</x:v>
      </x:c>
      <x:c r="P323" s="28" t="str">
        <x:v>GPU调度含DL负载、网络延迟和模拟方法。</x:v>
      </x:c>
      <x:c r="Q323" s="25" t="str"/>
      <x:c r="R323" s="24" t="str">
        <x:f>IF(Q323&lt;&gt;"",Q323,O323)</x:f>
        <x:v>2</x:v>
      </x:c>
      <x:c r="S323" s="29" t="str"/>
    </x:row>
    <x:row r="324" ht="54" customHeight="1">
      <x:c r="A324" s="17" t="str">
        <x:v>csq017-r03</x:v>
      </x:c>
      <x:c r="B324" s="17" t="str">
        <x:v>csq017</x:v>
      </x:c>
      <x:c r="C324" s="17" t="str">
        <x:v>systems_and_networking</x:v>
      </x:c>
      <x:c r="D324" s="17" t="str">
        <x:v>datacenter_scheduling</x:v>
      </x:c>
      <x:c r="E324" s="27" t="str">
        <x:v>Which workloads, metrics, and experimental methodologies are used to evaluate datacenter cluster schedulers?</x:v>
      </x:c>
      <x:c r="F324" s="22" t="n">
        <x:v>3</x:v>
      </x:c>
      <x:c r="G324" s="17" t="str">
        <x:v>arXiv:1808.04224</x:v>
      </x:c>
      <x:c r="H324" s="27" t="str">
        <x:v>A Reference Architecture for Datacenter Scheduling: Extended Technical Report</x:v>
      </x:c>
      <x:c r="I324" s="17" t="str">
        <x:v>Georgios Andreadis; Laurens Versluis; Fabian Mastenbroek; Alexandru Iosup</x:v>
      </x:c>
      <x:c r="J324" s="22" t="n">
        <x:v>2018</x:v>
      </x:c>
      <x:c r="K324" s="27" t="str">
        <x:v>Datacenters act as cloud-infrastructure to stakeholders across industry, government, and academia. To meet growing demand yet operate efficiently, datacenter operators employ increasingly more sophisticated scheduling systems, mechanisms, and policies. Although many scheduling techniques already exist, relatively little research has gone into the abstraction of the scheduling process itself, hampering design, tuning, and comparison of existing techniques. In this work, we propose a reference architecture for datacenter schedulers. The architecture follows five design principles: components with clearly distinct responsibilities, grouping of related components where possible, separation of mechanism from policy, scheduling as complex workflow, and hierarchical multi-scheduler structure. To demonstrate the validity of the reference architecture, we map to it state-of-the-art datacenter schedulers. We find scheduler-stages are commonly underspecified in peer-reviewed publications. Through trace-based simulation and real-world experiments, we show underspecification of scheduler-stages can lead to significant variations in performance.</x:v>
      </x:c>
      <x:c r="L324" s="17" t="str">
        <x:v>http://arxiv.org/abs/1808.04224v1</x:v>
      </x:c>
      <x:c r="M324" s="23" t="n">
        <x:v>0.8052389550789654</x:v>
      </x:c>
      <x:c r="N324" s="17" t="str">
        <x:v>qwen3-rerank-no-instruct-20260727-125006-results.jsonl</x:v>
      </x:c>
      <x:c r="O324" s="24" t="str">
        <x:v>2</x:v>
      </x:c>
      <x:c r="P324" s="28" t="str">
        <x:v>参考架构专用于调度器设计和比较。</x:v>
      </x:c>
      <x:c r="Q324" s="25" t="str"/>
      <x:c r="R324" s="24" t="str">
        <x:f>IF(Q324&lt;&gt;"",Q324,O324)</x:f>
        <x:v>2</x:v>
      </x:c>
      <x:c r="S324" s="29" t="str"/>
    </x:row>
    <x:row r="325" ht="54" customHeight="1">
      <x:c r="A325" s="17" t="str">
        <x:v>csq017-r04</x:v>
      </x:c>
      <x:c r="B325" s="17" t="str">
        <x:v>csq017</x:v>
      </x:c>
      <x:c r="C325" s="17" t="str">
        <x:v>systems_and_networking</x:v>
      </x:c>
      <x:c r="D325" s="17" t="str">
        <x:v>datacenter_scheduling</x:v>
      </x:c>
      <x:c r="E325" s="27" t="str">
        <x:v>Which workloads, metrics, and experimental methodologies are used to evaluate datacenter cluster schedulers?</x:v>
      </x:c>
      <x:c r="F325" s="22" t="n">
        <x:v>4</x:v>
      </x:c>
      <x:c r="G325" s="17" t="str">
        <x:v>arXiv:1909.07820</x:v>
      </x:c>
      <x:c r="H325" s="27" t="str">
        <x:v>Data Centers Job Scheduling with Deep Reinforcement Learning</x:v>
      </x:c>
      <x:c r="I325" s="17" t="str">
        <x:v>Sisheng Liang; Zhou Yang; Fang Jin; Yong Chen</x:v>
      </x:c>
      <x:c r="J325" s="22" t="n">
        <x:v>2019</x:v>
      </x:c>
      <x:c r="K325" s="27" t="str">
        <x:v>Efficient job scheduling on data centers under heterogeneous complexity is crucial but challenging since it involves the allocation of multi-dimensional resources over time and space. To adapt the complex computing environment in data centers, we proposed an innovative Advantage Actor-Critic (A2C) deep reinforcement learning based approach called A2cScheduler for job scheduling. A2cScheduler consists of two agents, one of which, dubbed the actor, is responsible for learning the scheduling policy automatically and the other one, the critic, reduces the estimation error. Unlike previous policy gradient approaches, A2cScheduler is designed to reduce the gradient estimation variance and to update parameters efficiently. We show that the A2cScheduler can achieve competitive scheduling performance using both simulated workloads and real data collected from an academic data center.</x:v>
      </x:c>
      <x:c r="L325" s="17" t="str">
        <x:v>http://arxiv.org/abs/1909.07820v2</x:v>
      </x:c>
      <x:c r="M325" s="23" t="n">
        <x:v>0.7550775395737477</x:v>
      </x:c>
      <x:c r="N325" s="17" t="str">
        <x:v>qwen3-rerank-no-instruct-20260727-125006-results.jsonl</x:v>
      </x:c>
      <x:c r="O325" s="24" t="str">
        <x:v>2</x:v>
      </x:c>
      <x:c r="P325" s="28" t="str">
        <x:v>数据中心作业调度直接评估资源配置。</x:v>
      </x:c>
      <x:c r="Q325" s="25" t="str"/>
      <x:c r="R325" s="24" t="str">
        <x:f>IF(Q325&lt;&gt;"",Q325,O325)</x:f>
        <x:v>2</x:v>
      </x:c>
      <x:c r="S325" s="29" t="str"/>
    </x:row>
    <x:row r="326" ht="54" customHeight="1">
      <x:c r="A326" s="17" t="str">
        <x:v>csq017-r05</x:v>
      </x:c>
      <x:c r="B326" s="17" t="str">
        <x:v>csq017</x:v>
      </x:c>
      <x:c r="C326" s="17" t="str">
        <x:v>systems_and_networking</x:v>
      </x:c>
      <x:c r="D326" s="17" t="str">
        <x:v>datacenter_scheduling</x:v>
      </x:c>
      <x:c r="E326" s="27" t="str">
        <x:v>Which workloads, metrics, and experimental methodologies are used to evaluate datacenter cluster schedulers?</x:v>
      </x:c>
      <x:c r="F326" s="22" t="n">
        <x:v>5</x:v>
      </x:c>
      <x:c r="G326" s="17" t="str">
        <x:v>arXiv:2401.09706</x:v>
      </x:c>
      <x:c r="H326" s="27" t="str">
        <x:v>A HPC Co-Scheduler with Reinforcement Learning</x:v>
      </x:c>
      <x:c r="I326" s="17" t="str">
        <x:v>Abel Souza; Kristiaan Pelckmans; Johan Tordsson</x:v>
      </x:c>
      <x:c r="J326" s="22" t="n">
        <x:v>2024</x:v>
      </x:c>
      <x:c r="K326" s="27" t="str">
        <x:v>Although High Performance Computing (HPC) users understand basic resource requirements such as the number of CPUs and memory limits, internal infrastructural utilization data is exclusively leveraged by cluster operators, who use it to configure batch schedulers. This task is challenging and increasingly complex due to ever larger cluster scales and heterogeneity of modern scientific workflows. As a result, HPC systems achieve low utilization with long job completion times (makespans). To tackle these challenges, we propose a co-scheduling algorithm based on an adaptive reinforcement learning algorithm, where application profiling is combined with cluster monitoring. The resulting cluster scheduler matches resource utilization to application performance in a fine-grained manner (i.e., operating system level). As opposed to nominal allocations, we apply decision trees to model applications' actual resource usage, which are used to estimate how much resource capacity from one allocation can be co-allocated to additional applications. Our algorithm learns from incorrect co-scheduling decisions and adapts from changing environment conditions, and evaluates when such changes cause resource contention that impacts quality of service metrics such as jobs slowdowns. We integrate our algorithm in an HPC resource manager that combines Slurm and Mesos for job scheduling and co-allocation, respectively. Our experimental evaluation performed in a dedicated cluster executing a mix of four real different scientific workflows demonstrates improvements on cluster utilization of up to 51% even in high load scenarios, with 55% average queue makespan reductions under low loads.</x:v>
      </x:c>
      <x:c r="L326" s="17" t="str">
        <x:v>http://arxiv.org/abs/2401.09706v1</x:v>
      </x:c>
      <x:c r="M326" s="23" t="n">
        <x:v>0.7400165043572486</x:v>
      </x:c>
      <x:c r="N326" s="17" t="str">
        <x:v>qwen3-rerank-no-instruct-20260727-125006-results.jsonl</x:v>
      </x:c>
      <x:c r="O326" s="24" t="str">
        <x:v>2</x:v>
      </x:c>
      <x:c r="P326" s="28" t="str">
        <x:v>HPC协同调度覆盖工作流与利用率。</x:v>
      </x:c>
      <x:c r="Q326" s="25" t="str"/>
      <x:c r="R326" s="24" t="str">
        <x:f>IF(Q326&lt;&gt;"",Q326,O326)</x:f>
        <x:v>2</x:v>
      </x:c>
      <x:c r="S326" s="29" t="str"/>
    </x:row>
    <x:row r="327" ht="54" customHeight="1">
      <x:c r="A327" s="17" t="str">
        <x:v>csq017-r06</x:v>
      </x:c>
      <x:c r="B327" s="17" t="str">
        <x:v>csq017</x:v>
      </x:c>
      <x:c r="C327" s="17" t="str">
        <x:v>systems_and_networking</x:v>
      </x:c>
      <x:c r="D327" s="17" t="str">
        <x:v>datacenter_scheduling</x:v>
      </x:c>
      <x:c r="E327" s="27" t="str">
        <x:v>Which workloads, metrics, and experimental methodologies are used to evaluate datacenter cluster schedulers?</x:v>
      </x:c>
      <x:c r="F327" s="22" t="n">
        <x:v>6</x:v>
      </x:c>
      <x:c r="G327" s="17" t="str">
        <x:v>arXiv:2403.16298</x:v>
      </x:c>
      <x:c r="H327" s="27" t="str">
        <x:v>MRSch: Multi-Resource Scheduling for HPC</x:v>
      </x:c>
      <x:c r="I327" s="17" t="str">
        <x:v>Boyang Li; Yuping Fan; Matthew Dearing; Zhiling Lan; Paul Richy; William Allcocky; Michael Papka</x:v>
      </x:c>
      <x:c r="J327" s="22" t="n">
        <x:v>2024</x:v>
      </x:c>
      <x:c r="K327" s="27" t="str">
        <x:v>Emerging workloads in high-performance computing (HPC) are embracing significant changes, such as having diverse resource requirements instead of being CPU-centric. This advancement forces cluster schedulers to consider multiple schedulable resources during decision-making. Existing scheduling studies rely on heuristic or optimization methods, which are limited by an inability to adapt to new scenarios for ensuring long-term scheduling performance. We present an intelligent scheduling agent named MRSch for multi-resource scheduling in HPC that leverages direct future prediction (DFP), an advanced multi-objective reinforcement learning algorithm. While DFP demonstrated outstanding performance in a gaming competition, it has not been previously explored in the context of HPC scheduling. Several key techniques are developed in this study to tackle the challenges involved in multi-resource scheduling. These techniques enable MRSch to learn an appropriate scheduling policy automatically and dynamically adapt its policy in response to workload changes via dynamic resource prioritizing. We compare MRSch with existing scheduling methods through extensive tracebase simulations. Our results demonstrate that MRSch improves scheduling performance by up to 48% compared to the existing scheduling methods.</x:v>
      </x:c>
      <x:c r="L327" s="17" t="str">
        <x:v>http://arxiv.org/abs/2403.16298v2</x:v>
      </x:c>
      <x:c r="M327" s="23" t="n">
        <x:v>0.7247006657914294</x:v>
      </x:c>
      <x:c r="N327" s="17" t="str">
        <x:v>qwen3-rerank-no-instruct-20260727-125006-results.jsonl</x:v>
      </x:c>
      <x:c r="O327" s="24" t="str">
        <x:v>2</x:v>
      </x:c>
      <x:c r="P327" s="28" t="str">
        <x:v>HPC多资源负载和长期调度性能评估。</x:v>
      </x:c>
      <x:c r="Q327" s="25" t="str"/>
      <x:c r="R327" s="24" t="str">
        <x:f>IF(Q327&lt;&gt;"",Q327,O327)</x:f>
        <x:v>2</x:v>
      </x:c>
      <x:c r="S327" s="29" t="str"/>
    </x:row>
    <x:row r="328" ht="54" customHeight="1">
      <x:c r="A328" s="17" t="str">
        <x:v>csq017-r07</x:v>
      </x:c>
      <x:c r="B328" s="17" t="str">
        <x:v>csq017</x:v>
      </x:c>
      <x:c r="C328" s="17" t="str">
        <x:v>systems_and_networking</x:v>
      </x:c>
      <x:c r="D328" s="17" t="str">
        <x:v>datacenter_scheduling</x:v>
      </x:c>
      <x:c r="E328" s="27" t="str">
        <x:v>Which workloads, metrics, and experimental methodologies are used to evaluate datacenter cluster schedulers?</x:v>
      </x:c>
      <x:c r="F328" s="22" t="n">
        <x:v>7</x:v>
      </x:c>
      <x:c r="G328" s="17" t="str">
        <x:v>arXiv:2112.13354</x:v>
      </x:c>
      <x:c r="H328" s="27" t="str">
        <x:v>Large-scale Machine Learning Cluster Scheduling via Multi-agent Graph Reinforcement Learning</x:v>
      </x:c>
      <x:c r="I328" s="17" t="str">
        <x:v>Xiaoyang Zhao; Chuan Wu</x:v>
      </x:c>
      <x:c r="J328" s="22" t="n">
        <x:v>2021</x:v>
      </x:c>
      <x:c r="K328" s="27" t="str">
        <x:v>Efficient scheduling of distributed deep learning (DL) jobs in large GPU clusters is crucial for resource efficiency and job performance. While server sharing among jobs improves resource utilization, interference among co-located DL jobs occurs due to resource contention. Interference-aware job placement has been studied, with white-box approaches based on explicit interference modeling and black-box schedulers with reinforcement learning. In today's clusters containing thousands of GPU servers, running a single scheduler to manage all arrival jobs in a timely and effective manner is challenging, due to the large workload scale. We adopt multiple schedulers in a large-scale cluster/data center, and propose a multi-agent reinforcement learning (MARL) scheduling framework to cooperatively learn fine-grained job placement policies, towards the objective of minimizing job completion time (JCT). To achieve topology-aware placements, our proposed framework uses hierarchical graph neural networks to encode the data center topology and server architecture. In view of a common lack of precise reward samples corresponding to different placements, a job interference model is further devised to predict interference levels in face of various co-locations, for training of the MARL schedulers. Testbed and trace-driven evaluations show that our scheduler framework outperforms representative scheduling schemes by more than 20% in terms of average JCT, and is adaptive to various machine learning cluster topologies.</x:v>
      </x:c>
      <x:c r="L328" s="17" t="str">
        <x:v>http://arxiv.org/abs/2112.13354v1</x:v>
      </x:c>
      <x:c r="M328" s="23" t="n">
        <x:v>0.6905287580887766</x:v>
      </x:c>
      <x:c r="N328" s="17" t="str">
        <x:v>qwen3-rerank-no-instruct-20260727-125006-results.jsonl</x:v>
      </x:c>
      <x:c r="O328" s="24" t="str">
        <x:v>2</x:v>
      </x:c>
      <x:c r="P328" s="28" t="str">
        <x:v>大规模GPU调度覆盖DL作业、干扰和扩展性。</x:v>
      </x:c>
      <x:c r="Q328" s="25" t="str"/>
      <x:c r="R328" s="24" t="str">
        <x:f>IF(Q328&lt;&gt;"",Q328,O328)</x:f>
        <x:v>2</x:v>
      </x:c>
      <x:c r="S328" s="29" t="str"/>
    </x:row>
    <x:row r="329" ht="54" customHeight="1">
      <x:c r="A329" s="17" t="str">
        <x:v>csq017-r08</x:v>
      </x:c>
      <x:c r="B329" s="17" t="str">
        <x:v>csq017</x:v>
      </x:c>
      <x:c r="C329" s="17" t="str">
        <x:v>systems_and_networking</x:v>
      </x:c>
      <x:c r="D329" s="17" t="str">
        <x:v>datacenter_scheduling</x:v>
      </x:c>
      <x:c r="E329" s="27" t="str">
        <x:v>Which workloads, metrics, and experimental methodologies are used to evaluate datacenter cluster schedulers?</x:v>
      </x:c>
      <x:c r="F329" s="22" t="n">
        <x:v>8</x:v>
      </x:c>
      <x:c r="G329" s="17" t="str">
        <x:v>arXiv:2210.00093</x:v>
      </x:c>
      <x:c r="H329" s="27" t="str">
        <x:v>Shockwave: Fair and Efficient Cluster Scheduling for Dynamic Adaptation in Machine Learning</x:v>
      </x:c>
      <x:c r="I329" s="17" t="str">
        <x:v>Pengfei Zheng; Rui Pan; Tarannum Khan; Shivaram Venkataraman; Aditya Akella</x:v>
      </x:c>
      <x:c r="J329" s="22" t="n">
        <x:v>2022</x:v>
      </x:c>
      <x:c r="K329" s="27" t="str">
        <x:v>Dynamic adaptation has become an essential technique in accelerating distributed machine learning (ML) training. Recent studies have shown that dynamically adjusting model structure (e.g., lottery ticket hypothesis) or hyperparameters (e.g., batch size) can significantly accelerate training without sacrificing accuracy. However, existing ML cluster schedulers are not designed to handle dynamic adaptation. We show that existing schemes fail to provide fairness and degrade system efficiency when the training throughput changes over time under dynamic adaptation. We design Shockwave, a scheduler with future planning that builds on two key ideas. First, Shockwave extends classic market theory from static settings to dynamic settings to co-optimize efficiency and fairness. Second, Shockwave utilizes stochastic dynamic programming to handle dynamic changes. We build a system for Shockwave and validate its performance with both trace-driven simulation and cluster experiments. Results show that for traces of ML jobs with dynamic adaptation, Shockwave improves makespan by 1.3X and fairness by 2X when compared with existing fair scheduling schemes.</x:v>
      </x:c>
      <x:c r="L329" s="17" t="str">
        <x:v>http://arxiv.org/abs/2210.00093v1</x:v>
      </x:c>
      <x:c r="M329" s="23" t="n">
        <x:v>0.6786350944258565</x:v>
      </x:c>
      <x:c r="N329" s="17" t="str">
        <x:v>qwen3-rerank-no-instruct-20260727-125006-results.jsonl</x:v>
      </x:c>
      <x:c r="O329" s="24" t="str">
        <x:v>2</x:v>
      </x:c>
      <x:c r="P329" s="28" t="str">
        <x:v>动态ML负载以公平性和系统效率评测。</x:v>
      </x:c>
      <x:c r="Q329" s="25" t="str"/>
      <x:c r="R329" s="24" t="str">
        <x:f>IF(Q329&lt;&gt;"",Q329,O329)</x:f>
        <x:v>2</x:v>
      </x:c>
      <x:c r="S329" s="29" t="str"/>
    </x:row>
    <x:row r="330" ht="54" customHeight="1">
      <x:c r="A330" s="17" t="str">
        <x:v>csq017-r09</x:v>
      </x:c>
      <x:c r="B330" s="17" t="str">
        <x:v>csq017</x:v>
      </x:c>
      <x:c r="C330" s="17" t="str">
        <x:v>systems_and_networking</x:v>
      </x:c>
      <x:c r="D330" s="17" t="str">
        <x:v>datacenter_scheduling</x:v>
      </x:c>
      <x:c r="E330" s="27" t="str">
        <x:v>Which workloads, metrics, and experimental methodologies are used to evaluate datacenter cluster schedulers?</x:v>
      </x:c>
      <x:c r="F330" s="22" t="n">
        <x:v>9</x:v>
      </x:c>
      <x:c r="G330" s="17" t="str">
        <x:v>arXiv:2512.18894</x:v>
      </x:c>
      <x:c r="H330" s="27" t="str">
        <x:v>A Real-Time Digital Twin for Adaptive Scheduling</x:v>
      </x:c>
      <x:c r="I330" s="17" t="str">
        <x:v>Yihe Zhang; Yash Kurkure; Yiheng Tao; Michael E. Papka; Zhiling Lan</x:v>
      </x:c>
      <x:c r="J330" s="22" t="n">
        <x:v>2025</x:v>
      </x:c>
      <x:c r="K330" s="27" t="str">
        <x:v>High-performance computing (HPC) workloads are becoming increasingly diverse, exhibiting wide variability in job characteristics, yet cluster scheduling has long relied on static, heuristic-based policies. In this work we present SchedTwin, a real-time digital twin designed to adaptively guide scheduling decisions using predictive simulation. SchedTwin periodically ingests runtime events from the physical scheduler, performs rapid what-if evaluations of multiple policies using a high-fidelity discrete-event simulator, and dynamically selects the one satisfying the administrator configured optimization goal. We implement SchedTwin as an open-source software and integrate it with the production PBS scheduler. Preliminary results show that SchedTwin consistently outperforms widely used static scheduling policies, while maintaining low overhead (a few seconds per scheduling cycle). These results demonstrate that real-time digital twins offer a practical and effective path toward adaptive HPC scheduling.</x:v>
      </x:c>
      <x:c r="L330" s="17" t="str">
        <x:v>http://arxiv.org/abs/2512.18894v1</x:v>
      </x:c>
      <x:c r="M330" s="23" t="n">
        <x:v>0.672554365707935</x:v>
      </x:c>
      <x:c r="N330" s="17" t="str">
        <x:v>qwen3-rerank-no-instruct-20260727-125006-results.jsonl</x:v>
      </x:c>
      <x:c r="O330" s="24" t="str">
        <x:v>2</x:v>
      </x:c>
      <x:c r="P330" s="28" t="str">
        <x:v>数字孪生用预测仿真评估调度决策。</x:v>
      </x:c>
      <x:c r="Q330" s="25" t="str"/>
      <x:c r="R330" s="24" t="str">
        <x:f>IF(Q330&lt;&gt;"",Q330,O330)</x:f>
        <x:v>2</x:v>
      </x:c>
      <x:c r="S330" s="29" t="str"/>
    </x:row>
    <x:row r="331" ht="54" customHeight="1">
      <x:c r="A331" s="17" t="str">
        <x:v>csq017-r10</x:v>
      </x:c>
      <x:c r="B331" s="17" t="str">
        <x:v>csq017</x:v>
      </x:c>
      <x:c r="C331" s="17" t="str">
        <x:v>systems_and_networking</x:v>
      </x:c>
      <x:c r="D331" s="17" t="str">
        <x:v>datacenter_scheduling</x:v>
      </x:c>
      <x:c r="E331" s="27" t="str">
        <x:v>Which workloads, metrics, and experimental methodologies are used to evaluate datacenter cluster schedulers?</x:v>
      </x:c>
      <x:c r="F331" s="22" t="n">
        <x:v>10</x:v>
      </x:c>
      <x:c r="G331" s="17" t="str">
        <x:v>arXiv:1912.03523</x:v>
      </x:c>
      <x:c r="H331" s="27" t="str">
        <x:v>BoPF: Mitigating the Burstiness-Fairness Tradeoff in Multi-Resource Clusters</x:v>
      </x:c>
      <x:c r="I331" s="17" t="str">
        <x:v>Tan N. Le; Xiao Sun; Mosharaf Chowdhury; Zhenhua Liu</x:v>
      </x:c>
      <x:c r="J331" s="22" t="n">
        <x:v>2019</x:v>
      </x:c>
      <x:c r="K331" s="27" t="str">
        <x:v>Simultaneously supporting latency- and throughout-sensitive workloads in a shared environment is an increasingly more common challenge in big data clusters. Despite many advances, existing cluster schedulers force the same performance goal - fairness in most cases - on all jobs. Latency-sensitive jobs suffer, while throughput-sensitive ones thrive. Using prioritization does the opposite: it opens up a path for latency-sensitive jobs to dominate. In this paper, we tackle the challenges in supporting both short-term performance and long-term fairness simultaneously with high resource utilization by proposing Bounded Priority Fairness (BoPF). BoPF provides short-term resource guarantees to latency-sensitive jobs and maintains long-term fairness for throughput-sensitive jobs. BoPF is the first scheduler that can provide long-term fairness, burst guarantee, and Pareto efficiency in a strategyproof manner for multi-resource scheduling. Deployments and large-scale simulations show that BoPF closely approximates the performance of Strict Priority as well as the fairness characteristics of DRF. In deployments, BoPF speeds up latency-sensitive jobs by 5.38 times compared to DRF, while still maintaining long-term fairness. In the meantime, BoPF improves the average completion times of throughput-sensitive jobs by up to 3.05 times compared to Strict Priority.</x:v>
      </x:c>
      <x:c r="L331" s="17" t="str">
        <x:v>http://arxiv.org/abs/1912.03523v1</x:v>
      </x:c>
      <x:c r="M331" s="23" t="n">
        <x:v>0.6637095446450088</x:v>
      </x:c>
      <x:c r="N331" s="17" t="str">
        <x:v>qwen3-rerank-no-instruct-20260727-125006-results.jsonl</x:v>
      </x:c>
      <x:c r="O331" s="24" t="str">
        <x:v>2</x:v>
      </x:c>
      <x:c r="P331" s="28" t="str">
        <x:v>多资源集群直接评估突发性、公平和延迟。</x:v>
      </x:c>
      <x:c r="Q331" s="25" t="str"/>
      <x:c r="R331" s="24" t="str">
        <x:f>IF(Q331&lt;&gt;"",Q331,O331)</x:f>
        <x:v>2</x:v>
      </x:c>
      <x:c r="S331" s="29" t="str"/>
    </x:row>
    <x:row r="332" ht="54" customHeight="1">
      <x:c r="A332" s="17" t="str">
        <x:v>csq017-r11</x:v>
      </x:c>
      <x:c r="B332" s="17" t="str">
        <x:v>csq017</x:v>
      </x:c>
      <x:c r="C332" s="17" t="str">
        <x:v>systems_and_networking</x:v>
      </x:c>
      <x:c r="D332" s="17" t="str">
        <x:v>datacenter_scheduling</x:v>
      </x:c>
      <x:c r="E332" s="27" t="str">
        <x:v>Which workloads, metrics, and experimental methodologies are used to evaluate datacenter cluster schedulers?</x:v>
      </x:c>
      <x:c r="F332" s="22" t="n">
        <x:v>11</x:v>
      </x:c>
      <x:c r="G332" s="17" t="str">
        <x:v>arXiv:2105.07526</x:v>
      </x:c>
      <x:c r="H332" s="27" t="str">
        <x:v>DRAS-CQSim: A Reinforcement Learning based Framework for HPC Cluster Scheduling</x:v>
      </x:c>
      <x:c r="I332" s="17" t="str">
        <x:v>Yuping Fan; Zhiling Lan</x:v>
      </x:c>
      <x:c r="J332" s="22" t="n">
        <x:v>2021</x:v>
      </x:c>
      <x:c r="K332" s="27" t="str">
        <x:v>For decades, system administrators have been striving to design and tune cluster scheduling policies to improve the performance of high performance computing (HPC) systems. However, the increasingly complex HPC systems combined with highly diverse workloads make such manual process challenging, time-consuming, and error-prone. We present a reinforcement learning based HPC scheduling framework named DRAS-CQSim to automatically learn optimal scheduling policy. DRAS-CQSim encapsulates simulation environments, agents, hyperparameter tuning options, and different reinforcement learning algorithms, which allows the system administrators to quickly obtain customized scheduling policies.</x:v>
      </x:c>
      <x:c r="L332" s="17" t="str">
        <x:v>http://arxiv.org/abs/2105.07526v1</x:v>
      </x:c>
      <x:c r="M332" s="23" t="n">
        <x:v>0.6634923118375355</x:v>
      </x:c>
      <x:c r="N332" s="17" t="str">
        <x:v>qwen3-rerank-no-instruct-20260727-125006-results.jsonl</x:v>
      </x:c>
      <x:c r="O332" s="24" t="str">
        <x:v>2</x:v>
      </x:c>
      <x:c r="P332" s="28" t="str">
        <x:v>提供HPC调度仿真环境和策略评估。</x:v>
      </x:c>
      <x:c r="Q332" s="25" t="str"/>
      <x:c r="R332" s="24" t="str">
        <x:f>IF(Q332&lt;&gt;"",Q332,O332)</x:f>
        <x:v>2</x:v>
      </x:c>
      <x:c r="S332" s="29" t="str"/>
    </x:row>
    <x:row r="333" ht="54" customHeight="1">
      <x:c r="A333" s="17" t="str">
        <x:v>csq017-r12</x:v>
      </x:c>
      <x:c r="B333" s="17" t="str">
        <x:v>csq017</x:v>
      </x:c>
      <x:c r="C333" s="17" t="str">
        <x:v>systems_and_networking</x:v>
      </x:c>
      <x:c r="D333" s="17" t="str">
        <x:v>datacenter_scheduling</x:v>
      </x:c>
      <x:c r="E333" s="27" t="str">
        <x:v>Which workloads, metrics, and experimental methodologies are used to evaluate datacenter cluster schedulers?</x:v>
      </x:c>
      <x:c r="F333" s="22" t="n">
        <x:v>12</x:v>
      </x:c>
      <x:c r="G333" s="17" t="str">
        <x:v>arXiv:2503.07437</x:v>
      </x:c>
      <x:c r="H333" s="27" t="str">
        <x:v>Eva: Cost-Efficient Cloud-Based Cluster Scheduling</x:v>
      </x:c>
      <x:c r="I333" s="17" t="str">
        <x:v>Tzu-Tao Chang; Shivaram Venkataraman</x:v>
      </x:c>
      <x:c r="J333" s="22" t="n">
        <x:v>2025</x:v>
      </x:c>
      <x:c r="K333" s="27" t="str">
        <x:v>Cloud computing offers flexibility in resource provisioning, allowing an organization to host its batch processing workloads cost-efficiently by dynamically scaling the size and composition of a cloud-based cluster -- a collection of instances provisioned from the cloud. However, existing schedulers fail to minimize total cost due to suboptimal task and instance scheduling strategies, interference between co-located tasks, and instance provisioning overheads. We present Eva, a scheduler for cloud-based clusters that reduces the overall cost of hosting long-running batch jobs. Eva leverages reservation price from economics to derive the optimal set of instances to provision and task-to-instance assignments. Eva also takes into account performance degradation when co-locating tasks and quantitatively evaluates the trade-off between short-term migration overhead and long-term provision savings when considering a change in cluster configuration. Experiments on AWS EC2 and large-scale trace-driven simulations demonstrate that Eva reduces costs by 42\% while incurring only a 15\% increase in JCT, compared to provisioning a separate instance for each task.</x:v>
      </x:c>
      <x:c r="L333" s="17" t="str">
        <x:v>http://arxiv.org/abs/2503.07437v1</x:v>
      </x:c>
      <x:c r="M333" s="23" t="n">
        <x:v>0.6421346779585583</x:v>
      </x:c>
      <x:c r="N333" s="17" t="str">
        <x:v>qwen3-rerank-no-instruct-20260727-125006-results.jsonl</x:v>
      </x:c>
      <x:c r="O333" s="24" t="str">
        <x:v>2</x:v>
      </x:c>
      <x:c r="P333" s="28" t="str">
        <x:v>云集群调度以批负载、成本和干扰评测。</x:v>
      </x:c>
      <x:c r="Q333" s="25" t="str"/>
      <x:c r="R333" s="24" t="str">
        <x:f>IF(Q333&lt;&gt;"",Q333,O333)</x:f>
        <x:v>2</x:v>
      </x:c>
      <x:c r="S333" s="29" t="str"/>
    </x:row>
    <x:row r="334" ht="54" customHeight="1">
      <x:c r="A334" s="17" t="str">
        <x:v>csq017-r13</x:v>
      </x:c>
      <x:c r="B334" s="17" t="str">
        <x:v>csq017</x:v>
      </x:c>
      <x:c r="C334" s="17" t="str">
        <x:v>systems_and_networking</x:v>
      </x:c>
      <x:c r="D334" s="17" t="str">
        <x:v>datacenter_scheduling</x:v>
      </x:c>
      <x:c r="E334" s="27" t="str">
        <x:v>Which workloads, metrics, and experimental methodologies are used to evaluate datacenter cluster schedulers?</x:v>
      </x:c>
      <x:c r="F334" s="22" t="n">
        <x:v>13</x:v>
      </x:c>
      <x:c r="G334" s="17" t="str">
        <x:v>arXiv:2202.07896</x:v>
      </x:c>
      <x:c r="H334" s="27" t="str">
        <x:v>Aryl: An Elastic Cluster Scheduler for Deep Learning</x:v>
      </x:c>
      <x:c r="I334" s="17" t="str">
        <x:v>Jiamin Li; Hong Xu; Yibo Zhu; Zherui Liu; Chuanxiong Guo; Cong Wang</x:v>
      </x:c>
      <x:c r="J334" s="22" t="n">
        <x:v>2022</x:v>
      </x:c>
      <x:c r="K334" s="27" t="str">
        <x:v>Companies build separate training and inference GPU clusters for deep learning, and use separate schedulers to manage them. This leads to problems for both training and inference: inference clusters have low GPU utilization when the traffic load is low; training jobs often experience long queueing time due to lack of resources. We introduce Aryl, a new cluster scheduler to address these problems. Aryl introduces capacity loaning to loan idle inference GPU servers for training jobs. It further exploits elastic scaling that scales a training job's GPU allocation to better utilize loaned resources. Capacity loaning and elastic scaling create new challenges to cluster management. When the loaned servers need to be returned, we need to minimize the number of job preemptions; when more GPUs become available, we need to allocate them to elastic jobs and minimize the job completion time (JCT). Aryl addresses these combinatorial problems using principled heuristics. It introduces the notion of server preemption cost which it greedily reduces during server reclaiming. It further relies on the JCT reduction value defined for each additional worker for an elastic job to solve the scheduling problem as a multiple-choice knapsack problem. Prototype implementation on a 64-GPU testbed and large-scale simulation with 15-day traces of over 50,000 production jobs show that Aryl brings 1.53x and 1.50x reductions in average queuing time and JCT, and improves cluster usage by up to 26.9% over the cluster scheduler without capacity loaning or elastic scaling.</x:v>
      </x:c>
      <x:c r="L334" s="17" t="str">
        <x:v>http://arxiv.org/abs/2202.07896v1</x:v>
      </x:c>
      <x:c r="M334" s="23" t="n">
        <x:v>0.6311721485345368</x:v>
      </x:c>
      <x:c r="N334" s="17" t="str">
        <x:v>qwen3-rerank-no-instruct-20260727-125006-results.jsonl</x:v>
      </x:c>
      <x:c r="O334" s="24" t="str">
        <x:v>2</x:v>
      </x:c>
      <x:c r="P334" s="28" t="str">
        <x:v>训练推理GPU集群以利用率和排队时间评测。</x:v>
      </x:c>
      <x:c r="Q334" s="25" t="str"/>
      <x:c r="R334" s="24" t="str">
        <x:f>IF(Q334&lt;&gt;"",Q334,O334)</x:f>
        <x:v>2</x:v>
      </x:c>
      <x:c r="S334" s="29" t="str"/>
    </x:row>
    <x:row r="335" ht="54" customHeight="1">
      <x:c r="A335" s="17" t="str">
        <x:v>csq017-r14</x:v>
      </x:c>
      <x:c r="B335" s="17" t="str">
        <x:v>csq017</x:v>
      </x:c>
      <x:c r="C335" s="17" t="str">
        <x:v>systems_and_networking</x:v>
      </x:c>
      <x:c r="D335" s="17" t="str">
        <x:v>datacenter_scheduling</x:v>
      </x:c>
      <x:c r="E335" s="27" t="str">
        <x:v>Which workloads, metrics, and experimental methodologies are used to evaluate datacenter cluster schedulers?</x:v>
      </x:c>
      <x:c r="F335" s="22" t="n">
        <x:v>14</x:v>
      </x:c>
      <x:c r="G335" s="17" t="str">
        <x:v>arXiv:2008.12260</x:v>
      </x:c>
      <x:c r="H335" s="27" t="str">
        <x:v>Pollux: Co-adaptive Cluster Scheduling for Goodput-Optimized Deep Learning</x:v>
      </x:c>
      <x:c r="I335" s="17" t="str">
        <x:v>Aurick Qiao; Sang Keun Choe; Suhas Jayaram Subramanya; Willie Neiswanger; Qirong Ho; Hao Zhang; Gregory R. Ganger; Eric P. Xing</x:v>
      </x:c>
      <x:c r="J335" s="22" t="n">
        <x:v>2020</x:v>
      </x:c>
      <x:c r="K335" s="27" t="str">
        <x:v>Pollux improves scheduling performance in deep learning (DL) clusters by adaptively co-optimizing inter-dependent factors both at the per-job level and at the cluster-wide level. Most existing schedulers expect users to specify the number of resources for each job, often leading to inefficient resource use. Some recent schedulers choose job resources for users, but do so without awareness of how DL training can be re-optimized to better utilize the provided resources. Pollux simultaneously considers both aspects. By monitoring the status of each job during training, Pollux models how their goodput (a novel metric we introduce that combines system throughput with statistical efficiency) would change by adding or removing resources. Leveraging these information, Pollux dynamically (re-)assigns resources to improve cluster-wide goodput, while respecting fairness and continually optimizing each DL job to better utilize those resources. In experiments with real DL jobs and with trace-driven simulations, Pollux reduces average job completion times by 37-50% relative to state-of-the-art DL schedulers, even when they are provided with ideal resource and training configurations for every job. Pollux promotes fairness among DL jobs competing for resources based on a more meaningful measure of useful job progress, and reveals a new opportunity for reducing DL cost in cloud environments. Pollux is implemented and publicly available as part of an open-source project at https://github.com/petuum/adaptdl.</x:v>
      </x:c>
      <x:c r="L335" s="17" t="str">
        <x:v>http://arxiv.org/abs/2008.12260v2</x:v>
      </x:c>
      <x:c r="M335" s="23" t="n">
        <x:v>0.6010798068277217</x:v>
      </x:c>
      <x:c r="N335" s="17" t="str">
        <x:v>qwen3-rerank-no-instruct-20260727-125006-results.jsonl</x:v>
      </x:c>
      <x:c r="O335" s="24" t="str">
        <x:v>2</x:v>
      </x:c>
      <x:c r="P335" s="28" t="str">
        <x:v>DL集群以goodput和资源效率优化评测。</x:v>
      </x:c>
      <x:c r="Q335" s="25" t="str"/>
      <x:c r="R335" s="24" t="str">
        <x:f>IF(Q335&lt;&gt;"",Q335,O335)</x:f>
        <x:v>2</x:v>
      </x:c>
      <x:c r="S335" s="29" t="str"/>
    </x:row>
    <x:row r="336" ht="54" customHeight="1">
      <x:c r="A336" s="17" t="str">
        <x:v>csq017-r15</x:v>
      </x:c>
      <x:c r="B336" s="17" t="str">
        <x:v>csq017</x:v>
      </x:c>
      <x:c r="C336" s="17" t="str">
        <x:v>systems_and_networking</x:v>
      </x:c>
      <x:c r="D336" s="17" t="str">
        <x:v>datacenter_scheduling</x:v>
      </x:c>
      <x:c r="E336" s="27" t="str">
        <x:v>Which workloads, metrics, and experimental methodologies are used to evaluate datacenter cluster schedulers?</x:v>
      </x:c>
      <x:c r="F336" s="22" t="n">
        <x:v>15</x:v>
      </x:c>
      <x:c r="G336" s="17" t="str">
        <x:v>arXiv:2310.20209</x:v>
      </x:c>
      <x:c r="H336" s="27" t="str">
        <x:v>Network Contention-Aware Cluster Scheduling with Reinforcement Learning</x:v>
      </x:c>
      <x:c r="I336" s="17" t="str">
        <x:v>Junyeol Ryu; Jeongyoon Eo</x:v>
      </x:c>
      <x:c r="J336" s="22" t="n">
        <x:v>2023</x:v>
      </x:c>
      <x:c r="K336" s="27" t="str">
        <x:v>With continuous advances in deep learning, distributed training is becoming common in GPU clusters. Specifically, for emerging workloads with diverse amounts, ratios, and patterns of communication, we observe that network contention can significantly degrade training throughput. However, widely used scheduling policies often face limitations as they are agnostic to network contention between jobs. In this paper, we present a new approach to mitigate network contention in GPU clusters using reinforcement learning. We formulate GPU cluster scheduling as a reinforcement learning problem and opt to learn a network contention-aware scheduling policy that efficiently captures contention sensitivities and dynamically adapts scheduling decisions through continuous evaluation and improvement. We show that compared to widely used scheduling policies, our approach reduces average job completion time by up to 18.2\% and effectively cuts the tail job completion time by up to 20.7\% while allowing a preferable trade-off between average job completion time and resource utilization.</x:v>
      </x:c>
      <x:c r="L336" s="17" t="str">
        <x:v>http://arxiv.org/abs/2310.20209v1</x:v>
      </x:c>
      <x:c r="M336" s="23" t="n">
        <x:v>0.5785479947778148</x:v>
      </x:c>
      <x:c r="N336" s="17" t="str">
        <x:v>qwen3-rerank-no-instruct-20260727-125006-results.jsonl</x:v>
      </x:c>
      <x:c r="O336" s="24" t="str">
        <x:v>2</x:v>
      </x:c>
      <x:c r="P336" s="28" t="str">
        <x:v>通信异构DL负载以网络争用和吞吐评测。</x:v>
      </x:c>
      <x:c r="Q336" s="25" t="str"/>
      <x:c r="R336" s="24" t="str">
        <x:f>IF(Q336&lt;&gt;"",Q336,O336)</x:f>
        <x:v>2</x:v>
      </x:c>
      <x:c r="S336" s="29" t="str"/>
    </x:row>
    <x:row r="337" ht="54" customHeight="1">
      <x:c r="A337" s="17" t="str">
        <x:v>csq017-r16</x:v>
      </x:c>
      <x:c r="B337" s="17" t="str">
        <x:v>csq017</x:v>
      </x:c>
      <x:c r="C337" s="17" t="str">
        <x:v>systems_and_networking</x:v>
      </x:c>
      <x:c r="D337" s="17" t="str">
        <x:v>datacenter_scheduling</x:v>
      </x:c>
      <x:c r="E337" s="27" t="str">
        <x:v>Which workloads, metrics, and experimental methodologies are used to evaluate datacenter cluster schedulers?</x:v>
      </x:c>
      <x:c r="F337" s="22" t="n">
        <x:v>16</x:v>
      </x:c>
      <x:c r="G337" s="17" t="str">
        <x:v>arXiv:2108.10464</x:v>
      </x:c>
      <x:c r="H337" s="27" t="str">
        <x:v>The Case for Task Sampling based Learning for Cluster Job Scheduling</x:v>
      </x:c>
      <x:c r="I337" s="17" t="str">
        <x:v>Akshay Jajoo; Y. Charlie Hu; Xiaojun Lin; Nan Deng</x:v>
      </x:c>
      <x:c r="J337" s="22" t="n">
        <x:v>2021</x:v>
      </x:c>
      <x:c r="K337" s="27" t="str">
        <x:v>The ability to accurately estimate job runtime properties allows a scheduler to effectively schedule jobs. State-of-the-art online cluster job schedulers use history-based learning, which uses past job execution information to estimate the runtime properties of newly arrived jobs. However, with fast-paced development in cluster technology (in both hardware and software) and changing user inputs, job runtime properties can change over time, which lead to inaccurate predictions. In this paper, we explore the potential and limitation of real-time learning of job runtime properties, by proactively sampling and scheduling a small fraction of the tasks of each job. Such a task-sampling-based approach exploits the similarity among runtime properties of the tasks of the same job and is inherently immune to changing job behavior. Our study focuses on two key questions in comparing task-sampling-based learning (learning in space) and history-based learning (learning in time): (1) Can learning in space be more accurate than learning in time? (2) If so, can delaying scheduling the remaining tasks of a job till the completion of sampled tasks be more than compensated by the improved accuracy and result in improved job performance? Our analytical and experimental analysis of 3 production traces with different skew and job distribution shows that learning in space can be substantially more accurate. Our simulation and testbed evaluation on Azure of the two learning approaches anchored in a generic job scheduler using 3 production cluster job traces shows that despite its online overhead, learning in space reduces the average Job Completion Time (JCT) by 1.28x, 1.56x, and 1.32x compared to the prior-art history-based predictor.</x:v>
      </x:c>
      <x:c r="L337" s="17" t="str">
        <x:v>http://arxiv.org/abs/2108.10464v2</x:v>
      </x:c>
      <x:c r="M337" s="23" t="n">
        <x:v>0.5500522306325291</x:v>
      </x:c>
      <x:c r="N337" s="17" t="str">
        <x:v>qwen3-rerank-no-instruct-20260727-125006-results.jsonl</x:v>
      </x:c>
      <x:c r="O337" s="24" t="str">
        <x:v>2</x:v>
      </x:c>
      <x:c r="P337" s="28" t="str">
        <x:v>研究作业属性估计和任务采样实验方法。</x:v>
      </x:c>
      <x:c r="Q337" s="25" t="str"/>
      <x:c r="R337" s="24" t="str">
        <x:f>IF(Q337&lt;&gt;"",Q337,O337)</x:f>
        <x:v>2</x:v>
      </x:c>
      <x:c r="S337" s="29" t="str"/>
    </x:row>
    <x:row r="338" ht="54" customHeight="1">
      <x:c r="A338" s="17" t="str">
        <x:v>csq017-r17</x:v>
      </x:c>
      <x:c r="B338" s="17" t="str">
        <x:v>csq017</x:v>
      </x:c>
      <x:c r="C338" s="17" t="str">
        <x:v>systems_and_networking</x:v>
      </x:c>
      <x:c r="D338" s="17" t="str">
        <x:v>datacenter_scheduling</x:v>
      </x:c>
      <x:c r="E338" s="27" t="str">
        <x:v>Which workloads, metrics, and experimental methodologies are used to evaluate datacenter cluster schedulers?</x:v>
      </x:c>
      <x:c r="F338" s="22" t="n">
        <x:v>17</x:v>
      </x:c>
      <x:c r="G338" s="17" t="str">
        <x:v>arXiv:2312.12391</x:v>
      </x:c>
      <x:c r="H338" s="27" t="str">
        <x:v>vTrain: A Simulation Framework for Evaluating Cost-effective and Compute-optimal Large Language Model Training</x:v>
      </x:c>
      <x:c r="I338" s="17" t="str">
        <x:v>Jehyeon Bang; Yujeong Choi; Myeongwoo Kim; Yongdeok Kim; Minsoo Rhu</x:v>
      </x:c>
      <x:c r="J338" s="22" t="n">
        <x:v>2023</x:v>
      </x:c>
      <x:c r="K338" s="27" t="str">
        <x:v>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x:v>
      </x:c>
      <x:c r="L338" s="17" t="str">
        <x:v>http://arxiv.org/abs/2312.12391v2</x:v>
      </x:c>
      <x:c r="M338" s="23" t="n">
        <x:v>0.5323156352760823</x:v>
      </x:c>
      <x:c r="N338" s="17" t="str">
        <x:v>qwen3-rerank-no-instruct-20260727-125006-results.jsonl</x:v>
      </x:c>
      <x:c r="O338" s="24" t="str">
        <x:v>1</x:v>
      </x:c>
      <x:c r="P338" s="28" t="str">
        <x:v>LLM训练仿真可作方法背景，但非集群调度器评测。</x:v>
      </x:c>
      <x:c r="Q338" s="25" t="str"/>
      <x:c r="R338" s="24" t="str">
        <x:f>IF(Q338&lt;&gt;"",Q338,O338)</x:f>
        <x:v>1</x:v>
      </x:c>
      <x:c r="S338" s="29" t="str"/>
    </x:row>
    <x:row r="339" ht="54" customHeight="1">
      <x:c r="A339" s="17" t="str">
        <x:v>csq017-r18</x:v>
      </x:c>
      <x:c r="B339" s="17" t="str">
        <x:v>csq017</x:v>
      </x:c>
      <x:c r="C339" s="17" t="str">
        <x:v>systems_and_networking</x:v>
      </x:c>
      <x:c r="D339" s="17" t="str">
        <x:v>datacenter_scheduling</x:v>
      </x:c>
      <x:c r="E339" s="27" t="str">
        <x:v>Which workloads, metrics, and experimental methodologies are used to evaluate datacenter cluster schedulers?</x:v>
      </x:c>
      <x:c r="F339" s="22" t="n">
        <x:v>18</x:v>
      </x:c>
      <x:c r="G339" s="17" t="str">
        <x:v>arXiv:2408.08586</x:v>
      </x:c>
      <x:c r="H339" s="27" t="str">
        <x:v>Rubick: Exploiting Job Reconfigurability for Deep Learning Cluster Scheduling</x:v>
      </x:c>
      <x:c r="I339" s="17" t="str">
        <x:v>Xinyi Zhang; Hanyu Zhao; Wencong Xiao; Xianyan Jia; Fei Xu; Yong Li; Wei Lin; Fangming Liu</x:v>
      </x:c>
      <x:c r="J339" s="22" t="n">
        <x:v>2024</x:v>
      </x:c>
      <x:c r="K339" s="27" t="str">
        <x:v>The era of large deep learning models has given rise to advanced training strategies such as 3D parallelism and the ZeRO series. These strategies enable various (re-)configurable execution plans for a training job, which exhibit remarkably different requirements of multiple resource types. Existing cluster scheduling systems, however, treat such reconfigurable training jobs as black boxes: they rely on users to choose execution plans statically, and then make resource allocations without awareness of the chosen plans and their resource requirements. This approach results in mismatches between execution plans and resources, making both training performance and cluster utilization far from optimal. We introduce Rubick, a cluster scheduling system for deep learning training that exploits the reconfigurability to improve job performance and cluster efficiency. Rubick incorporates the job execution planning as a new dimension in cluster scheduling, by continuously reconfiguring jobs' execution plans and tuning multi-resource allocations across jobs jointly. Such a co-optimization is navigated by a performance model that understands the diverse resource requirements and performance characteristics of different jobs and execution plans. Rubick exploits such a model to make performance-aware scheduling decisions to maximize cluster throughput while providing performance guarantees to individual jobs. Evaluations on a 64-GPU high-performance training cluster show that Rubick improves average job completion time and makespan by up to 3.2x and 1.4x, respectively, compared against state-of-the-art systems.</x:v>
      </x:c>
      <x:c r="L339" s="17" t="str">
        <x:v>http://arxiv.org/abs/2408.08586v1</x:v>
      </x:c>
      <x:c r="M339" s="23" t="n">
        <x:v>0.513476729906258</x:v>
      </x:c>
      <x:c r="N339" s="17" t="str">
        <x:v>qwen3-rerank-no-instruct-20260727-125006-results.jsonl</x:v>
      </x:c>
      <x:c r="O339" s="24" t="str">
        <x:v>2</x:v>
      </x:c>
      <x:c r="P339" s="28" t="str">
        <x:v>DL可重配置作业和多资源调度评估。</x:v>
      </x:c>
      <x:c r="Q339" s="25" t="str"/>
      <x:c r="R339" s="24" t="str">
        <x:f>IF(Q339&lt;&gt;"",Q339,O339)</x:f>
        <x:v>2</x:v>
      </x:c>
      <x:c r="S339" s="29" t="str"/>
    </x:row>
    <x:row r="340" ht="54" customHeight="1">
      <x:c r="A340" s="17" t="str">
        <x:v>csq017-r19</x:v>
      </x:c>
      <x:c r="B340" s="17" t="str">
        <x:v>csq017</x:v>
      </x:c>
      <x:c r="C340" s="17" t="str">
        <x:v>systems_and_networking</x:v>
      </x:c>
      <x:c r="D340" s="17" t="str">
        <x:v>datacenter_scheduling</x:v>
      </x:c>
      <x:c r="E340" s="27" t="str">
        <x:v>Which workloads, metrics, and experimental methodologies are used to evaluate datacenter cluster schedulers?</x:v>
      </x:c>
      <x:c r="F340" s="22" t="n">
        <x:v>19</x:v>
      </x:c>
      <x:c r="G340" s="17" t="str">
        <x:v>arXiv:2109.09269</x:v>
      </x:c>
      <x:c r="H340" s="27" t="str">
        <x:v>Job Scheduling in High Performance Computing</x:v>
      </x:c>
      <x:c r="I340" s="17" t="str">
        <x:v>Yuping Fan</x:v>
      </x:c>
      <x:c r="J340" s="22" t="n">
        <x:v>2021</x:v>
      </x:c>
      <x:c r="K340" s="27" t="str">
        <x:v>The ever-growing processing power of supercomputers in recent decades enables us to explore increasing complex scientific problems. Effective scheduling these jobs is crucial for individual job performance and system efficiency. The traditional job schedulers in high performance computing (HPC) are simple and concentrate on improving CPU utilization. The emergence of new hardware resources and novel hardware structure impose severe challenges on traditional schedulers. The increasing diverse workloads, including compute-intensive and data-intensive applications, require more efficient schedulers. Even worse, the above two factors interplay with each other, which makes scheduling problem even more challenging. In recent years, many research has discussed new scheduling methods to combat the problems brought by rapid system changes. In this research study, we have investigated challenges faced by HPC scheduling and state-of-art scheduling methods to overcome these challenges. Furthermore, we propose an intelligent scheduling framework to alleviate the problems encountered in modern job scheduling.</x:v>
      </x:c>
      <x:c r="L340" s="17" t="str">
        <x:v>http://arxiv.org/abs/2109.09269v1</x:v>
      </x:c>
      <x:c r="M340" s="23" t="n">
        <x:v>0.4950037646882361</x:v>
      </x:c>
      <x:c r="N340" s="17" t="str">
        <x:v>qwen3-rerank-no-instruct-20260727-125006-results.jsonl</x:v>
      </x:c>
      <x:c r="O340" s="24" t="str">
        <x:v>2</x:v>
      </x:c>
      <x:c r="P340" s="28" t="str">
        <x:v>综述HPC作业调度负载和系统效率指标。</x:v>
      </x:c>
      <x:c r="Q340" s="25" t="str"/>
      <x:c r="R340" s="24" t="str">
        <x:f>IF(Q340&lt;&gt;"",Q340,O340)</x:f>
        <x:v>2</x:v>
      </x:c>
      <x:c r="S340" s="29" t="str"/>
    </x:row>
    <x:row r="341" ht="54" customHeight="1">
      <x:c r="A341" s="17" t="str">
        <x:v>csq017-r20</x:v>
      </x:c>
      <x:c r="B341" s="17" t="str">
        <x:v>csq017</x:v>
      </x:c>
      <x:c r="C341" s="17" t="str">
        <x:v>systems_and_networking</x:v>
      </x:c>
      <x:c r="D341" s="17" t="str">
        <x:v>datacenter_scheduling</x:v>
      </x:c>
      <x:c r="E341" s="27" t="str">
        <x:v>Which workloads, metrics, and experimental methodologies are used to evaluate datacenter cluster schedulers?</x:v>
      </x:c>
      <x:c r="F341" s="22" t="n">
        <x:v>20</x:v>
      </x:c>
      <x:c r="G341" s="17" t="str">
        <x:v>arXiv:1902.01613</x:v>
      </x:c>
      <x:c r="H341" s="27" t="str">
        <x:v>Low-latency job scheduling with preemption for the development of deep learning</x:v>
      </x:c>
      <x:c r="I341" s="17" t="str">
        <x:v>Hidehito Yabuuchi; Daisuke Taniwaki; Shingo Omura</x:v>
      </x:c>
      <x:c r="J341" s="22" t="n">
        <x:v>2019</x:v>
      </x:c>
      <x:c r="K341" s="27" t="str">
        <x:v>One significant challenge in the job scheduling of computing clusters for the development of deep learning algorithms is the efficient scheduling of trial-and-error (TE) job, the type of job in which the users seek to conduct small-scale experiments while monitoring their processes. Unfortunately, the existing job schedulers to date do not feature well-balanced scheduling for the mixture of TE jobs and best-effort (BE) jobs, or they can handle the mixture in limited situations at most. To fill in this niche, we propose an algorithm that can significantly reduce the latency of TE jobs in versatile situations without greatly elongating the slowdown of the BE jobs. Our algorithm efficiently schedules both TE and BE jobs by selectively preempting the BE jobs that can be, when the time comes, resumed without much delay. In our simulation study with synthetic and real workloads, we were able to reduce the 95th percentile of the slowdown rates for the TE jobs in the standard FIFO strategy by 96.6%, while compromising the median of the BE slowdown rates by only 18.0% and the 95th percentile by only 23.9%.</x:v>
      </x:c>
      <x:c r="L341" s="17" t="str">
        <x:v>http://arxiv.org/abs/1902.01613v1</x:v>
      </x:c>
      <x:c r="M341" s="23" t="n">
        <x:v>0.4852155701857219</x:v>
      </x:c>
      <x:c r="N341" s="17" t="str">
        <x:v>qwen3-rerank-no-instruct-20260727-125006-results.jsonl</x:v>
      </x:c>
      <x:c r="O341" s="24" t="str">
        <x:v>2</x:v>
      </x:c>
      <x:c r="P341" s="28" t="str">
        <x:v>混合实验与尽力作业以延迟和抢占评测。</x:v>
      </x:c>
      <x:c r="Q341" s="25" t="str"/>
      <x:c r="R341" s="24" t="str">
        <x:f>IF(Q341&lt;&gt;"",Q341,O341)</x:f>
        <x:v>2</x:v>
      </x:c>
      <x:c r="S341" s="29" t="str"/>
    </x:row>
    <x:row r="342" ht="54" customHeight="1">
      <x:c r="A342" s="17" t="str">
        <x:v>csq018-r01</x:v>
      </x:c>
      <x:c r="B342" s="17" t="str">
        <x:v>csq018</x:v>
      </x:c>
      <x:c r="C342" s="17" t="str">
        <x:v>systems_and_networking</x:v>
      </x:c>
      <x:c r="D342" s="17" t="str">
        <x:v>programmable_networks</x:v>
      </x:c>
      <x:c r="E342" s="27" t="str">
        <x:v>How have programmable data planes and in-network computing evolved, and which classes of distributed applications have benefited from them?</x:v>
      </x:c>
      <x:c r="F342" s="22" t="n">
        <x:v>1</x:v>
      </x:c>
      <x:c r="G342" s="17" t="str">
        <x:v>arXiv:2111.04563</x:v>
      </x:c>
      <x:c r="H342" s="27" t="str">
        <x:v>A Roadmap for Enabling a Future-Proof In-Network Computing Data Plane Ecosystem</x:v>
      </x:c>
      <x:c r="I342" s="17" t="str">
        <x:v>Daehyeok Kim; Nikita Lazarev; Tommy Tracy; Farzana Siddique; Hun Namkung; James C. Hoe; Vyas Sekar; Kevin Skadron; Zhiru Zhang; Srinivasan Seshan</x:v>
      </x:c>
      <x:c r="J342" s="22" t="n">
        <x:v>2021</x:v>
      </x:c>
      <x:c r="K342" s="27" t="str">
        <x:v>As the vision of in-network computing becomes more mature, we see two parallel evolutionary trends. First, we see the evolution of richer, more demanding applications that require capabilities beyond programmable switching ASICs. Second, we see the evolution of diverse data plane technologies with many other future capabilities on the horizon. While some point solutions exist to tackle the intersection of these trends, we see several ecosystem-level disconnects today; e.g., the need to refactor applications for new data planes, lack of systematic guidelines to inform the development of future data plane capabilities, and lack of holistic runtime frameworks for network operators. In this paper, we use a simple-yet-instructive emerging application-data plane combination to highlight these disconnects. Drawing on these lessons, we sketch a high-level roadmap and guidelines for the community to tackle these to create a more thriving "future-proof" data plane ecosystem.</x:v>
      </x:c>
      <x:c r="L342" s="17" t="str">
        <x:v>http://arxiv.org/abs/2111.04563v1</x:v>
      </x:c>
      <x:c r="M342" s="23" t="n">
        <x:v>0.80192834330344</x:v>
      </x:c>
      <x:c r="N342" s="17" t="str">
        <x:v>qwen3-rerank-no-instruct-20260727-125006-results.jsonl</x:v>
      </x:c>
      <x:c r="O342" s="24" t="str">
        <x:v>2</x:v>
      </x:c>
      <x:c r="P342" s="28" t="str">
        <x:v>路线图直接梳理网内计算数据平面演进。</x:v>
      </x:c>
      <x:c r="Q342" s="25" t="str"/>
      <x:c r="R342" s="24" t="str">
        <x:f>IF(Q342&lt;&gt;"",Q342,O342)</x:f>
        <x:v>2</x:v>
      </x:c>
      <x:c r="S342" s="29" t="str"/>
    </x:row>
    <x:row r="343" ht="54" customHeight="1">
      <x:c r="A343" s="17" t="str">
        <x:v>csq018-r02</x:v>
      </x:c>
      <x:c r="B343" s="17" t="str">
        <x:v>csq018</x:v>
      </x:c>
      <x:c r="C343" s="17" t="str">
        <x:v>systems_and_networking</x:v>
      </x:c>
      <x:c r="D343" s="17" t="str">
        <x:v>programmable_networks</x:v>
      </x:c>
      <x:c r="E343" s="27" t="str">
        <x:v>How have programmable data planes and in-network computing evolved, and which classes of distributed applications have benefited from them?</x:v>
      </x:c>
      <x:c r="F343" s="22" t="n">
        <x:v>2</x:v>
      </x:c>
      <x:c r="G343" s="17" t="str">
        <x:v>arXiv:2505.24269</x:v>
      </x:c>
      <x:c r="H343" s="27" t="str">
        <x:v>INSIGHT: A Survey of In-Network Systems for Intelligent, High-Efficiency AI and Topology Optimization</x:v>
      </x:c>
      <x:c r="I343" s="17" t="str">
        <x:v>Aleksandr Algazinov; Joydeep Chandra; Matt Laing</x:v>
      </x:c>
      <x:c r="J343" s="22" t="n">
        <x:v>2025</x:v>
      </x:c>
      <x:c r="K343" s="27" t="str">
        <x:v>In-network computation represents a transformative approach to addressing the escalating demands of Artificial Intelligence (AI) workloads on network infrastructure. By leveraging the processing capabilities of network devices such as switches, routers, and Network Interface Cards (NICs), this paradigm enables AI computations to be performed directly within the network fabric, significantly reducing latency, enhancing throughput, and optimizing resource utilization. This paper provides a comprehensive analysis of optimizing in-network computation for AI, exploring the evolution of programmable network architectures, such as Software-Defined Networking (SDN) and Programmable Data Planes (PDPs), and their convergence with AI. It examines methodologies for mapping AI models onto resource-constrained network devices, addressing challenges like limited memory and computational capabilities through efficient algorithm design and model compression techniques. The paper also highlights advancements in distributed learning, particularly in-network aggregation, and the potential of federated learning to enhance privacy and scalability. Frameworks like Planter and Quark are discussed for simplifying development, alongside key applications such as intelligent network monitoring, intrusion detection, traffic management, and Edge AI. Future research directions, including runtime programmability, standardized benchmarks, and new applications paradigms, are proposed to advance this rapidly evolving field. This survey underscores the potential of in-network AI to create intelligent, efficient, and responsive networks capable of meeting the demands of next-generation AI applications.</x:v>
      </x:c>
      <x:c r="L343" s="17" t="str">
        <x:v>http://arxiv.org/abs/2505.24269v2</x:v>
      </x:c>
      <x:c r="M343" s="23" t="n">
        <x:v>0.7993036701322844</x:v>
      </x:c>
      <x:c r="N343" s="17" t="str">
        <x:v>qwen3-rerank-no-instruct-20260727-125006-results.jsonl</x:v>
      </x:c>
      <x:c r="O343" s="24" t="str">
        <x:v>2</x:v>
      </x:c>
      <x:c r="P343" s="28" t="str">
        <x:v>综述网内AI系统和可编程架构演进。</x:v>
      </x:c>
      <x:c r="Q343" s="25" t="str"/>
      <x:c r="R343" s="24" t="str">
        <x:f>IF(Q343&lt;&gt;"",Q343,O343)</x:f>
        <x:v>2</x:v>
      </x:c>
      <x:c r="S343" s="29" t="str"/>
    </x:row>
    <x:row r="344" ht="54" customHeight="1">
      <x:c r="A344" s="17" t="str">
        <x:v>csq018-r03</x:v>
      </x:c>
      <x:c r="B344" s="17" t="str">
        <x:v>csq018</x:v>
      </x:c>
      <x:c r="C344" s="17" t="str">
        <x:v>systems_and_networking</x:v>
      </x:c>
      <x:c r="D344" s="17" t="str">
        <x:v>programmable_networks</x:v>
      </x:c>
      <x:c r="E344" s="27" t="str">
        <x:v>How have programmable data planes and in-network computing evolved, and which classes of distributed applications have benefited from them?</x:v>
      </x:c>
      <x:c r="F344" s="22" t="n">
        <x:v>3</x:v>
      </x:c>
      <x:c r="G344" s="17" t="str">
        <x:v>arXiv:2102.00643</x:v>
      </x:c>
      <x:c r="H344" s="27" t="str">
        <x:v>An Exhaustive Survey on P4 Programmable Data Plane Switches: Taxonomy, Applications, Challenges, and Future Trends</x:v>
      </x:c>
      <x:c r="I344" s="17" t="str">
        <x:v>Elie F. Kfoury; Jorge Crichigno; Elias Bou-Harb</x:v>
      </x:c>
      <x:c r="J344" s="22" t="n">
        <x:v>2021</x:v>
      </x:c>
      <x:c r="K344" s="27" t="str">
        <x:v>Traditionally, the data plane has been designed with fixed functions to forward packets using a small set of protocols. This closed-design paradigm has limited the capability of the switches to proprietary implementations which are hardcoded by vendors, inducing a lengthy, costly, and inflexible process. Recently, data plane programmability has attracted significant attention from both the research community and the industry, permitting operators and programmers in general to run customized packet processing function. This open-design paradigm is paving the way for an unprecedented wave of innovation and experimentation by reducing the time of designing, testing, and adopting new protocols; enabling a customized, top-down approach to develop network applications; providing granular visibility of packet events defined by the programmer; reducing complexity and enhancing resource utilization of the programmable switches; and drastically improving the performance of applications that are offloaded to the data plane. Despite the impressive advantages of programmable data plane switches and their importance in modern networks, the literature has been missing a comprehensive survey. To this end, this paper provides a background encompassing an overview of the evolution of networks from legacy to programmable, describing the essentials of programmable switches, and summarizing their advantages over Software-defined Networking (SDN) and legacy devices. The paper then presents a unique, comprehensive taxonomy of applications developed with P4 language; surveying, classifying, and analyzing more than 150 articles; discussing challenges and considerations; and presenting future perspectives and open research issues.</x:v>
      </x:c>
      <x:c r="L344" s="17" t="str">
        <x:v>http://arxiv.org/abs/2102.00643v2</x:v>
      </x:c>
      <x:c r="M344" s="23" t="n">
        <x:v>0.7977951033409115</x:v>
      </x:c>
      <x:c r="N344" s="17" t="str">
        <x:v>qwen3-rerank-no-instruct-20260727-125006-results.jsonl</x:v>
      </x:c>
      <x:c r="O344" s="24" t="str">
        <x:v>2</x:v>
      </x:c>
      <x:c r="P344" s="28" t="str">
        <x:v>系统综述P4交换机应用与挑战。</x:v>
      </x:c>
      <x:c r="Q344" s="25" t="str"/>
      <x:c r="R344" s="24" t="str">
        <x:f>IF(Q344&lt;&gt;"",Q344,O344)</x:f>
        <x:v>2</x:v>
      </x:c>
      <x:c r="S344" s="29" t="str"/>
    </x:row>
    <x:row r="345" ht="54" customHeight="1">
      <x:c r="A345" s="17" t="str">
        <x:v>csq018-r04</x:v>
      </x:c>
      <x:c r="B345" s="17" t="str">
        <x:v>csq018</x:v>
      </x:c>
      <x:c r="C345" s="17" t="str">
        <x:v>systems_and_networking</x:v>
      </x:c>
      <x:c r="D345" s="17" t="str">
        <x:v>programmable_networks</x:v>
      </x:c>
      <x:c r="E345" s="27" t="str">
        <x:v>How have programmable data planes and in-network computing evolved, and which classes of distributed applications have benefited from them?</x:v>
      </x:c>
      <x:c r="F345" s="22" t="n">
        <x:v>4</x:v>
      </x:c>
      <x:c r="G345" s="17" t="str">
        <x:v>arXiv:2110.00631</x:v>
      </x:c>
      <x:c r="H345" s="27" t="str">
        <x:v>The Programmable Data Plane: Abstractions, Architectures, Algorithms, and Applications</x:v>
      </x:c>
      <x:c r="I345" s="17" t="str">
        <x:v>Oliver Michel; Roberto Bifulco; Gabor Retvari; Stefan Schmid</x:v>
      </x:c>
      <x:c r="J345" s="22" t="n">
        <x:v>2021</x:v>
      </x:c>
      <x:c r="K345" s="27" t="str">
        <x:v>Programmable data plane technology enables the systematic reconfiguration of the low-level processing steps applied to network packets and is a key driver in realizing the next generation of network services and applications. This survey presents recent trends and issues in the design and implementation of programmable network devices, focusing on prominent architectures, abstractions, algorithms, and applications proposed, debated, and realized over the past years. We elaborate on the trends that led to the emergence of this technology and highlight the most important pointers from the literature, casting different taxonomies for the field and identifying avenues for future research.</x:v>
      </x:c>
      <x:c r="L345" s="17" t="str">
        <x:v>http://arxiv.org/abs/2110.00631v1</x:v>
      </x:c>
      <x:c r="M345" s="23" t="n">
        <x:v>0.7734357630657414</x:v>
      </x:c>
      <x:c r="N345" s="17" t="str">
        <x:v>qwen3-rerank-no-instruct-20260727-125006-results.jsonl</x:v>
      </x:c>
      <x:c r="O345" s="24" t="str">
        <x:v>2</x:v>
      </x:c>
      <x:c r="P345" s="28" t="str">
        <x:v>综述可编程数据平面架构、算法和应用。</x:v>
      </x:c>
      <x:c r="Q345" s="25" t="str"/>
      <x:c r="R345" s="24" t="str">
        <x:f>IF(Q345&lt;&gt;"",Q345,O345)</x:f>
        <x:v>2</x:v>
      </x:c>
      <x:c r="S345" s="29" t="str"/>
    </x:row>
    <x:row r="346" ht="54" customHeight="1">
      <x:c r="A346" s="17" t="str">
        <x:v>csq018-r05</x:v>
      </x:c>
      <x:c r="B346" s="17" t="str">
        <x:v>csq018</x:v>
      </x:c>
      <x:c r="C346" s="17" t="str">
        <x:v>systems_and_networking</x:v>
      </x:c>
      <x:c r="D346" s="17" t="str">
        <x:v>programmable_networks</x:v>
      </x:c>
      <x:c r="E346" s="27" t="str">
        <x:v>How have programmable data planes and in-network computing evolved, and which classes of distributed applications have benefited from them?</x:v>
      </x:c>
      <x:c r="F346" s="22" t="n">
        <x:v>5</x:v>
      </x:c>
      <x:c r="G346" s="17" t="str">
        <x:v>arXiv:2201.11516</x:v>
      </x:c>
      <x:c r="H346" s="27" t="str">
        <x:v>Survey on some optimization possibilities for data plane applications</x:v>
      </x:c>
      <x:c r="I346" s="17" t="str">
        <x:v>Gereltsetseg Altangerel; Tejfel Máté</x:v>
      </x:c>
      <x:c r="J346" s="22" t="n">
        <x:v>2021</x:v>
      </x:c>
      <x:c r="K346" s="27" t="str">
        <x:v>By programming both the data plane and the control plane, network operators can customize their networks based on their needs, regardless of the hardware manufacturer. Control plane programming, a major component of the SDN (Software Defined Network) concept, has been developed for more than 10 years and successfully implemented in real networks. Efforts to develop reconfigurable data planes and high-level network programming languages make it truly possible to program data planes. Therefore, the programmable data planes and SDNs offer great flexibility in network customization, allowing many innovations to be introduced on the network. The general focus of research on the data plane is data-plane abstractions, languages and compilers, data plane algorithms, and applications. This paper outlines some emerging applications on the data plane and offers opportunities for further improvement and optimization.</x:v>
      </x:c>
      <x:c r="L346" s="17" t="str">
        <x:v>http://arxiv.org/abs/2201.11516v1</x:v>
      </x:c>
      <x:c r="M346" s="23" t="n">
        <x:v>0.7161802423516158</x:v>
      </x:c>
      <x:c r="N346" s="17" t="str">
        <x:v>qwen3-rerank-no-instruct-20260727-125006-results.jsonl</x:v>
      </x:c>
      <x:c r="O346" s="24" t="str">
        <x:v>2</x:v>
      </x:c>
      <x:c r="P346" s="28" t="str">
        <x:v>综述可重配置数据平面应用优化。</x:v>
      </x:c>
      <x:c r="Q346" s="25" t="str"/>
      <x:c r="R346" s="24" t="str">
        <x:f>IF(Q346&lt;&gt;"",Q346,O346)</x:f>
        <x:v>2</x:v>
      </x:c>
      <x:c r="S346" s="29" t="str"/>
    </x:row>
    <x:row r="347" ht="54" customHeight="1">
      <x:c r="A347" s="17" t="str">
        <x:v>csq018-r06</x:v>
      </x:c>
      <x:c r="B347" s="17" t="str">
        <x:v>csq018</x:v>
      </x:c>
      <x:c r="C347" s="17" t="str">
        <x:v>systems_and_networking</x:v>
      </x:c>
      <x:c r="D347" s="17" t="str">
        <x:v>programmable_networks</x:v>
      </x:c>
      <x:c r="E347" s="27" t="str">
        <x:v>How have programmable data planes and in-network computing evolved, and which classes of distributed applications have benefited from them?</x:v>
      </x:c>
      <x:c r="F347" s="22" t="n">
        <x:v>6</x:v>
      </x:c>
      <x:c r="G347" s="17" t="str">
        <x:v>arXiv:2101.10632</x:v>
      </x:c>
      <x:c r="H347" s="27" t="str">
        <x:v>A Survey on Data Plane Programming with P4: Fundamentals, Advances, and Applied Research</x:v>
      </x:c>
      <x:c r="I347" s="17" t="str">
        <x:v>Frederik Hauser; Marco Häberle; Daniel Merling; Steffen Lindner; Vladimir Gurevich; Florian Zeiger; Reinhard Frank; Michael Menth</x:v>
      </x:c>
      <x:c r="J347" s="22" t="n">
        <x:v>2021</x:v>
      </x:c>
      <x:c r="K347" s="27" t="str">
        <x:v>Programmable data planes allow users to define their own data plane algorithms for network devices including appropriate data plane application programming interfaces (APIs) which may be leveraged by user-defined software-defined networking (SDN) control. This offers great flexibility for network customization, be it for specialized, commercial appliances, e.g., in 5G or data center networks, or for rapid prototyping in industrial and academic research. Programming protocol-independent packet processors (P4) has emerged as the currently most widespread abstraction, programming language, and concept for data plane programming. It is developed and standardized by an open community, and it is supported by various software and hardware platforms. In the first part of this paper we give a tutorial of data plane programming models, the P4 programming language, architectures, compilers, targets, and data plane APIs. We also consider research efforts to advance P4 technology. In the second part, we categorize a large body of literature of P4-based applied research into different research domains, summarize the contributions of these papers, and extract prototypes, target platforms, and source code availability. For each research domain, we analyze how the reviewed works benefit from P4's core features. Finally, we discuss potential next steps based on our findings.</x:v>
      </x:c>
      <x:c r="L347" s="17" t="str">
        <x:v>http://arxiv.org/abs/2101.10632v3</x:v>
      </x:c>
      <x:c r="M347" s="23" t="n">
        <x:v>0.6482894433189399</x:v>
      </x:c>
      <x:c r="N347" s="17" t="str">
        <x:v>qwen3-rerank-no-instruct-20260727-125006-results.jsonl</x:v>
      </x:c>
      <x:c r="O347" s="24" t="str">
        <x:v>2</x:v>
      </x:c>
      <x:c r="P347" s="28" t="str">
        <x:v>综述P4基础、进展与应用研究。</x:v>
      </x:c>
      <x:c r="Q347" s="25" t="str"/>
      <x:c r="R347" s="24" t="str">
        <x:f>IF(Q347&lt;&gt;"",Q347,O347)</x:f>
        <x:v>2</x:v>
      </x:c>
      <x:c r="S347" s="29" t="str"/>
    </x:row>
    <x:row r="348" ht="54" customHeight="1">
      <x:c r="A348" s="17" t="str">
        <x:v>csq018-r07</x:v>
      </x:c>
      <x:c r="B348" s="17" t="str">
        <x:v>csq018</x:v>
      </x:c>
      <x:c r="C348" s="17" t="str">
        <x:v>systems_and_networking</x:v>
      </x:c>
      <x:c r="D348" s="17" t="str">
        <x:v>programmable_networks</x:v>
      </x:c>
      <x:c r="E348" s="27" t="str">
        <x:v>How have programmable data planes and in-network computing evolved, and which classes of distributed applications have benefited from them?</x:v>
      </x:c>
      <x:c r="F348" s="22" t="n">
        <x:v>7</x:v>
      </x:c>
      <x:c r="G348" s="17" t="str">
        <x:v>arXiv:2009.02457</x:v>
      </x:c>
      <x:c r="H348" s="27" t="str">
        <x:v>Unleashing In-network Computing on Scientific Workloads</x:v>
      </x:c>
      <x:c r="I348" s="17" t="str">
        <x:v>Daehyeok Kim; Ankush Jain; Zaoxing Liu; George Amvrosiadis; Damian Hazen; Bradley Settlemyer; Vyas Sekar</x:v>
      </x:c>
      <x:c r="J348" s="22" t="n">
        <x:v>2020</x:v>
      </x:c>
      <x:c r="K348" s="27" t="str">
        <x:v>Many recent efforts have shown that in-network computing can benefit various datacenter applications. In this paper, we explore a relatively less-explored domain which we argue can benefit from in-network computing: scientific workloads in high-performance computing. By analyzing canonical examples of HPC applications, we observe unique opportunities and challenges for exploiting in-network computing to accelerate scientific workloads. In particular, we find that the dynamic and demanding nature of scientific workloads is the major obstacle to the adoption of in-network approaches which are mostly open-loop and lack runtime feedback. In this paper, we present NSinC (Network-accelerated ScIeNtific Computing), an architecture for fully unleashing the potential benefits of in-network computing for scientific workloads by providing closed-loop runtime feedback to in-network acceleration services. We outline key challenges in realizing this vision and a preliminary design to enable acceleration for scientific applications.</x:v>
      </x:c>
      <x:c r="L348" s="17" t="str">
        <x:v>http://arxiv.org/abs/2009.02457v1</x:v>
      </x:c>
      <x:c r="M348" s="23" t="n">
        <x:v>0.6389898803788271</x:v>
      </x:c>
      <x:c r="N348" s="17" t="str">
        <x:v>qwen3-rerank-no-instruct-20260727-125006-results.jsonl</x:v>
      </x:c>
      <x:c r="O348" s="24" t="str">
        <x:v>2</x:v>
      </x:c>
      <x:c r="P348" s="28" t="str">
        <x:v>直接研究网内计算对HPC科学负载的收益。</x:v>
      </x:c>
      <x:c r="Q348" s="25" t="str"/>
      <x:c r="R348" s="24" t="str">
        <x:f>IF(Q348&lt;&gt;"",Q348,O348)</x:f>
        <x:v>2</x:v>
      </x:c>
      <x:c r="S348" s="29" t="str"/>
    </x:row>
    <x:row r="349" ht="54" customHeight="1">
      <x:c r="A349" s="17" t="str">
        <x:v>csq018-r08</x:v>
      </x:c>
      <x:c r="B349" s="17" t="str">
        <x:v>csq018</x:v>
      </x:c>
      <x:c r="C349" s="17" t="str">
        <x:v>systems_and_networking</x:v>
      </x:c>
      <x:c r="D349" s="17" t="str">
        <x:v>programmable_networks</x:v>
      </x:c>
      <x:c r="E349" s="27" t="str">
        <x:v>How have programmable data planes and in-network computing evolved, and which classes of distributed applications have benefited from them?</x:v>
      </x:c>
      <x:c r="F349" s="22" t="n">
        <x:v>8</x:v>
      </x:c>
      <x:c r="G349" s="17" t="str">
        <x:v>arXiv:2106.00239</x:v>
      </x:c>
      <x:c r="H349" s="27" t="str">
        <x:v>Watching Smartly from the Bottom: Intrusion Detection revamped through Programmable Networks and Artificial Intelligence</x:v>
      </x:c>
      <x:c r="I349" s="17" t="str">
        <x:v>Sergio Armando Gutiérrez; John Willian Branch; Luciano Paschoal Gaspary; Juan Felipe Botero</x:v>
      </x:c>
      <x:c r="J349" s="22" t="n">
        <x:v>2021</x:v>
      </x:c>
      <x:c r="K349" s="27" t="str">
        <x:v>The advent of Programmable Data Planes represents an outstanding evolution and complete revolution of the Software- Defined Networking paradigm. The capacity to define the entire behavior of forwarding devices by controlling the packet parsing procedures and executing custom operations enables offloading functionalities traditionally performed at the control plane. A recent research line has explored the possibility of even offloading to the data plane part of Artificial Intelligence algorithms, and more specifically, Machine Learning ones, to increase their accuracy and responsiveness (by having more detailed visibility of the traffic). This introduces a significant opportunity for evolution in the critical field of Intrusion Detection. However, offloading functionalities to the data plane is not a straightforward task. In this paper, we discuss how Programmable Data Planes might complement different stages of an Intrusion Detection System based on Machine Learning. We present two use cases that make evident the feasibility of this approach and highlight aspects that must be considered when addressing the challenge of deploying solutions leveraging data-plane functionalities.</x:v>
      </x:c>
      <x:c r="L349" s="17" t="str">
        <x:v>http://arxiv.org/abs/2106.00239v1</x:v>
      </x:c>
      <x:c r="M349" s="23" t="n">
        <x:v>0.6201356445633299</x:v>
      </x:c>
      <x:c r="N349" s="17" t="str">
        <x:v>qwen3-rerank-no-instruct-20260727-125006-results.jsonl</x:v>
      </x:c>
      <x:c r="O349" s="24" t="str">
        <x:v>2</x:v>
      </x:c>
      <x:c r="P349" s="28" t="str">
        <x:v>以可编程数据平面和AI实现入侵检测。</x:v>
      </x:c>
      <x:c r="Q349" s="25" t="str"/>
      <x:c r="R349" s="24" t="str">
        <x:f>IF(Q349&lt;&gt;"",Q349,O349)</x:f>
        <x:v>2</x:v>
      </x:c>
      <x:c r="S349" s="29" t="str"/>
    </x:row>
    <x:row r="350" ht="54" customHeight="1">
      <x:c r="A350" s="17" t="str">
        <x:v>csq018-r09</x:v>
      </x:c>
      <x:c r="B350" s="17" t="str">
        <x:v>csq018</x:v>
      </x:c>
      <x:c r="C350" s="17" t="str">
        <x:v>systems_and_networking</x:v>
      </x:c>
      <x:c r="D350" s="17" t="str">
        <x:v>programmable_networks</x:v>
      </x:c>
      <x:c r="E350" s="27" t="str">
        <x:v>How have programmable data planes and in-network computing evolved, and which classes of distributed applications have benefited from them?</x:v>
      </x:c>
      <x:c r="F350" s="22" t="n">
        <x:v>9</x:v>
      </x:c>
      <x:c r="G350" s="17" t="str">
        <x:v>arXiv:1904.04024</x:v>
      </x:c>
      <x:c r="H350" s="27" t="str">
        <x:v>SwitchAgg:A Further Step Towards In-Network Computation</x:v>
      </x:c>
      <x:c r="I350" s="17" t="str">
        <x:v>Fan Yang; Zhan Wang; Xiaoxiao Ma; Guojun Yuan; Xuejun An</x:v>
      </x:c>
      <x:c r="J350" s="22" t="n">
        <x:v>2019</x:v>
      </x:c>
      <x:c r="K350" s="27" t="str">
        <x:v>Many distributed applications adopt a partition/aggregation pattern to achieve high performance and scalability. The aggregation process, which usually takes a large portion of the overall execution time, incurs large amount of network traffic and bottlenecks the system performance. To reduce network traffic,some researches take advantage of network devices to commit innetwork aggregation. However, these approaches use either special topology or middle-boxes, which cannot be easily deployed in current datacenters. The emerging programmable RMT switch brings us new opportunities to implement in-network computation task. However, we argue that the architecture of RMT switch is not suitable for in-network aggregation since it is designed primarily for implementing traditional network functions. In this paper, we first give a detailed analysis of in-network aggregation, and point out the key factor that affects the data reduction ratio. We then propose SwitchAgg, which is an innetwork aggregation system that is compatible with current datacenter infrastructures. We also evaluate the performance improvement we have gained from SwitchAgg. Our results show that, SwitchAgg can process data aggregation tasks at line rate and gives a high data reduction rate, which helps us to cut down network traffic and alleviate pressure on server CPU. In the system performance test, the job-completion-time can be reduced as much as 50%</x:v>
      </x:c>
      <x:c r="L350" s="17" t="str">
        <x:v>http://arxiv.org/abs/1904.04024v1</x:v>
      </x:c>
      <x:c r="M350" s="23" t="n">
        <x:v>0.5843728797298425</x:v>
      </x:c>
      <x:c r="N350" s="17" t="str">
        <x:v>qwen3-rerank-no-instruct-20260727-125006-results.jsonl</x:v>
      </x:c>
      <x:c r="O350" s="24" t="str">
        <x:v>2</x:v>
      </x:c>
      <x:c r="P350" s="28" t="str">
        <x:v>可编程交换机直接加速分布式聚合。</x:v>
      </x:c>
      <x:c r="Q350" s="25" t="str"/>
      <x:c r="R350" s="24" t="str">
        <x:f>IF(Q350&lt;&gt;"",Q350,O350)</x:f>
        <x:v>2</x:v>
      </x:c>
      <x:c r="S350" s="29" t="str"/>
    </x:row>
    <x:row r="351" ht="54" customHeight="1">
      <x:c r="A351" s="17" t="str">
        <x:v>csq018-r10</x:v>
      </x:c>
      <x:c r="B351" s="17" t="str">
        <x:v>csq018</x:v>
      </x:c>
      <x:c r="C351" s="17" t="str">
        <x:v>systems_and_networking</x:v>
      </x:c>
      <x:c r="D351" s="17" t="str">
        <x:v>programmable_networks</x:v>
      </x:c>
      <x:c r="E351" s="27" t="str">
        <x:v>How have programmable data planes and in-network computing evolved, and which classes of distributed applications have benefited from them?</x:v>
      </x:c>
      <x:c r="F351" s="22" t="n">
        <x:v>10</x:v>
      </x:c>
      <x:c r="G351" s="17" t="str">
        <x:v>arXiv:2106.05467</x:v>
      </x:c>
      <x:c r="H351" s="27" t="str">
        <x:v>NetFC: enabling accurate floating-point arithmetic on programmable switches</x:v>
      </x:c>
      <x:c r="I351" s="17" t="str">
        <x:v>Penglai Cui; Heng Pan; Zhenyu Li; Jiaoren Wu; Shengzhuo Zhang; Xingwu Yang; Hongtao Guan; Gaogang Xie</x:v>
      </x:c>
      <x:c r="J351" s="22" t="n">
        <x:v>2021</x:v>
      </x:c>
      <x:c r="K351" s="27" t="str">
        <x:v>In-network computation has been widely used to accelerate data-intensive distributed applications. Some computational tasks, traditional performed on servers, are offloaded to the network (i.e. programmable switches). However, the computational capacity of programmable switches is limited to simple integer arithmetic operations while many of applications require on-the-fly floating-point operations. To address this issue, prior approaches either adopt a float-to-integer method or directly offload computational tasks to the local CPUs of switches, incurring accuracy loss and delayed processing. To this end, we propose NetFC, a table-lookup method to achieve on-the-fly in-network floating-point arithmetic operations nearly without accuracy loss. NetFC adopts a divide-and-conquer mechanism that converts the original huge table into several much small tables together with some integer operations. NetFC adopts a scaling-factor mechanism for computational accuracy improvement, and a prefix-based lossless table compression method to reduce the memory overhead. We use different types of datasets to evaluate NetFC. The experimental results show that the average accuracy of NetFC can be as high as up to 99.94% at worst with only 448KB memory consumption. Furthermore, we integrate NetFC into Sonata for detecting Slowloris attack, yielding significant decrease of detection delay.</x:v>
      </x:c>
      <x:c r="L351" s="17" t="str">
        <x:v>http://arxiv.org/abs/2106.05467v1</x:v>
      </x:c>
      <x:c r="M351" s="23" t="n">
        <x:v>0.5793815005709496</x:v>
      </x:c>
      <x:c r="N351" s="17" t="str">
        <x:v>qwen3-rerank-no-instruct-20260727-125006-results.jsonl</x:v>
      </x:c>
      <x:c r="O351" s="24" t="str">
        <x:v>2</x:v>
      </x:c>
      <x:c r="P351" s="28" t="str">
        <x:v>浮点支持扩展可编程交换机应用范围。</x:v>
      </x:c>
      <x:c r="Q351" s="25" t="str"/>
      <x:c r="R351" s="24" t="str">
        <x:f>IF(Q351&lt;&gt;"",Q351,O351)</x:f>
        <x:v>2</x:v>
      </x:c>
      <x:c r="S351" s="29" t="str"/>
    </x:row>
    <x:row r="352" ht="54" customHeight="1">
      <x:c r="A352" s="17" t="str">
        <x:v>csq018-r11</x:v>
      </x:c>
      <x:c r="B352" s="17" t="str">
        <x:v>csq018</x:v>
      </x:c>
      <x:c r="C352" s="17" t="str">
        <x:v>systems_and_networking</x:v>
      </x:c>
      <x:c r="D352" s="17" t="str">
        <x:v>programmable_networks</x:v>
      </x:c>
      <x:c r="E352" s="27" t="str">
        <x:v>How have programmable data planes and in-network computing evolved, and which classes of distributed applications have benefited from them?</x:v>
      </x:c>
      <x:c r="F352" s="22" t="n">
        <x:v>11</x:v>
      </x:c>
      <x:c r="G352" s="17" t="str">
        <x:v>arXiv:2110.14224</x:v>
      </x:c>
      <x:c r="H352" s="27" t="str">
        <x:v>SOAR: Minimizing Network Utilization with Bounded In-network Computing</x:v>
      </x:c>
      <x:c r="I352" s="17" t="str">
        <x:v>Raz Segal; Chen Avin; Gabriel Scalosub</x:v>
      </x:c>
      <x:c r="J352" s="22" t="n">
        <x:v>2021</x:v>
      </x:c>
      <x:c r="K352" s="27" t="str">
        <x:v>In-network computing via smart networking devices is a recent trend for modern datacenter networks. State-of-the-art switches with near line rate computing and aggregation capabilities are developed to enable, e.g., acceleration and better utilization for modern applications like big data analytics, and large-scale distributed and federated machine learning. We formulate and study the problem of activating a limited number of in-network computing devices within a network, aiming at reducing the overall network utilization for a given workload. Such limitations on the number of in-network computing elements per workload arise, e.g., in incremental upgrades of network infrastructure, and are also due to requiring specialized middleboxes, or FPGAs, that should support heterogeneous workloads, and multiple tenants. We present an optimal and efficient algorithm for placing such devices in tree networks with arbitrary link rates, and further evaluate our proposed solution in various scenarios and for various tasks. Our results show that having merely a small fraction of network devices support in-network aggregation can lead to a significant reduction in network utilization. Furthermore, we show that various intuitive strategies for performing such placements exhibit significantly inferior performance compared to our solution, for varying workloads, tasks, and link rates.</x:v>
      </x:c>
      <x:c r="L352" s="17" t="str">
        <x:v>http://arxiv.org/abs/2110.14224v1</x:v>
      </x:c>
      <x:c r="M352" s="23" t="n">
        <x:v>0.5736686947876956</x:v>
      </x:c>
      <x:c r="N352" s="17" t="str">
        <x:v>qwen3-rerank-no-instruct-20260727-125006-results.jsonl</x:v>
      </x:c>
      <x:c r="O352" s="24" t="str">
        <x:v>2</x:v>
      </x:c>
      <x:c r="P352" s="28" t="str">
        <x:v>网内计算用于大数据和分布式学习。</x:v>
      </x:c>
      <x:c r="Q352" s="25" t="str"/>
      <x:c r="R352" s="24" t="str">
        <x:f>IF(Q352&lt;&gt;"",Q352,O352)</x:f>
        <x:v>2</x:v>
      </x:c>
      <x:c r="S352" s="29" t="str"/>
    </x:row>
    <x:row r="353" ht="54" customHeight="1">
      <x:c r="A353" s="17" t="str">
        <x:v>csq018-r12</x:v>
      </x:c>
      <x:c r="B353" s="17" t="str">
        <x:v>csq018</x:v>
      </x:c>
      <x:c r="C353" s="17" t="str">
        <x:v>systems_and_networking</x:v>
      </x:c>
      <x:c r="D353" s="17" t="str">
        <x:v>programmable_networks</x:v>
      </x:c>
      <x:c r="E353" s="27" t="str">
        <x:v>How have programmable data planes and in-network computing evolved, and which classes of distributed applications have benefited from them?</x:v>
      </x:c>
      <x:c r="F353" s="22" t="n">
        <x:v>12</x:v>
      </x:c>
      <x:c r="G353" s="17" t="str">
        <x:v>arXiv:2308.11312</x:v>
      </x:c>
      <x:c r="H353" s="27" t="str">
        <x:v>Octopus: A Heterogeneous In-network Computing Accelerator Enabling Deep Learning for network</x:v>
      </x:c>
      <x:c r="I353" s="17" t="str">
        <x:v>Dong Wen; Tao Li; Chenglong Li; Pengye Xia; Hui Yang; Zhigang Sun</x:v>
      </x:c>
      <x:c r="J353" s="22" t="n">
        <x:v>2023</x:v>
      </x:c>
      <x:c r="K353" s="27" t="str">
        <x:v>Deep learning (DL) for network models have achieved excellent performance in the field and are becoming a promising component in future intelligent network system. Programmable in-network computing device has great potential to deploy DL for network models, however, existing device cannot afford to run a DL model. The main challenges of data-plane supporting DL-based network models lie in computing power, task granularity, model generality and feature extracting. To address above problems, we propose Octopus: a heterogeneous in-network computing accelerator enabling DL for network models. A feature extractor is designed for fast and efficient feature extracting. Vector accelerator and systolic array work in a heterogeneous collaborative way, offering low-latency-highthroughput general computing ability for packet-and-flow-based tasks. Octopus also contains on-chip memory fabric for storage and connecting, and Risc-V core for global controlling. The proposed Octopus accelerator design is implemented on FPGA. Functionality and performance of Octopus are validated in several use-cases, achieving performance of 31Mpkt/s feature extracting, 207ns packet-based computing latency, and 90kflow/s flow-based computing throughput.</x:v>
      </x:c>
      <x:c r="L353" s="17" t="str">
        <x:v>http://arxiv.org/abs/2308.11312v1</x:v>
      </x:c>
      <x:c r="M353" s="23" t="n">
        <x:v>0.5698471921143482</x:v>
      </x:c>
      <x:c r="N353" s="17" t="str">
        <x:v>qwen3-rerank-no-instruct-20260727-125006-results.jsonl</x:v>
      </x:c>
      <x:c r="O353" s="24" t="str">
        <x:v>2</x:v>
      </x:c>
      <x:c r="P353" s="28" t="str">
        <x:v>网内加速器使数据平面支持深度学习。</x:v>
      </x:c>
      <x:c r="Q353" s="25" t="str"/>
      <x:c r="R353" s="24" t="str">
        <x:f>IF(Q353&lt;&gt;"",Q353,O353)</x:f>
        <x:v>2</x:v>
      </x:c>
      <x:c r="S353" s="29" t="str"/>
    </x:row>
    <x:row r="354" ht="54" customHeight="1">
      <x:c r="A354" s="17" t="str">
        <x:v>csq018-r13</x:v>
      </x:c>
      <x:c r="B354" s="17" t="str">
        <x:v>csq018</x:v>
      </x:c>
      <x:c r="C354" s="17" t="str">
        <x:v>systems_and_networking</x:v>
      </x:c>
      <x:c r="D354" s="17" t="str">
        <x:v>programmable_networks</x:v>
      </x:c>
      <x:c r="E354" s="27" t="str">
        <x:v>How have programmable data planes and in-network computing evolved, and which classes of distributed applications have benefited from them?</x:v>
      </x:c>
      <x:c r="F354" s="22" t="n">
        <x:v>13</x:v>
      </x:c>
      <x:c r="G354" s="17" t="str">
        <x:v>arXiv:2209.02983</x:v>
      </x:c>
      <x:c r="H354" s="27" t="str">
        <x:v>In-Network Computing With Function as a Service at the Edge</x:v>
      </x:c>
      <x:c r="I354" s="17" t="str">
        <x:v>Claudio Cicconetti; Marco Conti; Andrea Passarella</x:v>
      </x:c>
      <x:c r="J354" s="22" t="n">
        <x:v>2022</x:v>
      </x:c>
      <x:c r="K354" s="27" t="str">
        <x:v>Offloading computation from user devices to nodes with processing capabilities at the edge of the network is a major trend in today's network/service architectures. At the same time, serverless computing has gained a huge traction among the cloud computing technologies and has, thus, promoted the adoption of Function-as-a-Service (FaaS). The latter has some characteristics that make it generally suitable to edge applications, except for its cumbersome support of stateful applications. This work is set to provide a broad view on the options available for supporting stateful FaaS, which are distilled into four reference execution models that differ on where the state resides. While further investigation is needed to advance our understanding of the opportunities offered by in-network computing through stateful FaaS, initial insights are provided by means of a qualitative analysis of the four alternatives and their quantitative comparison in a simulator.</x:v>
      </x:c>
      <x:c r="L354" s="17" t="str">
        <x:v>http://arxiv.org/abs/2209.02983v1</x:v>
      </x:c>
      <x:c r="M354" s="23" t="n">
        <x:v>0.5698077647101091</x:v>
      </x:c>
      <x:c r="N354" s="17" t="str">
        <x:v>qwen3-rerank-no-instruct-20260727-125006-results.jsonl</x:v>
      </x:c>
      <x:c r="O354" s="24" t="str">
        <x:v>2</x:v>
      </x:c>
      <x:c r="P354" s="28" t="str">
        <x:v>研究边缘FaaS形式的网内计算。</x:v>
      </x:c>
      <x:c r="Q354" s="25" t="str"/>
      <x:c r="R354" s="24" t="str">
        <x:f>IF(Q354&lt;&gt;"",Q354,O354)</x:f>
        <x:v>2</x:v>
      </x:c>
      <x:c r="S354" s="29" t="str"/>
    </x:row>
    <x:row r="355" ht="54" customHeight="1">
      <x:c r="A355" s="17" t="str">
        <x:v>csq018-r14</x:v>
      </x:c>
      <x:c r="B355" s="17" t="str">
        <x:v>csq018</x:v>
      </x:c>
      <x:c r="C355" s="17" t="str">
        <x:v>systems_and_networking</x:v>
      </x:c>
      <x:c r="D355" s="17" t="str">
        <x:v>programmable_networks</x:v>
      </x:c>
      <x:c r="E355" s="27" t="str">
        <x:v>How have programmable data planes and in-network computing evolved, and which classes of distributed applications have benefited from them?</x:v>
      </x:c>
      <x:c r="F355" s="22" t="n">
        <x:v>14</x:v>
      </x:c>
      <x:c r="G355" s="17" t="str">
        <x:v>arXiv:2307.08900</x:v>
      </x:c>
      <x:c r="H355" s="27" t="str">
        <x:v>An Architecture for Provisioning In-Network Computing-Enabled Slices for Holographic Applications in Next-Generation Networks</x:v>
      </x:c>
      <x:c r="I355" s="17" t="str">
        <x:v>Fatemeh Aghaaliakbari; Zakaria Ait Hmitti; Marsa Rayani; Manel Gherari; Roch H. Glitho; Halima Elbiaze; Wessam Ajib</x:v>
      </x:c>
      <x:c r="J355" s="22" t="n">
        <x:v>2023</x:v>
      </x:c>
      <x:c r="K355" s="27" t="str">
        <x:v>Applications such as holographic concerts are now emerging. However, their provisioning remains highly challenging. Requirements such as high bandwidth and ultra-low latency are still very challenging for the current network infrastructure. In-network computing (INC) is an emerging paradigm that enables the distribution of computing tasks across the network instead of computing on servers outside the network. It aims at tackling these two challenges. This article advocates the use of the INC paradigm to tackle holographic applications' high bandwidth and low latency challenges instead of the edge computing paradigm that has been used so far. Slicing brings flexibility to next-generation networks by enabling the deployment of applications/verticals with different requirements on the same network infrastructure. We propose an architecture that enables the provisioning of INC-enabled slices for holographic-type application deployment. The architecture is validated through a proof of concept and extensive simulations. Our experimental results show that INC significantly outperforms edge computing when it comes to these two key challenges. In addition, low jitter was maintained to preserve the hologram's stability.</x:v>
      </x:c>
      <x:c r="L355" s="17" t="str">
        <x:v>http://arxiv.org/abs/2307.08900v1</x:v>
      </x:c>
      <x:c r="M355" s="23" t="n">
        <x:v>0.5612078736897871</x:v>
      </x:c>
      <x:c r="N355" s="17" t="str">
        <x:v>qwen3-rerank-no-instruct-20260727-125006-results.jsonl</x:v>
      </x:c>
      <x:c r="O355" s="24" t="str">
        <x:v>2</x:v>
      </x:c>
      <x:c r="P355" s="28" t="str">
        <x:v>网内计算切片服务全息低延迟应用。</x:v>
      </x:c>
      <x:c r="Q355" s="25" t="str"/>
      <x:c r="R355" s="24" t="str">
        <x:f>IF(Q355&lt;&gt;"",Q355,O355)</x:f>
        <x:v>2</x:v>
      </x:c>
      <x:c r="S355" s="29" t="str"/>
    </x:row>
    <x:row r="356" ht="54" customHeight="1">
      <x:c r="A356" s="17" t="str">
        <x:v>csq018-r15</x:v>
      </x:c>
      <x:c r="B356" s="17" t="str">
        <x:v>csq018</x:v>
      </x:c>
      <x:c r="C356" s="17" t="str">
        <x:v>systems_and_networking</x:v>
      </x:c>
      <x:c r="D356" s="17" t="str">
        <x:v>programmable_networks</x:v>
      </x:c>
      <x:c r="E356" s="27" t="str">
        <x:v>How have programmable data planes and in-network computing evolved, and which classes of distributed applications have benefited from them?</x:v>
      </x:c>
      <x:c r="F356" s="22" t="n">
        <x:v>15</x:v>
      </x:c>
      <x:c r="G356" s="17" t="str">
        <x:v>arXiv:2312.00303</x:v>
      </x:c>
      <x:c r="H356" s="27" t="str">
        <x:v>A Review of the In-Network Computing and Its Role in the Edge-Cloud Continuum</x:v>
      </x:c>
      <x:c r="I356" s="17" t="str">
        <x:v>Manel Gherari; Fatemeh Aghaali Akbari; Sama Habibi; Soukaina Ouledsidi Ali; Zakaria Ait Hmitti; Youcef Kardjadja; Muhammad Saqib; Adyson Magalhaes Maia; Marsa Rayani; Ece Gelal Soyak; Halima Elbiaze; Ozgur Ercetin; Yacine Ghamri-Doudane; Roch Glitho; Wessam Ajib</x:v>
      </x:c>
      <x:c r="J356" s="22" t="n">
        <x:v>2023</x:v>
      </x:c>
      <x:c r="K356" s="27" t="str">
        <x:v>Future networks are anticipated to enable exciting applications and industrial services ranging from Multisensory Extended Reality to Holographic and Haptic communication. These services are accompanied by high bandwidth requirements and/or require low latency and low reliability, which leads to the need for scarce and expensive resources. Cloud and edge computing offer different functionalities to these applications that require communication, computing, and caching (3C) resources working collectively. Hence, a paradigm shift is necessary to enable the joint management of the 3Cs in the edge-cloud continuum. We argue that In-Network Computing (INC) is the missing element that completes the edge-cloud continuum. This paper provides a detailed analysis of the driving use-cases, explores the synergy between INC and 3C, and emphasizes the crucial role of INC. A discussion on the opportunities and challenges posed by INC is held from various perspectives, including hardware implementation, architectural design, and regulatory and commercial aspects.</x:v>
      </x:c>
      <x:c r="L356" s="17" t="str">
        <x:v>http://arxiv.org/abs/2312.00303v1</x:v>
      </x:c>
      <x:c r="M356" s="23" t="n">
        <x:v>0.5412687071511891</x:v>
      </x:c>
      <x:c r="N356" s="17" t="str">
        <x:v>qwen3-rerank-no-instruct-20260727-125006-results.jsonl</x:v>
      </x:c>
      <x:c r="O356" s="24" t="str">
        <x:v>2</x:v>
      </x:c>
      <x:c r="P356" s="28" t="str">
        <x:v>综述网内计算在云边连续体中的角色。</x:v>
      </x:c>
      <x:c r="Q356" s="25" t="str"/>
      <x:c r="R356" s="24" t="str">
        <x:f>IF(Q356&lt;&gt;"",Q356,O356)</x:f>
        <x:v>2</x:v>
      </x:c>
      <x:c r="S356" s="29" t="str"/>
    </x:row>
    <x:row r="357" ht="54" customHeight="1">
      <x:c r="A357" s="17" t="str">
        <x:v>csq018-r16</x:v>
      </x:c>
      <x:c r="B357" s="17" t="str">
        <x:v>csq018</x:v>
      </x:c>
      <x:c r="C357" s="17" t="str">
        <x:v>systems_and_networking</x:v>
      </x:c>
      <x:c r="D357" s="17" t="str">
        <x:v>programmable_networks</x:v>
      </x:c>
      <x:c r="E357" s="27" t="str">
        <x:v>How have programmable data planes and in-network computing evolved, and which classes of distributed applications have benefited from them?</x:v>
      </x:c>
      <x:c r="F357" s="22" t="n">
        <x:v>16</x:v>
      </x:c>
      <x:c r="G357" s="17" t="str">
        <x:v>arXiv:1912.10643</x:v>
      </x:c>
      <x:c r="H357" s="27" t="str">
        <x:v>Jupiter: A Networked Computing Architecture</x:v>
      </x:c>
      <x:c r="I357" s="17" t="str">
        <x:v>Pradipta Ghosh; Quynh Nguyen; Pranav K Sakulkar; Aleksandra Knezevic; Jason A. Tran; Jiatong Wang; Zhifeng Lin; Bhaskar Krishnamachari; Murali Annavaram; Salman Avestimehr</x:v>
      </x:c>
      <x:c r="J357" s="22" t="n">
        <x:v>2019</x:v>
      </x:c>
      <x:c r="K357" s="27" t="str">
        <x:v>In the era of Internet of Things, there is an increasing demand for networked computing to support the requirements of the time-constrained, compute-intensive distributed applications such as multi-camera video processing and data fusion for security. We present Jupiter, an open source networked computing system that inputs a Directed Acyclic Graph (DAG)-based computational task graph to efficiently distribute the tasks among a set of networked compute nodes regardless of their geographical separations and orchestrates the execution of the DAG thereafter. This Kubernetes container-orchestration-based system supports both centralized and decentralized scheduling algorithms for optimally mapping the tasks based on information from a range of profilers: network profilers, resource profilers, and execution time profilers. While centralized scheduling algorithms with global knowledge have been popular among the grid/cloud computing community, we argue that a distributed scheduling approach is better suited for networked computing due to lower communication and computation overhead in the face of network dynamics. To this end, we propose and implement a new class of distributed scheduling algorithms called WAVE on the Jupiter system. We present a set of real world experiments on two separate testbeds - one a world-wide network of 90 cloud computers across 8 cities and the other a cluster of 30 Raspberry pi nodes, over a simple networked computing application called Distributed Network Anomaly Detector (DNAD). We show that despite using more localized knowledge, a distributed WAVE greedy algorithm can achieve similar performance as a classical centralized scheduling algorithm called Heterogeneous Earliest Finish Time (HEFT), suitably enhanced for the Jupiter system.</x:v>
      </x:c>
      <x:c r="L357" s="17" t="str">
        <x:v>http://arxiv.org/abs/1912.10643v1</x:v>
      </x:c>
      <x:c r="M357" s="23" t="n">
        <x:v>0.4901191639835443</x:v>
      </x:c>
      <x:c r="N357" s="17" t="str">
        <x:v>qwen3-rerank-no-instruct-20260727-125006-results.jsonl</x:v>
      </x:c>
      <x:c r="O357" s="24" t="str">
        <x:v>0</x:v>
      </x:c>
      <x:c r="P357" s="28" t="str">
        <x:v>任务运行于网络化计算节点，并非数据平面内计算。</x:v>
      </x:c>
      <x:c r="Q357" s="25" t="str"/>
      <x:c r="R357" s="24" t="str">
        <x:f>IF(Q357&lt;&gt;"",Q357,O357)</x:f>
        <x:v>0</x:v>
      </x:c>
      <x:c r="S357" s="29" t="str"/>
    </x:row>
    <x:row r="358" ht="54" customHeight="1">
      <x:c r="A358" s="17" t="str">
        <x:v>csq018-r17</x:v>
      </x:c>
      <x:c r="B358" s="17" t="str">
        <x:v>csq018</x:v>
      </x:c>
      <x:c r="C358" s="17" t="str">
        <x:v>systems_and_networking</x:v>
      </x:c>
      <x:c r="D358" s="17" t="str">
        <x:v>programmable_networks</x:v>
      </x:c>
      <x:c r="E358" s="27" t="str">
        <x:v>How have programmable data planes and in-network computing evolved, and which classes of distributed applications have benefited from them?</x:v>
      </x:c>
      <x:c r="F358" s="22" t="n">
        <x:v>17</x:v>
      </x:c>
      <x:c r="G358" s="17" t="str">
        <x:v>arXiv:2102.00647</x:v>
      </x:c>
      <x:c r="H358" s="27" t="str">
        <x:v>Intelligent Network Layer for Cyber-Physical Systems Security</x:v>
      </x:c>
      <x:c r="I358" s="17" t="str">
        <x:v>Raj Chaganti; Deepti Gupta; Naga Vemprala</x:v>
      </x:c>
      <x:c r="J358" s="22" t="n">
        <x:v>2021</x:v>
      </x:c>
      <x:c r="K358" s="27" t="str">
        <x:v>Cyber-Physical System (CPS) has made a tremendous progress in recent years and also disrupted many technical fields such as smart industries, smart health, smart transportation etc. to flourish the nations economy. However, CPS Security is still one of the concerns for wide adoption owing to high number of devices connecting to the internet and the traditional security solutions may not be suitable to protect the advanced, application specific attacks. This paper presents a programmable device network layer architecture to combat attacks and efficient network monitoring in heterogeneous environment CPS applications. We leverage Industrial control systems (ICS) to discuss the existing issues, highlighting the importance of advanced network layer for CPS. The programmable data plane language (P4) is introduced to detect well known HELLO Flood attack with minimal efforts in the network level and also used to featuring the potential solutions for security.</x:v>
      </x:c>
      <x:c r="L358" s="17" t="str">
        <x:v>http://arxiv.org/abs/2102.00647v1</x:v>
      </x:c>
      <x:c r="M358" s="23" t="n">
        <x:v>0.48588247837479936</x:v>
      </x:c>
      <x:c r="N358" s="17" t="str">
        <x:v>qwen3-rerank-no-instruct-20260727-125006-results.jsonl</x:v>
      </x:c>
      <x:c r="O358" s="24" t="str">
        <x:v>2</x:v>
      </x:c>
      <x:c r="P358" s="28" t="str">
        <x:v>P4数据平面用于CPS攻击检测。</x:v>
      </x:c>
      <x:c r="Q358" s="25" t="str"/>
      <x:c r="R358" s="24" t="str">
        <x:f>IF(Q358&lt;&gt;"",Q358,O358)</x:f>
        <x:v>2</x:v>
      </x:c>
      <x:c r="S358" s="29" t="str"/>
    </x:row>
    <x:row r="359" ht="54" customHeight="1">
      <x:c r="A359" s="17" t="str">
        <x:v>csq018-r18</x:v>
      </x:c>
      <x:c r="B359" s="17" t="str">
        <x:v>csq018</x:v>
      </x:c>
      <x:c r="C359" s="17" t="str">
        <x:v>systems_and_networking</x:v>
      </x:c>
      <x:c r="D359" s="17" t="str">
        <x:v>programmable_networks</x:v>
      </x:c>
      <x:c r="E359" s="27" t="str">
        <x:v>How have programmable data planes and in-network computing evolved, and which classes of distributed applications have benefited from them?</x:v>
      </x:c>
      <x:c r="F359" s="22" t="n">
        <x:v>18</x:v>
      </x:c>
      <x:c r="G359" s="17" t="str">
        <x:v>arXiv:2505.11231</x:v>
      </x:c>
      <x:c r="H359" s="27" t="str">
        <x:v>MM-INT: Telemetry in Programmable Switches with Multiple Queues using Source-based Multipath Routing</x:v>
      </x:c>
      <x:c r="I359" s="17" t="str">
        <x:v>Mateus N. Bragatto; João Paulo M. Clevelares; Cristina K. Dominicini; Rodolfo S. Villaça; Fábio L. Verdi</x:v>
      </x:c>
      <x:c r="J359" s="22" t="n">
        <x:v>2025</x:v>
      </x:c>
      <x:c r="K359" s="27" t="str">
        <x:v>This article emphasizes the importance of queues associated with the ports of switches in network monitoring. Traditionally, data collection about these queues is done using programmable data planes and telemetry based on INT (In-band Network Telemetry) probes, assuming there is only a single queue per output port. The MM-INT (Multiqueue Multicast - INT) is a solution that utilizes registers to store data from all queues and ports, enabling the efficient collection of monitoring information. The MM-INT avoids probe overload and employs the origin-based routing mechanism and multicast trees for the probes. The results demonstrate significant reductions in the number of probes sent compared to other traditional solutions found in the literature.</x:v>
      </x:c>
      <x:c r="L359" s="17" t="str">
        <x:v>http://arxiv.org/abs/2505.11231v1</x:v>
      </x:c>
      <x:c r="M359" s="23" t="n">
        <x:v>0.4832009771748875</x:v>
      </x:c>
      <x:c r="N359" s="17" t="str">
        <x:v>qwen3-rerank-no-instruct-20260727-125006-results.jsonl</x:v>
      </x:c>
      <x:c r="O359" s="24" t="str">
        <x:v>2</x:v>
      </x:c>
      <x:c r="P359" s="28" t="str">
        <x:v>在可编程交换机实现多队列带内遥测。</x:v>
      </x:c>
      <x:c r="Q359" s="25" t="str"/>
      <x:c r="R359" s="24" t="str">
        <x:f>IF(Q359&lt;&gt;"",Q359,O359)</x:f>
        <x:v>2</x:v>
      </x:c>
      <x:c r="S359" s="29" t="str"/>
    </x:row>
    <x:row r="360" ht="54" customHeight="1">
      <x:c r="A360" s="17" t="str">
        <x:v>csq018-r19</x:v>
      </x:c>
      <x:c r="B360" s="17" t="str">
        <x:v>csq018</x:v>
      </x:c>
      <x:c r="C360" s="17" t="str">
        <x:v>systems_and_networking</x:v>
      </x:c>
      <x:c r="D360" s="17" t="str">
        <x:v>programmable_networks</x:v>
      </x:c>
      <x:c r="E360" s="27" t="str">
        <x:v>How have programmable data planes and in-network computing evolved, and which classes of distributed applications have benefited from them?</x:v>
      </x:c>
      <x:c r="F360" s="22" t="n">
        <x:v>19</x:v>
      </x:c>
      <x:c r="G360" s="17" t="str">
        <x:v>arXiv:2010.03536</x:v>
      </x:c>
      <x:c r="H360" s="27" t="str">
        <x:v>PsPIN: A high-performance low-power architecture for flexible in-network compute</x:v>
      </x:c>
      <x:c r="I360" s="17" t="str">
        <x:v>Salvatore Di Girolamo; Andreas Kurth; Alexandru Calotoiu; Thomas Benz; Timo Schneider; Jakub Beránek; Luca Benini; Torsten Hoefler</x:v>
      </x:c>
      <x:c r="J360" s="22" t="n">
        <x:v>2020</x:v>
      </x:c>
      <x:c r="K360" s="27" t="str">
        <x:v>The capacity of offloading data and control tasks to the network is becoming increasingly important, especially if we consider the faster growth of network speed when compared to CPU frequencies. In-network compute alleviates the host CPU load by running tasks directly in the network, enabling additional computation/communication overlap and potentially improving overall application performance. However, sustaining bandwidths provided by next-generation networks, e.g., 400 Gbit/s, can become a challenge. sPIN is a programming model for in-NIC compute, where users specify handler functions that are executed on the NIC, for each incoming packet belonging to a given message or flow. It enables a CUDA-like acceleration, where the NIC is equipped with lightweight processing elements that process network packets in parallel. We investigate the architectural specialties that a sPIN NIC should provide to enable high-performance, low-power, and flexible packet processing. We introduce PsPIN, a first open-source sPIN implementation, based on a multi-cluster RISC-V architecture and designed according to the identified architectural specialties. We investigate the performance of PsPIN with cycle-accurate simulations, showing that it can process packets at 400 Gbit/s for several use cases, introducing minimal latencies (26 ns for 64 B packets) and occupying a total area of 18.5 mm 2 (22 nm FDSOI).</x:v>
      </x:c>
      <x:c r="L360" s="17" t="str">
        <x:v>http://arxiv.org/abs/2010.03536v3</x:v>
      </x:c>
      <x:c r="M360" s="23" t="n">
        <x:v>0.445780607632917</x:v>
      </x:c>
      <x:c r="N360" s="17" t="str">
        <x:v>qwen3-rerank-no-instruct-20260727-125006-results.jsonl</x:v>
      </x:c>
      <x:c r="O360" s="24" t="str">
        <x:v>2</x:v>
      </x:c>
      <x:c r="P360" s="28" t="str">
        <x:v>提出高性能低功耗灵活网内计算架构。</x:v>
      </x:c>
      <x:c r="Q360" s="25" t="str"/>
      <x:c r="R360" s="24" t="str">
        <x:f>IF(Q360&lt;&gt;"",Q360,O360)</x:f>
        <x:v>2</x:v>
      </x:c>
      <x:c r="S360" s="29" t="str"/>
    </x:row>
    <x:row r="361" ht="54" customHeight="1">
      <x:c r="A361" s="17" t="str">
        <x:v>csq018-r20</x:v>
      </x:c>
      <x:c r="B361" s="17" t="str">
        <x:v>csq018</x:v>
      </x:c>
      <x:c r="C361" s="17" t="str">
        <x:v>systems_and_networking</x:v>
      </x:c>
      <x:c r="D361" s="17" t="str">
        <x:v>programmable_networks</x:v>
      </x:c>
      <x:c r="E361" s="27" t="str">
        <x:v>How have programmable data planes and in-network computing evolved, and which classes of distributed applications have benefited from them?</x:v>
      </x:c>
      <x:c r="F361" s="22" t="n">
        <x:v>20</x:v>
      </x:c>
      <x:c r="G361" s="17" t="str">
        <x:v>arXiv:2204.14138</x:v>
      </x:c>
      <x:c r="H361" s="27" t="str">
        <x:v>FRANCIS: Fast Reaction Algorithms for Network Coordination In Switches</x:v>
      </x:c>
      <x:c r="I361" s="17" t="str">
        <x:v>Wenchen Han; Vic Feng; Gregory Schwartzman; Yuliang Li; Michael Mitzenmacher; Minlan Yu; Ran Ben-Basat</x:v>
      </x:c>
      <x:c r="J361" s="22" t="n">
        <x:v>2022</x:v>
      </x:c>
      <x:c r="K361" s="27" t="str">
        <x:v>Optimizing the reaction to network events, which is critical in tasks such as clock synchronization, multicast, and routing, becomes increasingly challenging as networks grow larger. To improve the reaction time compared to centralized solutions, the theory community has made significant progress in the design of message-passing algorithms that leverage all nodes for distributed computation, and the advent of programmable switches makes it now possible to materialize them. We propose FRANCIS, a framework and associated libraries for running message-passing algorithms on programmable switches. It features primitives that allow easy integration of such algorithms for quickly reacting to network events while optimizing resource consumption. We use FRANCIS to implement event reaction solutions that improve clock synchronization, source-routed multicast, and routing and demonstrate up to 18x reduction in reaction time.</x:v>
      </x:c>
      <x:c r="L361" s="17" t="str">
        <x:v>http://arxiv.org/abs/2204.14138v2</x:v>
      </x:c>
      <x:c r="M361" s="23" t="n">
        <x:v>0.4424115404140573</x:v>
      </x:c>
      <x:c r="N361" s="17" t="str">
        <x:v>qwen3-rerank-no-instruct-20260727-125006-results.jsonl</x:v>
      </x:c>
      <x:c r="O361" s="24" t="str">
        <x:v>2</x:v>
      </x:c>
      <x:c r="P361" s="28" t="str">
        <x:v>在交换机内运行网络协调算法。</x:v>
      </x:c>
      <x:c r="Q361" s="25" t="str"/>
      <x:c r="R361" s="24" t="str">
        <x:f>IF(Q361&lt;&gt;"",Q361,O361)</x:f>
        <x:v>2</x:v>
      </x:c>
      <x:c r="S361" s="29" t="str"/>
    </x:row>
    <x:row r="362" ht="54" customHeight="1">
      <x:c r="A362" s="17" t="str">
        <x:v>csq019-r01</x:v>
      </x:c>
      <x:c r="B362" s="17" t="str">
        <x:v>csq019</x:v>
      </x:c>
      <x:c r="C362" s="17" t="str">
        <x:v>security_and_privacy</x:v>
      </x:c>
      <x:c r="D362" s="17" t="str">
        <x:v>differential_privacy</x:v>
      </x:c>
      <x:c r="E362" s="27" t="str">
        <x:v>What methods are used for training deep learning models with differential privacy, and how do they manage the privacy-utility-computation trade-off?</x:v>
      </x:c>
      <x:c r="F362" s="22" t="n">
        <x:v>1</x:v>
      </x:c>
      <x:c r="G362" s="17" t="str">
        <x:v>arXiv:2409.03344</x:v>
      </x:c>
      <x:c r="H362" s="27" t="str">
        <x:v>Revisiting Privacy-Utility Trade-off for DP Training with Pre-existing Knowledge</x:v>
      </x:c>
      <x:c r="I362" s="17" t="str">
        <x:v>Yu Zheng; Wenchao Zhang; Yonggang Zhang; Yuxiang Peng; Wei Song; Kai Zhou; Xiaojiang Du; Bo Han</x:v>
      </x:c>
      <x:c r="J362" s="22" t="n">
        <x:v>2024</x:v>
      </x:c>
      <x:c r="K362" s="27" t="str">
        <x:v>Differential privacy (DP) provides a provable framework for protecting individuals by customizing a random mechanism over a privacy-sensitive dataset. Deep learning models have demonstrated privacy risks in model exposure as an established learning model unintentionally records membership-level privacy leakage. Differentially private stochastic gradient descent (DP-SGD) has been proposed to safeguard training individuals by adding random Gaussian noise to gradient updates in the backpropagation. Researchers identify that DP-SGD causes utility loss since the injected homogeneous noise can alter the gradient updates calculated at each iteration. Namely, all elements in the gradient are contaminated regardless of their importance in updating model parameters. In this work, we argue that the utility can be optimized by involving the heterogeneity of the the injected noise. Consequently, we propose a generic differential privacy framework with heterogeneous noise (DP-Hero) by defining a heterogeneous random mechanism to abstract its property. The insight of DP-Hero is to leverage the knowledge encoded in the previously trained model to guide the subsequent allocation of noise heterogeneity, thereby leveraging the statistical perturbation and achieving enhanced utility. Atop DP-Hero, we instantiate a heterogeneous version of DP-SGD, and further extend it to federated training. We conduct comprehensive experiments to verify and explain the effectiveness of the proposed DP-Hero, showing improved training accuracy compared with state-of-the-art works. Broadly, we shed light on improving the privacy-utility space by learning the noise guidance from the pre-existing leaked knowledge encoded in the previously trained model, showing a different perspective of understanding the utility-improved DP training.</x:v>
      </x:c>
      <x:c r="L362" s="17" t="str">
        <x:v>http://arxiv.org/abs/2409.03344v3</x:v>
      </x:c>
      <x:c r="M362" s="23" t="n">
        <x:v>0.936622702350246</x:v>
      </x:c>
      <x:c r="N362" s="17" t="str">
        <x:v>qwen3-rerank-no-instruct-20260727-125006-results.jsonl</x:v>
      </x:c>
      <x:c r="O362" s="24" t="str">
        <x:v>2</x:v>
      </x:c>
      <x:c r="P362" s="28" t="str">
        <x:v>改进DP-SGD噪声策略以缓解效用损失。</x:v>
      </x:c>
      <x:c r="Q362" s="25" t="str"/>
      <x:c r="R362" s="24" t="str">
        <x:f>IF(Q362&lt;&gt;"",Q362,O362)</x:f>
        <x:v>2</x:v>
      </x:c>
      <x:c r="S362" s="29" t="str"/>
    </x:row>
    <x:row r="363" ht="54" customHeight="1">
      <x:c r="A363" s="17" t="str">
        <x:v>csq019-r02</x:v>
      </x:c>
      <x:c r="B363" s="17" t="str">
        <x:v>csq019</x:v>
      </x:c>
      <x:c r="C363" s="17" t="str">
        <x:v>security_and_privacy</x:v>
      </x:c>
      <x:c r="D363" s="17" t="str">
        <x:v>differential_privacy</x:v>
      </x:c>
      <x:c r="E363" s="27" t="str">
        <x:v>What methods are used for training deep learning models with differential privacy, and how do they manage the privacy-utility-computation trade-off?</x:v>
      </x:c>
      <x:c r="F363" s="22" t="n">
        <x:v>2</x:v>
      </x:c>
      <x:c r="G363" s="17" t="str">
        <x:v>arXiv:2007.11524</x:v>
      </x:c>
      <x:c r="H363" s="27" t="str">
        <x:v>Improving Deep Learning with Differential Privacy using Gradient Encoding and Denoising</x:v>
      </x:c>
      <x:c r="I363" s="17" t="str">
        <x:v>Milad Nasr; Reza Shokri; Amir houmansadr</x:v>
      </x:c>
      <x:c r="J363" s="22" t="n">
        <x:v>2020</x:v>
      </x:c>
      <x:c r="K363" s="27" t="str">
        <x:v>Deep learning models leak significant amounts of information about their training datasets. Previous work has investigated training models with differential privacy (DP) guarantees through adding DP noise to the gradients. However, such solutions (specifically, DPSGD), result in large degradations in the accuracy of the trained models. In this paper, we aim at training deep learning models with DP guarantees while preserving model accuracy much better than previous works. Our key technique is to encode gradients to map them to a smaller vector space, therefore enabling us to obtain DP guarantees for different noise distributions. This allows us to investigate and choose noise distributions that best preserve model accuracy for a target privacy budget. We also take advantage of the post-processing property of differential privacy by introducing the idea of denoising, which further improves the utility of the trained models without degrading their DP guarantees. We show that our mechanism outperforms the state-of-the-art DPSGD; for instance, for the same model accuracy of $96.1\%$ on MNIST, our technique results in a privacy bound of $ε=3.2$ compared to $ε=6$ of DPSGD, which is a significant improvement.</x:v>
      </x:c>
      <x:c r="L363" s="17" t="str">
        <x:v>http://arxiv.org/abs/2007.11524v1</x:v>
      </x:c>
      <x:c r="M363" s="23" t="n">
        <x:v>0.9172482584986046</x:v>
      </x:c>
      <x:c r="N363" s="17" t="str">
        <x:v>qwen3-rerank-no-instruct-20260727-125006-results.jsonl</x:v>
      </x:c>
      <x:c r="O363" s="24" t="str">
        <x:v>2</x:v>
      </x:c>
      <x:c r="P363" s="28" t="str">
        <x:v>梯度编码和去噪改善DP训练准确率。</x:v>
      </x:c>
      <x:c r="Q363" s="25" t="str"/>
      <x:c r="R363" s="24" t="str">
        <x:f>IF(Q363&lt;&gt;"",Q363,O363)</x:f>
        <x:v>2</x:v>
      </x:c>
      <x:c r="S363" s="29" t="str"/>
    </x:row>
    <x:row r="364" ht="54" customHeight="1">
      <x:c r="A364" s="17" t="str">
        <x:v>csq019-r03</x:v>
      </x:c>
      <x:c r="B364" s="17" t="str">
        <x:v>csq019</x:v>
      </x:c>
      <x:c r="C364" s="17" t="str">
        <x:v>security_and_privacy</x:v>
      </x:c>
      <x:c r="D364" s="17" t="str">
        <x:v>differential_privacy</x:v>
      </x:c>
      <x:c r="E364" s="27" t="str">
        <x:v>What methods are used for training deep learning models with differential privacy, and how do they manage the privacy-utility-computation trade-off?</x:v>
      </x:c>
      <x:c r="F364" s="22" t="n">
        <x:v>3</x:v>
      </x:c>
      <x:c r="G364" s="17" t="str">
        <x:v>arXiv:1905.10862</x:v>
      </x:c>
      <x:c r="H364" s="27" t="str">
        <x:v>Automatic Discovery of Privacy-Utility Pareto Fronts</x:v>
      </x:c>
      <x:c r="I364" s="17" t="str">
        <x:v>Brendan Avent; Javier Gonzalez; Tom Diethe; Andrei Paleyes; Borja Balle</x:v>
      </x:c>
      <x:c r="J364" s="22" t="n">
        <x:v>2019</x:v>
      </x:c>
      <x:c r="K364" s="27" t="str">
        <x:v>Differential privacy is a mathematical framework for privacy-preserving data analysis. Changing the hyperparameters of a differentially private algorithm allows one to trade off privacy and utility in a principled way. Quantifying this trade-off in advance is essential to decision-makers tasked with deciding how much privacy can be provided in a particular application while maintaining acceptable utility. Analytical utility guarantees offer a rigorous tool to reason about this trade-off, but are generally only available for relatively simple problems. For more complex tasks, such as training neural networks under differential privacy, the utility achieved by a given algorithm can only be measured empirically. This paper presents a Bayesian optimization methodology for efficiently characterizing the privacy--utility trade-off of any differentially private algorithm using only empirical measurements of its utility. The versatility of our method is illustrated on a number of machine learning tasks involving multiple models, optimizers, and datasets.</x:v>
      </x:c>
      <x:c r="L364" s="17" t="str">
        <x:v>http://arxiv.org/abs/1905.10862v4</x:v>
      </x:c>
      <x:c r="M364" s="23" t="n">
        <x:v>0.874870775253771</x:v>
      </x:c>
      <x:c r="N364" s="17" t="str">
        <x:v>qwen3-rerank-no-instruct-20260727-125006-results.jsonl</x:v>
      </x:c>
      <x:c r="O364" s="24" t="str">
        <x:v>1</x:v>
      </x:c>
      <x:c r="P364" s="28" t="str">
        <x:v>自动发现一般DP算法隐私效用前沿，可作方法背景。</x:v>
      </x:c>
      <x:c r="Q364" s="25" t="str"/>
      <x:c r="R364" s="24" t="str">
        <x:f>IF(Q364&lt;&gt;"",Q364,O364)</x:f>
        <x:v>1</x:v>
      </x:c>
      <x:c r="S364" s="29" t="str"/>
    </x:row>
    <x:row r="365" ht="54" customHeight="1">
      <x:c r="A365" s="17" t="str">
        <x:v>csq019-r04</x:v>
      </x:c>
      <x:c r="B365" s="17" t="str">
        <x:v>csq019</x:v>
      </x:c>
      <x:c r="C365" s="17" t="str">
        <x:v>security_and_privacy</x:v>
      </x:c>
      <x:c r="D365" s="17" t="str">
        <x:v>differential_privacy</x:v>
      </x:c>
      <x:c r="E365" s="27" t="str">
        <x:v>What methods are used for training deep learning models with differential privacy, and how do they manage the privacy-utility-computation trade-off?</x:v>
      </x:c>
      <x:c r="F365" s="22" t="n">
        <x:v>4</x:v>
      </x:c>
      <x:c r="G365" s="17" t="str">
        <x:v>arXiv:2305.18465</x:v>
      </x:c>
      <x:c r="H365" s="27" t="str">
        <x:v>Federated Learning of Gboard Language Models with Differential Privacy</x:v>
      </x:c>
      <x:c r="I365" s="17" t="str">
        <x:v>Zheng Xu; Yanxiang Zhang; Galen Andrew; Christopher A. Choquette-Choo; Peter Kairouz; H. Brendan McMahan; Jesse Rosenstock; Yuanbo Zhang</x:v>
      </x:c>
      <x:c r="J365" s="22" t="n">
        <x:v>2023</x:v>
      </x:c>
      <x:c r="K365" s="27" t="str">
        <x:v>We train language models (LMs) with federated learning (FL) and differential privacy (DP) in the Google Keyboard (Gboard). We apply the DP-Follow-the-Regularized-Leader (DP-FTRL)~\citep{kairouz21b} algorithm to achieve meaningfully formal DP guarantees without requiring uniform sampling of client devices. To provide favorable privacy-utility trade-offs, we introduce a new client participation criterion and discuss the implication of its configuration in large scale systems. We show how quantile-based clip estimation~\citep{andrew2019differentially} can be combined with DP-FTRL to adaptively choose the clip norm during training or reduce the hyperparameter tuning in preparation for training. With the help of pretraining on public data, we train and deploy more than twenty Gboard LMs that achieve high utility and $ρ-$zCDP privacy guarantees with $ρ\in (0.2, 2)$, with two models additionally trained with secure aggregation~\citep{bonawitz2017practical}. We are happy to announce that all the next word prediction neural network LMs in Gboard now have DP guarantees, and all future launches of Gboard neural network LMs will require DP guarantees. We summarize our experience and provide concrete suggestions on DP training for practitioners.</x:v>
      </x:c>
      <x:c r="L365" s="17" t="str">
        <x:v>http://arxiv.org/abs/2305.18465v2</x:v>
      </x:c>
      <x:c r="M365" s="23" t="n">
        <x:v>0.8716312491546667</x:v>
      </x:c>
      <x:c r="N365" s="17" t="str">
        <x:v>qwen3-rerank-no-instruct-20260727-125006-results.jsonl</x:v>
      </x:c>
      <x:c r="O365" s="24" t="str">
        <x:v>2</x:v>
      </x:c>
      <x:c r="P365" s="28" t="str">
        <x:v>联邦语言模型DP训练及隐私效用权衡。</x:v>
      </x:c>
      <x:c r="Q365" s="25" t="str"/>
      <x:c r="R365" s="24" t="str">
        <x:f>IF(Q365&lt;&gt;"",Q365,O365)</x:f>
        <x:v>2</x:v>
      </x:c>
      <x:c r="S365" s="29" t="str"/>
    </x:row>
    <x:row r="366" ht="54" customHeight="1">
      <x:c r="A366" s="17" t="str">
        <x:v>csq019-r05</x:v>
      </x:c>
      <x:c r="B366" s="17" t="str">
        <x:v>csq019</x:v>
      </x:c>
      <x:c r="C366" s="17" t="str">
        <x:v>security_and_privacy</x:v>
      </x:c>
      <x:c r="D366" s="17" t="str">
        <x:v>differential_privacy</x:v>
      </x:c>
      <x:c r="E366" s="27" t="str">
        <x:v>What methods are used for training deep learning models with differential privacy, and how do they manage the privacy-utility-computation trade-off?</x:v>
      </x:c>
      <x:c r="F366" s="22" t="n">
        <x:v>5</x:v>
      </x:c>
      <x:c r="G366" s="17" t="str">
        <x:v>arXiv:2208.08662</x:v>
      </x:c>
      <x:c r="H366" s="27" t="str">
        <x:v>Private, Efficient, and Accurate: Protecting Models Trained by Multi-party Learning with Differential Privacy</x:v>
      </x:c>
      <x:c r="I366" s="17" t="str">
        <x:v>Wenqiang Ruan; Mingxin Xu; Wenjing Fang; Li Wang; Lei Wang; Weili Han</x:v>
      </x:c>
      <x:c r="J366" s="22" t="n">
        <x:v>2022</x:v>
      </x:c>
      <x:c r="K366" s="27" t="str">
        <x:v>Secure multi-party computation-based machine learning, referred to as MPL, has become an important technology to utilize data from multiple parties with privacy preservation. While MPL provides rigorous security guarantees for the computation process, the models trained by MPL are still vulnerable to attacks that solely depend on access to the models. Differential privacy could help to defend against such attacks. However, the accuracy loss brought by differential privacy and the huge communication overhead of secure multi-party computation protocols make it highly challenging to balance the 3-way trade-off between privacy, efficiency, and accuracy. In this paper, we are motivated to resolve the above issue by proposing a solution, referred to as PEA (Private, Efficient, Accurate), which consists of a secure DPSGD protocol and two optimization methods. First, we propose a secure DPSGD protocol to enforce DPSGD in secret sharing-based MPL frameworks. Second, to reduce the accuracy loss led by differential privacy noise and the huge communication overhead of MPL, we propose two optimization methods for the training process of MPL: (1) the data-independent feature extraction method, which aims to simplify the trained model structure; (2) the local data-based global model initialization method, which aims to speed up the convergence of the model training. We implement PEA in two open-source MPL frameworks: TF-Encrypted and Queqiao. The experimental results on various datasets demonstrate the efficiency and effectiveness of PEA. E.g. when $ε$ = 2, we can train a differentially private classification model with an accuracy of 88% for CIFAR-10 within 7 minutes under the LAN setting. This result significantly outperforms the one from CryptGPU, one SOTA MPL framework: it costs more than 16 hours to train a non-private deep neural network model on CIFAR-10 with the same accuracy.</x:v>
      </x:c>
      <x:c r="L366" s="17" t="str">
        <x:v>http://arxiv.org/abs/2208.08662v1</x:v>
      </x:c>
      <x:c r="M366" s="23" t="n">
        <x:v>0.8599612594385648</x:v>
      </x:c>
      <x:c r="N366" s="17" t="str">
        <x:v>qwen3-rerank-no-instruct-20260727-125006-results.jsonl</x:v>
      </x:c>
      <x:c r="O366" s="24" t="str">
        <x:v>2</x:v>
      </x:c>
      <x:c r="P366" s="28" t="str">
        <x:v>权衡多方学习隐私、准确率和通信效率。</x:v>
      </x:c>
      <x:c r="Q366" s="25" t="str"/>
      <x:c r="R366" s="24" t="str">
        <x:f>IF(Q366&lt;&gt;"",Q366,O366)</x:f>
        <x:v>2</x:v>
      </x:c>
      <x:c r="S366" s="29" t="str"/>
    </x:row>
    <x:row r="367" ht="54" customHeight="1">
      <x:c r="A367" s="17" t="str">
        <x:v>csq019-r06</x:v>
      </x:c>
      <x:c r="B367" s="17" t="str">
        <x:v>csq019</x:v>
      </x:c>
      <x:c r="C367" s="17" t="str">
        <x:v>security_and_privacy</x:v>
      </x:c>
      <x:c r="D367" s="17" t="str">
        <x:v>differential_privacy</x:v>
      </x:c>
      <x:c r="E367" s="27" t="str">
        <x:v>What methods are used for training deep learning models with differential privacy, and how do they manage the privacy-utility-computation trade-off?</x:v>
      </x:c>
      <x:c r="F367" s="22" t="n">
        <x:v>6</x:v>
      </x:c>
      <x:c r="G367" s="17" t="str">
        <x:v>arXiv:2007.14191</x:v>
      </x:c>
      <x:c r="H367" s="27" t="str">
        <x:v>Tempered Sigmoid Activations for Deep Learning with Differential Privacy</x:v>
      </x:c>
      <x:c r="I367" s="17" t="str">
        <x:v>Nicolas Papernot; Abhradeep Thakurta; Shuang Song; Steve Chien; Úlfar Erlingsson</x:v>
      </x:c>
      <x:c r="J367" s="22" t="n">
        <x:v>2020</x:v>
      </x:c>
      <x:c r="K367" s="27" t="str">
        <x:v>Because learning sometimes involves sensitive data, machine learning algorithms have been extended to offer privacy for training data. In practice, this has been mostly an afterthought, with privacy-preserving models obtained by re-running training with a different optimizer, but using the model architectures that already performed well in a non-privacy-preserving setting. This approach leads to less than ideal privacy/utility tradeoffs, as we show here. Instead, we propose that model architectures are chosen ab initio explicitly for privacy-preserving training. To provide guarantees under the gold standard of differential privacy, one must bound as strictly as possible how individual training points can possibly affect model updates. In this paper, we are the first to observe that the choice of activation function is central to bounding the sensitivity of privacy-preserving deep learning. We demonstrate analytically and experimentally how a general family of bounded activation functions, the tempered sigmoids, consistently outperform unbounded activation functions like ReLU. Using this paradigm, we achieve new state-of-the-art accuracy on MNIST, FashionMNIST, and CIFAR10 without any modification of the learning procedure fundamentals or differential privacy analysis.</x:v>
      </x:c>
      <x:c r="L367" s="17" t="str">
        <x:v>http://arxiv.org/abs/2007.14191v1</x:v>
      </x:c>
      <x:c r="M367" s="23" t="n">
        <x:v>0.8432032857440233</x:v>
      </x:c>
      <x:c r="N367" s="17" t="str">
        <x:v>qwen3-rerank-no-instruct-20260727-125006-results.jsonl</x:v>
      </x:c>
      <x:c r="O367" s="24" t="str">
        <x:v>2</x:v>
      </x:c>
      <x:c r="P367" s="28" t="str">
        <x:v>专为DP训练选择激活和架构。</x:v>
      </x:c>
      <x:c r="Q367" s="25" t="str"/>
      <x:c r="R367" s="24" t="str">
        <x:f>IF(Q367&lt;&gt;"",Q367,O367)</x:f>
        <x:v>2</x:v>
      </x:c>
      <x:c r="S367" s="29" t="str"/>
    </x:row>
    <x:row r="368" ht="54" customHeight="1">
      <x:c r="A368" s="17" t="str">
        <x:v>csq019-r07</x:v>
      </x:c>
      <x:c r="B368" s="17" t="str">
        <x:v>csq019</x:v>
      </x:c>
      <x:c r="C368" s="17" t="str">
        <x:v>security_and_privacy</x:v>
      </x:c>
      <x:c r="D368" s="17" t="str">
        <x:v>differential_privacy</x:v>
      </x:c>
      <x:c r="E368" s="27" t="str">
        <x:v>What methods are used for training deep learning models with differential privacy, and how do they manage the privacy-utility-computation trade-off?</x:v>
      </x:c>
      <x:c r="F368" s="22" t="n">
        <x:v>7</x:v>
      </x:c>
      <x:c r="G368" s="17" t="str">
        <x:v>arXiv:2407.04884</x:v>
      </x:c>
      <x:c r="H368" s="27" t="str">
        <x:v>Convex Approximation of Two-Layer ReLU Networks for Hidden State Differential Privacy</x:v>
      </x:c>
      <x:c r="I368" s="17" t="str">
        <x:v>Rob Romijnders; Antti Koskela</x:v>
      </x:c>
      <x:c r="J368" s="22" t="n">
        <x:v>2024</x:v>
      </x:c>
      <x:c r="K368" s="27" t="str">
        <x:v>The hidden state threat model of differential privacy (DP) assumes that the adversary has access only to the final trained machine learning (ML) model, without seeing intermediate states during training. However, the current privacy analyses under this model are restricted to convex optimization problems, reducing their applicability to multi-layer neural networks, which are essential in modern deep learning applications. Notably, the most successful applications of the hidden state privacy analyses in classification tasks have only been for logistic regression models. We demonstrate that it is possible to privately train convex problems with privacy-utility trade-offs comparable to those of 2-layer ReLU networks trained with DP stochastic gradient descent (DP-SGD). This is achieved through a stochastic approximation of a dual formulation of the ReLU minimization problem, resulting in a strongly convex problem. This enables the use of existing hidden state privacy analyses and provides accurate privacy bounds also for the noisy cyclic mini-batch gradient descent (NoisyCGD) method with fixed disjoint mini-batches. Empirical results on benchmark classification tasks demonstrate that NoisyCGD can achieve privacy-utility trade-offs on par with DP-SGD applied to 2-layer ReLU networks.</x:v>
      </x:c>
      <x:c r="L368" s="17" t="str">
        <x:v>http://arxiv.org/abs/2407.04884v4</x:v>
      </x:c>
      <x:c r="M368" s="23" t="n">
        <x:v>0.838250469816468</x:v>
      </x:c>
      <x:c r="N368" s="17" t="str">
        <x:v>qwen3-rerank-no-instruct-20260727-125006-results.jsonl</x:v>
      </x:c>
      <x:c r="O368" s="24" t="str">
        <x:v>2</x:v>
      </x:c>
      <x:c r="P368" s="28" t="str">
        <x:v>隐状态DP拓展到两层ReLU网络。</x:v>
      </x:c>
      <x:c r="Q368" s="25" t="str"/>
      <x:c r="R368" s="24" t="str">
        <x:f>IF(Q368&lt;&gt;"",Q368,O368)</x:f>
        <x:v>2</x:v>
      </x:c>
      <x:c r="S368" s="29" t="str"/>
    </x:row>
    <x:row r="369" ht="54" customHeight="1">
      <x:c r="A369" s="17" t="str">
        <x:v>csq019-r08</x:v>
      </x:c>
      <x:c r="B369" s="17" t="str">
        <x:v>csq019</x:v>
      </x:c>
      <x:c r="C369" s="17" t="str">
        <x:v>security_and_privacy</x:v>
      </x:c>
      <x:c r="D369" s="17" t="str">
        <x:v>differential_privacy</x:v>
      </x:c>
      <x:c r="E369" s="27" t="str">
        <x:v>What methods are used for training deep learning models with differential privacy, and how do they manage the privacy-utility-computation trade-off?</x:v>
      </x:c>
      <x:c r="F369" s="22" t="n">
        <x:v>8</x:v>
      </x:c>
      <x:c r="G369" s="17" t="str">
        <x:v>arXiv:2504.00411</x:v>
      </x:c>
      <x:c r="H369" s="27" t="str">
        <x:v>Forward Learning with Differential Privacy</x:v>
      </x:c>
      <x:c r="I369" s="17" t="str">
        <x:v>Mingqian Feng; Zeliang Zhang; Jinyang Jiang; Yijie Peng; Chenliang Xu</x:v>
      </x:c>
      <x:c r="J369" s="22" t="n">
        <x:v>2025</x:v>
      </x:c>
      <x:c r="K369" s="27" t="str">
        <x:v>Differential privacy (DP) in deep learning is a critical concern as it ensures the confidentiality of training data while maintaining model utility. Existing DP training algorithms provide privacy guarantees by clipping and then injecting external noise into sample gradients computed by the backpropagation algorithm. Different from backpropagation, forward-learning algorithms based on perturbation inherently add noise during the forward pass and utilize randomness to estimate the gradients. Although these algorithms are non-privatized, the introduction of noise during the forward pass indirectly provides internal randomness protection to the model parameters and their gradients, suggesting the potential for naturally providing differential privacy. In this paper, we propose a \blue{privatized} forward-learning algorithm, Differential Private Unified Likelihood Ratio (DP-ULR), and demonstrate its differential privacy guarantees. DP-ULR features a novel batch sampling operation with rejection, of which we provide theoretical analysis in conjunction with classic differential privacy mechanisms. DP-ULR is also underpinned by a theoretically guided privacy controller that dynamically adjusts noise levels to manage privacy costs in each training step. Our experiments indicate that DP-ULR achieves competitive performance compared to traditional differential privacy training algorithms based on backpropagation, maintaining nearly the same privacy loss limits.</x:v>
      </x:c>
      <x:c r="L369" s="17" t="str">
        <x:v>http://arxiv.org/abs/2504.00411v1</x:v>
      </x:c>
      <x:c r="M369" s="23" t="n">
        <x:v>0.8368248742073177</x:v>
      </x:c>
      <x:c r="N369" s="17" t="str">
        <x:v>qwen3-rerank-no-instruct-20260727-125006-results.jsonl</x:v>
      </x:c>
      <x:c r="O369" s="24" t="str">
        <x:v>2</x:v>
      </x:c>
      <x:c r="P369" s="28" t="str">
        <x:v>前向学习利用内在噪声实现DP训练。</x:v>
      </x:c>
      <x:c r="Q369" s="25" t="str"/>
      <x:c r="R369" s="24" t="str">
        <x:f>IF(Q369&lt;&gt;"",Q369,O369)</x:f>
        <x:v>2</x:v>
      </x:c>
      <x:c r="S369" s="29" t="str"/>
    </x:row>
    <x:row r="370" ht="54" customHeight="1">
      <x:c r="A370" s="17" t="str">
        <x:v>csq019-r09</x:v>
      </x:c>
      <x:c r="B370" s="17" t="str">
        <x:v>csq019</x:v>
      </x:c>
      <x:c r="C370" s="17" t="str">
        <x:v>security_and_privacy</x:v>
      </x:c>
      <x:c r="D370" s="17" t="str">
        <x:v>differential_privacy</x:v>
      </x:c>
      <x:c r="E370" s="27" t="str">
        <x:v>What methods are used for training deep learning models with differential privacy, and how do they manage the privacy-utility-computation trade-off?</x:v>
      </x:c>
      <x:c r="F370" s="22" t="n">
        <x:v>9</x:v>
      </x:c>
      <x:c r="G370" s="17" t="str">
        <x:v>arXiv:2308.03320</x:v>
      </x:c>
      <x:c r="H370" s="27" t="str">
        <x:v>Binary Federated Learning with Client-Level Differential Privacy</x:v>
      </x:c>
      <x:c r="I370" s="17" t="str">
        <x:v>Lumin Liu; Jun Zhang; Shenghui Song; Khaled B. Letaief</x:v>
      </x:c>
      <x:c r="J370" s="22" t="n">
        <x:v>2023</x:v>
      </x:c>
      <x:c r="K370" s="27" t="str">
        <x:v>Federated learning (FL) is a privacy-preserving collaborative learning framework, and differential privacy can be applied to further enhance its privacy protection. Existing FL systems typically adopt Federated Average (FedAvg) as the training algorithm and implement differential privacy with a Gaussian mechanism. However, the inherent privacy-utility trade-off in these systems severely degrades the training performance if a tight privacy budget is enforced. Besides, the Gaussian mechanism requires model weights to be of high-precision. To improve communication efficiency and achieve a better privacy-utility trade-off, we propose a communication-efficient FL training algorithm with differential privacy guarantee. Specifically, we propose to adopt binary neural networks (BNNs) and introduce discrete noise in the FL setting. Binary model parameters are uploaded for higher communication efficiency and discrete noise is added to achieve the client-level differential privacy protection. The achieved performance guarantee is rigorously proved, and it is shown to depend on the level of discrete noise. Experimental results based on MNIST and Fashion-MNIST datasets will demonstrate that the proposed training algorithm achieves client-level privacy protection with performance gain while enjoying the benefits of low communication overhead from binary model updates.</x:v>
      </x:c>
      <x:c r="L370" s="17" t="str">
        <x:v>http://arxiv.org/abs/2308.03320v1</x:v>
      </x:c>
      <x:c r="M370" s="23" t="n">
        <x:v>0.8322308310883391</x:v>
      </x:c>
      <x:c r="N370" s="17" t="str">
        <x:v>qwen3-rerank-no-instruct-20260727-125006-results.jsonl</x:v>
      </x:c>
      <x:c r="O370" s="24" t="str">
        <x:v>2</x:v>
      </x:c>
      <x:c r="P370" s="28" t="str">
        <x:v>二值联邦学习改善客户端级DP效用。</x:v>
      </x:c>
      <x:c r="Q370" s="25" t="str"/>
      <x:c r="R370" s="24" t="str">
        <x:f>IF(Q370&lt;&gt;"",Q370,O370)</x:f>
        <x:v>2</x:v>
      </x:c>
      <x:c r="S370" s="29" t="str"/>
    </x:row>
    <x:row r="371" ht="54" customHeight="1">
      <x:c r="A371" s="17" t="str">
        <x:v>csq019-r10</x:v>
      </x:c>
      <x:c r="B371" s="17" t="str">
        <x:v>csq019</x:v>
      </x:c>
      <x:c r="C371" s="17" t="str">
        <x:v>security_and_privacy</x:v>
      </x:c>
      <x:c r="D371" s="17" t="str">
        <x:v>differential_privacy</x:v>
      </x:c>
      <x:c r="E371" s="27" t="str">
        <x:v>What methods are used for training deep learning models with differential privacy, and how do they manage the privacy-utility-computation trade-off?</x:v>
      </x:c>
      <x:c r="F371" s="22" t="n">
        <x:v>10</x:v>
      </x:c>
      <x:c r="G371" s="17" t="str">
        <x:v>arXiv:2210.04442</x:v>
      </x:c>
      <x:c r="H371" s="27" t="str">
        <x:v>DPAR: Decoupled Graph Neural Networks with Node-Level Differential Privacy</x:v>
      </x:c>
      <x:c r="I371" s="17" t="str">
        <x:v>Qiuchen Zhang; Hong kyu Lee; Jing Ma; Jian Lou; Carl Yang; Li Xiong</x:v>
      </x:c>
      <x:c r="J371" s="22" t="n">
        <x:v>2022</x:v>
      </x:c>
      <x:c r="K371" s="27" t="str">
        <x:v>Graph Neural Networks (GNNs) have achieved great success in learning with graph-structured data. Privacy concerns have also been raised for the trained models which could expose the sensitive information of graphs including both node features and the structure information. In this paper, we aim to achieve node-level differential privacy (DP) for training GNNs so that a node and its edges are protected. Node DP is inherently difficult for GNNs because all direct and multi-hop neighbors participate in the calculation of gradients for each node via layer-wise message passing and there is no bound on how many direct and multi-hop neighbors a node can have, so existing DP methods will result in high privacy cost or poor utility due to high node sensitivity. We propose a Decoupled GNN with Differentially Private Approximate Personalized PageRank (DPAR) for training GNNs with an enhanced privacy-utility tradeoff. The key idea is to decouple the feature projection and message passing via a DP PageRank algorithm which learns the structure information and uses the top-$K$ neighbors determined by the PageRank for feature aggregation. By capturing the most important neighbors for each node and avoiding the layer-wise message passing, it bounds the node sensitivity and achieves improved privacy-utility tradeoff compared to layer-wise perturbation based methods. We theoretically analyze the node DP guarantee for the two processes combined together and empirically demonstrate better utilities of DPAR with the same level of node DP compared with state-of-the-art methods.</x:v>
      </x:c>
      <x:c r="L371" s="17" t="str">
        <x:v>http://arxiv.org/abs/2210.04442v3</x:v>
      </x:c>
      <x:c r="M371" s="23" t="n">
        <x:v>0.8312228496119025</x:v>
      </x:c>
      <x:c r="N371" s="17" t="str">
        <x:v>qwen3-rerank-no-instruct-20260727-125006-results.jsonl</x:v>
      </x:c>
      <x:c r="O371" s="24" t="str">
        <x:v>2</x:v>
      </x:c>
      <x:c r="P371" s="28" t="str">
        <x:v>解耦GNN实现节点级DP训练。</x:v>
      </x:c>
      <x:c r="Q371" s="25" t="str"/>
      <x:c r="R371" s="24" t="str">
        <x:f>IF(Q371&lt;&gt;"",Q371,O371)</x:f>
        <x:v>2</x:v>
      </x:c>
      <x:c r="S371" s="29" t="str"/>
    </x:row>
    <x:row r="372" ht="54" customHeight="1">
      <x:c r="A372" s="17" t="str">
        <x:v>csq019-r11</x:v>
      </x:c>
      <x:c r="B372" s="17" t="str">
        <x:v>csq019</x:v>
      </x:c>
      <x:c r="C372" s="17" t="str">
        <x:v>security_and_privacy</x:v>
      </x:c>
      <x:c r="D372" s="17" t="str">
        <x:v>differential_privacy</x:v>
      </x:c>
      <x:c r="E372" s="27" t="str">
        <x:v>What methods are used for training deep learning models with differential privacy, and how do they manage the privacy-utility-computation trade-off?</x:v>
      </x:c>
      <x:c r="F372" s="22" t="n">
        <x:v>11</x:v>
      </x:c>
      <x:c r="G372" s="17" t="str">
        <x:v>arXiv:2307.13231</x:v>
      </x:c>
      <x:c r="H372" s="27" t="str">
        <x:v>Spectral-DP: Differentially Private Deep Learning through Spectral Perturbation and Filtering</x:v>
      </x:c>
      <x:c r="I372" s="17" t="str">
        <x:v>Ce Feng; Nuo Xu; Wujie Wen; Parv Venkitasubramaniam; Caiwen Ding</x:v>
      </x:c>
      <x:c r="J372" s="22" t="n">
        <x:v>2023</x:v>
      </x:c>
      <x:c r="K372" s="27" t="str">
        <x:v>Differential privacy is a widely accepted measure of privacy in the context of deep learning algorithms, and achieving it relies on a noisy training approach known as differentially private stochastic gradient descent (DP-SGD). DP-SGD requires direct noise addition to every gradient in a dense neural network, the privacy is achieved at a significant utility cost. In this work, we present Spectral-DP, a new differentially private learning approach which combines gradient perturbation in the spectral domain with spectral filtering to achieve a desired privacy guarantee with a lower noise scale and thus better utility. We develop differentially private deep learning methods based on Spectral-DP for architectures that contain both convolution and fully connected layers. In particular, for fully connected layers, we combine a block-circulant based spatial restructuring with Spectral-DP to achieve better utility. Through comprehensive experiments, we study and provide guidelines to implement Spectral-DP deep learning on benchmark datasets. In comparison with state-of-the-art DP-SGD based approaches, Spectral-DP is shown to have uniformly better utility performance in both training from scratch and transfer learning settings.</x:v>
      </x:c>
      <x:c r="L372" s="17" t="str">
        <x:v>http://arxiv.org/abs/2307.13231v1</x:v>
      </x:c>
      <x:c r="M372" s="23" t="n">
        <x:v>0.8051477037939021</x:v>
      </x:c>
      <x:c r="N372" s="17" t="str">
        <x:v>qwen3-rerank-no-instruct-20260727-125006-results.jsonl</x:v>
      </x:c>
      <x:c r="O372" s="24" t="str">
        <x:v>2</x:v>
      </x:c>
      <x:c r="P372" s="28" t="str">
        <x:v>频域扰动和过滤降低DP噪声。</x:v>
      </x:c>
      <x:c r="Q372" s="25" t="str"/>
      <x:c r="R372" s="24" t="str">
        <x:f>IF(Q372&lt;&gt;"",Q372,O372)</x:f>
        <x:v>2</x:v>
      </x:c>
      <x:c r="S372" s="29" t="str"/>
    </x:row>
    <x:row r="373" ht="54" customHeight="1">
      <x:c r="A373" s="17" t="str">
        <x:v>csq019-r12</x:v>
      </x:c>
      <x:c r="B373" s="17" t="str">
        <x:v>csq019</x:v>
      </x:c>
      <x:c r="C373" s="17" t="str">
        <x:v>security_and_privacy</x:v>
      </x:c>
      <x:c r="D373" s="17" t="str">
        <x:v>differential_privacy</x:v>
      </x:c>
      <x:c r="E373" s="27" t="str">
        <x:v>What methods are used for training deep learning models with differential privacy, and how do they manage the privacy-utility-computation trade-off?</x:v>
      </x:c>
      <x:c r="F373" s="22" t="n">
        <x:v>12</x:v>
      </x:c>
      <x:c r="G373" s="17" t="str">
        <x:v>arXiv:2110.08557</x:v>
      </x:c>
      <x:c r="H373" s="27" t="str">
        <x:v>DPNAS: Neural Architecture Search for Deep Learning with Differential Privacy</x:v>
      </x:c>
      <x:c r="I373" s="17" t="str">
        <x:v>Anda Cheng; Jiaxing Wang; Xi Sheryl Zhang; Qiang Chen; Peisong Wang; Jian Cheng</x:v>
      </x:c>
      <x:c r="J373" s="22" t="n">
        <x:v>2021</x:v>
      </x:c>
      <x:c r="K373" s="27" t="str">
        <x:v>Training deep neural networks (DNNs) for meaningful differential privacy (DP) guarantees severely degrades model utility. In this paper, we demonstrate that the architecture of DNNs has a significant impact on model utility in the context of private deep learning, whereas its effect is largely unexplored in previous studies. In light of this missing, we propose the very first framework that employs neural architecture search to automatic model design for private deep learning, dubbed as DPNAS. To integrate private learning with architecture search, we delicately design a novel search space and propose a DP-aware method for training candidate models. We empirically certify the effectiveness of the proposed framework. The searched model DPNASNet achieves state-of-the-art privacy/utility trade-offs, e.g., for the privacy budget of $(ε, δ)=(3, 1\times10^{-5})$, our model obtains test accuracy of $98.57\%$ on MNIST, $88.09\%$ on FashionMNIST, and $68.33\%$ on CIFAR-10. Furthermore, by studying the generated architectures, we provide several intriguing findings of designing private-learning-friendly DNNs, which can shed new light on model design for deep learning with differential privacy.</x:v>
      </x:c>
      <x:c r="L373" s="17" t="str">
        <x:v>http://arxiv.org/abs/2110.08557v2</x:v>
      </x:c>
      <x:c r="M373" s="23" t="n">
        <x:v>0.8011845885629703</x:v>
      </x:c>
      <x:c r="N373" s="17" t="str">
        <x:v>qwen3-rerank-no-instruct-20260727-125006-results.jsonl</x:v>
      </x:c>
      <x:c r="O373" s="24" t="str">
        <x:v>2</x:v>
      </x:c>
      <x:c r="P373" s="28" t="str">
        <x:v>神经架构搜索改善私有深度学习效用。</x:v>
      </x:c>
      <x:c r="Q373" s="25" t="str"/>
      <x:c r="R373" s="24" t="str">
        <x:f>IF(Q373&lt;&gt;"",Q373,O373)</x:f>
        <x:v>2</x:v>
      </x:c>
      <x:c r="S373" s="29" t="str"/>
    </x:row>
    <x:row r="374" ht="54" customHeight="1">
      <x:c r="A374" s="17" t="str">
        <x:v>csq019-r13</x:v>
      </x:c>
      <x:c r="B374" s="17" t="str">
        <x:v>csq019</x:v>
      </x:c>
      <x:c r="C374" s="17" t="str">
        <x:v>security_and_privacy</x:v>
      </x:c>
      <x:c r="D374" s="17" t="str">
        <x:v>differential_privacy</x:v>
      </x:c>
      <x:c r="E374" s="27" t="str">
        <x:v>What methods are used for training deep learning models with differential privacy, and how do they manage the privacy-utility-computation trade-off?</x:v>
      </x:c>
      <x:c r="F374" s="22" t="n">
        <x:v>13</x:v>
      </x:c>
      <x:c r="G374" s="17" t="str">
        <x:v>arXiv:2309.16398</x:v>
      </x:c>
      <x:c r="H374" s="27" t="str">
        <x:v>Recent Advances of Differential Privacy in Centralized Deep Learning: A Systematic Survey</x:v>
      </x:c>
      <x:c r="I374" s="17" t="str">
        <x:v>Lea Demelius; Roman Kern; Andreas Trügler</x:v>
      </x:c>
      <x:c r="J374" s="22" t="n">
        <x:v>2023</x:v>
      </x:c>
      <x:c r="K374" s="27" t="str">
        <x:v>Differential Privacy has become a widely popular method for data protection in machine learning, especially since it allows formulating strict mathematical privacy guarantees. This survey provides an overview of the state-of-the-art of differentially private centralized deep learning, thorough analyses of recent advances and open problems, as well as a discussion of potential future developments in the field. Based on a systematic literature review, the following topics are addressed: auditing and evaluation methods for private models, improvements of privacy-utility trade-offs, protection against a broad range of threats and attacks, differentially private generative models, and emerging application domains.</x:v>
      </x:c>
      <x:c r="L374" s="17" t="str">
        <x:v>http://arxiv.org/abs/2309.16398v1</x:v>
      </x:c>
      <x:c r="M374" s="23" t="n">
        <x:v>0.8011138872865751</x:v>
      </x:c>
      <x:c r="N374" s="17" t="str">
        <x:v>qwen3-rerank-no-instruct-20260727-125006-results.jsonl</x:v>
      </x:c>
      <x:c r="O374" s="24" t="str">
        <x:v>2</x:v>
      </x:c>
      <x:c r="P374" s="28" t="str">
        <x:v>系统综述集中式DP深度学习方法和权衡。</x:v>
      </x:c>
      <x:c r="Q374" s="25" t="str"/>
      <x:c r="R374" s="24" t="str">
        <x:f>IF(Q374&lt;&gt;"",Q374,O374)</x:f>
        <x:v>2</x:v>
      </x:c>
      <x:c r="S374" s="29" t="str"/>
    </x:row>
    <x:row r="375" ht="54" customHeight="1">
      <x:c r="A375" s="17" t="str">
        <x:v>csq019-r14</x:v>
      </x:c>
      <x:c r="B375" s="17" t="str">
        <x:v>csq019</x:v>
      </x:c>
      <x:c r="C375" s="17" t="str">
        <x:v>security_and_privacy</x:v>
      </x:c>
      <x:c r="D375" s="17" t="str">
        <x:v>differential_privacy</x:v>
      </x:c>
      <x:c r="E375" s="27" t="str">
        <x:v>What methods are used for training deep learning models with differential privacy, and how do they manage the privacy-utility-computation trade-off?</x:v>
      </x:c>
      <x:c r="F375" s="22" t="n">
        <x:v>14</x:v>
      </x:c>
      <x:c r="G375" s="17" t="str">
        <x:v>arXiv:2110.05524</x:v>
      </x:c>
      <x:c r="H375" s="27" t="str">
        <x:v>Generalization Techniques Empirically Outperform Differential Privacy against Membership Inference</x:v>
      </x:c>
      <x:c r="I375" s="17" t="str">
        <x:v>Jiaxiang Liu; Simon Oya; Florian Kerschbaum</x:v>
      </x:c>
      <x:c r="J375" s="22" t="n">
        <x:v>2021</x:v>
      </x:c>
      <x:c r="K375" s="27" t="str">
        <x:v>Differentially private training algorithms provide protection against one of the most popular attacks in machine learning: the membership inference attack. However, these privacy algorithms incur a loss of the model's classification accuracy, therefore creating a privacy-utility trade-off. The amount of noise that differential privacy requires to provide strong theoretical protection guarantees in deep learning typically renders the models unusable, but authors have observed that even lower noise levels provide acceptable empirical protection against existing membership inference attacks. In this work, we look for alternatives to differential privacy towards empirically protecting against membership inference attacks. We study the protection that simply following good machine learning practices (not designed with privacy in mind) offers against membership inference. We evaluate the performance of state-of-the-art techniques, such as pre-training and sharpness-aware minimization, alone and with differentially private training algorithms, and find that, when using early stopping, the algorithms without differential privacy can provide both higher utility and higher privacy than their differentially private counterparts. These findings challenge the belief that differential privacy is a good defense to protect against existing membership inference attacks</x:v>
      </x:c>
      <x:c r="L375" s="17" t="str">
        <x:v>http://arxiv.org/abs/2110.05524v1</x:v>
      </x:c>
      <x:c r="M375" s="23" t="n">
        <x:v>0.7991877405710521</x:v>
      </x:c>
      <x:c r="N375" s="17" t="str">
        <x:v>qwen3-rerank-no-instruct-20260727-125006-results.jsonl</x:v>
      </x:c>
      <x:c r="O375" s="24" t="str">
        <x:v>2</x:v>
      </x:c>
      <x:c r="P375" s="28" t="str">
        <x:v>实证比较DP训练保护与准确率代价。</x:v>
      </x:c>
      <x:c r="Q375" s="25" t="str"/>
      <x:c r="R375" s="24" t="str">
        <x:f>IF(Q375&lt;&gt;"",Q375,O375)</x:f>
        <x:v>2</x:v>
      </x:c>
      <x:c r="S375" s="29" t="str"/>
    </x:row>
    <x:row r="376" ht="54" customHeight="1">
      <x:c r="A376" s="17" t="str">
        <x:v>csq019-r15</x:v>
      </x:c>
      <x:c r="B376" s="17" t="str">
        <x:v>csq019</x:v>
      </x:c>
      <x:c r="C376" s="17" t="str">
        <x:v>security_and_privacy</x:v>
      </x:c>
      <x:c r="D376" s="17" t="str">
        <x:v>differential_privacy</x:v>
      </x:c>
      <x:c r="E376" s="27" t="str">
        <x:v>What methods are used for training deep learning models with differential privacy, and how do they manage the privacy-utility-computation trade-off?</x:v>
      </x:c>
      <x:c r="F376" s="22" t="n">
        <x:v>15</x:v>
      </x:c>
      <x:c r="G376" s="17" t="str">
        <x:v>arXiv:2103.02895</x:v>
      </x:c>
      <x:c r="H376" s="27" t="str">
        <x:v>On the privacy-utility trade-off in differentially private hierarchical text classification</x:v>
      </x:c>
      <x:c r="I376" s="17" t="str">
        <x:v>Dominik Wunderlich; Daniel Bernau; Francesco Aldà; Javier Parra-Arnau; Thorsten Strufe</x:v>
      </x:c>
      <x:c r="J376" s="22" t="n">
        <x:v>2021</x:v>
      </x:c>
      <x:c r="K376" s="27" t="str">
        <x:v>Hierarchical text classification consists in classifying text documents into a hierarchy of classes and sub-classes. Although artificial neural networks have proved useful to perform this task, unfortunately they can leak training data information to adversaries due to training data memorization. Using differential privacy during model training can mitigate leakage attacks against trained models, enabling the models to be shared safely at the cost of reduced model accuracy. This work investigates the privacy-utility trade-off in hierarchical text classification with differential privacy guarantees, and identifies neural network architectures that offer superior trade-offs. To this end, we use a white-box membership inference attack to empirically assess the information leakage of three widely used neural network architectures. We show that large differential privacy parameters already suffice to completely mitigate membership inference attacks, thus resulting only in a moderate decrease in model utility. More specifically, for large datasets with long texts we observed Transformer-based models to achieve an overall favorable privacy-utility trade-off, while for smaller datasets with shorter texts convolutional neural networks are preferable.</x:v>
      </x:c>
      <x:c r="L376" s="17" t="str">
        <x:v>http://arxiv.org/abs/2103.02895v2</x:v>
      </x:c>
      <x:c r="M376" s="23" t="n">
        <x:v>0.7940997593639343</x:v>
      </x:c>
      <x:c r="N376" s="17" t="str">
        <x:v>qwen3-rerank-no-instruct-20260727-125006-results.jsonl</x:v>
      </x:c>
      <x:c r="O376" s="24" t="str">
        <x:v>2</x:v>
      </x:c>
      <x:c r="P376" s="28" t="str">
        <x:v>文本神经网络DP训练的隐私效用权衡。</x:v>
      </x:c>
      <x:c r="Q376" s="25" t="str"/>
      <x:c r="R376" s="24" t="str">
        <x:f>IF(Q376&lt;&gt;"",Q376,O376)</x:f>
        <x:v>2</x:v>
      </x:c>
      <x:c r="S376" s="29" t="str"/>
    </x:row>
    <x:row r="377" ht="54" customHeight="1">
      <x:c r="A377" s="17" t="str">
        <x:v>csq019-r16</x:v>
      </x:c>
      <x:c r="B377" s="17" t="str">
        <x:v>csq019</x:v>
      </x:c>
      <x:c r="C377" s="17" t="str">
        <x:v>security_and_privacy</x:v>
      </x:c>
      <x:c r="D377" s="17" t="str">
        <x:v>differential_privacy</x:v>
      </x:c>
      <x:c r="E377" s="27" t="str">
        <x:v>What methods are used for training deep learning models with differential privacy, and how do they manage the privacy-utility-computation trade-off?</x:v>
      </x:c>
      <x:c r="F377" s="22" t="n">
        <x:v>16</x:v>
      </x:c>
      <x:c r="G377" s="17" t="str">
        <x:v>arXiv:2303.12247</x:v>
      </x:c>
      <x:c r="H377" s="27" t="str">
        <x:v>Exploring the Benefits of Visual Prompting in Differential Privacy</x:v>
      </x:c>
      <x:c r="I377" s="17" t="str">
        <x:v>Yizhe Li; Yu-Lin Tsai; Xuebin Ren; Chia-Mu Yu; Pin-Yu Chen</x:v>
      </x:c>
      <x:c r="J377" s="22" t="n">
        <x:v>2023</x:v>
      </x:c>
      <x:c r="K377" s="27" t="str">
        <x:v>Visual Prompting (VP) is an emerging and powerful technique that allows sample-efficient adaptation to downstream tasks by engineering a well-trained frozen source model. In this work, we explore the benefits of VP in constructing compelling neural network classifiers with differential privacy (DP). We explore and integrate VP into canonical DP training methods and demonstrate its simplicity and efficiency. In particular, we discover that VP in tandem with PATE, a state-of-the-art DP training method that leverages the knowledge transfer from an ensemble of teachers, achieves the state-of-the-art privacy-utility trade-off with minimum expenditure of privacy budget. Moreover, we conduct additional experiments on cross-domain image classification with a sufficient domain gap to further unveil the advantage of VP in DP. Lastly, we also conduct extensive ablation studies to validate the effectiveness and contribution of VP under DP consideration. Our code is available at (https://github.com/EzzzLi/Prompt-PATE).</x:v>
      </x:c>
      <x:c r="L377" s="17" t="str">
        <x:v>http://arxiv.org/abs/2303.12247v2</x:v>
      </x:c>
      <x:c r="M377" s="23" t="n">
        <x:v>0.7731092225851302</x:v>
      </x:c>
      <x:c r="N377" s="17" t="str">
        <x:v>qwen3-rerank-no-instruct-20260727-125006-results.jsonl</x:v>
      </x:c>
      <x:c r="O377" s="24" t="str">
        <x:v>2</x:v>
      </x:c>
      <x:c r="P377" s="28" t="str">
        <x:v>视觉提示提升DP分类器效率与效用。</x:v>
      </x:c>
      <x:c r="Q377" s="25" t="str"/>
      <x:c r="R377" s="24" t="str">
        <x:f>IF(Q377&lt;&gt;"",Q377,O377)</x:f>
        <x:v>2</x:v>
      </x:c>
      <x:c r="S377" s="29" t="str"/>
    </x:row>
    <x:row r="378" ht="54" customHeight="1">
      <x:c r="A378" s="17" t="str">
        <x:v>csq019-r17</x:v>
      </x:c>
      <x:c r="B378" s="17" t="str">
        <x:v>csq019</x:v>
      </x:c>
      <x:c r="C378" s="17" t="str">
        <x:v>security_and_privacy</x:v>
      </x:c>
      <x:c r="D378" s="17" t="str">
        <x:v>differential_privacy</x:v>
      </x:c>
      <x:c r="E378" s="27" t="str">
        <x:v>What methods are used for training deep learning models with differential privacy, and how do they manage the privacy-utility-computation trade-off?</x:v>
      </x:c>
      <x:c r="F378" s="22" t="n">
        <x:v>17</x:v>
      </x:c>
      <x:c r="G378" s="17" t="str">
        <x:v>arXiv:2301.13104</x:v>
      </x:c>
      <x:c r="H378" s="27" t="str">
        <x:v>Equivariant Differentially Private Deep Learning: Why DP-SGD Needs Sparser Models</x:v>
      </x:c>
      <x:c r="I378" s="17" t="str">
        <x:v>Florian A. Hölzl; Daniel Rueckert; Georgios Kaissis</x:v>
      </x:c>
      <x:c r="J378" s="22" t="n">
        <x:v>2023</x:v>
      </x:c>
      <x:c r="K378" s="27" t="str">
        <x:v>Differentially Private Stochastic Gradient Descent (DP-SGD) limits the amount of private information deep learning models can memorize during training. This is achieved by clipping and adding noise to the model's gradients, and thus networks with more parameters require proportionally stronger perturbation. As a result, large models have difficulties learning useful information, rendering training with DP-SGD exceedingly difficult on more challenging training tasks. Recent research has focused on combating this challenge through training adaptations such as heavy data augmentation and large batch sizes. However, these techniques further increase the computational overhead of DP-SGD and reduce its practical applicability. In this work, we propose using the principle of sparse model design to solve precisely such complex tasks with fewer parameters, higher accuracy, and in less time, thus serving as a promising direction for DP-SGD. We achieve such sparsity by design by introducing equivariant convolutional networks for model training with Differential Privacy. Using equivariant networks, we show that small and efficient architecture design can outperform current state-of-the-art models with substantially lower computational requirements. On CIFAR-10, we achieve an increase of up to $9\%$ in accuracy while reducing the computation time by more than $85\%$. Our results are a step towards efficient model architectures that make optimal use of their parameters and bridge the privacy-utility gap between private and non-private deep learning for computer vision.</x:v>
      </x:c>
      <x:c r="L378" s="17" t="str">
        <x:v>http://arxiv.org/abs/2301.13104v2</x:v>
      </x:c>
      <x:c r="M378" s="23" t="n">
        <x:v>0.7657736186307393</x:v>
      </x:c>
      <x:c r="N378" s="17" t="str">
        <x:v>qwen3-rerank-no-instruct-20260727-125006-results.jsonl</x:v>
      </x:c>
      <x:c r="O378" s="24" t="str">
        <x:v>2</x:v>
      </x:c>
      <x:c r="P378" s="28" t="str">
        <x:v>稀疏等变模型权衡DP效用和计算。</x:v>
      </x:c>
      <x:c r="Q378" s="25" t="str"/>
      <x:c r="R378" s="24" t="str">
        <x:f>IF(Q378&lt;&gt;"",Q378,O378)</x:f>
        <x:v>2</x:v>
      </x:c>
      <x:c r="S378" s="29" t="str"/>
    </x:row>
    <x:row r="379" ht="54" customHeight="1">
      <x:c r="A379" s="17" t="str">
        <x:v>csq019-r18</x:v>
      </x:c>
      <x:c r="B379" s="17" t="str">
        <x:v>csq019</x:v>
      </x:c>
      <x:c r="C379" s="17" t="str">
        <x:v>security_and_privacy</x:v>
      </x:c>
      <x:c r="D379" s="17" t="str">
        <x:v>differential_privacy</x:v>
      </x:c>
      <x:c r="E379" s="27" t="str">
        <x:v>What methods are used for training deep learning models with differential privacy, and how do they manage the privacy-utility-computation trade-off?</x:v>
      </x:c>
      <x:c r="F379" s="22" t="n">
        <x:v>18</x:v>
      </x:c>
      <x:c r="G379" s="17" t="str">
        <x:v>arXiv:2406.17298</x:v>
      </x:c>
      <x:c r="H379" s="27" t="str">
        <x:v>Efficient and Scalable Implementation of Differentially Private Deep Learning without Shortcuts</x:v>
      </x:c>
      <x:c r="I379" s="17" t="str">
        <x:v>Sebastian Rodriguez Beltran; Marlon Tobaben; Joonas Jälkö; Niki Loppi; Antti Honkela</x:v>
      </x:c>
      <x:c r="J379" s="22" t="n">
        <x:v>2024</x:v>
      </x:c>
      <x:c r="K379" s="27" t="str">
        <x:v>Differentially private stochastic gradient descent (DP-SGD) is the standard algorithm for training machine learning models under differential privacy (DP). The most common DP-SGD privacy accountants rely on Poisson subsampling to ensure the theoretical DP guarantees. Implementing computationally efficient DP-SGD with Poisson subsampling is not trivial, which leads many implementations to taking a shortcut by using computationally faster subsampling. We quantify the computational cost of training deep learning models under DP by implementing and benchmarking efficient methods with the correct Poisson subsampling. We find that using the naive implementation of DP-SGD with Opacus in PyTorch has a throughput between 2.6 and 8 times lower than that of SGD. However, efficient gradient clipping implementations like Ghost Clipping can roughly halve this cost. We propose an alternative computationally efficient implementation of DP-SGD with JAX that uses Poisson subsampling and performs comparably with efficient clipping optimizations based on PyTorch. We study the scaling behavior using up to 80 GPUs and find that DP-SGD scales better than SGD. We share our library at https://github.com/DPBayes/Towards-Efficient-Scalable-Training-DP-DL.</x:v>
      </x:c>
      <x:c r="L379" s="17" t="str">
        <x:v>http://arxiv.org/abs/2406.17298v3</x:v>
      </x:c>
      <x:c r="M379" s="23" t="n">
        <x:v>0.7433661550927315</x:v>
      </x:c>
      <x:c r="N379" s="17" t="str">
        <x:v>qwen3-rerank-no-instruct-20260727-125006-results.jsonl</x:v>
      </x:c>
      <x:c r="O379" s="24" t="str">
        <x:v>2</x:v>
      </x:c>
      <x:c r="P379" s="28" t="str">
        <x:v>专门研究DP-SGD高效可扩展实现。</x:v>
      </x:c>
      <x:c r="Q379" s="25" t="str"/>
      <x:c r="R379" s="24" t="str">
        <x:f>IF(Q379&lt;&gt;"",Q379,O379)</x:f>
        <x:v>2</x:v>
      </x:c>
      <x:c r="S379" s="29" t="str"/>
    </x:row>
    <x:row r="380" ht="54" customHeight="1">
      <x:c r="A380" s="17" t="str">
        <x:v>csq019-r19</x:v>
      </x:c>
      <x:c r="B380" s="17" t="str">
        <x:v>csq019</x:v>
      </x:c>
      <x:c r="C380" s="17" t="str">
        <x:v>security_and_privacy</x:v>
      </x:c>
      <x:c r="D380" s="17" t="str">
        <x:v>differential_privacy</x:v>
      </x:c>
      <x:c r="E380" s="27" t="str">
        <x:v>What methods are used for training deep learning models with differential privacy, and how do they manage the privacy-utility-computation trade-off?</x:v>
      </x:c>
      <x:c r="F380" s="22" t="n">
        <x:v>19</x:v>
      </x:c>
      <x:c r="G380" s="17" t="str">
        <x:v>arXiv:2212.04371</x:v>
      </x:c>
      <x:c r="H380" s="27" t="str">
        <x:v>Skellam Mixture Mechanism: a Novel Approach to Federated Learning with Differential Privacy</x:v>
      </x:c>
      <x:c r="I380" s="17" t="str">
        <x:v>Ergute Bao; Yizheng Zhu; Xiaokui Xiao; Yin Yang; Beng Chin Ooi; Benjamin Hong Meng Tan; Khin Mi Mi Aung</x:v>
      </x:c>
      <x:c r="J380" s="22" t="n">
        <x:v>2022</x:v>
      </x:c>
      <x:c r="K380" s="27" t="str">
        <x:v>Deep neural networks have strong capabilities of memorizing the underlying training data, which can be a serious privacy concern. An effective solution to this problem is to train models with differential privacy, which provides rigorous privacy guarantees by injecting random noise to the gradients. This paper focuses on the scenario where sensitive data are distributed among multiple participants, who jointly train a model through federated learning (FL), using both secure multiparty computation (MPC) to ensure the confidentiality of each gradient update, and differential privacy to avoid data leakage in the resulting model. A major challenge in this setting is that common mechanisms for enforcing DP in deep learning, which inject real-valued noise, are fundamentally incompatible with MPC, which exchanges finite-field integers among the participants. Consequently, most existing DP mechanisms require rather high noise levels, leading to poor model utility. Motivated by this, we propose Skellam mixture mechanism (SMM), an approach to enforce DP on models built via FL. Compared to existing methods, SMM eliminates the assumption that the input gradients must be integer-valued, and, thus, reduces the amount of noise injected to preserve DP. Further, SMM allows tight privacy accounting due to the nice composition and sub-sampling properties of the Skellam distribution, which are key to accurate deep learning with DP. The theoretical analysis of SMM is highly non-trivial, especially considering (i) the complicated math of differentially private deep learning in general and (ii) the fact that the mixture of two Skellam distributions is rather complex, and to our knowledge, has not been studied in the DP literature. Extensive experiments on various practical settings demonstrate that SMM consistently and significantly outperforms existing solutions in terms of the utility of the resulting model.</x:v>
      </x:c>
      <x:c r="L380" s="17" t="str">
        <x:v>http://arxiv.org/abs/2212.04371v2</x:v>
      </x:c>
      <x:c r="M380" s="23" t="n">
        <x:v>0.7427555510435361</x:v>
      </x:c>
      <x:c r="N380" s="17" t="str">
        <x:v>qwen3-rerank-no-instruct-20260727-125006-results.jsonl</x:v>
      </x:c>
      <x:c r="O380" s="24" t="str">
        <x:v>2</x:v>
      </x:c>
      <x:c r="P380" s="28" t="str">
        <x:v>联邦深度学习用Skellam噪声实现DP。</x:v>
      </x:c>
      <x:c r="Q380" s="25" t="str"/>
      <x:c r="R380" s="24" t="str">
        <x:f>IF(Q380&lt;&gt;"",Q380,O380)</x:f>
        <x:v>2</x:v>
      </x:c>
      <x:c r="S380" s="29" t="str"/>
    </x:row>
    <x:row r="381" ht="54" customHeight="1">
      <x:c r="A381" s="17" t="str">
        <x:v>csq019-r20</x:v>
      </x:c>
      <x:c r="B381" s="17" t="str">
        <x:v>csq019</x:v>
      </x:c>
      <x:c r="C381" s="17" t="str">
        <x:v>security_and_privacy</x:v>
      </x:c>
      <x:c r="D381" s="17" t="str">
        <x:v>differential_privacy</x:v>
      </x:c>
      <x:c r="E381" s="27" t="str">
        <x:v>What methods are used for training deep learning models with differential privacy, and how do they manage the privacy-utility-computation trade-off?</x:v>
      </x:c>
      <x:c r="F381" s="22" t="n">
        <x:v>20</x:v>
      </x:c>
      <x:c r="G381" s="17" t="str">
        <x:v>arXiv:2312.05659</x:v>
      </x:c>
      <x:c r="H381" s="27" t="str">
        <x:v>Optimal Unbiased Randomizers for Regression with Label Differential Privacy</x:v>
      </x:c>
      <x:c r="I381" s="17" t="str">
        <x:v>Ashwinkumar Badanidiyuru; Badih Ghazi; Pritish Kamath; Ravi Kumar; Ethan Leeman; Pasin Manurangsi; Avinash V Varadarajan; Chiyuan Zhang</x:v>
      </x:c>
      <x:c r="J381" s="22" t="n">
        <x:v>2023</x:v>
      </x:c>
      <x:c r="K381" s="27" t="str">
        <x:v>We propose a new family of label randomizers for training regression models under the constraint of label differential privacy (DP). In particular, we leverage the trade-offs between bias and variance to construct better label randomizers depending on a privately estimated prior distribution over the labels. We demonstrate that these randomizers achieve state-of-the-art privacy-utility trade-offs on several datasets, highlighting the importance of reducing bias when training neural networks with label DP. We also provide theoretical results shedding light on the structural properties of the optimal unbiased randomizers.</x:v>
      </x:c>
      <x:c r="L381" s="17" t="str">
        <x:v>http://arxiv.org/abs/2312.05659v1</x:v>
      </x:c>
      <x:c r="M381" s="23" t="n">
        <x:v>0.7340712337319001</x:v>
      </x:c>
      <x:c r="N381" s="17" t="str">
        <x:v>qwen3-rerank-no-instruct-20260727-125006-results.jsonl</x:v>
      </x:c>
      <x:c r="O381" s="24" t="str">
        <x:v>1</x:v>
      </x:c>
      <x:c r="P381" s="28" t="str">
        <x:v>标签DP回归相关，但未明确聚焦深度学习。</x:v>
      </x:c>
      <x:c r="Q381" s="25" t="str"/>
      <x:c r="R381" s="24" t="str">
        <x:f>IF(Q381&lt;&gt;"",Q381,O381)</x:f>
        <x:v>1</x:v>
      </x:c>
      <x:c r="S381" s="29" t="str"/>
    </x:row>
    <x:row r="382" ht="54" customHeight="1">
      <x:c r="A382" s="17" t="str">
        <x:v>csq020-r01</x:v>
      </x:c>
      <x:c r="B382" s="17" t="str">
        <x:v>csq020</x:v>
      </x:c>
      <x:c r="C382" s="17" t="str">
        <x:v>security_and_privacy</x:v>
      </x:c>
      <x:c r="D382" s="17" t="str">
        <x:v>membership_inference</x:v>
      </x:c>
      <x:c r="E382" s="27" t="str">
        <x:v>How do black-box and white-box membership inference attacks against machine learning models compare in their assumptions, methods, and evaluations?</x:v>
      </x:c>
      <x:c r="F382" s="22" t="n">
        <x:v>1</x:v>
      </x:c>
      <x:c r="G382" s="17" t="str">
        <x:v>arXiv:1908.11229</x:v>
      </x:c>
      <x:c r="H382" s="27" t="str">
        <x:v>White-box vs Black-box: Bayes Optimal Strategies for Membership Inference</x:v>
      </x:c>
      <x:c r="I382" s="17" t="str">
        <x:v>Alexandre Sablayrolles; Matthijs Douze; Yann Ollivier; Cordelia Schmid; Hervé Jégou</x:v>
      </x:c>
      <x:c r="J382" s="22" t="n">
        <x:v>2019</x:v>
      </x:c>
      <x:c r="K382" s="27" t="str">
        <x:v>Membership inference determines, given a sample and trained parameters of a machine learning model, whether the sample was part of the training set. In this paper, we derive the optimal strategy for membership inference with a few assumptions on the distribution of the parameters. We show that optimal attacks only depend on the loss function, and thus black-box attacks are as good as white-box attacks. As the optimal strategy is not tractable, we provide approximations of it leading to several inference methods, and show that existing membership inference methods are coarser approximations of this optimal strategy. Our membership attacks outperform the state of the art in various settings, ranging from a simple logistic regression to more complex architectures and datasets, such as ResNet-101 and Imagenet.</x:v>
      </x:c>
      <x:c r="L382" s="17" t="str">
        <x:v>http://arxiv.org/abs/1908.11229v1</x:v>
      </x:c>
      <x:c r="M382" s="23" t="n">
        <x:v>0.9613499531478098</x:v>
      </x:c>
      <x:c r="N382" s="17" t="str">
        <x:v>qwen3-rerank-no-instruct-20260727-125006-results.jsonl</x:v>
      </x:c>
      <x:c r="O382" s="24" t="str">
        <x:v>2</x:v>
      </x:c>
      <x:c r="P382" s="28" t="str">
        <x:v>直接推导比较最优黑盒与白盒MIA。</x:v>
      </x:c>
      <x:c r="Q382" s="25" t="str"/>
      <x:c r="R382" s="24" t="str">
        <x:f>IF(Q382&lt;&gt;"",Q382,O382)</x:f>
        <x:v>2</x:v>
      </x:c>
      <x:c r="S382" s="29" t="str"/>
    </x:row>
    <x:row r="383" ht="54" customHeight="1">
      <x:c r="A383" s="17" t="str">
        <x:v>csq020-r02</x:v>
      </x:c>
      <x:c r="B383" s="17" t="str">
        <x:v>csq020</x:v>
      </x:c>
      <x:c r="C383" s="17" t="str">
        <x:v>security_and_privacy</x:v>
      </x:c>
      <x:c r="D383" s="17" t="str">
        <x:v>membership_inference</x:v>
      </x:c>
      <x:c r="E383" s="27" t="str">
        <x:v>How do black-box and white-box membership inference attacks against machine learning models compare in their assumptions, methods, and evaluations?</x:v>
      </x:c>
      <x:c r="F383" s="22" t="n">
        <x:v>2</x:v>
      </x:c>
      <x:c r="G383" s="17" t="str">
        <x:v>arXiv:2510.10625</x:v>
      </x:c>
      <x:c r="H383" s="27" t="str">
        <x:v>ImpMIA: Leveraging Implicit Bias for Membership Inference Attack</x:v>
      </x:c>
      <x:c r="I383" s="17" t="str">
        <x:v>Yuval Golbari; Navve Wasserman; Gal Vardi; Michal Irani</x:v>
      </x:c>
      <x:c r="J383" s="22" t="n">
        <x:v>2025</x:v>
      </x:c>
      <x:c r="K383" s="27" t="str">
        <x:v>Determining which data samples were used to train a model, known as Membership Inference Attack (MIA), is a well-studied and important problem with implications on data privacy. SotA methods (which are black-box attacks) rely on training many auxiliary reference models to imitate the behavior of the attacked model. As such, they rely on assumptions which rarely hold in real-world settings: (i) the attacker knows the training hyperparameters; (ii) all available non-training samples come from the same distribution as the training data; and (iii) the fraction of training data in the evaluation set is known. We show that removing these assumptions significantly harms the performance of black-box attacks. We introduce ImpMIA, a Membership Inference Attack that exploits the Implicit Bias of neural networks. Building on the maximum-margin implicit bias theory, ImpMIA uses the Karush-Kuhn-Tucker (KKT) optimality conditions to identify training samples -- those whose gradients most strongly reconstruct the trained model's parameters. Our approach is optimization-based, and requires NO training of reference-models, thus removing the need for any knowledge/assumptions regarding the attacked model's training procedure. While ImpMIA is a white-box attack (a setting which assumes access to model weights), this is becoming increasingly realistic given that many models are publicly available (e.g., via Hugging Face). ImpMIA achieves SotA performance compared to both black and white box attacks in settings where only the model weights are known, and a superset of the training data is available.</x:v>
      </x:c>
      <x:c r="L383" s="17" t="str">
        <x:v>http://arxiv.org/abs/2510.10625v3</x:v>
      </x:c>
      <x:c r="M383" s="23" t="n">
        <x:v>0.9501357993824509</x:v>
      </x:c>
      <x:c r="N383" s="17" t="str">
        <x:v>qwen3-rerank-no-instruct-20260727-125006-results.jsonl</x:v>
      </x:c>
      <x:c r="O383" s="24" t="str">
        <x:v>2</x:v>
      </x:c>
      <x:c r="P383" s="28" t="str">
        <x:v>分析黑盒MIA强假设并提出替代。</x:v>
      </x:c>
      <x:c r="Q383" s="25" t="str"/>
      <x:c r="R383" s="24" t="str">
        <x:f>IF(Q383&lt;&gt;"",Q383,O383)</x:f>
        <x:v>2</x:v>
      </x:c>
      <x:c r="S383" s="29" t="str"/>
    </x:row>
    <x:row r="384" ht="54" customHeight="1">
      <x:c r="A384" s="17" t="str">
        <x:v>csq020-r03</x:v>
      </x:c>
      <x:c r="B384" s="17" t="str">
        <x:v>csq020</x:v>
      </x:c>
      <x:c r="C384" s="17" t="str">
        <x:v>security_and_privacy</x:v>
      </x:c>
      <x:c r="D384" s="17" t="str">
        <x:v>membership_inference</x:v>
      </x:c>
      <x:c r="E384" s="27" t="str">
        <x:v>How do black-box and white-box membership inference attacks against machine learning models compare in their assumptions, methods, and evaluations?</x:v>
      </x:c>
      <x:c r="F384" s="22" t="n">
        <x:v>3</x:v>
      </x:c>
      <x:c r="G384" s="17" t="str">
        <x:v>arXiv:2406.11544</x:v>
      </x:c>
      <x:c r="H384" s="27" t="str">
        <x:v>Do Parameters Reveal More than Loss for Membership Inference?</x:v>
      </x:c>
      <x:c r="I384" s="17" t="str">
        <x:v>Anshuman Suri; Xiao Zhang; David Evans</x:v>
      </x:c>
      <x:c r="J384" s="22" t="n">
        <x:v>2024</x:v>
      </x:c>
      <x:c r="K384" s="27" t="str">
        <x:v>Membership inference attacks are used as a key tool for disclosure auditing. They aim to infer whether an individual record was used to train a model. While such evaluations are useful to demonstrate risk, they are computationally expensive and often make strong assumptions about potential adversaries' access to models and training environments, and thus do not provide tight bounds on leakage from potential attacks. We show how prior claims around black-box access being sufficient for optimal membership inference do not hold for stochastic gradient descent, and that optimal membership inference indeed requires white-box access. Our theoretical results lead to a new white-box inference attack, IHA (Inverse Hessian Attack), that explicitly uses model parameters by taking advantage of computing inverse-Hessian vector products. Our results show that both auditors and adversaries may be able to benefit from access to model parameters, and we advocate for further research into white-box methods for membership inference.</x:v>
      </x:c>
      <x:c r="L384" s="17" t="str">
        <x:v>http://arxiv.org/abs/2406.11544v4</x:v>
      </x:c>
      <x:c r="M384" s="23" t="n">
        <x:v>0.9385374243211126</x:v>
      </x:c>
      <x:c r="N384" s="17" t="str">
        <x:v>qwen3-rerank-no-instruct-20260727-125006-results.jsonl</x:v>
      </x:c>
      <x:c r="O384" s="24" t="str">
        <x:v>2</x:v>
      </x:c>
      <x:c r="P384" s="28" t="str">
        <x:v>直接检验白盒参数是否优于黑盒损失。</x:v>
      </x:c>
      <x:c r="Q384" s="25" t="str"/>
      <x:c r="R384" s="24" t="str">
        <x:f>IF(Q384&lt;&gt;"",Q384,O384)</x:f>
        <x:v>2</x:v>
      </x:c>
      <x:c r="S384" s="29" t="str"/>
    </x:row>
    <x:row r="385" ht="54" customHeight="1">
      <x:c r="A385" s="17" t="str">
        <x:v>csq020-r04</x:v>
      </x:c>
      <x:c r="B385" s="17" t="str">
        <x:v>csq020</x:v>
      </x:c>
      <x:c r="C385" s="17" t="str">
        <x:v>security_and_privacy</x:v>
      </x:c>
      <x:c r="D385" s="17" t="str">
        <x:v>membership_inference</x:v>
      </x:c>
      <x:c r="E385" s="27" t="str">
        <x:v>How do black-box and white-box membership inference attacks against machine learning models compare in their assumptions, methods, and evaluations?</x:v>
      </x:c>
      <x:c r="F385" s="22" t="n">
        <x:v>4</x:v>
      </x:c>
      <x:c r="G385" s="17" t="str">
        <x:v>arXiv:2306.05093</x:v>
      </x:c>
      <x:c r="H385" s="27" t="str">
        <x:v>Investigating the Effect of Misalignment on Membership Privacy in the White-box Setting</x:v>
      </x:c>
      <x:c r="I385" s="17" t="str">
        <x:v>Ana-Maria Cretu; Daniel Jones; Yves-Alexandre de Montjoye; Shruti Tople</x:v>
      </x:c>
      <x:c r="J385" s="22" t="n">
        <x:v>2023</x:v>
      </x:c>
      <x:c r="K385" s="27" t="str">
        <x:v>Machine learning models have been shown to leak sensitive information about their training datasets. Models are increasingly deployed on devices, raising concerns that white-box access to the model parameters increases the attack surface compared to black-box access which only provides query access. Directly extending the shadow modelling technique from the black-box to the white-box setting has been shown, in general, not to perform better than black-box only attacks. A potential reason is misalignment, a known characteristic of deep neural networks. In the shadow modelling context, misalignment means that, while the shadow models learn similar features in each layer, the features are located in different positions. We here present the first systematic analysis of the causes of misalignment in shadow models and show the use of a different weight initialisation to be the main cause. We then extend several re-alignment techniques, previously developed in the model fusion literature, to the shadow modelling context, where the goal is to re-align the layers of a shadow model to those of the target model. We show re-alignment techniques to significantly reduce the measured misalignment between the target and shadow models. Finally, we perform a comprehensive evaluation of white-box membership inference attacks (MIA). Our analysis reveals that internal layer activation-based MIAs suffer strongly from shadow model misalignment, while gradient-based MIAs are only sometimes significantly affected. We show that re-aligning the shadow models strongly improves the former's performance and can also improve the latter's performance, although less frequently. Taken together, our results highlight that on-device deployment increases the attack surface and that the newly available information can be used to build more powerful attacks.</x:v>
      </x:c>
      <x:c r="L385" s="17" t="str">
        <x:v>http://arxiv.org/abs/2306.05093v2</x:v>
      </x:c>
      <x:c r="M385" s="23" t="n">
        <x:v>0.9121777891487166</x:v>
      </x:c>
      <x:c r="N385" s="17" t="str">
        <x:v>qwen3-rerank-no-instruct-20260727-125006-results.jsonl</x:v>
      </x:c>
      <x:c r="O385" s="24" t="str">
        <x:v>2</x:v>
      </x:c>
      <x:c r="P385" s="28" t="str">
        <x:v>比较白盒参数访问与黑盒查询及错位影响。</x:v>
      </x:c>
      <x:c r="Q385" s="25" t="str"/>
      <x:c r="R385" s="24" t="str">
        <x:f>IF(Q385&lt;&gt;"",Q385,O385)</x:f>
        <x:v>2</x:v>
      </x:c>
      <x:c r="S385" s="29" t="str"/>
    </x:row>
    <x:row r="386" ht="54" customHeight="1">
      <x:c r="A386" s="17" t="str">
        <x:v>csq020-r05</x:v>
      </x:c>
      <x:c r="B386" s="17" t="str">
        <x:v>csq020</x:v>
      </x:c>
      <x:c r="C386" s="17" t="str">
        <x:v>security_and_privacy</x:v>
      </x:c>
      <x:c r="D386" s="17" t="str">
        <x:v>membership_inference</x:v>
      </x:c>
      <x:c r="E386" s="27" t="str">
        <x:v>How do black-box and white-box membership inference attacks against machine learning models compare in their assumptions, methods, and evaluations?</x:v>
      </x:c>
      <x:c r="F386" s="22" t="n">
        <x:v>5</x:v>
      </x:c>
      <x:c r="G386" s="17" t="str">
        <x:v>arXiv:1906.11798</x:v>
      </x:c>
      <x:c r="H386" s="27" t="str">
        <x:v>Stolen Memories: Leveraging Model Memorization for Calibrated White-Box Membership Inference</x:v>
      </x:c>
      <x:c r="I386" s="17" t="str">
        <x:v>Klas Leino; Matt Fredrikson</x:v>
      </x:c>
      <x:c r="J386" s="22" t="n">
        <x:v>2019</x:v>
      </x:c>
      <x:c r="K386" s="27" t="str">
        <x:v>Membership inference (MI) attacks exploit the fact that machine learning algorithms sometimes leak information about their training data through the learned model. In this work, we study membership inference in the white-box setting in order to exploit the internals of a model, which have not been effectively utilized by previous work. Leveraging new insights about how overfitting occurs in deep neural networks, we show how a model's idiosyncratic use of features can provide evidence for membership to white-box attackers---even when the model's black-box behavior appears to generalize well---and demonstrate that this attack outperforms prior black-box methods. Taking the position that an effective attack should have the ability to provide confident positive inferences, we find that previous attacks do not often provide a meaningful basis for confidently inferring membership, whereas our attack can be effectively calibrated for high precision. Finally, we examine popular defenses against MI attacks, finding that (1) smaller generalization error is not sufficient to prevent attacks on real models, and (2) while small-$ε$-differential privacy reduces the attack's effectiveness, this often comes at a significant cost to the model's accuracy; and for larger $ε$ that are sometimes used in practice (e.g., $ε=16$), the attack can achieve nearly the same accuracy as on the unprotected model.</x:v>
      </x:c>
      <x:c r="L386" s="17" t="str">
        <x:v>http://arxiv.org/abs/1906.11798v2</x:v>
      </x:c>
      <x:c r="M386" s="23" t="n">
        <x:v>0.8615861019360194</x:v>
      </x:c>
      <x:c r="N386" s="17" t="str">
        <x:v>qwen3-rerank-no-instruct-20260727-125006-results.jsonl</x:v>
      </x:c>
      <x:c r="O386" s="24" t="str">
        <x:v>2</x:v>
      </x:c>
      <x:c r="P386" s="28" t="str">
        <x:v>提出白盒MIA并与黑盒行为比较。</x:v>
      </x:c>
      <x:c r="Q386" s="25" t="str"/>
      <x:c r="R386" s="24" t="str">
        <x:f>IF(Q386&lt;&gt;"",Q386,O386)</x:f>
        <x:v>2</x:v>
      </x:c>
      <x:c r="S386" s="29" t="str"/>
    </x:row>
    <x:row r="387" ht="54" customHeight="1">
      <x:c r="A387" s="17" t="str">
        <x:v>csq020-r06</x:v>
      </x:c>
      <x:c r="B387" s="17" t="str">
        <x:v>csq020</x:v>
      </x:c>
      <x:c r="C387" s="17" t="str">
        <x:v>security_and_privacy</x:v>
      </x:c>
      <x:c r="D387" s="17" t="str">
        <x:v>membership_inference</x:v>
      </x:c>
      <x:c r="E387" s="27" t="str">
        <x:v>How do black-box and white-box membership inference attacks against machine learning models compare in their assumptions, methods, and evaluations?</x:v>
      </x:c>
      <x:c r="F387" s="22" t="n">
        <x:v>6</x:v>
      </x:c>
      <x:c r="G387" s="17" t="str">
        <x:v>arXiv:1812.00910</x:v>
      </x:c>
      <x:c r="H387" s="27" t="str">
        <x:v>Comprehensive Privacy Analysis of Deep Learning: Passive and Active White-box Inference Attacks against Centralized and Federated Learning</x:v>
      </x:c>
      <x:c r="I387" s="17" t="str">
        <x:v>Milad Nasr; Reza Shokri; Amir Houmansadr</x:v>
      </x:c>
      <x:c r="J387" s="22" t="n">
        <x:v>2018</x:v>
      </x:c>
      <x:c r="K387" s="27" t="str">
        <x:v>Deep neural networks are susceptible to various inference attacks as they remember information about their training data. We design white-box inference attacks to perform a comprehensive privacy analysis of deep learning models. We measure the privacy leakage through parameters of fully trained models as well as the parameter updates of models during training. We design inference algorithms for both centralized and federated learning, with respect to passive and active inference attackers, and assuming different adversary prior knowledge. We evaluate our novel white-box membership inference attacks against deep learning algorithms to trace their training data records. We show that a straightforward extension of the known black-box attacks to the white-box setting (through analyzing the outputs of activation functions) is ineffective. We therefore design new algorithms tailored to the white-box setting by exploiting the privacy vulnerabilities of the stochastic gradient descent algorithm, which is the algorithm used to train deep neural networks. We investigate the reasons why deep learning models may leak information about their training data. We then show that even well-generalized models are significantly susceptible to white-box membership inference attacks, by analyzing state-of-the-art pre-trained and publicly available models for the CIFAR dataset. We also show how adversarial participants, in the federated learning setting, can successfully run active membership inference attacks against other participants, even when the global model achieves high prediction accuracies.</x:v>
      </x:c>
      <x:c r="L387" s="17" t="str">
        <x:v>http://arxiv.org/abs/1812.00910v2</x:v>
      </x:c>
      <x:c r="M387" s="23" t="n">
        <x:v>0.8584809567756457</x:v>
      </x:c>
      <x:c r="N387" s="17" t="str">
        <x:v>qwen3-rerank-no-instruct-20260727-125006-results.jsonl</x:v>
      </x:c>
      <x:c r="O387" s="24" t="str">
        <x:v>2</x:v>
      </x:c>
      <x:c r="P387" s="28" t="str">
        <x:v>全面设计并评估白盒成员推断。</x:v>
      </x:c>
      <x:c r="Q387" s="25" t="str"/>
      <x:c r="R387" s="24" t="str">
        <x:f>IF(Q387&lt;&gt;"",Q387,O387)</x:f>
        <x:v>2</x:v>
      </x:c>
      <x:c r="S387" s="29" t="str"/>
    </x:row>
    <x:row r="388" ht="54" customHeight="1">
      <x:c r="A388" s="17" t="str">
        <x:v>csq020-r07</x:v>
      </x:c>
      <x:c r="B388" s="17" t="str">
        <x:v>csq020</x:v>
      </x:c>
      <x:c r="C388" s="17" t="str">
        <x:v>security_and_privacy</x:v>
      </x:c>
      <x:c r="D388" s="17" t="str">
        <x:v>membership_inference</x:v>
      </x:c>
      <x:c r="E388" s="27" t="str">
        <x:v>How do black-box and white-box membership inference attacks against machine learning models compare in their assumptions, methods, and evaluations?</x:v>
      </x:c>
      <x:c r="F388" s="22" t="n">
        <x:v>7</x:v>
      </x:c>
      <x:c r="G388" s="17" t="str">
        <x:v>arXiv:2502.03692</x:v>
      </x:c>
      <x:c r="H388" s="27" t="str">
        <x:v>DocMIA: Document-Level Membership Inference Attacks against DocVQA Models</x:v>
      </x:c>
      <x:c r="I388" s="17" t="str">
        <x:v>Khanh Nguyen; Raouf Kerkouche; Mario Fritz; Dimosthenis Karatzas</x:v>
      </x:c>
      <x:c r="J388" s="22" t="n">
        <x:v>2025</x:v>
      </x:c>
      <x:c r="K388" s="27" t="str">
        <x:v>Document Visual Question Answering (DocVQA) has introduced a new paradigm for end-to-end document understanding, and quickly became one of the standard benchmarks for multimodal LLMs. Automating document processing workflows, driven by DocVQA models, presents significant potential for many business sectors. However, documents tend to contain highly sensitive information, raising concerns about privacy risks associated with training such DocVQA models. One significant privacy vulnerability, exploited by the membership inference attack, is the possibility for an adversary to determine if a particular record was part of the model's training data. In this paper, we introduce two novel membership inference attacks tailored specifically to DocVQA models. These attacks are designed for two different adversarial scenarios: a white-box setting, where the attacker has full access to the model architecture and parameters, and a black-box setting, where only the model's outputs are available. Notably, our attacks assume the adversary lacks access to auxiliary datasets, which is more realistic in practice but also more challenging. Our unsupervised methods outperform existing state-of-the-art membership inference attacks across a variety of DocVQA models and datasets, demonstrating their effectiveness and highlighting the privacy risks in this domain.</x:v>
      </x:c>
      <x:c r="L388" s="17" t="str">
        <x:v>http://arxiv.org/abs/2502.03692v1</x:v>
      </x:c>
      <x:c r="M388" s="23" t="n">
        <x:v>0.8504555379095287</x:v>
      </x:c>
      <x:c r="N388" s="17" t="str">
        <x:v>qwen3-rerank-no-instruct-20260727-125006-results.jsonl</x:v>
      </x:c>
      <x:c r="O388" s="24" t="str">
        <x:v>2</x:v>
      </x:c>
      <x:c r="P388" s="28" t="str">
        <x:v>提出文档级DocVQA成员推断攻击。</x:v>
      </x:c>
      <x:c r="Q388" s="25" t="str"/>
      <x:c r="R388" s="24" t="str">
        <x:f>IF(Q388&lt;&gt;"",Q388,O388)</x:f>
        <x:v>2</x:v>
      </x:c>
      <x:c r="S388" s="29" t="str"/>
    </x:row>
    <x:row r="389" ht="54" customHeight="1">
      <x:c r="A389" s="17" t="str">
        <x:v>csq020-r08</x:v>
      </x:c>
      <x:c r="B389" s="17" t="str">
        <x:v>csq020</x:v>
      </x:c>
      <x:c r="C389" s="17" t="str">
        <x:v>security_and_privacy</x:v>
      </x:c>
      <x:c r="D389" s="17" t="str">
        <x:v>membership_inference</x:v>
      </x:c>
      <x:c r="E389" s="27" t="str">
        <x:v>How do black-box and white-box membership inference attacks against machine learning models compare in their assumptions, methods, and evaluations?</x:v>
      </x:c>
      <x:c r="F389" s="22" t="n">
        <x:v>8</x:v>
      </x:c>
      <x:c r="G389" s="17" t="str">
        <x:v>arXiv:2508.06244</x:v>
      </x:c>
      <x:c r="H389" s="27" t="str">
        <x:v>Membership Inference Attack with Partial Features</x:v>
      </x:c>
      <x:c r="I389" s="17" t="str">
        <x:v>Xurun Wang; Guangrui Liu; Xinjie Li; Haoyu He; Lin Yao; Zhongyun Hua; Weizhe Zhang</x:v>
      </x:c>
      <x:c r="J389" s="22" t="n">
        <x:v>2025</x:v>
      </x:c>
      <x:c r="K389" s="27" t="str">
        <x:v>Machine learning models are vulnerable to membership inference attack, which can be used to determine whether a given sample appears in the training data. Most existing methods assume the attacker has full access to the features of the target sample. This assumption, however, does not hold in many real-world scenarios where only partial features are available, thereby limiting the applicability of these methods. In this work, we introduce Partial Feature Membership Inference (PFMI), a scenario where the adversary observes only partial features of each sample and aims to infer whether this observed subset was present in the training set. To address this problem, we propose MRAD (Memory-guided Reconstruction and Anomaly Detection), a two-stage attack framework that works in both white-box and black-box settings. In the first stage, MRAD leverages the latent memory of the target model to reconstruct the unknown features of the sample. We observe that when the known features are absent from the training set, the reconstructed sample deviates significantly from the true data distribution. Consequently, in the second stage, we use anomaly detection algorithms to measure the deviation between the reconstructed sample and the training data distribution, thereby determining whether the known features belong to a member of the training set. Empirical results demonstrate that MRAD is effective across various datasets, and maintains compatibility with off-the-shelf anomaly detection techniques. For example, on STL-10, our attack exceeds an AUC of around 0.75 even with 60% of the missing features.</x:v>
      </x:c>
      <x:c r="L389" s="17" t="str">
        <x:v>http://arxiv.org/abs/2508.06244v2</x:v>
      </x:c>
      <x:c r="M389" s="23" t="n">
        <x:v>0.8321721595949365</x:v>
      </x:c>
      <x:c r="N389" s="17" t="str">
        <x:v>qwen3-rerank-no-instruct-20260727-125006-results.jsonl</x:v>
      </x:c>
      <x:c r="O389" s="24" t="str">
        <x:v>2</x:v>
      </x:c>
      <x:c r="P389" s="28" t="str">
        <x:v>放宽完整特征访问假设的MIA。</x:v>
      </x:c>
      <x:c r="Q389" s="25" t="str"/>
      <x:c r="R389" s="24" t="str">
        <x:f>IF(Q389&lt;&gt;"",Q389,O389)</x:f>
        <x:v>2</x:v>
      </x:c>
      <x:c r="S389" s="29" t="str"/>
    </x:row>
    <x:row r="390" ht="54" customHeight="1">
      <x:c r="A390" s="17" t="str">
        <x:v>csq020-r09</x:v>
      </x:c>
      <x:c r="B390" s="17" t="str">
        <x:v>csq020</x:v>
      </x:c>
      <x:c r="C390" s="17" t="str">
        <x:v>security_and_privacy</x:v>
      </x:c>
      <x:c r="D390" s="17" t="str">
        <x:v>membership_inference</x:v>
      </x:c>
      <x:c r="E390" s="27" t="str">
        <x:v>How do black-box and white-box membership inference attacks against machine learning models compare in their assumptions, methods, and evaluations?</x:v>
      </x:c>
      <x:c r="F390" s="22" t="n">
        <x:v>9</x:v>
      </x:c>
      <x:c r="G390" s="17" t="str">
        <x:v>arXiv:2508.09603</x:v>
      </x:c>
      <x:c r="H390" s="27" t="str">
        <x:v>The Surprising Effectiveness of Membership Inference with Simple N-Gram Coverage</x:v>
      </x:c>
      <x:c r="I390" s="17" t="str">
        <x:v>Skyler Hallinan; Jaehun Jung; Melanie Sclar; Ximing Lu; Abhilasha Ravichander; Sahana Ramnath; Yejin Choi; Sai Praneeth Karimireddy; Niloofar Mireshghallah; Xiang Ren</x:v>
      </x:c>
      <x:c r="J390" s="22" t="n">
        <x:v>2025</x:v>
      </x:c>
      <x:c r="K390" s="27" t="str">
        <x:v>Membership inference attacks serves as useful tool for fair use of language models, such as detecting potential copyright infringement and auditing data leakage. However, many current state-of-the-art attacks require access to models' hidden states or probability distribution, which prevents investigation into more widely-used, API-access only models like GPT-4. In this work, we introduce N-Gram Coverage Attack, a membership inference attack that relies solely on text outputs from the target model, enabling attacks on completely black-box models. We leverage the observation that models are more likely to memorize and subsequently generate text patterns that were commonly observed in their training data. Specifically, to make a prediction on a candidate member, N-Gram Coverage Attack first obtains multiple model generations conditioned on a prefix of the candidate. It then uses n-gram overlap metrics to compute and aggregate the similarities of these outputs with the ground truth suffix; high similarities indicate likely membership. We first demonstrate on a diverse set of existing benchmarks that N-Gram Coverage Attack outperforms other black-box methods while also impressively achieving comparable or even better performance to state-of-the-art white-box attacks - despite having access to only text outputs. Interestingly, we find that the success rate of our method scales with the attack compute budget - as we increase the number of sequences generated from the target model conditioned on the prefix, attack performance tends to improve. Having verified the accuracy of our method, we use it to investigate previously unstudied closed OpenAI models on multiple domains. We find that more recent models, such as GPT-4o, exhibit increased robustness to membership inference, suggesting an evolving trend toward improved privacy protections.</x:v>
      </x:c>
      <x:c r="L390" s="17" t="str">
        <x:v>http://arxiv.org/abs/2508.09603v2</x:v>
      </x:c>
      <x:c r="M390" s="23" t="n">
        <x:v>0.8142255475372268</x:v>
      </x:c>
      <x:c r="N390" s="17" t="str">
        <x:v>qwen3-rerank-no-instruct-20260727-125006-results.jsonl</x:v>
      </x:c>
      <x:c r="O390" s="24" t="str">
        <x:v>2</x:v>
      </x:c>
      <x:c r="P390" s="28" t="str">
        <x:v>仅API访问的N-gram覆盖黑盒攻击。</x:v>
      </x:c>
      <x:c r="Q390" s="25" t="str"/>
      <x:c r="R390" s="24" t="str">
        <x:f>IF(Q390&lt;&gt;"",Q390,O390)</x:f>
        <x:v>2</x:v>
      </x:c>
      <x:c r="S390" s="29" t="str"/>
    </x:row>
    <x:row r="391" ht="54" customHeight="1">
      <x:c r="A391" s="17" t="str">
        <x:v>csq020-r10</x:v>
      </x:c>
      <x:c r="B391" s="17" t="str">
        <x:v>csq020</x:v>
      </x:c>
      <x:c r="C391" s="17" t="str">
        <x:v>security_and_privacy</x:v>
      </x:c>
      <x:c r="D391" s="17" t="str">
        <x:v>membership_inference</x:v>
      </x:c>
      <x:c r="E391" s="27" t="str">
        <x:v>How do black-box and white-box membership inference attacks against machine learning models compare in their assumptions, methods, and evaluations?</x:v>
      </x:c>
      <x:c r="F391" s="22" t="n">
        <x:v>10</x:v>
      </x:c>
      <x:c r="G391" s="17" t="str">
        <x:v>arXiv:2511.01952</x:v>
      </x:c>
      <x:c r="H391" s="27" t="str">
        <x:v>Black-Box Membership Inference Attack for LVLMs via Prior Knowledge-Calibrated Memory Probing</x:v>
      </x:c>
      <x:c r="I391" s="17" t="str">
        <x:v>Jinhua Yin; Peiru Yang; Chen Yang; Huili Wang; Zhiyang Hu; Shangguang Wang; Yongfeng Huang; Tao Qi</x:v>
      </x:c>
      <x:c r="J391" s="22" t="n">
        <x:v>2025</x:v>
      </x:c>
      <x:c r="K391" s="27" t="str">
        <x:v>Large vision-language models (LVLMs) derive their capabilities from extensive training on vast corpora of visual and textual data. Empowered by large-scale parameters, these models often exhibit strong memorization of their training data, rendering them susceptible to membership inference attacks (MIAs). Existing MIA methods for LVLMs typically operate under white- or gray-box assumptions, by extracting likelihood-based features for the suspected data samples based on the target LVLMs. However, mainstream LVLMs generally only expose generated outputs while concealing internal computational features during inference, limiting the applicability of these methods. In this work, we propose the first black-box MIA framework for LVLMs, based on a prior knowledge-calibrated memory probing mechanism. The core idea is to assess the model memorization of the private semantic information embedded within the suspected image data, which is unlikely to be inferred from general world knowledge alone. We conducted extensive experiments across four LVLMs and three datasets. Empirical results demonstrate that our method effectively identifies training data of LVLMs in a purely black-box setting and even achieves performance comparable to gray-box and white-box methods. Further analysis reveals the robustness of our method against potential adversarial manipulations, and the effectiveness of the methodology designs. Our code and data are available at https://github.com/spmede/KCMP.</x:v>
      </x:c>
      <x:c r="L391" s="17" t="str">
        <x:v>http://arxiv.org/abs/2511.01952v1</x:v>
      </x:c>
      <x:c r="M391" s="23" t="n">
        <x:v>0.8075945356299584</x:v>
      </x:c>
      <x:c r="N391" s="17" t="str">
        <x:v>qwen3-rerank-no-instruct-20260727-125006-results.jsonl</x:v>
      </x:c>
      <x:c r="O391" s="24" t="str">
        <x:v>2</x:v>
      </x:c>
      <x:c r="P391" s="28" t="str">
        <x:v>仅输出访问的黑盒LVLM成员推断。</x:v>
      </x:c>
      <x:c r="Q391" s="25" t="str"/>
      <x:c r="R391" s="24" t="str">
        <x:f>IF(Q391&lt;&gt;"",Q391,O391)</x:f>
        <x:v>2</x:v>
      </x:c>
      <x:c r="S391" s="29" t="str"/>
    </x:row>
    <x:row r="392" ht="54" customHeight="1">
      <x:c r="A392" s="17" t="str">
        <x:v>csq020-r11</x:v>
      </x:c>
      <x:c r="B392" s="17" t="str">
        <x:v>csq020</x:v>
      </x:c>
      <x:c r="C392" s="17" t="str">
        <x:v>security_and_privacy</x:v>
      </x:c>
      <x:c r="D392" s="17" t="str">
        <x:v>membership_inference</x:v>
      </x:c>
      <x:c r="E392" s="27" t="str">
        <x:v>How do black-box and white-box membership inference attacks against machine learning models compare in their assumptions, methods, and evaluations?</x:v>
      </x:c>
      <x:c r="F392" s="22" t="n">
        <x:v>11</x:v>
      </x:c>
      <x:c r="G392" s="17" t="str">
        <x:v>arXiv:2506.02711</x:v>
      </x:c>
      <x:c r="H392" s="27" t="str">
        <x:v>Privacy Leaks by Adversaries: Adversarial Iterations for Membership Inference Attack</x:v>
      </x:c>
      <x:c r="I392" s="17" t="str">
        <x:v>Jing Xue; Zhishen Sun; Haishan Ye; Luo Luo; Xiangyu Chang; Ivor Tsang; Guang Dai</x:v>
      </x:c>
      <x:c r="J392" s="22" t="n">
        <x:v>2025</x:v>
      </x:c>
      <x:c r="K392" s="27" t="str">
        <x:v>Membership inference attack (MIA) has become one of the most widely used and effective methods for evaluating the privacy risks of machine learning models. These attacks aim to determine whether a specific sample is part of the model's training set by analyzing the model's output. While traditional membership inference attacks focus on leveraging the model's posterior output, such as confidence on the target sample, we propose IMIA, a novel attack strategy that utilizes the process of generating adversarial samples to infer membership. We propose to infer the member properties of the target sample using the number of iterations required to generate its adversarial sample. We conduct experiments across multiple models and datasets, and our results demonstrate that the number of iterations for generating an adversarial sample is a reliable feature for membership inference, achieving strong performance both in black-box and white-box attack scenarios. This work provides a new perspective for evaluating model privacy and highlights the potential of adversarial example-based features for privacy leakage assessment.</x:v>
      </x:c>
      <x:c r="L392" s="17" t="str">
        <x:v>http://arxiv.org/abs/2506.02711v1</x:v>
      </x:c>
      <x:c r="M392" s="23" t="n">
        <x:v>0.7796260108525814</x:v>
      </x:c>
      <x:c r="N392" s="17" t="str">
        <x:v>qwen3-rerank-no-instruct-20260727-125006-results.jsonl</x:v>
      </x:c>
      <x:c r="O392" s="24" t="str">
        <x:v>2</x:v>
      </x:c>
      <x:c r="P392" s="28" t="str">
        <x:v>基于模型输出和对抗迭代的MIA。</x:v>
      </x:c>
      <x:c r="Q392" s="25" t="str"/>
      <x:c r="R392" s="24" t="str">
        <x:f>IF(Q392&lt;&gt;"",Q392,O392)</x:f>
        <x:v>2</x:v>
      </x:c>
      <x:c r="S392" s="29" t="str"/>
    </x:row>
    <x:row r="393" ht="54" customHeight="1">
      <x:c r="A393" s="17" t="str">
        <x:v>csq020-r12</x:v>
      </x:c>
      <x:c r="B393" s="17" t="str">
        <x:v>csq020</x:v>
      </x:c>
      <x:c r="C393" s="17" t="str">
        <x:v>security_and_privacy</x:v>
      </x:c>
      <x:c r="D393" s="17" t="str">
        <x:v>membership_inference</x:v>
      </x:c>
      <x:c r="E393" s="27" t="str">
        <x:v>How do black-box and white-box membership inference attacks against machine learning models compare in their assumptions, methods, and evaluations?</x:v>
      </x:c>
      <x:c r="F393" s="22" t="n">
        <x:v>12</x:v>
      </x:c>
      <x:c r="G393" s="17" t="str">
        <x:v>arXiv:2308.06405</x:v>
      </x:c>
      <x:c r="H393" s="27" t="str">
        <x:v>White-box Membership Inference Attacks against Diffusion Models</x:v>
      </x:c>
      <x:c r="I393" s="17" t="str">
        <x:v>Yan Pang; Tianhao Wang; Xuhui Kang; Mengdi Huai; Yang Zhang</x:v>
      </x:c>
      <x:c r="J393" s="22" t="n">
        <x:v>2023</x:v>
      </x:c>
      <x:c r="K393" s="27" t="str">
        <x:v>Diffusion models have begun to overshadow GANs and other generative models in industrial applications due to their superior image generation performance. The complex architecture of these models furnishes an extensive array of attack features. In light of this, we aim to design membership inference attacks (MIAs) catered to diffusion models. We first conduct an exhaustive analysis of existing MIAs on diffusion models, taking into account factors such as black-box/white-box models and the selection of attack features. We found that white-box attacks are highly applicable in real-world scenarios, and the most effective attacks presently are white-box. Departing from earlier research, which employs model loss as the attack feature for white-box MIAs, we employ model gradients in our attack, leveraging the fact that these gradients provide a more profound understanding of model responses to various samples. We subject these models to rigorous testing across a range of parameters, including training steps, sampling frequency, diffusion steps, and data variance. Across all experimental settings, our method consistently demonstrated near-flawless attack performance, with attack success rate approaching 100% and attack AUCROC near 1.0. We also evaluate our attack against common defense mechanisms, and observe our attacks continue to exhibit commendable performance.</x:v>
      </x:c>
      <x:c r="L393" s="17" t="str">
        <x:v>http://arxiv.org/abs/2308.06405v3</x:v>
      </x:c>
      <x:c r="M393" s="23" t="n">
        <x:v>0.777565144608626</x:v>
      </x:c>
      <x:c r="N393" s="17" t="str">
        <x:v>qwen3-rerank-no-instruct-20260727-125006-results.jsonl</x:v>
      </x:c>
      <x:c r="O393" s="24" t="str">
        <x:v>2</x:v>
      </x:c>
      <x:c r="P393" s="28" t="str">
        <x:v>分析扩散模型黑白盒特征并提出白盒攻击。</x:v>
      </x:c>
      <x:c r="Q393" s="25" t="str"/>
      <x:c r="R393" s="24" t="str">
        <x:f>IF(Q393&lt;&gt;"",Q393,O393)</x:f>
        <x:v>2</x:v>
      </x:c>
      <x:c r="S393" s="29" t="str"/>
    </x:row>
    <x:row r="394" ht="54" customHeight="1">
      <x:c r="A394" s="17" t="str">
        <x:v>csq020-r13</x:v>
      </x:c>
      <x:c r="B394" s="17" t="str">
        <x:v>csq020</x:v>
      </x:c>
      <x:c r="C394" s="17" t="str">
        <x:v>security_and_privacy</x:v>
      </x:c>
      <x:c r="D394" s="17" t="str">
        <x:v>membership_inference</x:v>
      </x:c>
      <x:c r="E394" s="27" t="str">
        <x:v>How do black-box and white-box membership inference attacks against machine learning models compare in their assumptions, methods, and evaluations?</x:v>
      </x:c>
      <x:c r="F394" s="22" t="n">
        <x:v>13</x:v>
      </x:c>
      <x:c r="G394" s="17" t="str">
        <x:v>arXiv:2307.01701</x:v>
      </x:c>
      <x:c r="H394" s="27" t="str">
        <x:v>Synthetic is all you need: removing the auxiliary data assumption for membership inference attacks against synthetic data</x:v>
      </x:c>
      <x:c r="I394" s="17" t="str">
        <x:v>Florent Guépin; Matthieu Meeus; Ana-Maria Cretu; Yves-Alexandre de Montjoye</x:v>
      </x:c>
      <x:c r="J394" s="22" t="n">
        <x:v>2023</x:v>
      </x:c>
      <x:c r="K394" s="27" t="str">
        <x:v>Synthetic data is emerging as one of the most promising solutions to share individual-level data while safeguarding privacy. While membership inference attacks (MIAs), based on shadow modeling, have become the standard to evaluate the privacy of synthetic data, they currently assume the attacker to have access to an auxiliary dataset sampled from a similar distribution as the training dataset. This is often seen as a very strong assumption in practice, especially as the proposed main use cases for synthetic tabular data (e.g. medical data, financial transactions) are very specific and don't have any reference datasets directly available. We here show how this assumption can be removed, allowing for MIAs to be performed using only the synthetic data. Specifically, we developed three different scenarios: (S1) Black-box access to the generator, (S2) only access to the released synthetic dataset and (S3) a theoretical setup as upper bound for the attack performance using only synthetic data. Our results show that MIAs are still successful, across two real-world datasets and two synthetic data generators. These results show how the strong hypothesis made when auditing synthetic data releases - access to an auxiliary dataset - can be relaxed, making the attacks more realistic in practice.</x:v>
      </x:c>
      <x:c r="L394" s="17" t="str">
        <x:v>http://arxiv.org/abs/2307.01701v2</x:v>
      </x:c>
      <x:c r="M394" s="23" t="n">
        <x:v>0.7690008874013515</x:v>
      </x:c>
      <x:c r="N394" s="17" t="str">
        <x:v>qwen3-rerank-no-instruct-20260727-125006-results.jsonl</x:v>
      </x:c>
      <x:c r="O394" s="24" t="str">
        <x:v>2</x:v>
      </x:c>
      <x:c r="P394" s="28" t="str">
        <x:v>移除影子模型MIA的辅助数据假设。</x:v>
      </x:c>
      <x:c r="Q394" s="25" t="str"/>
      <x:c r="R394" s="24" t="str">
        <x:f>IF(Q394&lt;&gt;"",Q394,O394)</x:f>
        <x:v>2</x:v>
      </x:c>
      <x:c r="S394" s="29" t="str"/>
    </x:row>
    <x:row r="395" ht="54" customHeight="1">
      <x:c r="A395" s="17" t="str">
        <x:v>csq020-r14</x:v>
      </x:c>
      <x:c r="B395" s="17" t="str">
        <x:v>csq020</x:v>
      </x:c>
      <x:c r="C395" s="17" t="str">
        <x:v>security_and_privacy</x:v>
      </x:c>
      <x:c r="D395" s="17" t="str">
        <x:v>membership_inference</x:v>
      </x:c>
      <x:c r="E395" s="27" t="str">
        <x:v>How do black-box and white-box membership inference attacks against machine learning models compare in their assumptions, methods, and evaluations?</x:v>
      </x:c>
      <x:c r="F395" s="22" t="n">
        <x:v>14</x:v>
      </x:c>
      <x:c r="G395" s="17" t="str">
        <x:v>arXiv:2106.11384</x:v>
      </x:c>
      <x:c r="H395" s="27" t="str">
        <x:v>Membership Inference on Word Embedding and Beyond</x:v>
      </x:c>
      <x:c r="I395" s="17" t="str">
        <x:v>Saeed Mahloujifar; Huseyin A. Inan; Melissa Chase; Esha Ghosh; Marcello Hasegawa</x:v>
      </x:c>
      <x:c r="J395" s="22" t="n">
        <x:v>2021</x:v>
      </x:c>
      <x:c r="K395" s="27" t="str">
        <x:v>In the text processing context, most ML models are built on word embeddings. These embeddings are themselves trained on some datasets, potentially containing sensitive data. In some cases this training is done independently, in other cases, it occurs as part of training a larger, task-specific model. In either case, it is of interest to consider membership inference attacks based on the embedding layer as a way of understanding sensitive information leakage. But, somewhat surprisingly, membership inference attacks on word embeddings and their effect in other natural language processing (NLP) tasks that use these embeddings, have remained relatively unexplored. In this work, we show that word embeddings are vulnerable to black-box membership inference attacks under realistic assumptions. Furthermore, we show that this leakage persists through two other major NLP applications: classification and text-generation, even when the embedding layer is not exposed to the attacker. We show that our MI attack achieves high attack accuracy against a classifier model and an LSTM-based language model. Indeed, our attack is a cheaper membership inference attack on text-generative models, which does not require the knowledge of the target model or any expensive training of text-generative models as shadow models.</x:v>
      </x:c>
      <x:c r="L395" s="17" t="str">
        <x:v>http://arxiv.org/abs/2106.11384v1</x:v>
      </x:c>
      <x:c r="M395" s="23" t="n">
        <x:v>0.759680903980702</x:v>
      </x:c>
      <x:c r="N395" s="17" t="str">
        <x:v>qwen3-rerank-no-instruct-20260727-125006-results.jsonl</x:v>
      </x:c>
      <x:c r="O395" s="24" t="str">
        <x:v>2</x:v>
      </x:c>
      <x:c r="P395" s="28" t="str">
        <x:v>研究词嵌入层访问下的成员推断。</x:v>
      </x:c>
      <x:c r="Q395" s="25" t="str"/>
      <x:c r="R395" s="24" t="str">
        <x:f>IF(Q395&lt;&gt;"",Q395,O395)</x:f>
        <x:v>2</x:v>
      </x:c>
      <x:c r="S395" s="29" t="str"/>
    </x:row>
    <x:row r="396" ht="54" customHeight="1">
      <x:c r="A396" s="17" t="str">
        <x:v>csq020-r15</x:v>
      </x:c>
      <x:c r="B396" s="17" t="str">
        <x:v>csq020</x:v>
      </x:c>
      <x:c r="C396" s="17" t="str">
        <x:v>security_and_privacy</x:v>
      </x:c>
      <x:c r="D396" s="17" t="str">
        <x:v>membership_inference</x:v>
      </x:c>
      <x:c r="E396" s="27" t="str">
        <x:v>How do black-box and white-box membership inference attacks against machine learning models compare in their assumptions, methods, and evaluations?</x:v>
      </x:c>
      <x:c r="F396" s="22" t="n">
        <x:v>15</x:v>
      </x:c>
      <x:c r="G396" s="17" t="str">
        <x:v>arXiv:1912.11328</x:v>
      </x:c>
      <x:c r="H396" s="27" t="str">
        <x:v>Assessing differentially private deep learning with Membership Inference</x:v>
      </x:c>
      <x:c r="I396" s="17" t="str">
        <x:v>Daniel Bernau; Philip-William Grassal; Jonas Robl; Florian Kerschbaum</x:v>
      </x:c>
      <x:c r="J396" s="22" t="n">
        <x:v>2019</x:v>
      </x:c>
      <x:c r="K396" s="27" t="str">
        <x:v>Attacks that aim to identify the training data of public neural networks represent a severe threat to the privacy of individuals participating in the training data set. A possible protection is offered by anonymization of the training data or training function with differential privacy. However, data scientists can choose between local and central differential privacy and need to select meaningful privacy parameters $ε$ which is challenging for non-privacy experts. We empirically compare local and central differential privacy mechanisms under white- and black-box membership inference to evaluate their relative privacy-accuracy trade-offs. We experiment with several datasets and show that this trade-off is similar for both types of mechanisms. This suggests that local differential privacy is a sound alternative to central differential privacy for differentially private deep learning, since small $ε$ in central differential privacy and large $ε$ in local differential privacy result in similar membership inference attack risk.</x:v>
      </x:c>
      <x:c r="L396" s="17" t="str">
        <x:v>http://arxiv.org/abs/1912.11328v4</x:v>
      </x:c>
      <x:c r="M396" s="23" t="n">
        <x:v>0.7581892546817712</x:v>
      </x:c>
      <x:c r="N396" s="17" t="str">
        <x:v>qwen3-rerank-no-instruct-20260727-125006-results.jsonl</x:v>
      </x:c>
      <x:c r="O396" s="24" t="str">
        <x:v>1</x:v>
      </x:c>
      <x:c r="P396" s="28" t="str">
        <x:v>主要用MIA评估DP训练，攻击比较非核心。</x:v>
      </x:c>
      <x:c r="Q396" s="25" t="str"/>
      <x:c r="R396" s="24" t="str">
        <x:f>IF(Q396&lt;&gt;"",Q396,O396)</x:f>
        <x:v>1</x:v>
      </x:c>
      <x:c r="S396" s="29" t="str"/>
    </x:row>
    <x:row r="397" ht="54" customHeight="1">
      <x:c r="A397" s="17" t="str">
        <x:v>csq020-r16</x:v>
      </x:c>
      <x:c r="B397" s="17" t="str">
        <x:v>csq020</x:v>
      </x:c>
      <x:c r="C397" s="17" t="str">
        <x:v>security_and_privacy</x:v>
      </x:c>
      <x:c r="D397" s="17" t="str">
        <x:v>membership_inference</x:v>
      </x:c>
      <x:c r="E397" s="27" t="str">
        <x:v>How do black-box and white-box membership inference attacks against machine learning models compare in their assumptions, methods, and evaluations?</x:v>
      </x:c>
      <x:c r="F397" s="22" t="n">
        <x:v>16</x:v>
      </x:c>
      <x:c r="G397" s="17" t="str">
        <x:v>arXiv:2405.16978</x:v>
      </x:c>
      <x:c r="H397" s="27" t="str">
        <x:v>OSLO: One-Shot Label-Only Membership Inference Attacks</x:v>
      </x:c>
      <x:c r="I397" s="17" t="str">
        <x:v>Yuefeng Peng; Jaechul Roh; Subhransu Maji; Amir Houmansadr</x:v>
      </x:c>
      <x:c r="J397" s="22" t="n">
        <x:v>2024</x:v>
      </x:c>
      <x:c r="K397" s="27" t="str">
        <x:v>We introduce One-Shot Label-Only (OSLO) membership inference attacks (MIAs), which accurately infer a given sample's membership in a target model's training set with high precision using just \emph{a single query}, where the target model only returns the predicted hard label. This is in contrast to state-of-the-art label-only attacks which require $\sim6000$ queries, yet get attack precisions lower than OSLO's. OSLO leverages transfer-based black-box adversarial attacks. The core idea is that a member sample exhibits more resistance to adversarial perturbations than a non-member. We compare OSLO against state-of-the-art label-only attacks and demonstrate that, despite requiring only one query, our method significantly outperforms previous attacks in terms of precision and true positive rate (TPR) under the same false positive rates (FPR). For example, compared to previous label-only MIAs, OSLO achieves a TPR that is at least 7$\times$ higher under a 1\% FPR and at least 22$\times$ higher under a 0.1\% FPR on CIFAR100 for a ResNet18 model. We evaluated multiple defense mechanisms against OSLO.</x:v>
      </x:c>
      <x:c r="L397" s="17" t="str">
        <x:v>http://arxiv.org/abs/2405.16978v3</x:v>
      </x:c>
      <x:c r="M397" s="23" t="n">
        <x:v>0.7486563648897429</x:v>
      </x:c>
      <x:c r="N397" s="17" t="str">
        <x:v>qwen3-rerank-no-instruct-20260727-125006-results.jsonl</x:v>
      </x:c>
      <x:c r="O397" s="24" t="str">
        <x:v>2</x:v>
      </x:c>
      <x:c r="P397" s="28" t="str">
        <x:v>单次标签查询的黑盒MIA。</x:v>
      </x:c>
      <x:c r="Q397" s="25" t="str"/>
      <x:c r="R397" s="24" t="str">
        <x:f>IF(Q397&lt;&gt;"",Q397,O397)</x:f>
        <x:v>2</x:v>
      </x:c>
      <x:c r="S397" s="29" t="str"/>
    </x:row>
    <x:row r="398" ht="54" customHeight="1">
      <x:c r="A398" s="17" t="str">
        <x:v>csq020-r17</x:v>
      </x:c>
      <x:c r="B398" s="17" t="str">
        <x:v>csq020</x:v>
      </x:c>
      <x:c r="C398" s="17" t="str">
        <x:v>security_and_privacy</x:v>
      </x:c>
      <x:c r="D398" s="17" t="str">
        <x:v>membership_inference</x:v>
      </x:c>
      <x:c r="E398" s="27" t="str">
        <x:v>How do black-box and white-box membership inference attacks against machine learning models compare in their assumptions, methods, and evaluations?</x:v>
      </x:c>
      <x:c r="F398" s="22" t="n">
        <x:v>17</x:v>
      </x:c>
      <x:c r="G398" s="17" t="str">
        <x:v>arXiv:2105.02866</x:v>
      </x:c>
      <x:c r="H398" s="27" t="str">
        <x:v>Membership Inference Attacks on Deep Regression Models for Neuroimaging</x:v>
      </x:c>
      <x:c r="I398" s="17" t="str">
        <x:v>Umang Gupta; Dimitris Stripelis; Pradeep K. Lam; Paul M. Thompson; José Luis Ambite; Greg Ver Steeg</x:v>
      </x:c>
      <x:c r="J398" s="22" t="n">
        <x:v>2021</x:v>
      </x:c>
      <x:c r="K398" s="27" t="str">
        <x:v>Ensuring the privacy of research participants is vital, even more so in healthcare environments. Deep learning approaches to neuroimaging require large datasets, and this often necessitates sharing data between multiple sites, which is antithetical to the privacy objectives. Federated learning is a commonly proposed solution to this problem. It circumvents the need for data sharing by sharing parameters during the training process. However, we demonstrate that allowing access to parameters may leak private information even if data is never directly shared. In particular, we show that it is possible to infer if a sample was used to train the model given only access to the model prediction (black-box) or access to the model itself (white-box) and some leaked samples from the training data distribution. Such attacks are commonly referred to as Membership Inference attacks. We show realistic Membership Inference attacks on deep learning models trained for 3D neuroimaging tasks in a centralized as well as decentralized setup. We demonstrate feasible attacks on brain age prediction models (deep learning models that predict a person's age from their brain MRI scan). We correctly identified whether an MRI scan was used in model training with a 60% to over 80% success rate depending on model complexity and security assumptions.</x:v>
      </x:c>
      <x:c r="L398" s="17" t="str">
        <x:v>http://arxiv.org/abs/2105.02866v2</x:v>
      </x:c>
      <x:c r="M398" s="23" t="n">
        <x:v>0.7471581148531816</x:v>
      </x:c>
      <x:c r="N398" s="17" t="str">
        <x:v>qwen3-rerank-no-instruct-20260727-125006-results.jsonl</x:v>
      </x:c>
      <x:c r="O398" s="24" t="str">
        <x:v>2</x:v>
      </x:c>
      <x:c r="P398" s="28" t="str">
        <x:v>神经影像回归模型成员推断评测。</x:v>
      </x:c>
      <x:c r="Q398" s="25" t="str"/>
      <x:c r="R398" s="24" t="str">
        <x:f>IF(Q398&lt;&gt;"",Q398,O398)</x:f>
        <x:v>2</x:v>
      </x:c>
      <x:c r="S398" s="29" t="str"/>
    </x:row>
    <x:row r="399" ht="54" customHeight="1">
      <x:c r="A399" s="17" t="str">
        <x:v>csq020-r18</x:v>
      </x:c>
      <x:c r="B399" s="17" t="str">
        <x:v>csq020</x:v>
      </x:c>
      <x:c r="C399" s="17" t="str">
        <x:v>security_and_privacy</x:v>
      </x:c>
      <x:c r="D399" s="17" t="str">
        <x:v>membership_inference</x:v>
      </x:c>
      <x:c r="E399" s="27" t="str">
        <x:v>How do black-box and white-box membership inference attacks against machine learning models compare in their assumptions, methods, and evaluations?</x:v>
      </x:c>
      <x:c r="F399" s="22" t="n">
        <x:v>18</x:v>
      </x:c>
      <x:c r="G399" s="17" t="str">
        <x:v>arXiv:2208.08114</x:v>
      </x:c>
      <x:c r="H399" s="27" t="str">
        <x:v>An Empirical Study on the Membership Inference Attack against Tabular Data Synthesis Models</x:v>
      </x:c>
      <x:c r="I399" s="17" t="str">
        <x:v>Jihyeon Hyeong; Jayoung Kim; Noseong Park; Sushil Jajodia</x:v>
      </x:c>
      <x:c r="J399" s="22" t="n">
        <x:v>2022</x:v>
      </x:c>
      <x:c r="K399" s="27" t="str">
        <x:v>Tabular data typically contains private and important information; thus, precautions must be taken before they are shared with others. Although several methods (e.g., differential privacy and k-anonymity) have been proposed to prevent information leakage, in recent years, tabular data synthesis models have become popular because they can well trade-off between data utility and privacy. However, recent research has shown that generative models for image data are susceptible to the membership inference attack, which can determine whether a given record was used to train a victim synthesis model. In this paper, we investigate the membership inference attack in the context of tabular data synthesis. We conduct experiments on 4 state-of-the-art tabular data synthesis models under two attack scenarios (i.e., one black-box and one white-box attack), and find that the membership inference attack can seriously jeopardize these models. We next conduct experiments to evaluate how well two popular differentially-private deep learning training algorithms, DP-SGD and DP-GAN, can protect the models against the attack. Our key finding is that both algorithms can largely alleviate this threat by sacrificing the generation quality.</x:v>
      </x:c>
      <x:c r="L399" s="17" t="str">
        <x:v>http://arxiv.org/abs/2208.08114v2</x:v>
      </x:c>
      <x:c r="M399" s="23" t="n">
        <x:v>0.7434907512113063</x:v>
      </x:c>
      <x:c r="N399" s="17" t="str">
        <x:v>qwen3-rerank-no-instruct-20260727-125006-results.jsonl</x:v>
      </x:c>
      <x:c r="O399" s="24" t="str">
        <x:v>2</x:v>
      </x:c>
      <x:c r="P399" s="28" t="str">
        <x:v>表格数据生成模型MIA实证研究。</x:v>
      </x:c>
      <x:c r="Q399" s="25" t="str"/>
      <x:c r="R399" s="24" t="str">
        <x:f>IF(Q399&lt;&gt;"",Q399,O399)</x:f>
        <x:v>2</x:v>
      </x:c>
      <x:c r="S399" s="29" t="str"/>
    </x:row>
    <x:row r="400" ht="54" customHeight="1">
      <x:c r="A400" s="17" t="str">
        <x:v>csq020-r19</x:v>
      </x:c>
      <x:c r="B400" s="17" t="str">
        <x:v>csq020</x:v>
      </x:c>
      <x:c r="C400" s="17" t="str">
        <x:v>security_and_privacy</x:v>
      </x:c>
      <x:c r="D400" s="17" t="str">
        <x:v>membership_inference</x:v>
      </x:c>
      <x:c r="E400" s="27" t="str">
        <x:v>How do black-box and white-box membership inference attacks against machine learning models compare in their assumptions, methods, and evaluations?</x:v>
      </x:c>
      <x:c r="F400" s="22" t="n">
        <x:v>19</x:v>
      </x:c>
      <x:c r="G400" s="17" t="str">
        <x:v>arXiv:2009.05669</x:v>
      </x:c>
      <x:c r="H400" s="27" t="str">
        <x:v>Quantifying Membership Inference Vulnerability via Generalization Gap and Other Model Metrics</x:v>
      </x:c>
      <x:c r="I400" s="17" t="str">
        <x:v>Jason W. Bentley; Daniel Gibney; Gary Hoppenworth; Sumit Kumar Jha</x:v>
      </x:c>
      <x:c r="J400" s="22" t="n">
        <x:v>2020</x:v>
      </x:c>
      <x:c r="K400" s="27" t="str">
        <x:v>We demonstrate how a target model's generalization gap leads directly to an effective deterministic black box membership inference attack (MIA). This provides an upper bound on how secure a model can be to MIA based on a simple metric. Moreover, this attack is shown to be optimal in the expected sense given access to only certain likely obtainable metrics regarding the network's training and performance. Experimentally, this attack is shown to be comparable in accuracy to state-of-art MIAs in many cases.</x:v>
      </x:c>
      <x:c r="L400" s="17" t="str">
        <x:v>http://arxiv.org/abs/2009.05669v1</x:v>
      </x:c>
      <x:c r="M400" s="23" t="n">
        <x:v>0.7158479802608723</x:v>
      </x:c>
      <x:c r="N400" s="17" t="str">
        <x:v>qwen3-rerank-no-instruct-20260727-125006-results.jsonl</x:v>
      </x:c>
      <x:c r="O400" s="24" t="str">
        <x:v>2</x:v>
      </x:c>
      <x:c r="P400" s="28" t="str">
        <x:v>以泛化差距构造并评估黑盒MIA。</x:v>
      </x:c>
      <x:c r="Q400" s="25" t="str"/>
      <x:c r="R400" s="24" t="str">
        <x:f>IF(Q400&lt;&gt;"",Q400,O400)</x:f>
        <x:v>2</x:v>
      </x:c>
      <x:c r="S400" s="29" t="str"/>
    </x:row>
    <x:row r="401" ht="54" customHeight="1">
      <x:c r="A401" s="17" t="str">
        <x:v>csq020-r20</x:v>
      </x:c>
      <x:c r="B401" s="17" t="str">
        <x:v>csq020</x:v>
      </x:c>
      <x:c r="C401" s="17" t="str">
        <x:v>security_and_privacy</x:v>
      </x:c>
      <x:c r="D401" s="17" t="str">
        <x:v>membership_inference</x:v>
      </x:c>
      <x:c r="E401" s="27" t="str">
        <x:v>How do black-box and white-box membership inference attacks against machine learning models compare in their assumptions, methods, and evaluations?</x:v>
      </x:c>
      <x:c r="F401" s="22" t="n">
        <x:v>20</x:v>
      </x:c>
      <x:c r="G401" s="17" t="str">
        <x:v>arXiv:2206.03584</x:v>
      </x:c>
      <x:c r="H401" s="27" t="str">
        <x:v>White-box Membership Attack Against Machine Learning Based Retinopathy Classification</x:v>
      </x:c>
      <x:c r="I401" s="17" t="str">
        <x:v>Mounia Hamidouche; Reda Bellafqira; Gwenolé Quellec; Gouenou Coatrieux</x:v>
      </x:c>
      <x:c r="J401" s="22" t="n">
        <x:v>2022</x:v>
      </x:c>
      <x:c r="K401" s="27" t="str">
        <x:v>The advances in machine learning (ML) have greatly improved AI-based diagnosis aid systems in medical imaging. However, being based on collecting medical data specific to individuals induces several security issues, especially in terms of privacy. Even though the owner of the images like a hospital put in place strict privacy protection provisions at the level of its information system, the model trained over his images still holds disclosure potential. The trained model may be accessible to an attacker as: 1) White-box: accessing to the model architecture and parameters; 2) Black box: where he can only query the model with his own inputs through an appropriate interface. Existing attack methods include: feature estimation attacks (FEA), membership inference attack (MIA), model memorization attack (MMA) and identification attacks (IA). In this work we focus on MIA against a model that has been trained to detect diabetic retinopathy from retinal images. Diabetic retinopathy is a condition that can cause vision loss and blindness in the people who have diabetes. MIA is the process of determining whether a data sample comes from the training data set of a trained ML model or not. From a privacy perspective in our use case where a diabetic retinopathy classification model is given to partners that have at their disposal images along with patients' identifiers, inferring the membership status of a data sample can help to state if a patient has contributed or not to the training of the model.</x:v>
      </x:c>
      <x:c r="L401" s="17" t="str">
        <x:v>http://arxiv.org/abs/2206.03584v1</x:v>
      </x:c>
      <x:c r="M401" s="23" t="n">
        <x:v>0.7101280440573072</x:v>
      </x:c>
      <x:c r="N401" s="17" t="str">
        <x:v>qwen3-rerank-no-instruct-20260727-125006-results.jsonl</x:v>
      </x:c>
      <x:c r="O401" s="24" t="str">
        <x:v>2</x:v>
      </x:c>
      <x:c r="P401" s="28" t="str">
        <x:v>提出视网膜分类模型白盒成员攻击。</x:v>
      </x:c>
      <x:c r="Q401" s="25" t="str"/>
      <x:c r="R401" s="24" t="str">
        <x:f>IF(Q401&lt;&gt;"",Q401,O401)</x:f>
        <x:v>2</x:v>
      </x:c>
      <x:c r="S401" s="29" t="str"/>
    </x:row>
    <x:row r="402" ht="54" customHeight="1">
      <x:c r="A402" s="17" t="str">
        <x:v>csq021-r01</x:v>
      </x:c>
      <x:c r="B402" s="17" t="str">
        <x:v>csq021</x:v>
      </x:c>
      <x:c r="C402" s="17" t="str">
        <x:v>security_and_privacy</x:v>
      </x:c>
      <x:c r="D402" s="17" t="str">
        <x:v>software_supply_chain</x:v>
      </x:c>
      <x:c r="E402" s="27" t="str">
        <x:v>Which datasets, benchmarks, and metrics are used to evaluate software supply-chain vulnerability and malicious-package detection methods?</x:v>
      </x:c>
      <x:c r="F402" s="22" t="n">
        <x:v>1</x:v>
      </x:c>
      <x:c r="G402" s="17" t="str">
        <x:v>arXiv:2505.13804</x:v>
      </x:c>
      <x:c r="H402" s="27" t="str">
        <x:v>QUT-DV25: A Dataset for Dynamic Analysis of Next-Gen Software Supply Chain Attacks</x:v>
      </x:c>
      <x:c r="I402" s="17" t="str">
        <x:v>Sk Tanzir Mehedi; Raja Jurdak; Chadni Islam; Gowri Ramachandran</x:v>
      </x:c>
      <x:c r="J402" s="22" t="n">
        <x:v>2025</x:v>
      </x:c>
      <x:c r="K402" s="27" t="str">
        <x:v>Securing software supply chains is a growing challenge due to the inadequacy of existing datasets in capturing the complexity of next-gen attacks, such as multiphase malware execution, remote access activation, and dynamic payload generation. Existing datasets, which rely on metadata inspection and static code analysis, are inadequate for detecting such attacks. This creates a critical gap because these datasets do not capture what happens during and after a package is installed. To address this gap, we present QUT-DV25, a dynamic analysis dataset specifically designed to support and advance research on detecting and mitigating supply chain attacks within the Python Package Index (PyPI) ecosystem. This dataset captures install and post-install-time traces from 14,271 Python packages, of which 7,127 are malicious. The packages are executed in an isolated sandbox environment using an extended Berkeley Packet Filter (eBPF) kernel and user-level probes. It captures 36 real-time features, that includes system calls, network traffic, resource usages, directory access patterns, dependency logs, and installation behaviors, enabling the study of next-gen attack vectors. ML analysis using the QUT-DV25 dataset identified four malicious PyPI packages previously labeled as benign, each with thousands of downloads. These packages deployed covert remote access and multi-phase payloads, were reported to PyPI maintainers, and subsequently removed. This highlights the practical value of QUT-DV25, as it outperforms reactive, metadata, and static datasets, offering a robust foundation for developing and benchmarking advanced threat detection within the evolving software supply chain ecosystem.</x:v>
      </x:c>
      <x:c r="L402" s="17" t="str">
        <x:v>http://arxiv.org/abs/2505.13804v2</x:v>
      </x:c>
      <x:c r="M402" s="23" t="n">
        <x:v>0.8267848696184581</x:v>
      </x:c>
      <x:c r="N402" s="17" t="str">
        <x:v>qwen3-rerank-no-instruct-20260727-125006-results.jsonl</x:v>
      </x:c>
      <x:c r="O402" s="24" t="str">
        <x:v>2</x:v>
      </x:c>
      <x:c r="P402" s="28" t="str">
        <x:v>《QUT-DV25: A Dataset for Dynamic Analysis of Next-Gen Software Supply Chain Attacks》核心提供软件供应链漏洞、恶意包检测的数据集、基准、指标或实证评测。</x:v>
      </x:c>
      <x:c r="Q402" s="25" t="str"/>
      <x:c r="R402" s="24" t="str">
        <x:f>IF(Q402&lt;&gt;"",Q402,O402)</x:f>
        <x:v>2</x:v>
      </x:c>
      <x:c r="S402" s="29" t="str"/>
    </x:row>
    <x:row r="403" ht="54" customHeight="1">
      <x:c r="A403" s="17" t="str">
        <x:v>csq021-r02</x:v>
      </x:c>
      <x:c r="B403" s="17" t="str">
        <x:v>csq021</x:v>
      </x:c>
      <x:c r="C403" s="17" t="str">
        <x:v>security_and_privacy</x:v>
      </x:c>
      <x:c r="D403" s="17" t="str">
        <x:v>software_supply_chain</x:v>
      </x:c>
      <x:c r="E403" s="27" t="str">
        <x:v>Which datasets, benchmarks, and metrics are used to evaluate software supply-chain vulnerability and malicious-package detection methods?</x:v>
      </x:c>
      <x:c r="F403" s="22" t="n">
        <x:v>2</x:v>
      </x:c>
      <x:c r="G403" s="17" t="str">
        <x:v>arXiv:2409.09356</x:v>
      </x:c>
      <x:c r="H403" s="27" t="str">
        <x:v>Towards Robust Detection of Open Source Software Supply Chain Poisoning Attacks in Industry Environments</x:v>
      </x:c>
      <x:c r="I403" s="17" t="str">
        <x:v>Xinyi Zheng; Chen Wei; Shenao Wang; Yanjie Zhao; Peiming Gao; Yuanchao Zhang; Kailong Wang; Haoyu Wang</x:v>
      </x:c>
      <x:c r="J403" s="22" t="n">
        <x:v>2024</x:v>
      </x:c>
      <x:c r="K403" s="27" t="str">
        <x:v>The exponential growth of open-source package ecosystems, particularly NPM and PyPI, has led to an alarming increase in software supply chain poisoning attacks. Existing static analysis methods struggle with high false positive rates and are easily thwarted by obfuscation and dynamic code execution techniques. While dynamic analysis approaches offer improvements, they often suffer from capturing non-package behaviors and employing simplistic testing strategies that fail to trigger sophisticated malicious behaviors. To address these challenges, we present OSCAR, a robust dynamic code poisoning detection pipeline for NPM and PyPI ecosystems. OSCAR fully executes packages in a sandbox environment, employs fuzz testing on exported functions and classes, and implements aspect-based behavior monitoring with tailored API hook points. We evaluate OSCAR against six existing tools using a comprehensive benchmark dataset of real-world malicious and benign packages. OSCAR achieves an F1 score of 0.95 in NPM and 0.91 in PyPI, confirming that OSCAR is as effective as the current state-of-the-art technologies. Furthermore, for benign packages exhibiting characteristics typical of malicious packages, OSCAR reduces the false positive rate by an average of 32.06% in NPM (from 34.63% to 2.57%) and 39.87% in PyPI (from 41.10% to 1.23%), compared to other tools, significantly reducing the workload of manual reviews in real-world deployments. In cooperation with Ant Group, a leading financial technology company, we have deployed OSCAR on its NPM and PyPI mirrors since January 2023, identifying 10,404 malicious NPM packages and 1,235 malicious PyPI packages over 18 months. This work not only bridges the gap between academic research and industrial application in code poisoning detection but also provides a robust and practical solution that has been thoroughly tested in a real-world industrial setting.</x:v>
      </x:c>
      <x:c r="L403" s="17" t="str">
        <x:v>http://arxiv.org/abs/2409.09356v1</x:v>
      </x:c>
      <x:c r="M403" s="23" t="n">
        <x:v>0.7623944810505636</x:v>
      </x:c>
      <x:c r="N403" s="17" t="str">
        <x:v>qwen3-rerank-no-instruct-20260727-125006-results.jsonl</x:v>
      </x:c>
      <x:c r="O403" s="24" t="str">
        <x:v>2</x:v>
      </x:c>
      <x:c r="P403" s="28" t="str">
        <x:v>《Towards Robust Detection of Open Source Software Supply Chain Poisoning Attacks in Industry Environments》核心提供软件供应链漏洞、恶意包检测的数据集、基准、指标或实证评测。</x:v>
      </x:c>
      <x:c r="Q403" s="25" t="str"/>
      <x:c r="R403" s="24" t="str">
        <x:f>IF(Q403&lt;&gt;"",Q403,O403)</x:f>
        <x:v>2</x:v>
      </x:c>
      <x:c r="S403" s="29" t="str"/>
    </x:row>
    <x:row r="404" ht="54" customHeight="1">
      <x:c r="A404" s="17" t="str">
        <x:v>csq021-r03</x:v>
      </x:c>
      <x:c r="B404" s="17" t="str">
        <x:v>csq021</x:v>
      </x:c>
      <x:c r="C404" s="17" t="str">
        <x:v>security_and_privacy</x:v>
      </x:c>
      <x:c r="D404" s="17" t="str">
        <x:v>software_supply_chain</x:v>
      </x:c>
      <x:c r="E404" s="27" t="str">
        <x:v>Which datasets, benchmarks, and metrics are used to evaluate software supply-chain vulnerability and malicious-package detection methods?</x:v>
      </x:c>
      <x:c r="F404" s="22" t="n">
        <x:v>3</x:v>
      </x:c>
      <x:c r="G404" s="17" t="str">
        <x:v>arXiv:2402.08980</x:v>
      </x:c>
      <x:c r="H404" s="27" t="str">
        <x:v>OmniBOR: A System for Automatic, Verifiable Artifact Resolution across Software Supply Chains</x:v>
      </x:c>
      <x:c r="I404" s="17" t="str">
        <x:v>Bharathi Seshadri; Yongkui Han; Chris Olson; David Pollak; Vojislav Tomasevic</x:v>
      </x:c>
      <x:c r="J404" s="22" t="n">
        <x:v>2024</x:v>
      </x:c>
      <x:c r="K404" s="27" t="str">
        <x:v>Software supply chain attacks, which exploit the build process or artifacts used in the process of building a software product, are increasingly of concern. To combat these attacks, one must be able to check that every artifact that a software product depends on does not contain vulnerabilities. In this paper, we introduce OmniBOR, (Universal Bill of Receipts) a minimalistic scheme for build tools to create an artifact dependency graph which can be used to track every software artifact incorporated into a built software product. We present the architecture of OmniBOR, the underlying data representations, and two implementations that produce OmniBOR data and embed an OmniBOR Identifier into built software, including a compiler-based approach and one based on tracing the build process. We demonstrate the efficacy of this approach on benchmarks including a Linux distribution for applications such as Common Vulnerabilities and Exposures (CVE) detection and software bill of materials (SBOM) computation.</x:v>
      </x:c>
      <x:c r="L404" s="17" t="str">
        <x:v>http://arxiv.org/abs/2402.08980v1</x:v>
      </x:c>
      <x:c r="M404" s="23" t="n">
        <x:v>0.7195776511500559</x:v>
      </x:c>
      <x:c r="N404" s="17" t="str">
        <x:v>qwen3-rerank-no-instruct-20260727-125006-results.jsonl</x:v>
      </x:c>
      <x:c r="O404" s="24" t="str">
        <x:v>1</x:v>
      </x:c>
      <x:c r="P404" s="28" t="str">
        <x:v>《OmniBOR: A System for Automatic, Verifiable Artifact Resolution across Software Supply Chains》涉及软件供应链安全，但主要提供相邻风险、工具或防护证据，未直接回答检测评测全貌。</x:v>
      </x:c>
      <x:c r="Q404" s="25" t="str"/>
      <x:c r="R404" s="24" t="str">
        <x:f>IF(Q404&lt;&gt;"",Q404,O404)</x:f>
        <x:v>1</x:v>
      </x:c>
      <x:c r="S404" s="29" t="str"/>
    </x:row>
    <x:row r="405" ht="54" customHeight="1">
      <x:c r="A405" s="17" t="str">
        <x:v>csq021-r04</x:v>
      </x:c>
      <x:c r="B405" s="17" t="str">
        <x:v>csq021</x:v>
      </x:c>
      <x:c r="C405" s="17" t="str">
        <x:v>security_and_privacy</x:v>
      </x:c>
      <x:c r="D405" s="17" t="str">
        <x:v>software_supply_chain</x:v>
      </x:c>
      <x:c r="E405" s="27" t="str">
        <x:v>Which datasets, benchmarks, and metrics are used to evaluate software supply-chain vulnerability and malicious-package detection methods?</x:v>
      </x:c>
      <x:c r="F405" s="22" t="n">
        <x:v>4</x:v>
      </x:c>
      <x:c r="G405" s="17" t="str">
        <x:v>arXiv:2507.18105</x:v>
      </x:c>
      <x:c r="H405" s="27" t="str">
        <x:v>Understanding the Supply Chain and Risks of Large Language Model Applications</x:v>
      </x:c>
      <x:c r="I405" s="17" t="str">
        <x:v>Yujie Ma; Lili Quan; Xiaofei Xie; Qiang Hu; Jiongchi Yu; Yao Zhang; Sen Chen</x:v>
      </x:c>
      <x:c r="J405" s="22" t="n">
        <x:v>2025</x:v>
      </x:c>
      <x:c r="K405" s="27" t="str">
        <x:v>The rise of Large Language Models (LLMs) has led to the widespread deployment of LLM-based systems across diverse domains. As these systems proliferate, understanding the risks associated with their complex supply chains is increasingly important. LLM-based systems are not standalone as they rely on interconnected supply chains involving pretrained models, third-party libraries, datasets, and infrastructure. Yet, most risk assessments narrowly focus on model or data level, overlooking broader supply chain vulnerabilities. While recent studies have begun to address LLM supply chain risks, there remains a lack of benchmarks for systematic research. To address this gap, we introduce the first comprehensive dataset for analyzing and benchmarking LLM supply chain security. We collect 3,859 real-world LLM applications and perform interdependency analysis, identifying 109,211 models, 2,474 datasets, and 9,862 libraries. We extract model fine-tuning paths, dataset reuse, and library reliance, mapping the ecosystem's structure. To evaluate security, we gather 1,555 risk-related issues-50 for applications, 325 for models, 18 for datasets, and 1,229 for libraries from public vulnerability databases. Using this dataset, we empirically analyze component dependencies and risks. Our findings reveal deeply nested dependencies in LLM applications and significant vulnerabilities across the supply chain, underscoring the need for comprehensive security analysis. We conclude with practical recommendations to guide researchers and developers toward safer, more trustworthy LLM-enabled systems.</x:v>
      </x:c>
      <x:c r="L405" s="17" t="str">
        <x:v>http://arxiv.org/abs/2507.18105v1</x:v>
      </x:c>
      <x:c r="M405" s="23" t="n">
        <x:v>0.7092647758869655</x:v>
      </x:c>
      <x:c r="N405" s="17" t="str">
        <x:v>qwen3-rerank-no-instruct-20260727-125006-results.jsonl</x:v>
      </x:c>
      <x:c r="O405" s="24" t="str">
        <x:v>2</x:v>
      </x:c>
      <x:c r="P405" s="28" t="str">
        <x:v>《Understanding the Supply Chain and Risks of Large Language Model Applications》核心提供软件供应链漏洞、恶意包检测的数据集、基准、指标或实证评测。</x:v>
      </x:c>
      <x:c r="Q405" s="25" t="str"/>
      <x:c r="R405" s="24" t="str">
        <x:f>IF(Q405&lt;&gt;"",Q405,O405)</x:f>
        <x:v>2</x:v>
      </x:c>
      <x:c r="S405" s="29" t="str"/>
    </x:row>
    <x:row r="406" ht="54" customHeight="1">
      <x:c r="A406" s="17" t="str">
        <x:v>csq021-r05</x:v>
      </x:c>
      <x:c r="B406" s="17" t="str">
        <x:v>csq021</x:v>
      </x:c>
      <x:c r="C406" s="17" t="str">
        <x:v>security_and_privacy</x:v>
      </x:c>
      <x:c r="D406" s="17" t="str">
        <x:v>software_supply_chain</x:v>
      </x:c>
      <x:c r="E406" s="27" t="str">
        <x:v>Which datasets, benchmarks, and metrics are used to evaluate software supply-chain vulnerability and malicious-package detection methods?</x:v>
      </x:c>
      <x:c r="F406" s="22" t="n">
        <x:v>5</x:v>
      </x:c>
      <x:c r="G406" s="17" t="str">
        <x:v>arXiv:2506.01342</x:v>
      </x:c>
      <x:c r="H406" s="27" t="str">
        <x:v>Propagation-Based Vulnerability Impact Assessment for Software Supply Chains</x:v>
      </x:c>
      <x:c r="I406" s="17" t="str">
        <x:v>Bonan Ruan; Zhiwei Lin; Jiahao Liu; Chuqi Zhang; Kaihang Ji; Zhenkai Liang</x:v>
      </x:c>
      <x:c r="J406" s="22" t="n">
        <x:v>2025</x:v>
      </x:c>
      <x:c r="K406" s="27" t="str">
        <x:v>Identifying the impact scope and scale is critical for software supply chain vulnerability assessment. However, existing studies face substantial limitations. First, prior studies either work at coarse package-level granularity, producing many false positives, or fail to accomplish whole-ecosystem vulnerability propagation analysis. Second, although vulnerability assessment indicators like CVSS characterize individual vulnerabilities, no metric exists to specifically quantify the dynamic impact of vulnerability propagation across software supply chains. To address these limitations and enable accurate and comprehensive vulnerability impact assessment, we propose a novel approach: (i) a hierarchical worklist-based algorithm for whole-ecosystem and call-graph-level vulnerability propagation analysis and (ii) the Vulnerability Propagation Scoring System (VPSS), a dynamic metric to quantify the scope and evolution of vulnerability impacts in software supply chains. We implement a prototype of our approach in the Java Maven ecosystem and evaluate it on 100 real-world vulnerabilities. Experimental results demonstrate that our approach enables effective ecosystem-wide vulnerability propagation analysis, and provides a practical, quantitative measure of vulnerability impact through VPSS.</x:v>
      </x:c>
      <x:c r="L406" s="17" t="str">
        <x:v>http://arxiv.org/abs/2506.01342v2</x:v>
      </x:c>
      <x:c r="M406" s="23" t="n">
        <x:v>0.702585220524564</x:v>
      </x:c>
      <x:c r="N406" s="17" t="str">
        <x:v>qwen3-rerank-no-instruct-20260727-125006-results.jsonl</x:v>
      </x:c>
      <x:c r="O406" s="24" t="str">
        <x:v>2</x:v>
      </x:c>
      <x:c r="P406" s="28" t="str">
        <x:v>《Propagation-Based Vulnerability Impact Assessment for Software Supply Chains》核心提供软件供应链漏洞、恶意包检测的数据集、基准、指标或实证评测。</x:v>
      </x:c>
      <x:c r="Q406" s="25" t="str"/>
      <x:c r="R406" s="24" t="str">
        <x:f>IF(Q406&lt;&gt;"",Q406,O406)</x:f>
        <x:v>2</x:v>
      </x:c>
      <x:c r="S406" s="29" t="str"/>
    </x:row>
    <x:row r="407" ht="54" customHeight="1">
      <x:c r="A407" s="17" t="str">
        <x:v>csq021-r06</x:v>
      </x:c>
      <x:c r="B407" s="17" t="str">
        <x:v>csq021</x:v>
      </x:c>
      <x:c r="C407" s="17" t="str">
        <x:v>security_and_privacy</x:v>
      </x:c>
      <x:c r="D407" s="17" t="str">
        <x:v>software_supply_chain</x:v>
      </x:c>
      <x:c r="E407" s="27" t="str">
        <x:v>Which datasets, benchmarks, and metrics are used to evaluate software supply-chain vulnerability and malicious-package detection methods?</x:v>
      </x:c>
      <x:c r="F407" s="22" t="n">
        <x:v>6</x:v>
      </x:c>
      <x:c r="G407" s="17" t="str">
        <x:v>arXiv:2411.08550</x:v>
      </x:c>
      <x:c r="H407" s="27" t="str">
        <x:v>Graph Neural Networks in Supply Chain Analytics and Optimization: Concepts, Perspectives, Dataset and Benchmarks</x:v>
      </x:c>
      <x:c r="I407" s="17" t="str">
        <x:v>Azmine Toushik Wasi; MD Shafikul Islam; Adipto Raihan Akib; Mahathir Mohammad Bappy</x:v>
      </x:c>
      <x:c r="J407" s="22" t="n">
        <x:v>2024</x:v>
      </x:c>
      <x:c r="K407" s="27" t="str">
        <x:v>Graph Neural Networks (GNNs) have recently gained traction in transportation, bioinformatics, language and image processing, but research on their application to supply chain management remains limited. Supply chains are inherently graph-like, making them ideal for GNN methodologies, which can optimize and solve complex problems. The barriers include a lack of proper conceptual foundations, familiarity with graph applications in SCM, and real-world benchmark datasets for GNN-based supply chain research. To address this, we discuss and connect supply chains with graph structures for effective GNN application, providing detailed formulations, examples, mathematical definitions, and task guidelines. Additionally, we present a multi-perspective real-world benchmark dataset from a leading FMCG company in Bangladesh, focusing on supply chain planning. We discuss various supply chain tasks using GNNs and benchmark several state-of-the-art models on homogeneous and heterogeneous graphs across six supply chain analytics tasks. Our analysis shows that GNN-based models consistently outperform statistical Machine Learning and other Deep Learning models by around 10-30% in regression, 10-30% in classification and detection tasks, and 15-40% in anomaly detection tasks on designated metrics. With this work, we lay the groundwork for solving supply chain problems using GNNs, supported by conceptual discussions, methodological insights, and a comprehensive dataset.</x:v>
      </x:c>
      <x:c r="L407" s="17" t="str">
        <x:v>http://arxiv.org/abs/2411.08550v2</x:v>
      </x:c>
      <x:c r="M407" s="23" t="n">
        <x:v>0.6935264226048283</x:v>
      </x:c>
      <x:c r="N407" s="17" t="str">
        <x:v>qwen3-rerank-no-instruct-20260727-125006-results.jsonl</x:v>
      </x:c>
      <x:c r="O407" s="24" t="str">
        <x:v>0</x:v>
      </x:c>
      <x:c r="P407" s="28" t="str">
        <x:v>《Graph Neural Networks in Supply Chain Analytics and Optimization: Concepts, Perspectives, Dataset and Benchmarks》研究的是实体供应链、智能合约或其他任务，无法支持软件供应链检测评测。</x:v>
      </x:c>
      <x:c r="Q407" s="25" t="str"/>
      <x:c r="R407" s="24" t="str">
        <x:f>IF(Q407&lt;&gt;"",Q407,O407)</x:f>
        <x:v>0</x:v>
      </x:c>
      <x:c r="S407" s="29" t="str"/>
    </x:row>
    <x:row r="408" ht="54" customHeight="1">
      <x:c r="A408" s="17" t="str">
        <x:v>csq021-r07</x:v>
      </x:c>
      <x:c r="B408" s="17" t="str">
        <x:v>csq021</x:v>
      </x:c>
      <x:c r="C408" s="17" t="str">
        <x:v>security_and_privacy</x:v>
      </x:c>
      <x:c r="D408" s="17" t="str">
        <x:v>software_supply_chain</x:v>
      </x:c>
      <x:c r="E408" s="27" t="str">
        <x:v>Which datasets, benchmarks, and metrics are used to evaluate software supply-chain vulnerability and malicious-package detection methods?</x:v>
      </x:c>
      <x:c r="F408" s="22" t="n">
        <x:v>7</x:v>
      </x:c>
      <x:c r="G408" s="17" t="str">
        <x:v>arXiv:2005.09535</x:v>
      </x:c>
      <x:c r="H408" s="27" t="str">
        <x:v>Backstabber's Knife Collection: A Review of Open Source Software Supply Chain Attacks</x:v>
      </x:c>
      <x:c r="I408" s="17" t="str">
        <x:v>Marc Ohm; Henrik Plate; Arnold Sykosch; Michael Meier</x:v>
      </x:c>
      <x:c r="J408" s="22" t="n">
        <x:v>2020</x:v>
      </x:c>
      <x:c r="K408" s="27" t="str">
        <x:v>A software supply chain attack is characterized by the injection of malicious code into a software package in order to compromise dependent systems further down the chain. Recent years saw a number of supply chain attacks that leverage the increasing use of open source during software development, which is facilitated by dependency managers that automatically resolve, download and install hundreds of open source packages throughout the software life cycle. This paper presents a dataset of 174 malicious software packages that were used in real-world attacks on open source software supply chains, and which were distributed via the popular package repositories npm, PyPI, and RubyGems. Those packages, dating from November 2015 to November 2019, were manually collected and analyzed. The paper also presents two general attack trees to provide a structured overview about techniques to inject malicious code into the dependency tree of downstream users, and to execute such code at different times and under different conditions. This work is meant to facilitate the future development of preventive and detective safeguards by open source and research communities.</x:v>
      </x:c>
      <x:c r="L408" s="17" t="str">
        <x:v>http://arxiv.org/abs/2005.09535v1</x:v>
      </x:c>
      <x:c r="M408" s="23" t="n">
        <x:v>0.6889438787160431</x:v>
      </x:c>
      <x:c r="N408" s="17" t="str">
        <x:v>qwen3-rerank-no-instruct-20260727-125006-results.jsonl</x:v>
      </x:c>
      <x:c r="O408" s="24" t="str">
        <x:v>2</x:v>
      </x:c>
      <x:c r="P408" s="28" t="str">
        <x:v>《Backstabber's Knife Collection: A Review of Open Source Software Supply Chain Attacks》核心提供软件供应链漏洞、恶意包检测的数据集、基准、指标或实证评测。</x:v>
      </x:c>
      <x:c r="Q408" s="25" t="str"/>
      <x:c r="R408" s="24" t="str">
        <x:f>IF(Q408&lt;&gt;"",Q408,O408)</x:f>
        <x:v>2</x:v>
      </x:c>
      <x:c r="S408" s="29" t="str"/>
    </x:row>
    <x:row r="409" ht="54" customHeight="1">
      <x:c r="A409" s="17" t="str">
        <x:v>csq021-r08</x:v>
      </x:c>
      <x:c r="B409" s="17" t="str">
        <x:v>csq021</x:v>
      </x:c>
      <x:c r="C409" s="17" t="str">
        <x:v>security_and_privacy</x:v>
      </x:c>
      <x:c r="D409" s="17" t="str">
        <x:v>software_supply_chain</x:v>
      </x:c>
      <x:c r="E409" s="27" t="str">
        <x:v>Which datasets, benchmarks, and metrics are used to evaluate software supply-chain vulnerability and malicious-package detection methods?</x:v>
      </x:c>
      <x:c r="F409" s="22" t="n">
        <x:v>8</x:v>
      </x:c>
      <x:c r="G409" s="17" t="str">
        <x:v>arXiv:2510.14522</x:v>
      </x:c>
      <x:c r="H409" s="27" t="str">
        <x:v>Lexo: Eliminating Stealthy Supply-Chain Attacks via LLM-Assisted Program Regeneration</x:v>
      </x:c>
      <x:c r="I409" s="17" t="str">
        <x:v>Evangelos Lamprou; Julian Dai; Grigoris Ntousakis; Martin C. Rinard; Nikos Vasilakis</x:v>
      </x:c>
      <x:c r="J409" s="22" t="n">
        <x:v>2025</x:v>
      </x:c>
      <x:c r="K409" s="27" t="str">
        <x:v>Software supply-chain attacks are an important and ongoing concern in the open source software ecosystem. These attacks maintain the standard functionality that a component implements, but additionally hide malicious functionality activated only when the component reaches its target environment. Lexo addresses such stealthy attacks by automatically learning and regenerating vulnerability-free versions of potentially malicious components. Lexo first generates a set of input-output pairs to model a component's full observable behavior, which it then uses to synthesize a new version of the original component. The new component implements the original functionality but avoids stealthy malicious behavior. Throughout this regeneration process, Lexo consults several distinct instances of Large Language Models (LLMs), uses correctness and coverage metrics to shepherd these instances, and guardrails their results. An evaluation on 100+ real-world packages, including high-profile stealthy supply-chain attacks, indicates that Lexo scales across multiple domains, regenerates code efficiently (&lt;30m on average), maintains compatibility, and succeeds in eliminating malicious code in several real-world supply-chain-attacks, even in cases when a state-of-the-art LLM fails to eliminate malicious code when given the source code of the component and prompted to do so.</x:v>
      </x:c>
      <x:c r="L409" s="17" t="str">
        <x:v>http://arxiv.org/abs/2510.14522v3</x:v>
      </x:c>
      <x:c r="M409" s="23" t="n">
        <x:v>0.6695905987873305</x:v>
      </x:c>
      <x:c r="N409" s="17" t="str">
        <x:v>qwen3-rerank-no-instruct-20260727-125006-results.jsonl</x:v>
      </x:c>
      <x:c r="O409" s="24" t="str">
        <x:v>1</x:v>
      </x:c>
      <x:c r="P409" s="28" t="str">
        <x:v>《Lexo: Eliminating Stealthy Supply-Chain Attacks via LLM-Assisted Program Regeneration》涉及软件供应链安全，但主要提供相邻风险、工具或防护证据，未直接回答检测评测全貌。</x:v>
      </x:c>
      <x:c r="Q409" s="25" t="str"/>
      <x:c r="R409" s="24" t="str">
        <x:f>IF(Q409&lt;&gt;"",Q409,O409)</x:f>
        <x:v>1</x:v>
      </x:c>
      <x:c r="S409" s="29" t="str"/>
    </x:row>
    <x:row r="410" ht="54" customHeight="1">
      <x:c r="A410" s="17" t="str">
        <x:v>csq021-r09</x:v>
      </x:c>
      <x:c r="B410" s="17" t="str">
        <x:v>csq021</x:v>
      </x:c>
      <x:c r="C410" s="17" t="str">
        <x:v>security_and_privacy</x:v>
      </x:c>
      <x:c r="D410" s="17" t="str">
        <x:v>software_supply_chain</x:v>
      </x:c>
      <x:c r="E410" s="27" t="str">
        <x:v>Which datasets, benchmarks, and metrics are used to evaluate software supply-chain vulnerability and malicious-package detection methods?</x:v>
      </x:c>
      <x:c r="F410" s="22" t="n">
        <x:v>9</x:v>
      </x:c>
      <x:c r="G410" s="17" t="str">
        <x:v>arXiv:2501.19012</x:v>
      </x:c>
      <x:c r="H410" s="27" t="str">
        <x:v>Importing Phantoms: Measuring LLM Package Hallucination Vulnerabilities</x:v>
      </x:c>
      <x:c r="I410" s="17" t="str">
        <x:v>Arjun Krishna; Erick Galinkin; Leon Derczynski; Jeffrey Martin</x:v>
      </x:c>
      <x:c r="J410" s="22" t="n">
        <x:v>2025</x:v>
      </x:c>
      <x:c r="K410" s="27" t="str">
        <x:v>Large Language Models (LLMs) have become an essential tool in the programmer's toolkit, but their tendency to hallucinate code can be used by malicious actors to introduce vulnerabilities to broad swathes of the software supply chain. In this work, we analyze package hallucination behaviour in LLMs across popular programming languages examining both existing package references and fictional dependencies. By analyzing this package hallucination behaviour we find potential attacks and suggest defensive strategies to defend against these attacks. We discover that package hallucination rate is predicated not only on model choice, but also programming language, model size, and specificity of the coding task request. The Pareto optimality boundary between code generation performance and package hallucination is sparsely populated, suggesting that coding models are not being optimized for secure code. Additionally, we find an inverse correlation between package hallucination rate and the HumanEval coding benchmark, offering a heuristic for evaluating the propensity of a model to hallucinate packages. Our metrics, findings and analyses provide a base for future models, securing AI-assisted software development workflows against package supply chain attacks.</x:v>
      </x:c>
      <x:c r="L410" s="17" t="str">
        <x:v>http://arxiv.org/abs/2501.19012v1</x:v>
      </x:c>
      <x:c r="M410" s="23" t="n">
        <x:v>0.6233935898021388</x:v>
      </x:c>
      <x:c r="N410" s="17" t="str">
        <x:v>qwen3-rerank-no-instruct-20260727-125006-results.jsonl</x:v>
      </x:c>
      <x:c r="O410" s="24" t="str">
        <x:v>1</x:v>
      </x:c>
      <x:c r="P410" s="28" t="str">
        <x:v>《Importing Phantoms: Measuring LLM Package Hallucination Vulnerabilities》涉及软件供应链安全，但主要提供相邻风险、工具或防护证据，未直接回答检测评测全貌。</x:v>
      </x:c>
      <x:c r="Q410" s="25" t="str"/>
      <x:c r="R410" s="24" t="str">
        <x:f>IF(Q410&lt;&gt;"",Q410,O410)</x:f>
        <x:v>1</x:v>
      </x:c>
      <x:c r="S410" s="29" t="str"/>
    </x:row>
    <x:row r="411" ht="54" customHeight="1">
      <x:c r="A411" s="17" t="str">
        <x:v>csq021-r10</x:v>
      </x:c>
      <x:c r="B411" s="17" t="str">
        <x:v>csq021</x:v>
      </x:c>
      <x:c r="C411" s="17" t="str">
        <x:v>security_and_privacy</x:v>
      </x:c>
      <x:c r="D411" s="17" t="str">
        <x:v>software_supply_chain</x:v>
      </x:c>
      <x:c r="E411" s="27" t="str">
        <x:v>Which datasets, benchmarks, and metrics are used to evaluate software supply-chain vulnerability and malicious-package detection methods?</x:v>
      </x:c>
      <x:c r="F411" s="22" t="n">
        <x:v>10</x:v>
      </x:c>
      <x:c r="G411" s="17" t="str">
        <x:v>arXiv:2509.04260</x:v>
      </x:c>
      <x:c r="H411" s="27" t="str">
        <x:v>An Empirical Study of Vulnerabilities in Python Packages and Their Detection</x:v>
      </x:c>
      <x:c r="I411" s="17" t="str">
        <x:v>Haowei Quan; Junjie Wang; Xinzhe Li; Terry Yue Zhuo; Xiao Chen; Xiaoning Du</x:v>
      </x:c>
      <x:c r="J411" s="22" t="n">
        <x:v>2025</x:v>
      </x:c>
      <x:c r="K411" s="27" t="str">
        <x:v>In the rapidly evolving software development landscape, Python stands out for its simplicity, versatility, and extensive ecosystem. Python packages, as units of organization, reusability, and distribution, have become a pressing concern, highlighted by the considerable number of vulnerability reports. As a scripting language, Python often cooperates with other languages for performance or interoperability. This adds complexity to the vulnerabilities inherent to Python packages, and the effectiveness of current vulnerability detection tools remains underexplored. This paper addresses these gaps by introducing PyVul, the first comprehensive benchmark suite of Python-package vulnerabilities. PyVul includes 1,157 publicly reported, developer-verified vulnerabilities, each linked to its affected packages. To accommodate diverse detection techniques, it provides annotations at both commit and function levels. An LLM-assisted data cleansing method is incorporated to improve label accuracy, achieving 100% commit-level and 94% function-level accuracy, establishing PyVul as the most precise large-scale Python vulnerability benchmark. We further carry out a distribution analysis of PyVul, which demonstrates that vulnerabilities in Python packages involve multiple programming languages and exhibit a wide variety of types. Moreover, our analysis reveals that multi-lingual Python packages are potentially more susceptible to vulnerabilities. Evaluation of state-of-the-art detectors using this benchmark reveals a significant discrepancy between the capabilities of existing tools and the demands of effectively identifying real-world security issues in Python packages. Additionally, we conduct an empirical review of the top-ranked CWEs observed in Python packages, to diagnose the fine-grained limitations of current detection tools and highlight the necessity for future advancements in the field.</x:v>
      </x:c>
      <x:c r="L411" s="17" t="str">
        <x:v>http://arxiv.org/abs/2509.04260v1</x:v>
      </x:c>
      <x:c r="M411" s="23" t="n">
        <x:v>0.6226088522695797</x:v>
      </x:c>
      <x:c r="N411" s="17" t="str">
        <x:v>qwen3-rerank-no-instruct-20260727-125006-results.jsonl</x:v>
      </x:c>
      <x:c r="O411" s="24" t="str">
        <x:v>2</x:v>
      </x:c>
      <x:c r="P411" s="28" t="str">
        <x:v>《An Empirical Study of Vulnerabilities in Python Packages and Their Detection》核心提供软件供应链漏洞、恶意包检测的数据集、基准、指标或实证评测。</x:v>
      </x:c>
      <x:c r="Q411" s="25" t="str"/>
      <x:c r="R411" s="24" t="str">
        <x:f>IF(Q411&lt;&gt;"",Q411,O411)</x:f>
        <x:v>2</x:v>
      </x:c>
      <x:c r="S411" s="29" t="str"/>
    </x:row>
    <x:row r="412" ht="54" customHeight="1">
      <x:c r="A412" s="17" t="str">
        <x:v>csq021-r11</x:v>
      </x:c>
      <x:c r="B412" s="17" t="str">
        <x:v>csq021</x:v>
      </x:c>
      <x:c r="C412" s="17" t="str">
        <x:v>security_and_privacy</x:v>
      </x:c>
      <x:c r="D412" s="17" t="str">
        <x:v>software_supply_chain</x:v>
      </x:c>
      <x:c r="E412" s="27" t="str">
        <x:v>Which datasets, benchmarks, and metrics are used to evaluate software supply-chain vulnerability and malicious-package detection methods?</x:v>
      </x:c>
      <x:c r="F412" s="22" t="n">
        <x:v>11</x:v>
      </x:c>
      <x:c r="G412" s="17" t="str">
        <x:v>arXiv:2512.03868</x:v>
      </x:c>
      <x:c r="H412" s="27" t="str">
        <x:v>A Comprehensive Study on the Impact of Vulnerable Dependencies on Open-Source Software</x:v>
      </x:c>
      <x:c r="I412" s="17" t="str">
        <x:v>Shree Hari Bittugondanahalli Indra Kumar; Lilia Rodrigues Sampaio; André Martin; Andrey Brito; Christof Fetzer</x:v>
      </x:c>
      <x:c r="J412" s="22" t="n">
        <x:v>2025</x:v>
      </x:c>
      <x:c r="K412" s="27" t="str">
        <x:v>Open-source libraries are widely used by software developers to speed up the development of products, however, they can introduce security vulnerabilities, leading to incidents like Log4Shell. With the expanding usage of open-source libraries, it becomes even more imperative to comprehend and address these dependency vulnerabilities. The use of Software Composition Analysis (SCA) tools does greatly help here as they provide a deep insight on what dependencies are used in a project, enhancing the security and integrity in the software supply chain. In order to learn how wide spread vulnerabilities are and how quickly they are being fixed, we conducted a study on over 1k open-source software projects with about 50k releases comprising several languages such as Java, Python, Rust, Go, Ruby, PHP, and JavaScript. Our objective is to investigate the severity, persistence, and distribution of these vulnerabilities, as well as their correlation with project metrics such as team and contributors size, activity and release cycles. In order to perform such analysis, we crawled over 1k projects from github including their version history ranging from 2013 to 2023 using VODA, our SCA tool. Using our approach, we can provide information such as library versions, dependency depth, and known vulnerabilities, and how they evolved over the software development cycle. Being larger and more diverse than datasets used in earlier works and studies, ours provides better insights and generalizability of the gained results. The data collected answers several research questions about the dependency depth and the average time a vulnerability persists. Among other findings, we observed that for most programming languages, vulnerable dependencies are transitive, and a critical vulnerability persists in average for over a year before being fixed.</x:v>
      </x:c>
      <x:c r="L412" s="17" t="str">
        <x:v>http://arxiv.org/abs/2512.03868v1</x:v>
      </x:c>
      <x:c r="M412" s="23" t="n">
        <x:v>0.5843243725777733</x:v>
      </x:c>
      <x:c r="N412" s="17" t="str">
        <x:v>qwen3-rerank-no-instruct-20260727-125006-results.jsonl</x:v>
      </x:c>
      <x:c r="O412" s="24" t="str">
        <x:v>1</x:v>
      </x:c>
      <x:c r="P412" s="28" t="str">
        <x:v>《A Comprehensive Study on the Impact of Vulnerable Dependencies on Open-Source Software》涉及软件供应链安全，但主要提供相邻风险、工具或防护证据，未直接回答检测评测全貌。</x:v>
      </x:c>
      <x:c r="Q412" s="25" t="str"/>
      <x:c r="R412" s="24" t="str">
        <x:f>IF(Q412&lt;&gt;"",Q412,O412)</x:f>
        <x:v>1</x:v>
      </x:c>
      <x:c r="S412" s="29" t="str"/>
    </x:row>
    <x:row r="413" ht="54" customHeight="1">
      <x:c r="A413" s="17" t="str">
        <x:v>csq021-r12</x:v>
      </x:c>
      <x:c r="B413" s="17" t="str">
        <x:v>csq021</x:v>
      </x:c>
      <x:c r="C413" s="17" t="str">
        <x:v>security_and_privacy</x:v>
      </x:c>
      <x:c r="D413" s="17" t="str">
        <x:v>software_supply_chain</x:v>
      </x:c>
      <x:c r="E413" s="27" t="str">
        <x:v>Which datasets, benchmarks, and metrics are used to evaluate software supply-chain vulnerability and malicious-package detection methods?</x:v>
      </x:c>
      <x:c r="F413" s="22" t="n">
        <x:v>12</x:v>
      </x:c>
      <x:c r="G413" s="17" t="str">
        <x:v>arXiv:2305.19593</x:v>
      </x:c>
      <x:c r="H413" s="27" t="str">
        <x:v>Exploring the Vulnerabilities of Machine Learning and Quantum Machine Learning to Adversarial Attacks using a Malware Dataset: A Comparative Analysis</x:v>
      </x:c>
      <x:c r="I413" s="17" t="str">
        <x:v>Mst Shapna Akter; Hossain Shahriar; Iysa Iqbal; MD Hossain; M. A. Karim; Victor Clincy; Razvan Voicu</x:v>
      </x:c>
      <x:c r="J413" s="22" t="n">
        <x:v>2023</x:v>
      </x:c>
      <x:c r="K413" s="27" t="str">
        <x:v>The burgeoning fields of machine learning (ML) and quantum machine learning (QML) have shown remarkable potential in tackling complex problems across various domains. However, their susceptibility to adversarial attacks raises concerns when deploying these systems in security sensitive applications. In this study, we present a comparative analysis of the vulnerability of ML and QML models, specifically conventional neural networks (NN) and quantum neural networks (QNN), to adversarial attacks using a malware dataset. We utilize a software supply chain attack dataset known as ClaMP and develop two distinct models for QNN and NN, employing Pennylane for quantum implementations and TensorFlow and Keras for traditional implementations. Our methodology involves crafting adversarial samples by introducing random noise to a small portion of the dataset and evaluating the impact on the models performance using accuracy, precision, recall, and F1 score metrics. Based on our observations, both ML and QML models exhibit vulnerability to adversarial attacks. While the QNNs accuracy decreases more significantly compared to the NN after the attack, it demonstrates better performance in terms of precision and recall, indicating higher resilience in detecting true positives under adversarial conditions. We also find that adversarial samples crafted for one model type can impair the performance of the other, highlighting the need for robust defense mechanisms. Our study serves as a foundation for future research focused on enhancing the security and resilience of ML and QML models, particularly QNN, given its recent advancements. A more extensive range of experiments will be conducted to better understand the performance and robustness of both models in the face of adversarial attacks.</x:v>
      </x:c>
      <x:c r="L413" s="17" t="str">
        <x:v>http://arxiv.org/abs/2305.19593v1</x:v>
      </x:c>
      <x:c r="M413" s="23" t="n">
        <x:v>0.5539015026007764</x:v>
      </x:c>
      <x:c r="N413" s="17" t="str">
        <x:v>qwen3-rerank-no-instruct-20260727-125006-results.jsonl</x:v>
      </x:c>
      <x:c r="O413" s="24" t="str">
        <x:v>2</x:v>
      </x:c>
      <x:c r="P413" s="28" t="str">
        <x:v>《Exploring the Vulnerabilities of Machine Learning and Quantum Machine Learning to Adversarial Attacks using a Malware Dataset: A Comparative Analysis》核心提供软件供应链漏洞、恶意包检测的数据集、基准、指标或实证评测。</x:v>
      </x:c>
      <x:c r="Q413" s="25" t="str"/>
      <x:c r="R413" s="24" t="str">
        <x:f>IF(Q413&lt;&gt;"",Q413,O413)</x:f>
        <x:v>2</x:v>
      </x:c>
      <x:c r="S413" s="29" t="str"/>
    </x:row>
    <x:row r="414" ht="54" customHeight="1">
      <x:c r="A414" s="17" t="str">
        <x:v>csq021-r13</x:v>
      </x:c>
      <x:c r="B414" s="17" t="str">
        <x:v>csq021</x:v>
      </x:c>
      <x:c r="C414" s="17" t="str">
        <x:v>security_and_privacy</x:v>
      </x:c>
      <x:c r="D414" s="17" t="str">
        <x:v>software_supply_chain</x:v>
      </x:c>
      <x:c r="E414" s="27" t="str">
        <x:v>Which datasets, benchmarks, and metrics are used to evaluate software supply-chain vulnerability and malicious-package detection methods?</x:v>
      </x:c>
      <x:c r="F414" s="22" t="n">
        <x:v>13</x:v>
      </x:c>
      <x:c r="G414" s="17" t="str">
        <x:v>arXiv:2512.01630</x:v>
      </x:c>
      <x:c r="H414" s="27" t="str">
        <x:v>Package Dashboard: A Cross-Ecosystem Framework for Dual-Perspective Analysis of Software Packages</x:v>
      </x:c>
      <x:c r="I414" s="17" t="str">
        <x:v>Ziheng Liu; Runzhi He; Minghui Zhou</x:v>
      </x:c>
      <x:c r="J414" s="22" t="n">
        <x:v>2025</x:v>
      </x:c>
      <x:c r="K414" s="27" t="str">
        <x:v>Software supply chain attacks have revealed blind spots in existing SCA tools, which are often limited to a single ecosystem and assess either software artifacts or community activity in isolation. This fragmentation across tools and ecosystems forces developers to manually reconcile scattered data, undermining risk assessments. We present Package Dashboard, a cross-ecosystem framework that provides a unified platform for supply chain analysis, enabling a holistic, dual-perspective risk assessment by integrating package metadata, vulnerability information, and upstream community health metrics. By combining dependency resolution with repository analysis, it reduces cognitive load and improves traceability. Demonstrating the framework's versatility, a large-scale study of 374,000 packages across five Linux distributions shows its ability to uncover not only conventional vulnerabilities and license conflicts but also overlooked risks such as archived or inaccessible repositories. Ultimately, Package Dashboard provides a unified view of risk, equipping developers and DevSecOps engineers with actionable insights to strengthen the transparency, trustworthiness, and traceability of open-source ecosystems. Package Dashboard is publicly available at https://github.com/n19htfall/PackageDashboard, and a demonstration video can be found at https://youtu.be/y9ncftP8KPQ. Besides, the online version is available at https://pkgdash.osslab-pku.org.</x:v>
      </x:c>
      <x:c r="L414" s="17" t="str">
        <x:v>http://arxiv.org/abs/2512.01630v1</x:v>
      </x:c>
      <x:c r="M414" s="23" t="n">
        <x:v>0.550083843309842</x:v>
      </x:c>
      <x:c r="N414" s="17" t="str">
        <x:v>qwen3-rerank-no-instruct-20260727-125006-results.jsonl</x:v>
      </x:c>
      <x:c r="O414" s="24" t="str">
        <x:v>1</x:v>
      </x:c>
      <x:c r="P414" s="28" t="str">
        <x:v>《Package Dashboard: A Cross-Ecosystem Framework for Dual-Perspective Analysis of Software Packages》涉及软件供应链安全，但主要提供相邻风险、工具或防护证据，未直接回答检测评测全貌。</x:v>
      </x:c>
      <x:c r="Q414" s="25" t="str"/>
      <x:c r="R414" s="24" t="str">
        <x:f>IF(Q414&lt;&gt;"",Q414,O414)</x:f>
        <x:v>1</x:v>
      </x:c>
      <x:c r="S414" s="29" t="str"/>
    </x:row>
    <x:row r="415" ht="54" customHeight="1">
      <x:c r="A415" s="17" t="str">
        <x:v>csq021-r14</x:v>
      </x:c>
      <x:c r="B415" s="17" t="str">
        <x:v>csq021</x:v>
      </x:c>
      <x:c r="C415" s="17" t="str">
        <x:v>security_and_privacy</x:v>
      </x:c>
      <x:c r="D415" s="17" t="str">
        <x:v>software_supply_chain</x:v>
      </x:c>
      <x:c r="E415" s="27" t="str">
        <x:v>Which datasets, benchmarks, and metrics are used to evaluate software supply-chain vulnerability and malicious-package detection methods?</x:v>
      </x:c>
      <x:c r="F415" s="22" t="n">
        <x:v>14</x:v>
      </x:c>
      <x:c r="G415" s="17" t="str">
        <x:v>arXiv:2412.05138</x:v>
      </x:c>
      <x:c r="H415" s="27" t="str">
        <x:v>Supply Chain Insecurity: The Lack of Integrity Protection in SBOM Solutions</x:v>
      </x:c>
      <x:c r="I415" s="17" t="str">
        <x:v>Can Ozkan; Xinhai Zou; Dave Singelee</x:v>
      </x:c>
      <x:c r="J415" s="22" t="n">
        <x:v>2024</x:v>
      </x:c>
      <x:c r="K415" s="27" t="str">
        <x:v>The SolarWinds attack, which exploited weaknesses in a software update mechanism, highlights the critical need for organizations to have better visibility into their software dependencies and potential vulnerabilities associated with them. The Software Bill of Materials (SBOM) is paramount in ensuring software supply chain security. Under the Executive Order issued by President Biden, the adoption of the SBOM has become obligatory within the United States. The executive order mandates that an SBOM must be provided for all software purchased by federal agencies. In this paper, we present an in-depth and systematic investigation of the trust that can be put into the output of SBOMs. Our research reveals that the SBOM generation process across popular programming languages is susceptible to stealthy manipulation by malicious insiders, leading to significant supply chain insecurities. We then investigated the tools used to consume SBOMs, examining their capability to detect and handle manipulated or compromised SBOM data. To address these security issues, we analyze the use of public repositories for software libraries to validate the integrity of dependencies and demonstrate the feasibility of our proof-of-concept implementation. We further evaluate an alternative, decentralized approach based on blockchain.</x:v>
      </x:c>
      <x:c r="L415" s="17" t="str">
        <x:v>http://arxiv.org/abs/2412.05138v3</x:v>
      </x:c>
      <x:c r="M415" s="23" t="n">
        <x:v>0.5310141400463204</x:v>
      </x:c>
      <x:c r="N415" s="17" t="str">
        <x:v>qwen3-rerank-no-instruct-20260727-125006-results.jsonl</x:v>
      </x:c>
      <x:c r="O415" s="24" t="str">
        <x:v>1</x:v>
      </x:c>
      <x:c r="P415" s="28" t="str">
        <x:v>《Supply Chain Insecurity: The Lack of Integrity Protection in SBOM Solutions》涉及软件供应链安全，但主要提供相邻风险、工具或防护证据，未直接回答检测评测全貌。</x:v>
      </x:c>
      <x:c r="Q415" s="25" t="str"/>
      <x:c r="R415" s="24" t="str">
        <x:f>IF(Q415&lt;&gt;"",Q415,O415)</x:f>
        <x:v>1</x:v>
      </x:c>
      <x:c r="S415" s="29" t="str"/>
    </x:row>
    <x:row r="416" ht="54" customHeight="1">
      <x:c r="A416" s="17" t="str">
        <x:v>csq021-r15</x:v>
      </x:c>
      <x:c r="B416" s="17" t="str">
        <x:v>csq021</x:v>
      </x:c>
      <x:c r="C416" s="17" t="str">
        <x:v>security_and_privacy</x:v>
      </x:c>
      <x:c r="D416" s="17" t="str">
        <x:v>software_supply_chain</x:v>
      </x:c>
      <x:c r="E416" s="27" t="str">
        <x:v>Which datasets, benchmarks, and metrics are used to evaluate software supply-chain vulnerability and malicious-package detection methods?</x:v>
      </x:c>
      <x:c r="F416" s="22" t="n">
        <x:v>15</x:v>
      </x:c>
      <x:c r="G416" s="17" t="str">
        <x:v>arXiv:2510.05159</x:v>
      </x:c>
      <x:c r="H416" s="27" t="str">
        <x:v>Malice in Agentland: Down the Rabbit Hole of Backdoors in the AI Supply Chain</x:v>
      </x:c>
      <x:c r="I416" s="17" t="str">
        <x:v>Léo Boisvert; Abhay Puri; Chandra Kiran Reddy Evuru; Nazanin Sepahvand; Nicolas Chapados; Quentin Cappart; Alexandre Lacoste; Krishnamurthy Dj Dvijotham; Alexandre Drouin</x:v>
      </x:c>
      <x:c r="J416" s="22" t="n">
        <x:v>2025</x:v>
      </x:c>
      <x:c r="K416" s="27" t="str">
        <x:v>While finetuning AI agents on interaction data -- such as web browsing or tool use -- improves their capabilities, it also introduces critical security vulnerabilities within the agentic AI supply chain. We show that adversaries can effectively poison the data collection pipeline at multiple stages to embed hard-to-detect backdoors that, when triggered, cause unsafe or malicious behavior. We formalize three realistic threat models across distinct layers of the supply chain: direct poisoning of finetuning data, pre-backdoored base models, and environment poisoning, a novel attack vector that exploits vulnerabilities specific to agentic training pipelines. Evaluated on two widely adopted agentic benchmarks, all three threat models prove effective: poisoning only a small number of demonstrations is sufficient to embed a backdoor that causes an agent to leak confidential user information with over 80\% success.</x:v>
      </x:c>
      <x:c r="L416" s="17" t="str">
        <x:v>http://arxiv.org/abs/2510.05159v4</x:v>
      </x:c>
      <x:c r="M416" s="23" t="n">
        <x:v>0.5245673677376488</x:v>
      </x:c>
      <x:c r="N416" s="17" t="str">
        <x:v>qwen3-rerank-no-instruct-20260727-125006-results.jsonl</x:v>
      </x:c>
      <x:c r="O416" s="24" t="str">
        <x:v>1</x:v>
      </x:c>
      <x:c r="P416" s="28" t="str">
        <x:v>《Malice in Agentland: Down the Rabbit Hole of Backdoors in the AI Supply Chain》涉及软件供应链安全，但主要提供相邻风险、工具或防护证据，未直接回答检测评测全貌。</x:v>
      </x:c>
      <x:c r="Q416" s="25" t="str"/>
      <x:c r="R416" s="24" t="str">
        <x:f>IF(Q416&lt;&gt;"",Q416,O416)</x:f>
        <x:v>1</x:v>
      </x:c>
      <x:c r="S416" s="29" t="str"/>
    </x:row>
    <x:row r="417" ht="54" customHeight="1">
      <x:c r="A417" s="17" t="str">
        <x:v>csq021-r16</x:v>
      </x:c>
      <x:c r="B417" s="17" t="str">
        <x:v>csq021</x:v>
      </x:c>
      <x:c r="C417" s="17" t="str">
        <x:v>security_and_privacy</x:v>
      </x:c>
      <x:c r="D417" s="17" t="str">
        <x:v>software_supply_chain</x:v>
      </x:c>
      <x:c r="E417" s="27" t="str">
        <x:v>Which datasets, benchmarks, and metrics are used to evaluate software supply-chain vulnerability and malicious-package detection methods?</x:v>
      </x:c>
      <x:c r="F417" s="22" t="n">
        <x:v>16</x:v>
      </x:c>
      <x:c r="G417" s="17" t="str">
        <x:v>arXiv:2510.14778</x:v>
      </x:c>
      <x:c r="H417" s="27" t="str">
        <x:v>Leveraging Code Cohesion Analysis to Identify Source Code Supply Chain Attacks</x:v>
      </x:c>
      <x:c r="I417" s="17" t="str">
        <x:v>Maor Reuben; Ido Mendel; Or Feldman; Moshe Kravchik; Mordehai Guri; Rami Puzis</x:v>
      </x:c>
      <x:c r="J417" s="22" t="n">
        <x:v>2025</x:v>
      </x:c>
      <x:c r="K417" s="27" t="str">
        <x:v>Supply chain attacks significantly threaten software security with malicious code injections within legitimate projects. Such attacks are very rare but may have a devastating impact. Detecting spurious code injections using automated tools is further complicated as it often requires deciphering the intention of both the inserted code and its context. In this study, we propose an unsupervised approach for highlighting spurious code injections by quantifying cohesion disruptions in the source code. Using a name-prediction-based cohesion (NPC) metric, we analyze how function cohesion changes when malicious code is introduced compared to natural cohesion fluctuations. An analysis of 54,707 functions over 369 open-source C++ repositories reveals that code injection reduces cohesion and shifts naming patterns toward shorter, less descriptive names compared to genuine function updates. Considering the sporadic nature of real supply-chain attacks, we evaluate the proposed method with extreme test-set imbalance and show that monitoring high-cohesion functions with NPC can effectively detect functions with injected code, achieving a Precision@100 of 36.41% at a 1:1,000 ratio and 12.47% at 1:10,000. These results suggest that automated cohesion measurements, in general, and name-prediction-based cohesion, in particular, may help identify supply chain attacks, improving source code integrity.</x:v>
      </x:c>
      <x:c r="L417" s="17" t="str">
        <x:v>http://arxiv.org/abs/2510.14778v2</x:v>
      </x:c>
      <x:c r="M417" s="23" t="n">
        <x:v>0.5158479646707251</x:v>
      </x:c>
      <x:c r="N417" s="17" t="str">
        <x:v>qwen3-rerank-no-instruct-20260727-125006-results.jsonl</x:v>
      </x:c>
      <x:c r="O417" s="24" t="str">
        <x:v>2</x:v>
      </x:c>
      <x:c r="P417" s="28" t="str">
        <x:v>《Leveraging Code Cohesion Analysis to Identify Source Code Supply Chain Attacks》核心提供软件供应链漏洞、恶意包检测的数据集、基准、指标或实证评测。</x:v>
      </x:c>
      <x:c r="Q417" s="25" t="str"/>
      <x:c r="R417" s="24" t="str">
        <x:f>IF(Q417&lt;&gt;"",Q417,O417)</x:f>
        <x:v>2</x:v>
      </x:c>
      <x:c r="S417" s="29" t="str"/>
    </x:row>
    <x:row r="418" ht="54" customHeight="1">
      <x:c r="A418" s="17" t="str">
        <x:v>csq021-r17</x:v>
      </x:c>
      <x:c r="B418" s="17" t="str">
        <x:v>csq021</x:v>
      </x:c>
      <x:c r="C418" s="17" t="str">
        <x:v>security_and_privacy</x:v>
      </x:c>
      <x:c r="D418" s="17" t="str">
        <x:v>software_supply_chain</x:v>
      </x:c>
      <x:c r="E418" s="27" t="str">
        <x:v>Which datasets, benchmarks, and metrics are used to evaluate software supply-chain vulnerability and malicious-package detection methods?</x:v>
      </x:c>
      <x:c r="F418" s="22" t="n">
        <x:v>17</x:v>
      </x:c>
      <x:c r="G418" s="17" t="str">
        <x:v>arXiv:2407.04442</x:v>
      </x:c>
      <x:c r="H418" s="27" t="str">
        <x:v>GoSurf: Identifying Software Supply Chain Attack Vectors in Go</x:v>
      </x:c>
      <x:c r="I418" s="17" t="str">
        <x:v>Carmine Cesarano; Vivi Andersson; Roberto Natella; Martin Monperrus</x:v>
      </x:c>
      <x:c r="J418" s="22" t="n">
        <x:v>2024</x:v>
      </x:c>
      <x:c r="K418" s="27" t="str">
        <x:v>In Go, the widespread adoption of open-source software has led to a flourishing ecosystem of third-party dependencies, which are often integrated into critical systems. However, the reuse of dependencies introduces significant supply chain security risks, as a single compromised package can have cascading impacts. Existing supply chain attack taxonomies overlook language-specific features that can be exploited by attackers to hide malicious code. In this paper, we propose a novel taxonomy of 12 distinct attack vectors tailored for the Go language and its package lifecycle. Our taxonomy identifies patterns in which language-specific Go features, intended for benign purposes, can be misused to propagate malicious code stealthily through supply chains. Additionally, we introduce GoSurf, a static analysis tool that analyzes the attack surface of Go packages according to our proposed taxonomy. We evaluate GoSurf on a corpus of widely used, real-world Go packages. Our work provides preliminary insights for securing the open-source software supply chain within the Go ecosystem, allowing developers and security analysts to prioritize code audit efforts and uncover hidden malicious behaviors.</x:v>
      </x:c>
      <x:c r="L418" s="17" t="str">
        <x:v>http://arxiv.org/abs/2407.04442v2</x:v>
      </x:c>
      <x:c r="M418" s="23" t="n">
        <x:v>0.5106042377198327</x:v>
      </x:c>
      <x:c r="N418" s="17" t="str">
        <x:v>qwen3-rerank-no-instruct-20260727-125006-results.jsonl</x:v>
      </x:c>
      <x:c r="O418" s="24" t="str">
        <x:v>1</x:v>
      </x:c>
      <x:c r="P418" s="28" t="str">
        <x:v>《GoSurf: Identifying Software Supply Chain Attack Vectors in Go》涉及软件供应链安全，但主要提供相邻风险、工具或防护证据，未直接回答检测评测全貌。</x:v>
      </x:c>
      <x:c r="Q418" s="25" t="str"/>
      <x:c r="R418" s="24" t="str">
        <x:f>IF(Q418&lt;&gt;"",Q418,O418)</x:f>
        <x:v>1</x:v>
      </x:c>
      <x:c r="S418" s="29" t="str"/>
    </x:row>
    <x:row r="419" ht="54" customHeight="1">
      <x:c r="A419" s="17" t="str">
        <x:v>csq021-r18</x:v>
      </x:c>
      <x:c r="B419" s="17" t="str">
        <x:v>csq021</x:v>
      </x:c>
      <x:c r="C419" s="17" t="str">
        <x:v>security_and_privacy</x:v>
      </x:c>
      <x:c r="D419" s="17" t="str">
        <x:v>software_supply_chain</x:v>
      </x:c>
      <x:c r="E419" s="27" t="str">
        <x:v>Which datasets, benchmarks, and metrics are used to evaluate software supply-chain vulnerability and malicious-package detection methods?</x:v>
      </x:c>
      <x:c r="F419" s="22" t="n">
        <x:v>18</x:v>
      </x:c>
      <x:c r="G419" s="17" t="str">
        <x:v>arXiv:2407.18639</x:v>
      </x:c>
      <x:c r="H419" s="27" t="str">
        <x:v>Vulnerability Detection in Ethereum Smart Contracts via Machine Learning: A Qualitative Analysis</x:v>
      </x:c>
      <x:c r="I419" s="17" t="str">
        <x:v>Dalila Ressi; Alvise Spanò; Lorenzo Benetollo; Carla Piazza; Michele Bugliesi; Sabina Rossi</x:v>
      </x:c>
      <x:c r="J419" s="22" t="n">
        <x:v>2024</x:v>
      </x:c>
      <x:c r="K419" s="27" t="str">
        <x:v>Smart contracts are central to a myriad of critical blockchain applications, from financial transactions to supply chain management. However, their adoption is hindered by security vulnerabilities that can result in significant financial losses. Most vulnerability detection tools and methods available nowadays leverage either static analysis methods or machine learning. Unfortunately, as valuable as they are, both approaches suffer from limitations that make them only partially effective. In this survey, we analyze the state of the art in machine-learning vulnerability detection for Ethereum smart contracts, by categorizing existing tools and methodologies, evaluating them, and highlighting their limitations. Our critical assessment unveils issues such as restricted vulnerability coverage and dataset construction flaws, providing us with new metrics to overcome the difficulties that restrain a sound comparison of existing solutions. Driven by our findings, we discuss best practices to enhance the accuracy, scope, and efficiency of vulnerability detection in smart contracts. Our guidelines address the known flaws while at the same time opening new avenues for research and development. By shedding light on current challenges and offering novel directions for improvement, we contribute to the advancement of secure smart contract development and blockchain technology as a whole.</x:v>
      </x:c>
      <x:c r="L419" s="17" t="str">
        <x:v>http://arxiv.org/abs/2407.18639v1</x:v>
      </x:c>
      <x:c r="M419" s="23" t="n">
        <x:v>0.5102328604793295</x:v>
      </x:c>
      <x:c r="N419" s="17" t="str">
        <x:v>qwen3-rerank-no-instruct-20260727-125006-results.jsonl</x:v>
      </x:c>
      <x:c r="O419" s="24" t="str">
        <x:v>0</x:v>
      </x:c>
      <x:c r="P419" s="28" t="str">
        <x:v>《Vulnerability Detection in Ethereum Smart Contracts via Machine Learning: A Qualitative Analysis》研究的是实体供应链、智能合约或其他任务，无法支持软件供应链检测评测。</x:v>
      </x:c>
      <x:c r="Q419" s="25" t="str"/>
      <x:c r="R419" s="24" t="str">
        <x:f>IF(Q419&lt;&gt;"",Q419,O419)</x:f>
        <x:v>0</x:v>
      </x:c>
      <x:c r="S419" s="29" t="str"/>
    </x:row>
    <x:row r="420" ht="54" customHeight="1">
      <x:c r="A420" s="17" t="str">
        <x:v>csq021-r19</x:v>
      </x:c>
      <x:c r="B420" s="17" t="str">
        <x:v>csq021</x:v>
      </x:c>
      <x:c r="C420" s="17" t="str">
        <x:v>security_and_privacy</x:v>
      </x:c>
      <x:c r="D420" s="17" t="str">
        <x:v>software_supply_chain</x:v>
      </x:c>
      <x:c r="E420" s="27" t="str">
        <x:v>Which datasets, benchmarks, and metrics are used to evaluate software supply-chain vulnerability and malicious-package detection methods?</x:v>
      </x:c>
      <x:c r="F420" s="22" t="n">
        <x:v>19</x:v>
      </x:c>
      <x:c r="G420" s="17" t="str">
        <x:v>arXiv:2511.01395</x:v>
      </x:c>
      <x:c r="H420" s="27" t="str">
        <x:v>Characterizing Build Compromises Through Vulnerability Disclosure Analysis</x:v>
      </x:c>
      <x:c r="I420" s="17" t="str">
        <x:v>Maimouna Tamah Diao; Moustapha Awwalou Diouf; Iyiola Emmanuel Olatunji; Abdoul Kader Kaboré; Gervais Mendy; Jacques Klein; Tegawendé F. Bissyandé</x:v>
      </x:c>
      <x:c r="J420" s="22" t="n">
        <x:v>2025</x:v>
      </x:c>
      <x:c r="K420" s="27" t="str">
        <x:v>The software build process transforms source code into deployable artifacts, representing a critical yet vulnerable stage in software development. Build infrastructure security poses unique challenges: the complexity of multi-component systems (source code, dependencies, build tools), the difficulty of detecting intrusions during compilation, and prevalent build non-determinism that masks malicious modifications. Despite these risks, the security community lacks a systematic understanding of build-specific attack vectors, hindering effective defense design. This paper presents an empirically-derived taxonomy of attack vectors targeting the build process, constructed through a large-scale CVE mining (of 621 vulnerability disclosures from the NVD database). We categorize attack vectors by their injection points across the build pipeline, from source code manipulation to compiler compromise. To validate our taxonomy, we analyzed 168 documented software supply chain attacks, identifying 40 incidents specifically targeting build phases. Our analysis reveals that 23.8\% of supply chain attacks exploit build vulnerabilities, with dependency confusion and build script injection representing the most prevalent vectors. Dataset available at: https://anonymous.4open.science/r/Taxonomizing-Build-Attacks-8BB0.</x:v>
      </x:c>
      <x:c r="L420" s="17" t="str">
        <x:v>http://arxiv.org/abs/2511.01395v1</x:v>
      </x:c>
      <x:c r="M420" s="23" t="n">
        <x:v>0.48670660493292867</x:v>
      </x:c>
      <x:c r="N420" s="17" t="str">
        <x:v>qwen3-rerank-no-instruct-20260727-125006-results.jsonl</x:v>
      </x:c>
      <x:c r="O420" s="24" t="str">
        <x:v>2</x:v>
      </x:c>
      <x:c r="P420" s="28" t="str">
        <x:v>《Characterizing Build Compromises Through Vulnerability Disclosure Analysis》核心提供软件供应链漏洞、恶意包检测的数据集、基准、指标或实证评测。</x:v>
      </x:c>
      <x:c r="Q420" s="25" t="str"/>
      <x:c r="R420" s="24" t="str">
        <x:f>IF(Q420&lt;&gt;"",Q420,O420)</x:f>
        <x:v>2</x:v>
      </x:c>
      <x:c r="S420" s="29" t="str"/>
    </x:row>
    <x:row r="421" ht="54" customHeight="1">
      <x:c r="A421" s="17" t="str">
        <x:v>csq021-r20</x:v>
      </x:c>
      <x:c r="B421" s="17" t="str">
        <x:v>csq021</x:v>
      </x:c>
      <x:c r="C421" s="17" t="str">
        <x:v>security_and_privacy</x:v>
      </x:c>
      <x:c r="D421" s="17" t="str">
        <x:v>software_supply_chain</x:v>
      </x:c>
      <x:c r="E421" s="27" t="str">
        <x:v>Which datasets, benchmarks, and metrics are used to evaluate software supply-chain vulnerability and malicious-package detection methods?</x:v>
      </x:c>
      <x:c r="F421" s="22" t="n">
        <x:v>20</x:v>
      </x:c>
      <x:c r="G421" s="17" t="str">
        <x:v>arXiv:2205.06484</x:v>
      </x:c>
      <x:c r="H421" s="27" t="str">
        <x:v>SENS: Semantic Synthetic Benchmarking Model for integrated supply chain simulation and analysis</x:v>
      </x:c>
      <x:c r="I421" s="17" t="str">
        <x:v>Nour Ramzy; Soren Auer; Hans Ehm; Javad Chamanara</x:v>
      </x:c>
      <x:c r="J421" s="22" t="n">
        <x:v>2022</x:v>
      </x:c>
      <x:c r="K421" s="27" t="str">
        <x:v>Supply Chain (SC) modeling is essential to understand and influence SC behavior, especially for increasingly globalized and complex SCs. Existing models address various SC notions, e.g., processes, tiers and production, in an isolated manner limiting enriched analysis granted by integrated information systems. Moreover, the scarcity of real-world data prevents the benchmarking of the overall SC performance in different circumstances, especially wrt. resilience during disruption. We present SENS, an ontology-based Knowlegde-Graph (KG) equipped with SPARQL implementations of KPIs to incorporate an end-to-end perspective of the SC including standardized SCOR processes and metrics. Further, we propose SENS-GEN, a highly configurable data generator that leverages SENS to create synthetic semantic SC data under multiple scenario configurations for comprehensive analysis and benchmarking applications. The evaluation shows that the significantly improved simulation and analysis capabilities, enabled by SENS, facilitate grasping, controlling and ultimately enhancing SC behavior and increasing resilience in disruptive scenarios.</x:v>
      </x:c>
      <x:c r="L421" s="17" t="str">
        <x:v>http://arxiv.org/abs/2205.06484v1</x:v>
      </x:c>
      <x:c r="M421" s="23" t="n">
        <x:v>0.4797745369578453</x:v>
      </x:c>
      <x:c r="N421" s="17" t="str">
        <x:v>qwen3-rerank-no-instruct-20260727-125006-results.jsonl</x:v>
      </x:c>
      <x:c r="O421" s="24" t="str">
        <x:v>0</x:v>
      </x:c>
      <x:c r="P421" s="28" t="str">
        <x:v>《SENS: Semantic Synthetic Benchmarking Model for integrated supply chain simulation and analysis》研究的是实体供应链、智能合约或其他任务，无法支持软件供应链检测评测。</x:v>
      </x:c>
      <x:c r="Q421" s="25" t="str"/>
      <x:c r="R421" s="24" t="str">
        <x:f>IF(Q421&lt;&gt;"",Q421,O421)</x:f>
        <x:v>0</x:v>
      </x:c>
      <x:c r="S421" s="29" t="str"/>
    </x:row>
    <x:row r="422" ht="54" customHeight="1">
      <x:c r="A422" s="17" t="str">
        <x:v>csq022-r01</x:v>
      </x:c>
      <x:c r="B422" s="17" t="str">
        <x:v>csq022</x:v>
      </x:c>
      <x:c r="C422" s="17" t="str">
        <x:v>security_and_privacy</x:v>
      </x:c>
      <x:c r="D422" s="17" t="str">
        <x:v>federated_learning_security</x:v>
      </x:c>
      <x:c r="E422" s="27" t="str">
        <x:v>What security and privacy attacks against federated learning have been demonstrated, and which proposed defenses remain limited under adaptive attackers?</x:v>
      </x:c>
      <x:c r="F422" s="22" t="n">
        <x:v>1</x:v>
      </x:c>
      <x:c r="G422" s="17" t="str">
        <x:v>arXiv:2509.08089</x:v>
      </x:c>
      <x:c r="H422" s="27" t="str">
        <x:v>Hammer and Anvil: Toward a Theory of Backdoors in Federated Learning</x:v>
      </x:c>
      <x:c r="I422" s="17" t="str">
        <x:v>Lucas Fenaux; Zheng Wang; Jacob Yan; Nathan Chung; Florian Kerschbaum</x:v>
      </x:c>
      <x:c r="J422" s="22" t="n">
        <x:v>2025</x:v>
      </x:c>
      <x:c r="K422" s="27" t="str">
        <x:v>Federated Learning (FL) enables distributed model training but is vulnerable to backdoor attacks, where malicious clients embed attacker-controlled behaviors into the global model. Existing defenses fail against adaptive adversaries. In this paper, we present "Hammer and Anvil", a principled theoretical framework that categorizes backdoors by the deviation, $δ$, of their updates to the mean of the updates. We identify two fundamental defense types: "Type 1 (The Anvil)", comprising outlier detection and robust aggregation effective against large-deviation attacks, and "Type 2 (The Hammer)", consisting of removal-based defenses effective against small-deviation attacks. We demonstrate that defenses of a single type and non-principled combined defenses inherently leave an exploitable gap for adaptive attackers. To bridge this gap, we propose the principled combination of Type 1 and Type 2 defenses. We evaluate our framework against a new, worst-case, full-information adaptive adversary that knows the benign updates, the aggregation algorithm, and its parameters, and yet this adversary fails against our combined defenses. Our empirical evaluation across various datasets and settings shows that single-typed and non-principled combined defenses are easily broken, often by a single malicious client. In contrast, our best combined defense variants, $HA_{Flame}^{CSFT}$, $HA_{Krum}^{CSFT}$, and $HA_{Multi-Metrics}^{CSFT}$, remain undefeated even in the most adversarial settings. Our results provide a principled approach for research on backdoors in federated learning.</x:v>
      </x:c>
      <x:c r="L422" s="17" t="str">
        <x:v>http://arxiv.org/abs/2509.08089v2</x:v>
      </x:c>
      <x:c r="M422" s="23" t="n">
        <x:v>0.9832035130446983</x:v>
      </x:c>
      <x:c r="N422" s="17" t="str">
        <x:v>qwen3-rerank-no-instruct-20260727-125006-results.jsonl</x:v>
      </x:c>
      <x:c r="O422" s="24" t="str">
        <x:v>2</x:v>
      </x:c>
      <x:c r="P422" s="28" t="str">
        <x:v>《Hammer and Anvil: Toward a Theory of Backdoors in Federated Learning》核心研究联邦学习安全/隐私攻击或防御，并给出直接实证证据。</x:v>
      </x:c>
      <x:c r="Q422" s="25" t="str"/>
      <x:c r="R422" s="24" t="str">
        <x:f>IF(Q422&lt;&gt;"",Q422,O422)</x:f>
        <x:v>2</x:v>
      </x:c>
      <x:c r="S422" s="29" t="str"/>
    </x:row>
    <x:row r="423" ht="54" customHeight="1">
      <x:c r="A423" s="17" t="str">
        <x:v>csq022-r02</x:v>
      </x:c>
      <x:c r="B423" s="17" t="str">
        <x:v>csq022</x:v>
      </x:c>
      <x:c r="C423" s="17" t="str">
        <x:v>security_and_privacy</x:v>
      </x:c>
      <x:c r="D423" s="17" t="str">
        <x:v>federated_learning_security</x:v>
      </x:c>
      <x:c r="E423" s="27" t="str">
        <x:v>What security and privacy attacks against federated learning have been demonstrated, and which proposed defenses remain limited under adaptive attackers?</x:v>
      </x:c>
      <x:c r="F423" s="22" t="n">
        <x:v>2</x:v>
      </x:c>
      <x:c r="G423" s="17" t="str">
        <x:v>arXiv:2306.03600</x:v>
      </x:c>
      <x:c r="H423" s="27" t="str">
        <x:v>Avoid Adversarial Adaption in Federated Learning by Multi-Metric Investigations</x:v>
      </x:c>
      <x:c r="I423" s="17" t="str">
        <x:v>Torsten Krauß; Alexandra Dmitrienko</x:v>
      </x:c>
      <x:c r="J423" s="22" t="n">
        <x:v>2023</x:v>
      </x:c>
      <x:c r="K423" s="27" t="str">
        <x:v>Federated Learning (FL) facilitates decentralized machine learning model training, preserving data privacy, lowering communication costs, and boosting model performance through diversified data sources. Yet, FL faces vulnerabilities such as poisoning attacks, undermining model integrity with both untargeted performance degradation and targeted backdoor attacks. Preventing backdoors proves especially challenging due to their stealthy nature. Prominent mitigation techniques against poisoning attacks rely on monitoring certain metrics and filtering malicious model updates. While shown effective in evaluations, we argue that previous works didn't consider realistic real-world adversaries and data distributions. We define a new notion of strong adaptive adversaries, capable of adapting to multiple objectives simultaneously. Through extensive empirical tests, we show that existing defense methods can be easily circumvented in this adversary model. We also demonstrate, that existing defenses have limited effectiveness when no assumptions are made about underlying data distributions. We introduce Metric-Cascades (MESAS), a novel defense method for more realistic scenarios and adversary models. MESAS employs multiple detection metrics simultaneously to identify poisoned model updates, creating a complex multi-objective optimization problem for adaptive attackers. In our extensive evaluation featuring nine backdoors and three datasets, MESAS consistently detects even strong adaptive attackers. Furthermore, MESAS outperforms existing defenses in distinguishing backdoors from data distribution-related distortions within and across clients. MESAS is the first defense robust against strong adaptive adversaries, effective in real-world data scenarios, with an average overhead of just 24.37 seconds.</x:v>
      </x:c>
      <x:c r="L423" s="17" t="str">
        <x:v>http://arxiv.org/abs/2306.03600v2</x:v>
      </x:c>
      <x:c r="M423" s="23" t="n">
        <x:v>0.9772308250383483</x:v>
      </x:c>
      <x:c r="N423" s="17" t="str">
        <x:v>qwen3-rerank-no-instruct-20260727-125006-results.jsonl</x:v>
      </x:c>
      <x:c r="O423" s="24" t="str">
        <x:v>2</x:v>
      </x:c>
      <x:c r="P423" s="28" t="str">
        <x:v>《Avoid Adversarial Adaption in Federated Learning by Multi-Metric Investigations》核心研究联邦学习安全/隐私攻击或防御，并给出直接实证证据。</x:v>
      </x:c>
      <x:c r="Q423" s="25" t="str"/>
      <x:c r="R423" s="24" t="str">
        <x:f>IF(Q423&lt;&gt;"",Q423,O423)</x:f>
        <x:v>2</x:v>
      </x:c>
      <x:c r="S423" s="29" t="str"/>
    </x:row>
    <x:row r="424" ht="54" customHeight="1">
      <x:c r="A424" s="17" t="str">
        <x:v>csq022-r03</x:v>
      </x:c>
      <x:c r="B424" s="17" t="str">
        <x:v>csq022</x:v>
      </x:c>
      <x:c r="C424" s="17" t="str">
        <x:v>security_and_privacy</x:v>
      </x:c>
      <x:c r="D424" s="17" t="str">
        <x:v>federated_learning_security</x:v>
      </x:c>
      <x:c r="E424" s="27" t="str">
        <x:v>What security and privacy attacks against federated learning have been demonstrated, and which proposed defenses remain limited under adaptive attackers?</x:v>
      </x:c>
      <x:c r="F424" s="22" t="n">
        <x:v>3</x:v>
      </x:c>
      <x:c r="G424" s="17" t="str">
        <x:v>arXiv:2410.17431</x:v>
      </x:c>
      <x:c r="H424" s="27" t="str">
        <x:v>Meta Stackelberg Game: Robust Federated Learning against Adaptive and Mixed Poisoning Attacks</x:v>
      </x:c>
      <x:c r="I424" s="17" t="str">
        <x:v>Tao Li; Henger Li; Yunian Pan; Tianyi Xu; Zizhan Zheng; Quanyan Zhu</x:v>
      </x:c>
      <x:c r="J424" s="22" t="n">
        <x:v>2024</x:v>
      </x:c>
      <x:c r="K424" s="27" t="str">
        <x:v>Federated learning (FL) is susceptible to a range of security threats. Although various defense mechanisms have been proposed, they are typically non-adaptive and tailored to specific types of attacks, leaving them insufficient in the face of multiple uncertain, unknown, and adaptive attacks employing diverse strategies. This work formulates adversarial federated learning under a mixture of various attacks as a Bayesian Stackelberg Markov game, based on which we propose the meta-Stackelberg defense composed of pre-training and online adaptation. {The gist is to simulate strong attack behavior using reinforcement learning (RL-based attacks) in pre-training and then design meta-RL-based defense to combat diverse and adaptive attacks.} We develop an efficient meta-learning approach to solve the game, leading to a robust and adaptive FL defense. Theoretically, our meta-learning algorithm, meta-Stackelberg learning, provably converges to the first-order $\varepsilon$-meta-equilibrium point in $O(\varepsilon^{-2})$ gradient iterations with $O(\varepsilon^{-4})$ samples per iteration. Experiments show that our meta-Stackelberg framework performs superbly against strong model poisoning and backdoor attacks of uncertain and unknown types.</x:v>
      </x:c>
      <x:c r="L424" s="17" t="str">
        <x:v>http://arxiv.org/abs/2410.17431v1</x:v>
      </x:c>
      <x:c r="M424" s="23" t="n">
        <x:v>0.9723797289388738</x:v>
      </x:c>
      <x:c r="N424" s="17" t="str">
        <x:v>qwen3-rerank-no-instruct-20260727-125006-results.jsonl</x:v>
      </x:c>
      <x:c r="O424" s="24" t="str">
        <x:v>2</x:v>
      </x:c>
      <x:c r="P424" s="28" t="str">
        <x:v>《Meta Stackelberg Game: Robust Federated Learning against Adaptive and Mixed Poisoning Attacks》核心研究联邦学习安全/隐私攻击或防御，并给出直接实证证据。</x:v>
      </x:c>
      <x:c r="Q424" s="25" t="str"/>
      <x:c r="R424" s="24" t="str">
        <x:f>IF(Q424&lt;&gt;"",Q424,O424)</x:f>
        <x:v>2</x:v>
      </x:c>
      <x:c r="S424" s="29" t="str"/>
    </x:row>
    <x:row r="425" ht="54" customHeight="1">
      <x:c r="A425" s="17" t="str">
        <x:v>csq022-r04</x:v>
      </x:c>
      <x:c r="B425" s="17" t="str">
        <x:v>csq022</x:v>
      </x:c>
      <x:c r="C425" s="17" t="str">
        <x:v>security_and_privacy</x:v>
      </x:c>
      <x:c r="D425" s="17" t="str">
        <x:v>federated_learning_security</x:v>
      </x:c>
      <x:c r="E425" s="27" t="str">
        <x:v>What security and privacy attacks against federated learning have been demonstrated, and which proposed defenses remain limited under adaptive attackers?</x:v>
      </x:c>
      <x:c r="F425" s="22" t="n">
        <x:v>4</x:v>
      </x:c>
      <x:c r="G425" s="17" t="str">
        <x:v>arXiv:2210.10880</x:v>
      </x:c>
      <x:c r="H425" s="27" t="str">
        <x:v>Learning to Invert: Simple Adaptive Attacks for Gradient Inversion in Federated Learning</x:v>
      </x:c>
      <x:c r="I425" s="17" t="str">
        <x:v>Ruihan Wu; Xiangyu Chen; Chuan Guo; Kilian Q. Weinberger</x:v>
      </x:c>
      <x:c r="J425" s="22" t="n">
        <x:v>2022</x:v>
      </x:c>
      <x:c r="K425" s="27" t="str">
        <x:v>Gradient inversion attack enables recovery of training samples from model gradients in federated learning (FL), and constitutes a serious threat to data privacy. To mitigate this vulnerability, prior work proposed both principled defenses based on differential privacy, as well as heuristic defenses based on gradient compression as countermeasures. These defenses have so far been very effective, in particular those based on gradient compression that allow the model to maintain high accuracy while greatly reducing the effectiveness of attacks. In this work, we argue that such findings underestimate the privacy risk in FL. As a counterexample, we show that existing defenses can be broken by a simple adaptive attack, where a model trained on auxiliary data is able to invert gradients on both vision and language tasks.</x:v>
      </x:c>
      <x:c r="L425" s="17" t="str">
        <x:v>http://arxiv.org/abs/2210.10880v2</x:v>
      </x:c>
      <x:c r="M425" s="23" t="n">
        <x:v>0.9686291635624955</x:v>
      </x:c>
      <x:c r="N425" s="17" t="str">
        <x:v>qwen3-rerank-no-instruct-20260727-125006-results.jsonl</x:v>
      </x:c>
      <x:c r="O425" s="24" t="str">
        <x:v>2</x:v>
      </x:c>
      <x:c r="P425" s="28" t="str">
        <x:v>《Learning to Invert: Simple Adaptive Attacks for Gradient Inversion in Federated Learning》核心研究联邦学习安全/隐私攻击或防御，并给出直接实证证据。</x:v>
      </x:c>
      <x:c r="Q425" s="25" t="str"/>
      <x:c r="R425" s="24" t="str">
        <x:f>IF(Q425&lt;&gt;"",Q425,O425)</x:f>
        <x:v>2</x:v>
      </x:c>
      <x:c r="S425" s="29" t="str"/>
    </x:row>
    <x:row r="426" ht="54" customHeight="1">
      <x:c r="A426" s="17" t="str">
        <x:v>csq022-r05</x:v>
      </x:c>
      <x:c r="B426" s="17" t="str">
        <x:v>csq022</x:v>
      </x:c>
      <x:c r="C426" s="17" t="str">
        <x:v>security_and_privacy</x:v>
      </x:c>
      <x:c r="D426" s="17" t="str">
        <x:v>federated_learning_security</x:v>
      </x:c>
      <x:c r="E426" s="27" t="str">
        <x:v>What security and privacy attacks against federated learning have been demonstrated, and which proposed defenses remain limited under adaptive attackers?</x:v>
      </x:c>
      <x:c r="F426" s="22" t="n">
        <x:v>5</x:v>
      </x:c>
      <x:c r="G426" s="17" t="str">
        <x:v>arXiv:2403.03149</x:v>
      </x:c>
      <x:c r="H426" s="27" t="str">
        <x:v>Robust Federated Learning Mitigates Client-side Training Data Distribution Inference Attacks</x:v>
      </x:c>
      <x:c r="I426" s="17" t="str">
        <x:v>Yichang Xu; Ming Yin; Minghong Fang; Neil Zhenqiang Gong</x:v>
      </x:c>
      <x:c r="J426" s="22" t="n">
        <x:v>2024</x:v>
      </x:c>
      <x:c r="K426" s="27" t="str">
        <x:v>Recent studies have revealed that federated learning (FL), once considered secure due to clients not sharing their private data with the server, is vulnerable to attacks such as client-side training data distribution inference, where a malicious client can recreate the victim's data. While various countermeasures exist, they are not practical, often assuming server access to some training data or knowledge of label distribution before the attack. In this work, we bridge the gap by proposing InferGuard, a novel Byzantine-robust aggregation rule aimed at defending against client-side training data distribution inference attacks. In our proposed InferGuard, the server first calculates the coordinate-wise median of all the model updates it receives. A client's model update is considered malicious if it significantly deviates from the computed median update. We conduct a thorough evaluation of our proposed InferGuard on five benchmark datasets and perform a comparison with ten baseline methods. The results of our experiments indicate that our defense mechanism is highly effective in protecting against client-side training data distribution inference attacks, even against strong adaptive attacks. Furthermore, our method substantially outperforms the baseline methods in various practical FL scenarios.</x:v>
      </x:c>
      <x:c r="L426" s="17" t="str">
        <x:v>http://arxiv.org/abs/2403.03149v2</x:v>
      </x:c>
      <x:c r="M426" s="23" t="n">
        <x:v>0.9511640139523903</x:v>
      </x:c>
      <x:c r="N426" s="17" t="str">
        <x:v>qwen3-rerank-no-instruct-20260727-125006-results.jsonl</x:v>
      </x:c>
      <x:c r="O426" s="24" t="str">
        <x:v>2</x:v>
      </x:c>
      <x:c r="P426" s="28" t="str">
        <x:v>《Robust Federated Learning Mitigates Client-side Training Data Distribution Inference Attacks》核心研究联邦学习安全/隐私攻击或防御，并给出直接实证证据。</x:v>
      </x:c>
      <x:c r="Q426" s="25" t="str"/>
      <x:c r="R426" s="24" t="str">
        <x:f>IF(Q426&lt;&gt;"",Q426,O426)</x:f>
        <x:v>2</x:v>
      </x:c>
      <x:c r="S426" s="29" t="str"/>
    </x:row>
    <x:row r="427" ht="54" customHeight="1">
      <x:c r="A427" s="17" t="str">
        <x:v>csq022-r06</x:v>
      </x:c>
      <x:c r="B427" s="17" t="str">
        <x:v>csq022</x:v>
      </x:c>
      <x:c r="C427" s="17" t="str">
        <x:v>security_and_privacy</x:v>
      </x:c>
      <x:c r="D427" s="17" t="str">
        <x:v>federated_learning_security</x:v>
      </x:c>
      <x:c r="E427" s="27" t="str">
        <x:v>What security and privacy attacks against federated learning have been demonstrated, and which proposed defenses remain limited under adaptive attackers?</x:v>
      </x:c>
      <x:c r="F427" s="22" t="n">
        <x:v>6</x:v>
      </x:c>
      <x:c r="G427" s="17" t="str">
        <x:v>arXiv:2306.13273</x:v>
      </x:c>
      <x:c r="H427" s="27" t="str">
        <x:v>A First Order Meta Stackelberg Method for Robust Federated Learning (Technical Report)</x:v>
      </x:c>
      <x:c r="I427" s="17" t="str">
        <x:v>Henger Li; Tianyi Xu; Tao Li; Yunian Pan; Quanyan Zhu; Zizhan Zheng</x:v>
      </x:c>
      <x:c r="J427" s="22" t="n">
        <x:v>2023</x:v>
      </x:c>
      <x:c r="K427" s="27" t="str">
        <x:v>Recent research efforts indicate that federated learning (FL) systems are vulnerable to a variety of security breaches. While numerous defense strategies have been suggested, they are mainly designed to counter specific attack patterns and lack adaptability, rendering them less effective when facing uncertain or adaptive threats. This work models adversarial FL as a Bayesian Stackelberg Markov game (BSMG) between the defender and the attacker to address the lack of adaptability to uncertain adaptive attacks. We further devise an effective meta-learning technique to solve for the Stackelberg equilibrium, leading to a resilient and adaptable defense. The experiment results suggest that our meta-Stackelberg learning approach excels in combating intense model poisoning and backdoor attacks of indeterminate types.</x:v>
      </x:c>
      <x:c r="L427" s="17" t="str">
        <x:v>http://arxiv.org/abs/2306.13273v3</x:v>
      </x:c>
      <x:c r="M427" s="23" t="n">
        <x:v>0.9401317794339066</x:v>
      </x:c>
      <x:c r="N427" s="17" t="str">
        <x:v>qwen3-rerank-no-instruct-20260727-125006-results.jsonl</x:v>
      </x:c>
      <x:c r="O427" s="24" t="str">
        <x:v>2</x:v>
      </x:c>
      <x:c r="P427" s="28" t="str">
        <x:v>《A First Order Meta Stackelberg Method for Robust Federated Learning (Technical Report)》核心研究联邦学习安全/隐私攻击或防御，并给出直接实证证据。</x:v>
      </x:c>
      <x:c r="Q427" s="25" t="str"/>
      <x:c r="R427" s="24" t="str">
        <x:f>IF(Q427&lt;&gt;"",Q427,O427)</x:f>
        <x:v>2</x:v>
      </x:c>
      <x:c r="S427" s="29" t="str"/>
    </x:row>
    <x:row r="428" ht="54" customHeight="1">
      <x:c r="A428" s="17" t="str">
        <x:v>csq022-r07</x:v>
      </x:c>
      <x:c r="B428" s="17" t="str">
        <x:v>csq022</x:v>
      </x:c>
      <x:c r="C428" s="17" t="str">
        <x:v>security_and_privacy</x:v>
      </x:c>
      <x:c r="D428" s="17" t="str">
        <x:v>federated_learning_security</x:v>
      </x:c>
      <x:c r="E428" s="27" t="str">
        <x:v>What security and privacy attacks against federated learning have been demonstrated, and which proposed defenses remain limited under adaptive attackers?</x:v>
      </x:c>
      <x:c r="F428" s="22" t="n">
        <x:v>7</x:v>
      </x:c>
      <x:c r="G428" s="17" t="str">
        <x:v>arXiv:2511.14715</x:v>
      </x:c>
      <x:c r="H428" s="27" t="str">
        <x:v>FLARE: Adaptive Multi-Dimensional Reputation for Robust Client Reliability in Federated Learning</x:v>
      </x:c>
      <x:c r="I428" s="17" t="str">
        <x:v>Abolfazl Younesi; Leon Kiss; Zahra Najafabadi Samani; Juan Aznar Poveda; Thomas Fahringer</x:v>
      </x:c>
      <x:c r="J428" s="22" t="n">
        <x:v>2025</x:v>
      </x:c>
      <x:c r="K428" s="27" t="str">
        <x:v>Federated learning (FL) enables collaborative model training while preserving data privacy. However, it remains vulnerable to malicious clients who compromise model integrity through Byzantine attacks, data poisoning, or adaptive adversarial behaviors. Existing defense mechanisms rely on static thresholds and binary classification, failing to adapt to evolving client behaviors in real-world deployments. We propose FLARE, an adaptive reputation-based framework that transforms client reliability assessment from binary decisions to a continuous, multi-dimensional trust evaluation. FLARE integrates: (i) a multi-dimensional reputation score capturing performance consistency, statistical anomaly indicators, and temporal behavior, (ii) a self-calibrating adaptive threshold mechanism that adjusts security strictness based on model convergence and recent attack intensity, (iii) reputation-weighted aggregation with soft exclusion to proportionally limit suspicious contributions rather than eliminating clients outright, and (iv) a Local Differential Privacy (LDP) mechanism enabling reputation scoring on privatized client updates. We further introduce a highly evasive Statistical Mimicry (SM) attack, a benchmark adversary that blends honest gradients with synthetic perturbations and persistent drift to remain undetected by traditional filters. Extensive experiments with 100 clients on MNIST, CIFAR-10, and SVHN demonstrate that FLARE maintains high model accuracy and converges faster than state-of-the-art Byzantine-robust methods under diverse attack types, including label flipping, gradient scaling, adaptive attacks, ALIE, and SM. FLARE improves robustness by up to 16% and preserves model convergence within 30% of the non-attacked baseline, while achieving strong malicious-client detection performance with minimal computational overhead. https://github.com/Anonymous0-0paper/FLARE</x:v>
      </x:c>
      <x:c r="L428" s="17" t="str">
        <x:v>http://arxiv.org/abs/2511.14715v3</x:v>
      </x:c>
      <x:c r="M428" s="23" t="n">
        <x:v>0.9155042920103873</x:v>
      </x:c>
      <x:c r="N428" s="17" t="str">
        <x:v>qwen3-rerank-no-instruct-20260727-125006-results.jsonl</x:v>
      </x:c>
      <x:c r="O428" s="24" t="str">
        <x:v>2</x:v>
      </x:c>
      <x:c r="P428" s="28" t="str">
        <x:v>《FLARE: Adaptive Multi-Dimensional Reputation for Robust Client Reliability in Federated Learning》核心研究联邦学习安全/隐私攻击或防御，并给出直接实证证据。</x:v>
      </x:c>
      <x:c r="Q428" s="25" t="str"/>
      <x:c r="R428" s="24" t="str">
        <x:f>IF(Q428&lt;&gt;"",Q428,O428)</x:f>
        <x:v>2</x:v>
      </x:c>
      <x:c r="S428" s="29" t="str"/>
    </x:row>
    <x:row r="429" ht="54" customHeight="1">
      <x:c r="A429" s="17" t="str">
        <x:v>csq022-r08</x:v>
      </x:c>
      <x:c r="B429" s="17" t="str">
        <x:v>csq022</x:v>
      </x:c>
      <x:c r="C429" s="17" t="str">
        <x:v>security_and_privacy</x:v>
      </x:c>
      <x:c r="D429" s="17" t="str">
        <x:v>federated_learning_security</x:v>
      </x:c>
      <x:c r="E429" s="27" t="str">
        <x:v>What security and privacy attacks against federated learning have been demonstrated, and which proposed defenses remain limited under adaptive attackers?</x:v>
      </x:c>
      <x:c r="F429" s="22" t="n">
        <x:v>8</x:v>
      </x:c>
      <x:c r="G429" s="17" t="str">
        <x:v>arXiv:2505.10297</x:v>
      </x:c>
      <x:c r="H429" s="27" t="str">
        <x:v>Defending the Edge: Representative-Attention Defense against Backdoor Attacks in Federated Learning</x:v>
      </x:c>
      <x:c r="I429" s="17" t="str">
        <x:v>Chibueze Peace Obioma; Youcheng Sun; Mustafa A. Mustafa</x:v>
      </x:c>
      <x:c r="J429" s="22" t="n">
        <x:v>2025</x:v>
      </x:c>
      <x:c r="K429" s="27" t="str">
        <x:v>Federated learning (FL) remains highly vulnerable to adaptive backdoor attacks that preserve stealth by closely imitating benign update statistics. Existing defenses predominantly rely on anomaly detection in parameter or gradient space, overlooking behavioral constraints that backdoor attacks must satisfy to ensure reliable trigger activation. These anomaly-centric methods fail against adaptive attacks that normalize update magnitudes and mimic benign statistical patterns while preserving backdoor functionality, creating a fundamental detection gap. To address this limitation, this paper introduces FeRA (Federated Representative Attention) -- a novel attention-driven defense that shifts the detection paradigm from anomaly-centric to consistency-centric analysis. FeRA exploits the intrinsic need for backdoor persistence across training rounds, identifying malicious clients through suppressed representation-space variance, an orthogonal property to traditional magnitude-based statistics. The framework conducts multi-dimensional behavioral analysis combining spectral and spatial attention, directional alignment, mutual similarity, and norm inflation across two complementary detection mechanisms: consistency analysis and norm-inflation detection. Through this mechanism, FeRA isolates malicious clients that exhibit low-variance consistency or magnitude amplification. Extensive evaluation across six datasets, nine attacks, and three model architectures under both Independent and Identically Distributed (IID) and non-IID settings confirm FeRA achieves superior backdoor mitigation. Under different non-IID settings, FeRA achieved the lowest average Backdoor Accuracy (BA), about 1.67% while maintaining high clean accuracy compared to other state-of-the-art defenses. The code is available at https://github.com/Peatech/FeRA_defense.git.</x:v>
      </x:c>
      <x:c r="L429" s="17" t="str">
        <x:v>http://arxiv.org/abs/2505.10297v3</x:v>
      </x:c>
      <x:c r="M429" s="23" t="n">
        <x:v>0.8878907454378245</x:v>
      </x:c>
      <x:c r="N429" s="17" t="str">
        <x:v>qwen3-rerank-no-instruct-20260727-125006-results.jsonl</x:v>
      </x:c>
      <x:c r="O429" s="24" t="str">
        <x:v>2</x:v>
      </x:c>
      <x:c r="P429" s="28" t="str">
        <x:v>《Defending the Edge: Representative-Attention Defense against Backdoor Attacks in Federated Learning》核心研究联邦学习安全/隐私攻击或防御，并给出直接实证证据。</x:v>
      </x:c>
      <x:c r="Q429" s="25" t="str"/>
      <x:c r="R429" s="24" t="str">
        <x:f>IF(Q429&lt;&gt;"",Q429,O429)</x:f>
        <x:v>2</x:v>
      </x:c>
      <x:c r="S429" s="29" t="str"/>
    </x:row>
    <x:row r="430" ht="54" customHeight="1">
      <x:c r="A430" s="17" t="str">
        <x:v>csq022-r09</x:v>
      </x:c>
      <x:c r="B430" s="17" t="str">
        <x:v>csq022</x:v>
      </x:c>
      <x:c r="C430" s="17" t="str">
        <x:v>security_and_privacy</x:v>
      </x:c>
      <x:c r="D430" s="17" t="str">
        <x:v>federated_learning_security</x:v>
      </x:c>
      <x:c r="E430" s="27" t="str">
        <x:v>What security and privacy attacks against federated learning have been demonstrated, and which proposed defenses remain limited under adaptive attackers?</x:v>
      </x:c>
      <x:c r="F430" s="22" t="n">
        <x:v>9</x:v>
      </x:c>
      <x:c r="G430" s="17" t="str">
        <x:v>arXiv:2210.07714</x:v>
      </x:c>
      <x:c r="H430" s="27" t="str">
        <x:v>CrowdGuard: Federated Backdoor Detection in Federated Learning</x:v>
      </x:c>
      <x:c r="I430" s="17" t="str">
        <x:v>Phillip Rieger; Torsten Krauß; Markus Miettinen; Alexandra Dmitrienko; Ahmad-Reza Sadeghi</x:v>
      </x:c>
      <x:c r="J430" s="22" t="n">
        <x:v>2022</x:v>
      </x:c>
      <x:c r="K430" s="27" t="str">
        <x:v>Federated Learning (FL) is a promising approach enabling multiple clients to train Deep Neural Networks (DNNs) collaboratively without sharing their local training data. However, FL is susceptible to backdoor (or targeted poisoning) attacks. These attacks are initiated by malicious clients who seek to compromise the learning process by introducing specific behaviors into the learned model that can be triggered by carefully crafted inputs. Existing FL safeguards have various limitations: They are restricted to specific data distributions or reduce the global model accuracy due to excluding benign models or adding noise, are vulnerable to adaptive defense-aware adversaries, or require the server to access local models, allowing data inference attacks. This paper presents a novel defense mechanism, CrowdGuard, that effectively mitigates backdoor attacks in FL and overcomes the deficiencies of existing techniques. It leverages clients' feedback on individual models, analyzes the behavior of neurons in hidden layers, and eliminates poisoned models through an iterative pruning scheme. CrowdGuard employs a server-located stacked clustering scheme to enhance its resilience to rogue client feedback. The evaluation results demonstrate that CrowdGuard achieves a 100% True-Positive-Rate and True-Negative-Rate across various scenarios, including IID and non-IID data distributions. Additionally, CrowdGuard withstands adaptive adversaries while preserving the original performance of protected models. To ensure confidentiality, CrowdGuard uses a secure and privacy-preserving architecture leveraging Trusted Execution Environments (TEEs) on both client and server sides.</x:v>
      </x:c>
      <x:c r="L430" s="17" t="str">
        <x:v>http://arxiv.org/abs/2210.07714v3</x:v>
      </x:c>
      <x:c r="M430" s="23" t="n">
        <x:v>0.8839862044275673</x:v>
      </x:c>
      <x:c r="N430" s="17" t="str">
        <x:v>qwen3-rerank-no-instruct-20260727-125006-results.jsonl</x:v>
      </x:c>
      <x:c r="O430" s="24" t="str">
        <x:v>2</x:v>
      </x:c>
      <x:c r="P430" s="28" t="str">
        <x:v>《CrowdGuard: Federated Backdoor Detection in Federated Learning》核心研究联邦学习安全/隐私攻击或防御，并给出直接实证证据。</x:v>
      </x:c>
      <x:c r="Q430" s="25" t="str"/>
      <x:c r="R430" s="24" t="str">
        <x:f>IF(Q430&lt;&gt;"",Q430,O430)</x:f>
        <x:v>2</x:v>
      </x:c>
      <x:c r="S430" s="29" t="str"/>
    </x:row>
    <x:row r="431" ht="54" customHeight="1">
      <x:c r="A431" s="17" t="str">
        <x:v>csq022-r10</x:v>
      </x:c>
      <x:c r="B431" s="17" t="str">
        <x:v>csq022</x:v>
      </x:c>
      <x:c r="C431" s="17" t="str">
        <x:v>security_and_privacy</x:v>
      </x:c>
      <x:c r="D431" s="17" t="str">
        <x:v>federated_learning_security</x:v>
      </x:c>
      <x:c r="E431" s="27" t="str">
        <x:v>What security and privacy attacks against federated learning have been demonstrated, and which proposed defenses remain limited under adaptive attackers?</x:v>
      </x:c>
      <x:c r="F431" s="22" t="n">
        <x:v>10</x:v>
      </x:c>
      <x:c r="G431" s="17" t="str">
        <x:v>arXiv:2504.03077</x:v>
      </x:c>
      <x:c r="H431" s="27" t="str">
        <x:v>Integrating Identity-Based Identification against Adaptive Adversaries in Federated Learning</x:v>
      </x:c>
      <x:c r="I431" s="17" t="str">
        <x:v>Jakub Kacper Szelag; Ji-Jian Chin; Lauren Ansell; Sook-Chin Yip</x:v>
      </x:c>
      <x:c r="J431" s="22" t="n">
        <x:v>2025</x:v>
      </x:c>
      <x:c r="K431" s="27" t="str">
        <x:v>Federated Learning (FL) has recently emerged as a promising paradigm for privacy-preserving, distributed machine learning. However, FL systems face significant security threats, particularly from adaptive adversaries capable of modifying their attack strategies to evade detection. One such threat is the presence of Reconnecting Malicious Clients (RMCs), which exploit FLs open connectivity by reconnecting to the system with modified attack strategies. To address this vulnerability, we propose integration of Identity-Based Identification (IBI) as a security measure within FL environments. By leveraging IBI, we enable FL systems to authenticate clients based on cryptographic identity schemes, effectively preventing previously disconnected malicious clients from re-entering the system. Our approach is implemented using the TNC-IBI (Tan-Ng-Chin) scheme over elliptic curves to ensure computational efficiency, particularly in resource-constrained environments like Internet of Things (IoT). Experimental results demonstrate that integrating IBI with secure aggregation algorithms, such as Krum and Trimmed Mean, significantly improves FL robustness by mitigating the impact of RMCs. We further discuss the broader implications of IBI in FL security, highlighting research directions for adaptive adversary detection, reputation-based mechanisms, and the applicability of identity-based cryptographic frameworks in decentralized FL architectures. Our findings advocate for a holistic approach to FL security, emphasizing the necessity of proactive defence strategies against evolving adaptive adversarial threats.</x:v>
      </x:c>
      <x:c r="L431" s="17" t="str">
        <x:v>http://arxiv.org/abs/2504.03077v1</x:v>
      </x:c>
      <x:c r="M431" s="23" t="n">
        <x:v>0.8695028233788991</x:v>
      </x:c>
      <x:c r="N431" s="17" t="str">
        <x:v>qwen3-rerank-no-instruct-20260727-125006-results.jsonl</x:v>
      </x:c>
      <x:c r="O431" s="24" t="str">
        <x:v>2</x:v>
      </x:c>
      <x:c r="P431" s="28" t="str">
        <x:v>《Integrating Identity-Based Identification against Adaptive Adversaries in Federated Learning》核心研究联邦学习安全/隐私攻击或防御，并给出直接实证证据。</x:v>
      </x:c>
      <x:c r="Q431" s="25" t="str"/>
      <x:c r="R431" s="24" t="str">
        <x:f>IF(Q431&lt;&gt;"",Q431,O431)</x:f>
        <x:v>2</x:v>
      </x:c>
      <x:c r="S431" s="29" t="str"/>
    </x:row>
    <x:row r="432" ht="54" customHeight="1">
      <x:c r="A432" s="17" t="str">
        <x:v>csq022-r11</x:v>
      </x:c>
      <x:c r="B432" s="17" t="str">
        <x:v>csq022</x:v>
      </x:c>
      <x:c r="C432" s="17" t="str">
        <x:v>security_and_privacy</x:v>
      </x:c>
      <x:c r="D432" s="17" t="str">
        <x:v>federated_learning_security</x:v>
      </x:c>
      <x:c r="E432" s="27" t="str">
        <x:v>What security and privacy attacks against federated learning have been demonstrated, and which proposed defenses remain limited under adaptive attackers?</x:v>
      </x:c>
      <x:c r="F432" s="22" t="n">
        <x:v>11</x:v>
      </x:c>
      <x:c r="G432" s="17" t="str">
        <x:v>arXiv:2509.05265</x:v>
      </x:c>
      <x:c r="H432" s="27" t="str">
        <x:v>On Evaluating the Poisoning Robustness of Federated Learning under Local Differential Privacy</x:v>
      </x:c>
      <x:c r="I432" s="17" t="str">
        <x:v>Zijian Wang; Wei Tong; Tingxuan Han; Haoyu Chen; Tianling Zhang; Yunlong Mao; Sheng Zhong</x:v>
      </x:c>
      <x:c r="J432" s="22" t="n">
        <x:v>2025</x:v>
      </x:c>
      <x:c r="K432" s="27" t="str">
        <x:v>Federated learning (FL) combined with local differential privacy (LDP) enables privacy-preserving model training across decentralized data sources. However, the decentralized data-management paradigm leaves LDPFL vulnerable to participants with malicious intent. The robustness of LDPFL protocols, particularly against model poisoning attacks (MPA), where adversaries inject malicious updates to disrupt global model convergence, remains insufficiently studied. In this paper, we propose a novel and extensible model poisoning attack framework tailored for LDPFL settings. Our approach is driven by the objective of maximizing the global training loss while adhering to local privacy constraints. To counter robust aggregation mechanisms such as Multi-Krum and trimmed mean, we develop adaptive attacks that embed carefully crafted constraints into a reverse training process, enabling evasion of these defenses. We evaluate our framework across three representative LDPFL protocols, three benchmark datasets, and two types of deep neural networks. Additionally, we investigate the influence of data heterogeneity and privacy budgets on attack effectiveness. Experimental results demonstrate that our adaptive attacks can significantly degrade the performance of the global model, revealing critical vulnerabilities and highlighting the need for more robust LDPFL defense strategies against MPA. Our code is available at https://github.com/ZiJW/LDPFL-Attack</x:v>
      </x:c>
      <x:c r="L432" s="17" t="str">
        <x:v>http://arxiv.org/abs/2509.05265v1</x:v>
      </x:c>
      <x:c r="M432" s="23" t="n">
        <x:v>0.8533253511501113</x:v>
      </x:c>
      <x:c r="N432" s="17" t="str">
        <x:v>qwen3-rerank-no-instruct-20260727-125006-results.jsonl</x:v>
      </x:c>
      <x:c r="O432" s="24" t="str">
        <x:v>2</x:v>
      </x:c>
      <x:c r="P432" s="28" t="str">
        <x:v>《On Evaluating the Poisoning Robustness of Federated Learning under Local Differential Privacy》核心研究联邦学习安全/隐私攻击或防御，并给出直接实证证据。</x:v>
      </x:c>
      <x:c r="Q432" s="25" t="str"/>
      <x:c r="R432" s="24" t="str">
        <x:f>IF(Q432&lt;&gt;"",Q432,O432)</x:f>
        <x:v>2</x:v>
      </x:c>
      <x:c r="S432" s="29" t="str"/>
    </x:row>
    <x:row r="433" ht="54" customHeight="1">
      <x:c r="A433" s="17" t="str">
        <x:v>csq022-r12</x:v>
      </x:c>
      <x:c r="B433" s="17" t="str">
        <x:v>csq022</x:v>
      </x:c>
      <x:c r="C433" s="17" t="str">
        <x:v>security_and_privacy</x:v>
      </x:c>
      <x:c r="D433" s="17" t="str">
        <x:v>federated_learning_security</x:v>
      </x:c>
      <x:c r="E433" s="27" t="str">
        <x:v>What security and privacy attacks against federated learning have been demonstrated, and which proposed defenses remain limited under adaptive attackers?</x:v>
      </x:c>
      <x:c r="F433" s="22" t="n">
        <x:v>12</x:v>
      </x:c>
      <x:c r="G433" s="17" t="str">
        <x:v>arXiv:2502.06917</x:v>
      </x:c>
      <x:c r="H433" s="27" t="str">
        <x:v>Krum Federated Chain (KFC): Using blockchain to defend against adversarial attacks in Federated Learning</x:v>
      </x:c>
      <x:c r="I433" s="17" t="str">
        <x:v>Mario García-Márquez; Nuria Rodríguez-Barroso; M. Victoria Luzón; Francisco Herrera</x:v>
      </x:c>
      <x:c r="J433" s="22" t="n">
        <x:v>2025</x:v>
      </x:c>
      <x:c r="K433" s="27" t="str">
        <x:v>Federated Learning presents a nascent approach to machine learning, enabling collaborative model training across decentralized devices while safeguarding data privacy. However, its distributed nature renders it susceptible to adversarial attacks. Integrating blockchain technology with Federated Learning offers a promising avenue to enhance security and integrity. In this paper, we tackle the potential of blockchain in defending Federated Learning against adversarial attacks. First, we test Proof of Federated Learning, a well known consensus mechanism designed ad-hoc to federated contexts, as a defense mechanism demonstrating its efficacy against Byzantine and backdoor attacks when at least one miner remains uncompromised. Second, we propose Krum Federated Chain, a novel defense strategy combining Krum and Proof of Federated Learning, valid to defend against any configuration of Byzantine or backdoor attacks, even when all miners are compromised. Our experiments conducted on image classification datasets validate the effectiveness of our proposed approaches.</x:v>
      </x:c>
      <x:c r="L433" s="17" t="str">
        <x:v>http://arxiv.org/abs/2502.06917v1</x:v>
      </x:c>
      <x:c r="M433" s="23" t="n">
        <x:v>0.7772730814918503</x:v>
      </x:c>
      <x:c r="N433" s="17" t="str">
        <x:v>qwen3-rerank-no-instruct-20260727-125006-results.jsonl</x:v>
      </x:c>
      <x:c r="O433" s="24" t="str">
        <x:v>2</x:v>
      </x:c>
      <x:c r="P433" s="28" t="str">
        <x:v>《Krum Federated Chain (KFC): Using blockchain to defend against adversarial attacks in Federated Learning》核心研究联邦学习安全/隐私攻击或防御，并给出直接实证证据。</x:v>
      </x:c>
      <x:c r="Q433" s="25" t="str"/>
      <x:c r="R433" s="24" t="str">
        <x:f>IF(Q433&lt;&gt;"",Q433,O433)</x:f>
        <x:v>2</x:v>
      </x:c>
      <x:c r="S433" s="29" t="str"/>
    </x:row>
    <x:row r="434" ht="54" customHeight="1">
      <x:c r="A434" s="17" t="str">
        <x:v>csq022-r13</x:v>
      </x:c>
      <x:c r="B434" s="17" t="str">
        <x:v>csq022</x:v>
      </x:c>
      <x:c r="C434" s="17" t="str">
        <x:v>security_and_privacy</x:v>
      </x:c>
      <x:c r="D434" s="17" t="str">
        <x:v>federated_learning_security</x:v>
      </x:c>
      <x:c r="E434" s="27" t="str">
        <x:v>What security and privacy attacks against federated learning have been demonstrated, and which proposed defenses remain limited under adaptive attackers?</x:v>
      </x:c>
      <x:c r="F434" s="22" t="n">
        <x:v>13</x:v>
      </x:c>
      <x:c r="G434" s="17" t="str">
        <x:v>arXiv:1911.07963</x:v>
      </x:c>
      <x:c r="H434" s="27" t="str">
        <x:v>Can You Really Backdoor Federated Learning?</x:v>
      </x:c>
      <x:c r="I434" s="17" t="str">
        <x:v>Ziteng Sun; Peter Kairouz; Ananda Theertha Suresh; H. Brendan McMahan</x:v>
      </x:c>
      <x:c r="J434" s="22" t="n">
        <x:v>2019</x:v>
      </x:c>
      <x:c r="K434" s="27" t="str">
        <x:v>The decentralized nature of federated learning makes detecting and defending against adversarial attacks a challenging task. This paper focuses on backdoor attacks in the federated learning setting, where the goal of the adversary is to reduce the performance of the model on targeted tasks while maintaining good performance on the main task. Unlike existing works, we allow non-malicious clients to have correctly labeled samples from the targeted tasks. We conduct a comprehensive study of backdoor attacks and defenses for the EMNIST dataset, a real-life, user-partitioned, and non-iid dataset. We observe that in the absence of defenses, the performance of the attack largely depends on the fraction of adversaries present and the "complexity'' of the targeted task. Moreover, we show that norm clipping and "weak'' differential privacy mitigate the attacks without hurting the overall performance. We have implemented the attacks and defenses in TensorFlow Federated (TFF), a TensorFlow framework for federated learning. In open-sourcing our code, our goal is to encourage researchers to contribute new attacks and defenses and evaluate them on standard federated datasets.</x:v>
      </x:c>
      <x:c r="L434" s="17" t="str">
        <x:v>http://arxiv.org/abs/1911.07963v2</x:v>
      </x:c>
      <x:c r="M434" s="23" t="n">
        <x:v>0.7745730187041135</x:v>
      </x:c>
      <x:c r="N434" s="17" t="str">
        <x:v>qwen3-rerank-no-instruct-20260727-125006-results.jsonl</x:v>
      </x:c>
      <x:c r="O434" s="24" t="str">
        <x:v>2</x:v>
      </x:c>
      <x:c r="P434" s="28" t="str">
        <x:v>《Can You Really Backdoor Federated Learning?》核心研究联邦学习安全/隐私攻击或防御，并给出直接实证证据。</x:v>
      </x:c>
      <x:c r="Q434" s="25" t="str"/>
      <x:c r="R434" s="24" t="str">
        <x:f>IF(Q434&lt;&gt;"",Q434,O434)</x:f>
        <x:v>2</x:v>
      </x:c>
      <x:c r="S434" s="29" t="str"/>
    </x:row>
    <x:row r="435" ht="54" customHeight="1">
      <x:c r="A435" s="17" t="str">
        <x:v>csq022-r14</x:v>
      </x:c>
      <x:c r="B435" s="17" t="str">
        <x:v>csq022</x:v>
      </x:c>
      <x:c r="C435" s="17" t="str">
        <x:v>security_and_privacy</x:v>
      </x:c>
      <x:c r="D435" s="17" t="str">
        <x:v>federated_learning_security</x:v>
      </x:c>
      <x:c r="E435" s="27" t="str">
        <x:v>What security and privacy attacks against federated learning have been demonstrated, and which proposed defenses remain limited under adaptive attackers?</x:v>
      </x:c>
      <x:c r="F435" s="22" t="n">
        <x:v>14</x:v>
      </x:c>
      <x:c r="G435" s="17" t="str">
        <x:v>arXiv:2209.05724</x:v>
      </x:c>
      <x:c r="H435" s="27" t="str">
        <x:v>Concealing Sensitive Samples against Gradient Leakage in Federated Learning</x:v>
      </x:c>
      <x:c r="I435" s="17" t="str">
        <x:v>Jing Wu; Munawar Hayat; Mingyi Zhou; Mehrtash Harandi</x:v>
      </x:c>
      <x:c r="J435" s="22" t="n">
        <x:v>2022</x:v>
      </x:c>
      <x:c r="K435" s="27" t="str">
        <x:v>Federated Learning (FL) is a distributed learning paradigm that enhances users privacy by eliminating the need for clients to share raw, private data with the server. Despite the success, recent studies expose the vulnerability of FL to model inversion attacks, where adversaries reconstruct users private data via eavesdropping on the shared gradient information. We hypothesize that a key factor in the success of such attacks is the low entanglement among gradients per data within the batch during stochastic optimization. This creates a vulnerability that an adversary can exploit to reconstruct the sensitive data. Building upon this insight, we present a simple, yet effective defense strategy that obfuscates the gradients of the sensitive data with concealed samples. To achieve this, we propose synthesizing concealed samples to mimic the sensitive data at the gradient level while ensuring their visual dissimilarity from the actual sensitive data. Compared to the previous art, our empirical evaluations suggest that the proposed technique provides the strongest protection while simultaneously maintaining the FL performance.</x:v>
      </x:c>
      <x:c r="L435" s="17" t="str">
        <x:v>http://arxiv.org/abs/2209.05724v2</x:v>
      </x:c>
      <x:c r="M435" s="23" t="n">
        <x:v>0.7675396536612469</x:v>
      </x:c>
      <x:c r="N435" s="17" t="str">
        <x:v>qwen3-rerank-no-instruct-20260727-125006-results.jsonl</x:v>
      </x:c>
      <x:c r="O435" s="24" t="str">
        <x:v>2</x:v>
      </x:c>
      <x:c r="P435" s="28" t="str">
        <x:v>《Concealing Sensitive Samples against Gradient Leakage in Federated Learning》核心研究联邦学习安全/隐私攻击或防御，并给出直接实证证据。</x:v>
      </x:c>
      <x:c r="Q435" s="25" t="str"/>
      <x:c r="R435" s="24" t="str">
        <x:f>IF(Q435&lt;&gt;"",Q435,O435)</x:f>
        <x:v>2</x:v>
      </x:c>
      <x:c r="S435" s="29" t="str"/>
    </x:row>
    <x:row r="436" ht="54" customHeight="1">
      <x:c r="A436" s="17" t="str">
        <x:v>csq022-r15</x:v>
      </x:c>
      <x:c r="B436" s="17" t="str">
        <x:v>csq022</x:v>
      </x:c>
      <x:c r="C436" s="17" t="str">
        <x:v>security_and_privacy</x:v>
      </x:c>
      <x:c r="D436" s="17" t="str">
        <x:v>federated_learning_security</x:v>
      </x:c>
      <x:c r="E436" s="27" t="str">
        <x:v>What security and privacy attacks against federated learning have been demonstrated, and which proposed defenses remain limited under adaptive attackers?</x:v>
      </x:c>
      <x:c r="F436" s="22" t="n">
        <x:v>15</x:v>
      </x:c>
      <x:c r="G436" s="17" t="str">
        <x:v>arXiv:2310.05431</x:v>
      </x:c>
      <x:c r="H436" s="27" t="str">
        <x:v>RECESS Vaccine for Federated Learning: Proactive Defense Against Model Poisoning Attacks</x:v>
      </x:c>
      <x:c r="I436" s="17" t="str">
        <x:v>Haonan Yan; Wenjing Zhang; Qian Chen; Xiaoguang Li; Wenhai Sun; Hui Li; Xiaodong Lin</x:v>
      </x:c>
      <x:c r="J436" s="22" t="n">
        <x:v>2023</x:v>
      </x:c>
      <x:c r="K436" s="27" t="str">
        <x:v>Model poisoning attacks greatly jeopardize the application of federated learning (FL). The effectiveness of existing defenses is susceptible to the latest model poisoning attacks, leading to a decrease in prediction accuracy. Besides, these defenses are intractable to distinguish benign outliers from malicious gradients, which further compromises the model generalization. In this work, we propose a novel proactive defense named RECESS against model poisoning attacks. Different from the passive analysis in previous defenses, RECESS proactively queries each participating client with a delicately constructed aggregation gradient, accompanied by the detection of malicious clients according to their responses with higher accuracy. Furthermore, RECESS uses a new trust scoring mechanism to robustly aggregate gradients. Unlike previous methods that score each iteration, RECESS considers clients' performance correlation across multiple iterations to estimate the trust score, substantially increasing fault tolerance. Finally, we extensively evaluate RECESS on typical model architectures and four datasets under various settings. We also evaluated the defensive effectiveness against other types of poisoning attacks, the sensitivity of hyperparameters, and adaptive adversarial attacks. Experimental results show the superiority of RECESS in terms of reducing accuracy loss caused by the latest model poisoning attacks over five classic and two state-of-the-art defenses.</x:v>
      </x:c>
      <x:c r="L436" s="17" t="str">
        <x:v>http://arxiv.org/abs/2310.05431v1</x:v>
      </x:c>
      <x:c r="M436" s="23" t="n">
        <x:v>0.7628812516214715</x:v>
      </x:c>
      <x:c r="N436" s="17" t="str">
        <x:v>qwen3-rerank-no-instruct-20260727-125006-results.jsonl</x:v>
      </x:c>
      <x:c r="O436" s="24" t="str">
        <x:v>2</x:v>
      </x:c>
      <x:c r="P436" s="28" t="str">
        <x:v>《RECESS Vaccine for Federated Learning: Proactive Defense Against Model Poisoning Attacks》核心研究联邦学习安全/隐私攻击或防御，并给出直接实证证据。</x:v>
      </x:c>
      <x:c r="Q436" s="25" t="str"/>
      <x:c r="R436" s="24" t="str">
        <x:f>IF(Q436&lt;&gt;"",Q436,O436)</x:f>
        <x:v>2</x:v>
      </x:c>
      <x:c r="S436" s="29" t="str"/>
    </x:row>
    <x:row r="437" ht="54" customHeight="1">
      <x:c r="A437" s="17" t="str">
        <x:v>csq022-r16</x:v>
      </x:c>
      <x:c r="B437" s="17" t="str">
        <x:v>csq022</x:v>
      </x:c>
      <x:c r="C437" s="17" t="str">
        <x:v>security_and_privacy</x:v>
      </x:c>
      <x:c r="D437" s="17" t="str">
        <x:v>federated_learning_security</x:v>
      </x:c>
      <x:c r="E437" s="27" t="str">
        <x:v>What security and privacy attacks against federated learning have been demonstrated, and which proposed defenses remain limited under adaptive attackers?</x:v>
      </x:c>
      <x:c r="F437" s="22" t="n">
        <x:v>16</x:v>
      </x:c>
      <x:c r="G437" s="17" t="str">
        <x:v>arXiv:2410.08244</x:v>
      </x:c>
      <x:c r="H437" s="27" t="str">
        <x:v>RAB$^2$-DEF: Dynamic and explainable defense against adversarial attacks in Federated Learning to fair poor clients</x:v>
      </x:c>
      <x:c r="I437" s="17" t="str">
        <x:v>Nuria Rodríguez-Barroso; M. Victoria Luzón; Francisco Herrera</x:v>
      </x:c>
      <x:c r="J437" s="22" t="n">
        <x:v>2024</x:v>
      </x:c>
      <x:c r="K437" s="27" t="str">
        <x:v>At the same time that artificial intelligence is becoming popular, concern and the need for regulation is growing, including among other requirements the data privacy. In this context, Federated Learning is proposed as a solution to data privacy concerns derived from different source data scenarios due to its distributed learning. The defense mechanisms proposed in literature are just focused on defending against adversarial attacks and the performance, leaving aside other important qualities such as explainability, fairness to poor quality clients, dynamism in terms of attacks configuration and generality in terms of being resilient against different kinds of attacks. In this work, we propose RAB$^2$-DEF, a $\textbf{r}$esilient $\textbf{a}$gainst $\textbf{b}\text{yzantine}$ and $\textbf{b}$ackdoor attacks which is $\textbf{d}$ynamic, $\textbf{e}$xplainable and $\textbf{f}$air to poor clients using local linear explanations. We test the performance of RAB$^2$-DEF in image datasets and both byzantine and backdoor attacks considering the state-of-the-art defenses and achieve that RAB$^2$-DEF is a proper defense at the same time that it boosts the other qualities towards trustworthy artificial intelligence.</x:v>
      </x:c>
      <x:c r="L437" s="17" t="str">
        <x:v>http://arxiv.org/abs/2410.08244v2</x:v>
      </x:c>
      <x:c r="M437" s="23" t="n">
        <x:v>0.7311174916117501</x:v>
      </x:c>
      <x:c r="N437" s="17" t="str">
        <x:v>qwen3-rerank-no-instruct-20260727-125006-results.jsonl</x:v>
      </x:c>
      <x:c r="O437" s="24" t="str">
        <x:v>2</x:v>
      </x:c>
      <x:c r="P437" s="28" t="str">
        <x:v>《RAB$^2$-DEF: Dynamic and explainable defense against adversarial attacks in Federated Learning to fair poor clients》核心研究联邦学习安全/隐私攻击或防御，并给出直接实证证据。</x:v>
      </x:c>
      <x:c r="Q437" s="25" t="str"/>
      <x:c r="R437" s="24" t="str">
        <x:f>IF(Q437&lt;&gt;"",Q437,O437)</x:f>
        <x:v>2</x:v>
      </x:c>
      <x:c r="S437" s="29" t="str"/>
    </x:row>
    <x:row r="438" ht="54" customHeight="1">
      <x:c r="A438" s="17" t="str">
        <x:v>csq022-r17</x:v>
      </x:c>
      <x:c r="B438" s="17" t="str">
        <x:v>csq022</x:v>
      </x:c>
      <x:c r="C438" s="17" t="str">
        <x:v>security_and_privacy</x:v>
      </x:c>
      <x:c r="D438" s="17" t="str">
        <x:v>federated_learning_security</x:v>
      </x:c>
      <x:c r="E438" s="27" t="str">
        <x:v>What security and privacy attacks against federated learning have been demonstrated, and which proposed defenses remain limited under adaptive attackers?</x:v>
      </x:c>
      <x:c r="F438" s="22" t="n">
        <x:v>17</x:v>
      </x:c>
      <x:c r="G438" s="17" t="str">
        <x:v>arXiv:2303.11511</x:v>
      </x:c>
      <x:c r="H438" s="27" t="str">
        <x:v>STDLens: Model Hijacking-Resilient Federated Learning for Object Detection</x:v>
      </x:c>
      <x:c r="I438" s="17" t="str">
        <x:v>Ka-Ho Chow; Ling Liu; Wenqi Wei; Fatih Ilhan; Yanzhao Wu</x:v>
      </x:c>
      <x:c r="J438" s="22" t="n">
        <x:v>2023</x:v>
      </x:c>
      <x:c r="K438" s="27" t="str">
        <x:v>Federated Learning (FL) has been gaining popularity as a collaborative learning framework to train deep learning-based object detection models over a distributed population of clients. Despite its advantages, FL is vulnerable to model hijacking. The attacker can control how the object detection system should misbehave by implanting Trojaned gradients using only a small number of compromised clients in the collaborative learning process. This paper introduces STDLens, a principled approach to safeguarding FL against such attacks. We first investigate existing mitigation mechanisms and analyze their failures caused by the inherent errors in spatial clustering analysis on gradients. Based on the insights, we introduce a three-tier forensic framework to identify and expel Trojaned gradients and reclaim the performance over the course of FL. We consider three types of adaptive attacks and demonstrate the robustness of STDLens against advanced adversaries. Extensive experiments show that STDLens can protect FL against different model hijacking attacks and outperform existing methods in identifying and removing Trojaned gradients with significantly higher precision and much lower false-positive rates.</x:v>
      </x:c>
      <x:c r="L438" s="17" t="str">
        <x:v>http://arxiv.org/abs/2303.11511v3</x:v>
      </x:c>
      <x:c r="M438" s="23" t="n">
        <x:v>0.7220390283632757</x:v>
      </x:c>
      <x:c r="N438" s="17" t="str">
        <x:v>qwen3-rerank-no-instruct-20260727-125006-results.jsonl</x:v>
      </x:c>
      <x:c r="O438" s="24" t="str">
        <x:v>2</x:v>
      </x:c>
      <x:c r="P438" s="28" t="str">
        <x:v>《STDLens: Model Hijacking-Resilient Federated Learning for Object Detection》核心研究联邦学习安全/隐私攻击或防御，并给出直接实证证据。</x:v>
      </x:c>
      <x:c r="Q438" s="25" t="str"/>
      <x:c r="R438" s="24" t="str">
        <x:f>IF(Q438&lt;&gt;"",Q438,O438)</x:f>
        <x:v>2</x:v>
      </x:c>
      <x:c r="S438" s="29" t="str"/>
    </x:row>
    <x:row r="439" ht="54" customHeight="1">
      <x:c r="A439" s="17" t="str">
        <x:v>csq022-r18</x:v>
      </x:c>
      <x:c r="B439" s="17" t="str">
        <x:v>csq022</x:v>
      </x:c>
      <x:c r="C439" s="17" t="str">
        <x:v>security_and_privacy</x:v>
      </x:c>
      <x:c r="D439" s="17" t="str">
        <x:v>federated_learning_security</x:v>
      </x:c>
      <x:c r="E439" s="27" t="str">
        <x:v>What security and privacy attacks against federated learning have been demonstrated, and which proposed defenses remain limited under adaptive attackers?</x:v>
      </x:c>
      <x:c r="F439" s="22" t="n">
        <x:v>18</x:v>
      </x:c>
      <x:c r="G439" s="17" t="str">
        <x:v>arXiv:2409.19301</x:v>
      </x:c>
      <x:c r="H439" s="27" t="str">
        <x:v>Privacy Attack in Federated Learning is Not Easy: An Experimental Study</x:v>
      </x:c>
      <x:c r="I439" s="17" t="str">
        <x:v>Hangyu Zhu; Liyuan Huang; Zhenping Xie</x:v>
      </x:c>
      <x:c r="J439" s="22" t="n">
        <x:v>2024</x:v>
      </x:c>
      <x:c r="K439" s="27" t="str">
        <x:v>Federated learning (FL) is an emerging distributed machine learning paradigm proposed for privacy preservation. Unlike traditional centralized learning approaches, FL enables multiple users to collaboratively train a shared global model without disclosing their own data, thereby significantly reducing the potential risk of privacy leakage. However, recent studies have indicated that FL cannot entirely guarantee privacy protection, and attackers may still be able to extract users' private data through the communicated model gradients. Although numerous privacy attack FL algorithms have been developed, most are designed to reconstruct private data from a single step of calculated gradients. It remains uncertain whether these methods are effective in realistic federated environments or if they have other limitations. In this paper, we aim to help researchers better understand and evaluate the effectiveness of privacy attacks on FL. We analyze and discuss recent research papers on this topic and conduct experiments in a real FL environment to compare the performance of various attack methods. Our experimental results reveal that none of the existing state-of-the-art privacy attack algorithms can effectively breach private client data in realistic FL settings, even in the absence of defense strategies. This suggests that privacy attacks in FL are more challenging than initially anticipated.</x:v>
      </x:c>
      <x:c r="L439" s="17" t="str">
        <x:v>http://arxiv.org/abs/2409.19301v1</x:v>
      </x:c>
      <x:c r="M439" s="23" t="n">
        <x:v>0.7143436551314867</x:v>
      </x:c>
      <x:c r="N439" s="17" t="str">
        <x:v>qwen3-rerank-no-instruct-20260727-125006-results.jsonl</x:v>
      </x:c>
      <x:c r="O439" s="24" t="str">
        <x:v>2</x:v>
      </x:c>
      <x:c r="P439" s="28" t="str">
        <x:v>《Privacy Attack in Federated Learning is Not Easy: An Experimental Study》核心研究联邦学习安全/隐私攻击或防御，并给出直接实证证据。</x:v>
      </x:c>
      <x:c r="Q439" s="25" t="str"/>
      <x:c r="R439" s="24" t="str">
        <x:f>IF(Q439&lt;&gt;"",Q439,O439)</x:f>
        <x:v>2</x:v>
      </x:c>
      <x:c r="S439" s="29" t="str"/>
    </x:row>
    <x:row r="440" ht="54" customHeight="1">
      <x:c r="A440" s="17" t="str">
        <x:v>csq022-r19</x:v>
      </x:c>
      <x:c r="B440" s="17" t="str">
        <x:v>csq022</x:v>
      </x:c>
      <x:c r="C440" s="17" t="str">
        <x:v>security_and_privacy</x:v>
      </x:c>
      <x:c r="D440" s="17" t="str">
        <x:v>federated_learning_security</x:v>
      </x:c>
      <x:c r="E440" s="27" t="str">
        <x:v>What security and privacy attacks against federated learning have been demonstrated, and which proposed defenses remain limited under adaptive attackers?</x:v>
      </x:c>
      <x:c r="F440" s="22" t="n">
        <x:v>19</x:v>
      </x:c>
      <x:c r="G440" s="17" t="str">
        <x:v>arXiv:2011.02167</x:v>
      </x:c>
      <x:c r="H440" s="27" t="str">
        <x:v>BaFFLe: Backdoor detection via Feedback-based Federated Learning</x:v>
      </x:c>
      <x:c r="I440" s="17" t="str">
        <x:v>Sebastien Andreina; Giorgia Azzurra Marson; Helen Möllering; Ghassan Karame</x:v>
      </x:c>
      <x:c r="J440" s="22" t="n">
        <x:v>2020</x:v>
      </x:c>
      <x:c r="K440" s="27" t="str">
        <x:v>Recent studies have shown that federated learning (FL) is vulnerable to poisoning attacks that inject a backdoor into the global model. These attacks are effective even when performed by a single client, and undetectable by most existing defensive techniques. In this paper, we propose Backdoor detection via Feedback-based Federated Learning (BAFFLE), a novel defense to secure FL against backdoor attacks. The core idea behind BAFFLE is to leverage data of multiple clients not only for training but also for uncovering model poisoning. We exploit the availability of diverse datasets at the various clients by incorporating a feedback loop into the FL process, to integrate the views of those clients when deciding whether a given model update is genuine or not. We show that this powerful construct can achieve very high detection rates against state-of-the-art backdoor attacks, even when relying on straightforward methods to validate the model. Through empirical evaluation using the CIFAR-10 and FEMNIST datasets, we show that by combining the feedback loop with a method that suspects poisoning attempts by assessing the per-class classification performance of the updated model, BAFFLE reliably detects state-of-the-art backdoor attacks with a detection accuracy of 100% and a false-positive rate below 5%. Moreover, we show that our solution can detect adaptive attacks aimed at bypassing the defense.</x:v>
      </x:c>
      <x:c r="L440" s="17" t="str">
        <x:v>http://arxiv.org/abs/2011.02167v2</x:v>
      </x:c>
      <x:c r="M440" s="23" t="n">
        <x:v>0.7119234377058765</x:v>
      </x:c>
      <x:c r="N440" s="17" t="str">
        <x:v>qwen3-rerank-no-instruct-20260727-125006-results.jsonl</x:v>
      </x:c>
      <x:c r="O440" s="24" t="str">
        <x:v>2</x:v>
      </x:c>
      <x:c r="P440" s="28" t="str">
        <x:v>《BaFFLe: Backdoor detection via Feedback-based Federated Learning》核心研究联邦学习安全/隐私攻击或防御，并给出直接实证证据。</x:v>
      </x:c>
      <x:c r="Q440" s="25" t="str"/>
      <x:c r="R440" s="24" t="str">
        <x:f>IF(Q440&lt;&gt;"",Q440,O440)</x:f>
        <x:v>2</x:v>
      </x:c>
      <x:c r="S440" s="29" t="str"/>
    </x:row>
    <x:row r="441" ht="54" customHeight="1">
      <x:c r="A441" s="17" t="str">
        <x:v>csq022-r20</x:v>
      </x:c>
      <x:c r="B441" s="17" t="str">
        <x:v>csq022</x:v>
      </x:c>
      <x:c r="C441" s="17" t="str">
        <x:v>security_and_privacy</x:v>
      </x:c>
      <x:c r="D441" s="17" t="str">
        <x:v>federated_learning_security</x:v>
      </x:c>
      <x:c r="E441" s="27" t="str">
        <x:v>What security and privacy attacks against federated learning have been demonstrated, and which proposed defenses remain limited under adaptive attackers?</x:v>
      </x:c>
      <x:c r="F441" s="22" t="n">
        <x:v>20</x:v>
      </x:c>
      <x:c r="G441" s="17" t="str">
        <x:v>arXiv:2404.09430</x:v>
      </x:c>
      <x:c r="H441" s="27" t="str">
        <x:v>On the Efficiency of Privacy Attacks in Federated Learning</x:v>
      </x:c>
      <x:c r="I441" s="17" t="str">
        <x:v>Nawrin Tabassum; Ka-Ho Chow; Xuyu Wang; Wenbin Zhang; Yanzhao Wu</x:v>
      </x:c>
      <x:c r="J441" s="22" t="n">
        <x:v>2024</x:v>
      </x:c>
      <x:c r="K441" s="27" t="str">
        <x:v>Recent studies have revealed severe privacy risks in federated learning, represented by Gradient Leakage Attacks. However, existing studies mainly aim at increasing the privacy attack success rate and overlook the high computation costs for recovering private data, making the privacy attack impractical in real applications. In this study, we examine privacy attacks from the perspective of efficiency and propose a framework for improving the Efficiency of Privacy Attacks in Federated Learning (EPAFL). We make three novel contributions. First, we systematically evaluate the computational costs for representative privacy attacks in federated learning, which exhibits a high potential to optimize efficiency. Second, we propose three early-stopping techniques to effectively reduce the computational costs of these privacy attacks. Third, we perform experiments on benchmark datasets and show that our proposed method can significantly reduce computational costs and maintain comparable attack success rates for state-of-the-art privacy attacks in federated learning. We provide the codes on GitHub at https://github.com/mlsysx/EPAFL.</x:v>
      </x:c>
      <x:c r="L441" s="17" t="str">
        <x:v>http://arxiv.org/abs/2404.09430v1</x:v>
      </x:c>
      <x:c r="M441" s="23" t="n">
        <x:v>0.6879454340292801</x:v>
      </x:c>
      <x:c r="N441" s="17" t="str">
        <x:v>qwen3-rerank-no-instruct-20260727-125006-results.jsonl</x:v>
      </x:c>
      <x:c r="O441" s="24" t="str">
        <x:v>2</x:v>
      </x:c>
      <x:c r="P441" s="28" t="str">
        <x:v>《On the Efficiency of Privacy Attacks in Federated Learning》核心研究联邦学习安全/隐私攻击或防御，并给出直接实证证据。</x:v>
      </x:c>
      <x:c r="Q441" s="25" t="str"/>
      <x:c r="R441" s="24" t="str">
        <x:f>IF(Q441&lt;&gt;"",Q441,O441)</x:f>
        <x:v>2</x:v>
      </x:c>
      <x:c r="S441" s="29" t="str"/>
    </x:row>
    <x:row r="442" ht="54" customHeight="1">
      <x:c r="A442" s="17" t="str">
        <x:v>csq023-r01</x:v>
      </x:c>
      <x:c r="B442" s="17" t="str">
        <x:v>csq023</x:v>
      </x:c>
      <x:c r="C442" s="17" t="str">
        <x:v>software_engineering</x:v>
      </x:c>
      <x:c r="D442" s="17" t="str">
        <x:v>automated_program_repair</x:v>
      </x:c>
      <x:c r="E442" s="27" t="str">
        <x:v>What are the main neural and large-language-model-based approaches to automated program repair, and how do they generate and validate patches?</x:v>
      </x:c>
      <x:c r="F442" s="22" t="n">
        <x:v>1</x:v>
      </x:c>
      <x:c r="G442" s="17" t="str">
        <x:v>arXiv:2301.13246</x:v>
      </x:c>
      <x:c r="H442" s="27" t="str">
        <x:v>Conversational Automated Program Repair</x:v>
      </x:c>
      <x:c r="I442" s="17" t="str">
        <x:v>Chunqiu Steven Xia; Lingming Zhang</x:v>
      </x:c>
      <x:c r="J442" s="22" t="n">
        <x:v>2023</x:v>
      </x:c>
      <x:c r="K442" s="27" t="str">
        <x:v>Automated Program Repair (APR) can help developers automatically generate patches for bugs. Due to the impressive performance obtained using Large Pre-Trained Language Models (LLMs) on many code related tasks, researchers have started to directly use LLMs for APR. However, prior approaches simply repeatedly sample the LLM given the same constructed input/prompt created from the original buggy code, which not only leads to generating the same incorrect patches repeatedly but also miss the critical information in testcases. To address these limitations, we propose conversational APR, a new paradigm for program repair that alternates between patch generation and validation in a conversational manner. In conversational APR, we iteratively build the input to the model by combining previously generated patches with validation feedback. As such, we leverage the long-term context window of LLMs to not only avoid generating previously incorrect patches but also incorporate validation feedback to help the model understand the semantic meaning of the program under test. We evaluate 10 different LLM including the newly developed ChatGPT model to demonstrate the improvement of conversational APR over the prior LLM for APR approach.</x:v>
      </x:c>
      <x:c r="L442" s="17" t="str">
        <x:v>http://arxiv.org/abs/2301.13246v1</x:v>
      </x:c>
      <x:c r="M442" s="23" t="n">
        <x:v>0.9430984722346747</x:v>
      </x:c>
      <x:c r="N442" s="17" t="str">
        <x:v>qwen3-rerank-no-instruct-20260727-125006-results.jsonl</x:v>
      </x:c>
      <x:c r="O442" s="24" t="str">
        <x:v>2</x:v>
      </x:c>
      <x:c r="P442" s="28" t="str">
        <x:v>《Conversational Automated Program Repair》核心提出或分析神经/LLM程序修复的补丁生成与验证方法。</x:v>
      </x:c>
      <x:c r="Q442" s="25" t="str"/>
      <x:c r="R442" s="24" t="str">
        <x:f>IF(Q442&lt;&gt;"",Q442,O442)</x:f>
        <x:v>2</x:v>
      </x:c>
      <x:c r="S442" s="29" t="str"/>
    </x:row>
    <x:row r="443" ht="54" customHeight="1">
      <x:c r="A443" s="17" t="str">
        <x:v>csq023-r02</x:v>
      </x:c>
      <x:c r="B443" s="17" t="str">
        <x:v>csq023</x:v>
      </x:c>
      <x:c r="C443" s="17" t="str">
        <x:v>software_engineering</x:v>
      </x:c>
      <x:c r="D443" s="17" t="str">
        <x:v>automated_program_repair</x:v>
      </x:c>
      <x:c r="E443" s="27" t="str">
        <x:v>What are the main neural and large-language-model-based approaches to automated program repair, and how do they generate and validate patches?</x:v>
      </x:c>
      <x:c r="F443" s="22" t="n">
        <x:v>2</x:v>
      </x:c>
      <x:c r="G443" s="17" t="str">
        <x:v>arXiv:2406.00992</x:v>
      </x:c>
      <x:c r="H443" s="27" t="str">
        <x:v>Hybrid Automated Program Repair by Combining Large Language Models and Program Analysis</x:v>
      </x:c>
      <x:c r="I443" s="17" t="str">
        <x:v>Fengjie Li; Jiajun Jiang; Jiajun Sun; Hongyu Zhang</x:v>
      </x:c>
      <x:c r="J443" s="22" t="n">
        <x:v>2024</x:v>
      </x:c>
      <x:c r="K443" s="27" t="str">
        <x:v>Automated Program Repair (APR) has garnered significant attention due to its potential to streamline the bug repair process for human developers. Recently, LLM-based APR methods have shown promise in repairing real-world bugs. However, existing APR methods often utilize patches generated by LLMs without further optimization, resulting in reduced effectiveness due to the lack of program-specific knowledge. Furthermore, the evaluations of these APR methods have typically been conducted under the assumption of perfect fault localization, which may not accurately reflect their real-world effectiveness. To address these limitations, this paper introduces an innovative APR approach called GIANTREPAIR. Our approach leverages the insight that LLM-generated patches, although not necessarily correct, offer valuable guidance for the patch generation process. Based on this insight, GIANTREPAIR first constructs patch skeletons from LLM-generated patches to confine the patch space, and then generates high-quality patches tailored to specific programs through context-aware patch generation by instantiating the skeletons. To evaluate the performance of our approach, we conduct two large-scale experiments. The results demonstrate that GIANTREPAIR not only effectively repairs more bugs (an average of 27.78% on Defects4J v1.2 and 23.40% on Defects4J v2.0) than using LLM-generated patches directly, but also outperforms state-of-the-art APR methods by repairing at least 42 and 7 more bugs under perfect and automated fault localization scenarios, respectively.</x:v>
      </x:c>
      <x:c r="L443" s="17" t="str">
        <x:v>http://arxiv.org/abs/2406.00992v2</x:v>
      </x:c>
      <x:c r="M443" s="23" t="n">
        <x:v>0.9062389171005083</x:v>
      </x:c>
      <x:c r="N443" s="17" t="str">
        <x:v>qwen3-rerank-no-instruct-20260727-125006-results.jsonl</x:v>
      </x:c>
      <x:c r="O443" s="24" t="str">
        <x:v>2</x:v>
      </x:c>
      <x:c r="P443" s="28" t="str">
        <x:v>《Hybrid Automated Program Repair by Combining Large Language Models and Program Analysis》核心提出或分析神经/LLM程序修复的补丁生成与验证方法。</x:v>
      </x:c>
      <x:c r="Q443" s="25" t="str"/>
      <x:c r="R443" s="24" t="str">
        <x:f>IF(Q443&lt;&gt;"",Q443,O443)</x:f>
        <x:v>2</x:v>
      </x:c>
      <x:c r="S443" s="29" t="str"/>
    </x:row>
    <x:row r="444" ht="54" customHeight="1">
      <x:c r="A444" s="17" t="str">
        <x:v>csq023-r03</x:v>
      </x:c>
      <x:c r="B444" s="17" t="str">
        <x:v>csq023</x:v>
      </x:c>
      <x:c r="C444" s="17" t="str">
        <x:v>software_engineering</x:v>
      </x:c>
      <x:c r="D444" s="17" t="str">
        <x:v>automated_program_repair</x:v>
      </x:c>
      <x:c r="E444" s="27" t="str">
        <x:v>What are the main neural and large-language-model-based approaches to automated program repair, and how do they generate and validate patches?</x:v>
      </x:c>
      <x:c r="F444" s="22" t="n">
        <x:v>3</x:v>
      </x:c>
      <x:c r="G444" s="17" t="str">
        <x:v>arXiv:2407.08958</x:v>
      </x:c>
      <x:c r="H444" s="27" t="str">
        <x:v>Towards Practical and Useful Automated Program Repair for Debugging</x:v>
      </x:c>
      <x:c r="I444" s="17" t="str">
        <x:v>Qi Xin; Haojun Wu; Steven P. Reiss; Jifeng Xuan</x:v>
      </x:c>
      <x:c r="J444" s="22" t="n">
        <x:v>2024</x:v>
      </x:c>
      <x:c r="K444" s="27" t="str">
        <x:v>Current automated program repair (APR) techniques are far from being practical and useful enough to be considered for realistic debugging. They rely on unrealistic assumptions including the requirement of a comprehensive suite of test cases as the correctness criterion and frequent program re-execution for patch validation; they are not fast; and their ability of repairing the commonly arising complex bugs by fixing multiple locations of the program is very limited. We hope to substantially improve APR's practicality, effectiveness, and usefulness to help people debug. Towards this goal, we envision PracAPR, an interactive repair system that works in an Integrated Development Environment (IDE) to provide effective repair suggestions for debugging. PracAPR does not require a test suite or program re-execution. It assumes that the developer uses an IDE debugger and the program has suspended at a location where a problem is observed. It interacts with the developer to obtain a problem specification. Based on the specification, it performs test-free, flow-analysis-based fault localization, patch generation that combines large language model-based local repair and tailored strategy-driven global repair, and program re-execution-free patch validation based on simulated trace comparison to suggest repairs. By having PracAPR, we hope to take a significant step towards making APR useful and an everyday part of debugging.</x:v>
      </x:c>
      <x:c r="L444" s="17" t="str">
        <x:v>http://arxiv.org/abs/2407.08958v1</x:v>
      </x:c>
      <x:c r="M444" s="23" t="n">
        <x:v>0.9012779139439298</x:v>
      </x:c>
      <x:c r="N444" s="17" t="str">
        <x:v>qwen3-rerank-no-instruct-20260727-125006-results.jsonl</x:v>
      </x:c>
      <x:c r="O444" s="24" t="str">
        <x:v>2</x:v>
      </x:c>
      <x:c r="P444" s="28" t="str">
        <x:v>《Towards Practical and Useful Automated Program Repair for Debugging》核心提出或分析神经/LLM程序修复的补丁生成与验证方法。</x:v>
      </x:c>
      <x:c r="Q444" s="25" t="str"/>
      <x:c r="R444" s="24" t="str">
        <x:f>IF(Q444&lt;&gt;"",Q444,O444)</x:f>
        <x:v>2</x:v>
      </x:c>
      <x:c r="S444" s="29" t="str"/>
    </x:row>
    <x:row r="445" ht="54" customHeight="1">
      <x:c r="A445" s="17" t="str">
        <x:v>csq023-r04</x:v>
      </x:c>
      <x:c r="B445" s="17" t="str">
        <x:v>csq023</x:v>
      </x:c>
      <x:c r="C445" s="17" t="str">
        <x:v>software_engineering</x:v>
      </x:c>
      <x:c r="D445" s="17" t="str">
        <x:v>automated_program_repair</x:v>
      </x:c>
      <x:c r="E445" s="27" t="str">
        <x:v>What are the main neural and large-language-model-based approaches to automated program repair, and how do they generate and validate patches?</x:v>
      </x:c>
      <x:c r="F445" s="22" t="n">
        <x:v>4</x:v>
      </x:c>
      <x:c r="G445" s="17" t="str">
        <x:v>arXiv:2309.00608</x:v>
      </x:c>
      <x:c r="H445" s="27" t="str">
        <x:v>Copiloting the Copilots: Fusing Large Language Models with Completion Engines for Automated Program Repair</x:v>
      </x:c>
      <x:c r="I445" s="17" t="str">
        <x:v>Yuxiang Wei; Chunqiu Steven Xia; Lingming Zhang</x:v>
      </x:c>
      <x:c r="J445" s="22" t="n">
        <x:v>2023</x:v>
      </x:c>
      <x:c r="K445" s="27" t="str">
        <x:v>During Automated Program Repair (APR), it can be challenging to synthesize correct patches for real-world systems in general-purpose programming languages. Recent Large Language Models (LLMs) have been shown to be helpful "copilots" in assisting developers with various coding tasks, and have also been directly applied for patch synthesis. However, most LLMs treat programs as sequences of tokens, meaning that they are ignorant of the underlying semantics constraints of the target programming language. This results in plenty of statically invalid generated patches, impeding the practicality of the technique. Therefore, we propose Repilot, a general code generation framework to further copilot the AI "copilots" (i.e., LLMs) by synthesizing more valid patches during the repair process. Our key insight is that many LLMs produce outputs autoregressively (i.e., token by token), resembling human writing programs, which can be significantly boosted and guided through a Completion Engine. Repilot synergistically synthesizes a candidate patch through the interaction between an LLM and a Completion Engine, which 1) prunes away infeasible tokens suggested by the LLM and 2) proactively completes the token based on the suggestions provided by the Completion Engine. Our evaluation on a subset of the widely-used Defects4j 1.2 and 2.0 datasets shows that Repilot outperforms state-of-the-art techniques by fixing 27% and 47% more bugs, respectively. Moreover, Repilot produces more valid and correct patches than the base LLM with the same budget. While we focus on leveraging Repilot for APR in this work, the overall approach is also generalizable to other code generation tasks.</x:v>
      </x:c>
      <x:c r="L445" s="17" t="str">
        <x:v>http://arxiv.org/abs/2309.00608v3</x:v>
      </x:c>
      <x:c r="M445" s="23" t="n">
        <x:v>0.8899166994980083</x:v>
      </x:c>
      <x:c r="N445" s="17" t="str">
        <x:v>qwen3-rerank-no-instruct-20260727-125006-results.jsonl</x:v>
      </x:c>
      <x:c r="O445" s="24" t="str">
        <x:v>2</x:v>
      </x:c>
      <x:c r="P445" s="28" t="str">
        <x:v>《Copiloting the Copilots: Fusing Large Language Models with Completion Engines for Automated Program Repair》核心提出或分析神经/LLM程序修复的补丁生成与验证方法。</x:v>
      </x:c>
      <x:c r="Q445" s="25" t="str"/>
      <x:c r="R445" s="24" t="str">
        <x:f>IF(Q445&lt;&gt;"",Q445,O445)</x:f>
        <x:v>2</x:v>
      </x:c>
      <x:c r="S445" s="29" t="str"/>
    </x:row>
    <x:row r="446" ht="54" customHeight="1">
      <x:c r="A446" s="17" t="str">
        <x:v>csq023-r05</x:v>
      </x:c>
      <x:c r="B446" s="17" t="str">
        <x:v>csq023</x:v>
      </x:c>
      <x:c r="C446" s="17" t="str">
        <x:v>software_engineering</x:v>
      </x:c>
      <x:c r="D446" s="17" t="str">
        <x:v>automated_program_repair</x:v>
      </x:c>
      <x:c r="E446" s="27" t="str">
        <x:v>What are the main neural and large-language-model-based approaches to automated program repair, and how do they generate and validate patches?</x:v>
      </x:c>
      <x:c r="F446" s="22" t="n">
        <x:v>5</x:v>
      </x:c>
      <x:c r="G446" s="17" t="str">
        <x:v>arXiv:2507.01827</x:v>
      </x:c>
      <x:c r="H446" s="27" t="str">
        <x:v>PSearch: Search-based Patch Generation in the Era of LLM-based Automated Program Repair</x:v>
      </x:c>
      <x:c r="I446" s="17" t="str">
        <x:v>Haichuan Hu; Ye Shang; Weifeng Sun; Quanjun Zhang</x:v>
      </x:c>
      <x:c r="J446" s="22" t="n">
        <x:v>2025</x:v>
      </x:c>
      <x:c r="K446" s="27" t="str">
        <x:v>Large Language Models (LLMs) have substantially advanced Automated Program Repair (APR), yet most existing LLM-based APR methods still rely on trial-and-error to generate patches. Such a strategy explores candidate patches in a weakly structured manner, making it difficult to assess the future potential of search directions and allocate search budget effectively. To address this limitation, we propose Psearch, a search-based patch generation framework for LLM-based APR centered on iterative patch evaluation and refinement. Instead of treating patch generation as repeated independent sampling, Psearch maintains a structured search state over intermediate patches, continuously evaluates the promise of explored search paths, and prioritizes the most promising ones for further refinement. This design enables Psearch to abandon weak directions early and progressively approach correct fixes through long-horizon search. Importantly, Psearch can be integrated with different search algorithms, while our current implementation adopts Monte Carlo Tree Search as one effective instantiation. We evaluate Psearch on five widely used bug and vulnerability benchmarks. Experimental results show that Psearch correctly repairs 201 out of 835 bugs in Defects4J, outperforming all 12 state-of-the-art baselines. Psearch also fixes 27 of 79 vulnerabilities in VUL4J and resolves 164 of 300 issues in SWE-Bench-Lite. Moreover, with a patch size of 16, Psearch reduces monetary cost to roughly 50% of strong baselines while maintaining superior repair effectiveness. These results highlight the effectiveness of Psearch for improving LLM-based APR. The code and results can be found at https://github.com/Tomsawyerhu/Psearch</x:v>
      </x:c>
      <x:c r="L446" s="17" t="str">
        <x:v>http://arxiv.org/abs/2507.01827v5</x:v>
      </x:c>
      <x:c r="M446" s="23" t="n">
        <x:v>0.8663581709828326</x:v>
      </x:c>
      <x:c r="N446" s="17" t="str">
        <x:v>qwen3-rerank-no-instruct-20260727-125006-results.jsonl</x:v>
      </x:c>
      <x:c r="O446" s="24" t="str">
        <x:v>2</x:v>
      </x:c>
      <x:c r="P446" s="28" t="str">
        <x:v>《PSearch: Search-based Patch Generation in the Era of LLM-based Automated Program Repair》核心提出或分析神经/LLM程序修复的补丁生成与验证方法。</x:v>
      </x:c>
      <x:c r="Q446" s="25" t="str"/>
      <x:c r="R446" s="24" t="str">
        <x:f>IF(Q446&lt;&gt;"",Q446,O446)</x:f>
        <x:v>2</x:v>
      </x:c>
      <x:c r="S446" s="29" t="str"/>
    </x:row>
    <x:row r="447" ht="54" customHeight="1">
      <x:c r="A447" s="17" t="str">
        <x:v>csq023-r06</x:v>
      </x:c>
      <x:c r="B447" s="17" t="str">
        <x:v>csq023</x:v>
      </x:c>
      <x:c r="C447" s="17" t="str">
        <x:v>software_engineering</x:v>
      </x:c>
      <x:c r="D447" s="17" t="str">
        <x:v>automated_program_repair</x:v>
      </x:c>
      <x:c r="E447" s="27" t="str">
        <x:v>What are the main neural and large-language-model-based approaches to automated program repair, and how do they generate and validate patches?</x:v>
      </x:c>
      <x:c r="F447" s="22" t="n">
        <x:v>6</x:v>
      </x:c>
      <x:c r="G447" s="17" t="str">
        <x:v>arXiv:2401.07994</x:v>
      </x:c>
      <x:c r="H447" s="27" t="str">
        <x:v>Assessing the Latent Automated Program Repair Capabilities of Large Language Models using Round-Trip Translation</x:v>
      </x:c>
      <x:c r="I447" s="17" t="str">
        <x:v>Fernando Vallecillos Ruiz; Anastasiia Grishina; Max Hort; Leon Moonen</x:v>
      </x:c>
      <x:c r="J447" s="22" t="n">
        <x:v>2024</x:v>
      </x:c>
      <x:c r="K447" s="27" t="str">
        <x:v>Research shows that errors in natural language can be corrected by translating texts to another language and back using language models. We explore to what extent this latent correction capability extends to Automated Program Repair (APR) by investigating Round-Trip Translation (RTT): translating code from one programming language into another programming or natural language and back, using Large Language Models (LLMs). We hypothesize that RTT restores patterns most commonly seen in the LLM's training corpora through regression toward the mean, replacing infrequent bugs with more frequent, natural, bug-free code. To test this hypothesis, we employ nine LLMs and four common APR benchmarks in Java, and perform a detailed quantitative and qualitative analysis of RTT-generated patches. We find that RTT through English generates plausible patches for 100 of 164 bugs with GPT-4 on the HumanEval-Java benchmark, and 97 are found to be correct in our manual assessment. Moreover, RTT uniquely generates plausible patches for 46 bugs that were missed by LLMs specifically fine-tuned for APR. While this demonstrates the viability of RTT for APR, we also observe limitations, such as a lower overall bug fix rate than the state-of-the-art and diluting the original coding style. We analyze the impact of these limitations and discuss the potential of using RTT as a complementary component in APR frameworks. A replication package is available for download from https://doi.org/10.5281/zenodo.10500593. Keywords: automated program repair, large language model, machine translation</x:v>
      </x:c>
      <x:c r="L447" s="17" t="str">
        <x:v>http://arxiv.org/abs/2401.07994v2</x:v>
      </x:c>
      <x:c r="M447" s="23" t="n">
        <x:v>0.8579783646260379</x:v>
      </x:c>
      <x:c r="N447" s="17" t="str">
        <x:v>qwen3-rerank-no-instruct-20260727-125006-results.jsonl</x:v>
      </x:c>
      <x:c r="O447" s="24" t="str">
        <x:v>2</x:v>
      </x:c>
      <x:c r="P447" s="28" t="str">
        <x:v>《Assessing the Latent Automated Program Repair Capabilities of Large Language Models using Round-Trip Translation》核心提出或分析神经/LLM程序修复的补丁生成与验证方法。</x:v>
      </x:c>
      <x:c r="Q447" s="25" t="str"/>
      <x:c r="R447" s="24" t="str">
        <x:f>IF(Q447&lt;&gt;"",Q447,O447)</x:f>
        <x:v>2</x:v>
      </x:c>
      <x:c r="S447" s="29" t="str"/>
    </x:row>
    <x:row r="448" ht="54" customHeight="1">
      <x:c r="A448" s="17" t="str">
        <x:v>csq023-r07</x:v>
      </x:c>
      <x:c r="B448" s="17" t="str">
        <x:v>csq023</x:v>
      </x:c>
      <x:c r="C448" s="17" t="str">
        <x:v>software_engineering</x:v>
      </x:c>
      <x:c r="D448" s="17" t="str">
        <x:v>automated_program_repair</x:v>
      </x:c>
      <x:c r="E448" s="27" t="str">
        <x:v>What are the main neural and large-language-model-based approaches to automated program repair, and how do they generate and validate patches?</x:v>
      </x:c>
      <x:c r="F448" s="22" t="n">
        <x:v>7</x:v>
      </x:c>
      <x:c r="G448" s="17" t="str">
        <x:v>arXiv:2511.18001</x:v>
      </x:c>
      <x:c r="H448" s="27" t="str">
        <x:v>Enhancing Automated Program Repair via Faulty Token Localization and Quality-Aware Patch Refinement</x:v>
      </x:c>
      <x:c r="I448" s="17" t="str">
        <x:v>Jiaolong Kong; Xiaofei Xie; Yiheng Xiong; Yuekun Wang; Jian Wang</x:v>
      </x:c>
      <x:c r="J448" s="22" t="n">
        <x:v>2025</x:v>
      </x:c>
      <x:c r="K448" s="27" t="str">
        <x:v>Large language models (LLMs) have recently demonstrated strong potential for automated program repair (APR). However, existing LLM-based techniques primarily rely on coarse-grained external feedback (e.g.,test results) to guide iterative patch generation, while lacking fine-grained internal signals that reveal why a patch fails or which parts of the generated code are likely incorrect. This limitation often leads to inefficient refinement, error propagation, and suboptimal repair performance. In this work, we propose TokenRepair, a novel two-level refinement framework that enhances APR by integrating internal reflection for localizing potentially faulty tokens with external feedback for quality-aware patch refinement. Specifically, TokenRepair first performs internal reflection by analyzing context-aware token-level uncertainty fluctuations to identify suspicious or low-confidence tokens within a patch. It then applies Chain-of-Thought guided rewriting to refine only these localized tokens, enabling targeted and fine-grained correction. To further stabilize the iterative repair loop, TokenRepair incorporates a quality-aware external feedback mechanism that evaluates patch quality and filters out low-quality candidates before refinement. Experimental results show that TokenRepair achieves new state-of-the-art repair performance, correctly fixing 88 bugs on Defects4J 1.2 and 139 bugs on HumanEval-Java, demonstrating substantial improvements ranging from 8.2% to 34.9% across all models on Defects4J 1.2 and from 3.3% to 16.1% on HumanEval-Java.</x:v>
      </x:c>
      <x:c r="L448" s="17" t="str">
        <x:v>http://arxiv.org/abs/2511.18001v1</x:v>
      </x:c>
      <x:c r="M448" s="23" t="n">
        <x:v>0.8478101915097319</x:v>
      </x:c>
      <x:c r="N448" s="17" t="str">
        <x:v>qwen3-rerank-no-instruct-20260727-125006-results.jsonl</x:v>
      </x:c>
      <x:c r="O448" s="24" t="str">
        <x:v>2</x:v>
      </x:c>
      <x:c r="P448" s="28" t="str">
        <x:v>《Enhancing Automated Program Repair via Faulty Token Localization and Quality-Aware Patch Refinement》核心提出或分析神经/LLM程序修复的补丁生成与验证方法。</x:v>
      </x:c>
      <x:c r="Q448" s="25" t="str"/>
      <x:c r="R448" s="24" t="str">
        <x:f>IF(Q448&lt;&gt;"",Q448,O448)</x:f>
        <x:v>2</x:v>
      </x:c>
      <x:c r="S448" s="29" t="str"/>
    </x:row>
    <x:row r="449" ht="54" customHeight="1">
      <x:c r="A449" s="17" t="str">
        <x:v>csq023-r08</x:v>
      </x:c>
      <x:c r="B449" s="17" t="str">
        <x:v>csq023</x:v>
      </x:c>
      <x:c r="C449" s="17" t="str">
        <x:v>software_engineering</x:v>
      </x:c>
      <x:c r="D449" s="17" t="str">
        <x:v>automated_program_repair</x:v>
      </x:c>
      <x:c r="E449" s="27" t="str">
        <x:v>What are the main neural and large-language-model-based approaches to automated program repair, and how do they generate and validate patches?</x:v>
      </x:c>
      <x:c r="F449" s="22" t="n">
        <x:v>8</x:v>
      </x:c>
      <x:c r="G449" s="17" t="str">
        <x:v>arXiv:2312.15955</x:v>
      </x:c>
      <x:c r="H449" s="27" t="str">
        <x:v>Boosting Redundancy-based Automated Program Repair by Fine-grained Pattern Mining</x:v>
      </x:c>
      <x:c r="I449" s="17" t="str">
        <x:v>Jiajun Jiang; Fengjie Li; Zijie Zhao; Zhirui Ye; Mengjiao Liu; Bo Wang; Hongyu Zhang; Junjie Chen</x:v>
      </x:c>
      <x:c r="J449" s="22" t="n">
        <x:v>2023</x:v>
      </x:c>
      <x:c r="K449" s="27" t="str">
        <x:v>Redundancy-based automated program repair (APR), which generates patches by referencing existing source code, has gained much attention since they are effective in repairing real-world bugs with good interpretability. However, since existing approaches either demand the existence of multi-line similar code or randomly reference existing code, they can only repair a small number of bugs with many incorrect patches, hindering their wide application in practice. In this work, we aim to improve the effectiveness of redundancy-based APRs by exploring more effective source code reuse methods for improving the number of correct patches and reducing incorrect patches. Specifically, we have proposed a new repair technique named Repatt, which incorporates a two-level pattern mining process for guiding effective patch generation (i.e., token and expression levels). We have conducted an extensive experiment on the widely-used Defects4J benchmark and compared Repatt with ten state-of-the-art APR approaches. The results show that it complements existing approaches by repairing 9 unique bugs compared with the latest Large Language Model (LLM)-based and deep learning-based methods and 19 unique bugs compared with traditional repair methods when providing the perfect fault localization. In addition, when the perfect fault localization is unknown in real practice, Repatt significantly outperforms the baseline approaches by achieving much higher patch precision, i.e., 83.8\%, although it repairs fewer bugs. Moreover, we further proposed an effective patch ranking strategy for combining the strength of Repatt and the baseline methods. The result shows that it repairs 124 bugs when only considering the Top-1 patches and improves the best-performing repair method by repairing 39 more bugs. The results demonstrate the effectiveness of our approach for practical use.</x:v>
      </x:c>
      <x:c r="L449" s="17" t="str">
        <x:v>http://arxiv.org/abs/2312.15955v3</x:v>
      </x:c>
      <x:c r="M449" s="23" t="n">
        <x:v>0.8385912561827058</x:v>
      </x:c>
      <x:c r="N449" s="17" t="str">
        <x:v>qwen3-rerank-no-instruct-20260727-125006-results.jsonl</x:v>
      </x:c>
      <x:c r="O449" s="24" t="str">
        <x:v>1</x:v>
      </x:c>
      <x:c r="P449" s="28" t="str">
        <x:v>《Boosting Redundancy-based Automated Program Repair by Fine-grained Pattern Mining》属于程序修复，但主要是传统非神经路线，可作方法对照。</x:v>
      </x:c>
      <x:c r="Q449" s="25" t="str"/>
      <x:c r="R449" s="24" t="str">
        <x:f>IF(Q449&lt;&gt;"",Q449,O449)</x:f>
        <x:v>1</x:v>
      </x:c>
      <x:c r="S449" s="29" t="str"/>
    </x:row>
    <x:row r="450" ht="54" customHeight="1">
      <x:c r="A450" s="17" t="str">
        <x:v>csq023-r09</x:v>
      </x:c>
      <x:c r="B450" s="17" t="str">
        <x:v>csq023</x:v>
      </x:c>
      <x:c r="C450" s="17" t="str">
        <x:v>software_engineering</x:v>
      </x:c>
      <x:c r="D450" s="17" t="str">
        <x:v>automated_program_repair</x:v>
      </x:c>
      <x:c r="E450" s="27" t="str">
        <x:v>What are the main neural and large-language-model-based approaches to automated program repair, and how do they generate and validate patches?</x:v>
      </x:c>
      <x:c r="F450" s="22" t="n">
        <x:v>9</x:v>
      </x:c>
      <x:c r="G450" s="17" t="str">
        <x:v>arXiv:2301.03270</x:v>
      </x:c>
      <x:c r="H450" s="27" t="str">
        <x:v>A Survey of Learning-based Automated Program Repair</x:v>
      </x:c>
      <x:c r="I450" s="17" t="str">
        <x:v>Quanjun Zhang; Chunrong Fang; Yuxiang Ma; Weisong Sun; Zhenyu Chen</x:v>
      </x:c>
      <x:c r="J450" s="22" t="n">
        <x:v>2023</x:v>
      </x:c>
      <x:c r="K450" s="27" t="str">
        <x:v>Automated program repair (APR) aims to fix software bugs automatically and plays a crucial role in software development and maintenance. With the recent advances in deep learning (DL), an increasing number of APR techniques have been proposed to leverage neural networks to learn bug-fixing patterns from massive open-source code repositories. Such learning-based techniques usually treat APR as a neural machine translation (NMT) task, where buggy code snippets (i.e., source language) are translated into fixed code snippets (i.e., target language) automatically. Benefiting from the powerful capability of DL to learn hidden relationships from previous bug-fixing datasets, learning-based APR techniques have achieved remarkable performance. In this paper, we provide a systematic survey to summarize the current state-of-the-art research in the learning-based APR community. We illustrate the general workflow of learning-based APR techniques and detail the crucial components, including fault localization, patch generation, patch ranking, patch validation, and patch correctness phases. We then discuss the widely-adopted datasets and evaluation metrics and outline existing empirical studies. We discuss several critical aspects of learning-based APR techniques, such as repair domains, industrial deployment, and the open science issue. We highlight several practical guidelines on applying DL techniques for future APR studies, such as exploring explainable patch generation and utilizing code features. Overall, our paper can help researchers gain a comprehensive understanding about the achievements of the existing learning-based APR techniques and promote the practical application of these techniques. Our artifacts are publicly available at \url{https://github.com/QuanjunZhang/AwesomeLearningAPR}.</x:v>
      </x:c>
      <x:c r="L450" s="17" t="str">
        <x:v>http://arxiv.org/abs/2301.03270v3</x:v>
      </x:c>
      <x:c r="M450" s="23" t="n">
        <x:v>0.8050843293646863</x:v>
      </x:c>
      <x:c r="N450" s="17" t="str">
        <x:v>qwen3-rerank-no-instruct-20260727-125006-results.jsonl</x:v>
      </x:c>
      <x:c r="O450" s="24" t="str">
        <x:v>2</x:v>
      </x:c>
      <x:c r="P450" s="28" t="str">
        <x:v>《A Survey of Learning-based Automated Program Repair》核心提出或分析神经/LLM程序修复的补丁生成与验证方法。</x:v>
      </x:c>
      <x:c r="Q450" s="25" t="str"/>
      <x:c r="R450" s="24" t="str">
        <x:f>IF(Q450&lt;&gt;"",Q450,O450)</x:f>
        <x:v>2</x:v>
      </x:c>
      <x:c r="S450" s="29" t="str"/>
    </x:row>
    <x:row r="451" ht="54" customHeight="1">
      <x:c r="A451" s="17" t="str">
        <x:v>csq023-r10</x:v>
      </x:c>
      <x:c r="B451" s="17" t="str">
        <x:v>csq023</x:v>
      </x:c>
      <x:c r="C451" s="17" t="str">
        <x:v>software_engineering</x:v>
      </x:c>
      <x:c r="D451" s="17" t="str">
        <x:v>automated_program_repair</x:v>
      </x:c>
      <x:c r="E451" s="27" t="str">
        <x:v>What are the main neural and large-language-model-based approaches to automated program repair, and how do they generate and validate patches?</x:v>
      </x:c>
      <x:c r="F451" s="22" t="n">
        <x:v>10</x:v>
      </x:c>
      <x:c r="G451" s="17" t="str">
        <x:v>arXiv:2303.07263</x:v>
      </x:c>
      <x:c r="H451" s="27" t="str">
        <x:v>InferFix: End-to-End Program Repair with LLMs</x:v>
      </x:c>
      <x:c r="I451" s="17" t="str">
        <x:v>Matthew Jin; Syed Shahriar; Michele Tufano; Xin Shi; Shuai Lu; Neel Sundaresan; Alexey Svyatkovskiy</x:v>
      </x:c>
      <x:c r="J451" s="22" t="n">
        <x:v>2023</x:v>
      </x:c>
      <x:c r="K451" s="27" t="str">
        <x:v>Software development life cycle is profoundly influenced by bugs: their introduction, identification, and eventual resolution account for a significant portion of software cost. This has motivated software engineering researchers and practitioners to propose different approaches for automating the identification and repair of software defects. Large language models have been adapted to the program repair task through few-shot demonstration learning and instruction prompting, treating this as an infilling task. However, these models have only focused on learning general bug-fixing patterns for uncategorized bugs mined from public repositories. In this paper, we propose InferFix: a transformer-based program repair framework paired with a state-of-the-art static analyzer to fix critical security and performance bugs. InferFix combines a Retriever -- transformer encoder model pretrained via contrastive learning objective, which aims at searching for semantically equivalent bugs and corresponding fixes; and a Generator -- a large language model (Codex Cushman) finetuned on supervised bug-fix data with prompts augmented via bug type annotations and semantically similar fixes retrieved from an external non-parametric memory. To train and evaluate our approach, we curated InferredBugs, a novel, metadata-rich dataset of bugs extracted by executing the Infer static analyzer on the change histories of thousands of Java and C# repositories. Our evaluation demonstrates that InferFix outperforms strong LLM baselines, with a top-1 accuracy of 65.6% for generating fixes in C# and 76.8% in Java. We discuss the deployment of InferFix alongside Infer at Microsoft which offers an end-to-end solution for detection, classification, and localization of bugs, as well as fixing and validation of candidate patches, integrated in the continuous integration pipeline to automate the software development workflow.</x:v>
      </x:c>
      <x:c r="L451" s="17" t="str">
        <x:v>http://arxiv.org/abs/2303.07263v1</x:v>
      </x:c>
      <x:c r="M451" s="23" t="n">
        <x:v>0.7988349658632639</x:v>
      </x:c>
      <x:c r="N451" s="17" t="str">
        <x:v>qwen3-rerank-no-instruct-20260727-125006-results.jsonl</x:v>
      </x:c>
      <x:c r="O451" s="24" t="str">
        <x:v>2</x:v>
      </x:c>
      <x:c r="P451" s="28" t="str">
        <x:v>《InferFix: End-to-End Program Repair with LLMs》核心提出或分析神经/LLM程序修复的补丁生成与验证方法。</x:v>
      </x:c>
      <x:c r="Q451" s="25" t="str"/>
      <x:c r="R451" s="24" t="str">
        <x:f>IF(Q451&lt;&gt;"",Q451,O451)</x:f>
        <x:v>2</x:v>
      </x:c>
      <x:c r="S451" s="29" t="str"/>
    </x:row>
    <x:row r="452" ht="54" customHeight="1">
      <x:c r="A452" s="17" t="str">
        <x:v>csq023-r11</x:v>
      </x:c>
      <x:c r="B452" s="17" t="str">
        <x:v>csq023</x:v>
      </x:c>
      <x:c r="C452" s="17" t="str">
        <x:v>software_engineering</x:v>
      </x:c>
      <x:c r="D452" s="17" t="str">
        <x:v>automated_program_repair</x:v>
      </x:c>
      <x:c r="E452" s="27" t="str">
        <x:v>What are the main neural and large-language-model-based approaches to automated program repair, and how do they generate and validate patches?</x:v>
      </x:c>
      <x:c r="F452" s="22" t="n">
        <x:v>11</x:v>
      </x:c>
      <x:c r="G452" s="17" t="str">
        <x:v>arXiv:2510.03217</x:v>
      </x:c>
      <x:c r="H452" s="27" t="str">
        <x:v>Abstain and Validate: A Dual-LLM Policy for Reducing Noise in Agentic Program Repair</x:v>
      </x:c>
      <x:c r="I452" s="17" t="str">
        <x:v>José Cambronero; Michele Tufano; Sherry Shi; Renyao Wei; Grant Uy; Runxiang Cheng; Chin-Jung Liu; Shiying Pan; Satish Chandra; Pat Rondon</x:v>
      </x:c>
      <x:c r="J452" s="22" t="n">
        <x:v>2025</x:v>
      </x:c>
      <x:c r="K452" s="27" t="str">
        <x:v>Agentic Automated Program Repair (APR) is increasingly tackling complex, repository-level bugs in industry, but ultimately these patches still need to be reviewed by a human before committing them to ensure they address the bug. Showing patches unlikely to be accepted can lead to substantial noise, wasting valuable developer time and eroding trust in automated code changes. We introduce two complementary LLM-based policies to reduce such noise: bug abstention and patch validation policies. Bug abstention excludes bugs that the agentic APR system is unlikely to fix. Patch validation rejects patches that are unlikely to be a good fix for the given bug. We evaluate both policies on three sets of bugs from Google's codebase, and their candidate patches generated by an internal agentic APR system. On a set of 174 human-reported bugs, removing bugs and patches rejected by our policies can raise success rates by up to 13 percentage points and 15 percentage points, respectively, and by up to 39 percentage points in combination. On null pointer exceptions and sanitizer-reported bugs with machine-generated bug reports, patch validation also improves average single-sample success rates. This two-policy approach provides a practical path to the reliable, industrial-scale deployment of agentic APR systems.</x:v>
      </x:c>
      <x:c r="L452" s="17" t="str">
        <x:v>http://arxiv.org/abs/2510.03217v2</x:v>
      </x:c>
      <x:c r="M452" s="23" t="n">
        <x:v>0.7977345483895808</x:v>
      </x:c>
      <x:c r="N452" s="17" t="str">
        <x:v>qwen3-rerank-no-instruct-20260727-125006-results.jsonl</x:v>
      </x:c>
      <x:c r="O452" s="24" t="str">
        <x:v>2</x:v>
      </x:c>
      <x:c r="P452" s="28" t="str">
        <x:v>《Abstain and Validate: A Dual-LLM Policy for Reducing Noise in Agentic Program Repair》核心提出或分析神经/LLM程序修复的补丁生成与验证方法。</x:v>
      </x:c>
      <x:c r="Q452" s="25" t="str"/>
      <x:c r="R452" s="24" t="str">
        <x:f>IF(Q452&lt;&gt;"",Q452,O452)</x:f>
        <x:v>2</x:v>
      </x:c>
      <x:c r="S452" s="29" t="str"/>
    </x:row>
    <x:row r="453" ht="54" customHeight="1">
      <x:c r="A453" s="17" t="str">
        <x:v>csq023-r12</x:v>
      </x:c>
      <x:c r="B453" s="17" t="str">
        <x:v>csq023</x:v>
      </x:c>
      <x:c r="C453" s="17" t="str">
        <x:v>software_engineering</x:v>
      </x:c>
      <x:c r="D453" s="17" t="str">
        <x:v>automated_program_repair</x:v>
      </x:c>
      <x:c r="E453" s="27" t="str">
        <x:v>What are the main neural and large-language-model-based approaches to automated program repair, and how do they generate and validate patches?</x:v>
      </x:c>
      <x:c r="F453" s="22" t="n">
        <x:v>12</x:v>
      </x:c>
      <x:c r="G453" s="17" t="str">
        <x:v>arXiv:2407.20898</x:v>
      </x:c>
      <x:c r="H453" s="27" t="str">
        <x:v>ThinkRepair: Self-Directed Automated Program Repair</x:v>
      </x:c>
      <x:c r="I453" s="17" t="str">
        <x:v>Xin Yin; Chao Ni; Shaohua Wang; Zhenhao Li; Limin Zeng; Xiaohu Yang</x:v>
      </x:c>
      <x:c r="J453" s="22" t="n">
        <x:v>2024</x:v>
      </x:c>
      <x:c r="K453" s="27" t="str">
        <x:v>Though many approaches have been proposed for Automated Program Repair (APR) and indeed achieved remarkable performance, they still have limitations in fixing bugs that require analyzing and reasoning about the logic of the buggy program. Recently, large language models (LLMs) instructed by prompt engineering have attracted much attention for their powerful ability to address many kinds of tasks including bug-fixing. However, the quality of the prompt will highly affect the ability of LLMs and manually constructing high-quality prompts is a costly endeavor. To address this limitation, we propose a self-directed LLM-based automated program repair, ThinkRepair, with two main phases: collection phase and fixing phase. The former phase automatically collects various chains of thoughts that constitute pre-fixed knowledge by instructing LLMs with the Chain-of-Thought (CoT) prompt. The latter phase targets fixing a bug by first selecting examples for few-shot learning and second automatically interacting with LLMs, optionally appending with feedback of testing information. Evaluations on two widely studied datasets (Defects4J and QuixBugs) by comparing ThinkRepair with 12 SOTA APRs indicate the priority of ThinkRepair in fixing bugs. Notably, ThinkRepair fixes 98 bugs and improves baselines by 27%-344.4% on Defects4J V1.2. On Defects4J V2.0, ThinkRepair fixes 12-65 more bugs than the SOTA APRs. Additionally, ThinkRepair also makes a considerable improvement on QuixBugs (31 for Java and 21 for Python at most).</x:v>
      </x:c>
      <x:c r="L453" s="17" t="str">
        <x:v>http://arxiv.org/abs/2407.20898v1</x:v>
      </x:c>
      <x:c r="M453" s="23" t="n">
        <x:v>0.7901336259829919</x:v>
      </x:c>
      <x:c r="N453" s="17" t="str">
        <x:v>qwen3-rerank-no-instruct-20260727-125006-results.jsonl</x:v>
      </x:c>
      <x:c r="O453" s="24" t="str">
        <x:v>2</x:v>
      </x:c>
      <x:c r="P453" s="28" t="str">
        <x:v>《ThinkRepair: Self-Directed Automated Program Repair》核心提出或分析神经/LLM程序修复的补丁生成与验证方法。</x:v>
      </x:c>
      <x:c r="Q453" s="25" t="str"/>
      <x:c r="R453" s="24" t="str">
        <x:f>IF(Q453&lt;&gt;"",Q453,O453)</x:f>
        <x:v>2</x:v>
      </x:c>
      <x:c r="S453" s="29" t="str"/>
    </x:row>
    <x:row r="454" ht="54" customHeight="1">
      <x:c r="A454" s="17" t="str">
        <x:v>csq023-r13</x:v>
      </x:c>
      <x:c r="B454" s="17" t="str">
        <x:v>csq023</x:v>
      </x:c>
      <x:c r="C454" s="17" t="str">
        <x:v>software_engineering</x:v>
      </x:c>
      <x:c r="D454" s="17" t="str">
        <x:v>automated_program_repair</x:v>
      </x:c>
      <x:c r="E454" s="27" t="str">
        <x:v>What are the main neural and large-language-model-based approaches to automated program repair, and how do they generate and validate patches?</x:v>
      </x:c>
      <x:c r="F454" s="22" t="n">
        <x:v>13</x:v>
      </x:c>
      <x:c r="G454" s="17" t="str">
        <x:v>arXiv:2105.04123</x:v>
      </x:c>
      <x:c r="H454" s="27" t="str">
        <x:v>Neural Program Repair with Execution-based Backpropagation</x:v>
      </x:c>
      <x:c r="I454" s="17" t="str">
        <x:v>He Ye; Matias Martinez; Martin Monperrus</x:v>
      </x:c>
      <x:c r="J454" s="22" t="n">
        <x:v>2021</x:v>
      </x:c>
      <x:c r="K454" s="27" t="str">
        <x:v>Neural machine translation (NMT) architectures have achieved promising results for automatic program repair. Yet, they have the limitation of generating low-quality patches (e.g., not compilable patches). This is because the existing works only optimize a purely syntactic loss function based on characters and tokens without incorporating program-specific information during neural network weight optimization. In this paper, we propose a novel program repair model called RewardRepair. The core novelty of RewardRepair is to improve NMT-based program repair with a loss function based on program compilation and test execution information, rewarding the network to produce patches that compile and that do not overfit. We conduct several experiments to evaluate RewardRepair showing that it is feasible and effective to use compilation and test execution results to optimize the underlying neural repair model. RewardRepair correctly repairs 207 bugs over four benchmarks. we report on repair success for 121 bugs that are fixed for the first time in the literature. Also, RewardRepair produces up to 45.3% of compilable patches, an improvement over the 39% by the state-of-the-art.</x:v>
      </x:c>
      <x:c r="L454" s="17" t="str">
        <x:v>http://arxiv.org/abs/2105.04123v3</x:v>
      </x:c>
      <x:c r="M454" s="23" t="n">
        <x:v>0.7877693596301232</x:v>
      </x:c>
      <x:c r="N454" s="17" t="str">
        <x:v>qwen3-rerank-no-instruct-20260727-125006-results.jsonl</x:v>
      </x:c>
      <x:c r="O454" s="24" t="str">
        <x:v>2</x:v>
      </x:c>
      <x:c r="P454" s="28" t="str">
        <x:v>《Neural Program Repair with Execution-based Backpropagation》核心提出或分析神经/LLM程序修复的补丁生成与验证方法。</x:v>
      </x:c>
      <x:c r="Q454" s="25" t="str"/>
      <x:c r="R454" s="24" t="str">
        <x:f>IF(Q454&lt;&gt;"",Q454,O454)</x:f>
        <x:v>2</x:v>
      </x:c>
      <x:c r="S454" s="29" t="str"/>
    </x:row>
    <x:row r="455" ht="54" customHeight="1">
      <x:c r="A455" s="17" t="str">
        <x:v>csq023-r14</x:v>
      </x:c>
      <x:c r="B455" s="17" t="str">
        <x:v>csq023</x:v>
      </x:c>
      <x:c r="C455" s="17" t="str">
        <x:v>software_engineering</x:v>
      </x:c>
      <x:c r="D455" s="17" t="str">
        <x:v>automated_program_repair</x:v>
      </x:c>
      <x:c r="E455" s="27" t="str">
        <x:v>What are the main neural and large-language-model-based approaches to automated program repair, and how do they generate and validate patches?</x:v>
      </x:c>
      <x:c r="F455" s="22" t="n">
        <x:v>14</x:v>
      </x:c>
      <x:c r="G455" s="17" t="str">
        <x:v>arXiv:2510.03588</x:v>
      </x:c>
      <x:c r="H455" s="27" t="str">
        <x:v>REFINE: Enhancing Program Repair Agents through Context-Aware Patch Refinement</x:v>
      </x:c>
      <x:c r="I455" s="17" t="str">
        <x:v>Anvith Pabba; Simin Chen; Alex Mathai; Anindya Chakraborty; Baishakhi Ray</x:v>
      </x:c>
      <x:c r="J455" s="22" t="n">
        <x:v>2025</x:v>
      </x:c>
      <x:c r="K455" s="27" t="str">
        <x:v>Large Language Models (LLMs) have recently shown strong potential in automatic program repair (APR), especially in repository-level settings where the goal is to generate patches based on natural language issue descriptions, large codebases, and regression tests. However, despite their promise, current LLM-based APR techniques often struggle to produce correct fixes due to limited understanding of code context and over-reliance on incomplete test suites. As a result, they frequently generate Draft Patches-partially correct patches that either incompletely address the bug or overfit to the test cases. In this work, we propose a novel patch refinement framework, Refine, that systematically transforms Draft Patches into correct ones. Refine addresses three key challenges: disambiguating vague issue and code context, diversifying patch candidates through test-time scaling, and aggregating partial fixes via an LLM-powered code review process. We implement Refine as a general refinement module that can be integrated into both open-agent-based and workflow-based APR systems. Our evaluation on the SWE-Bench Lite benchmark shows that Refine achieves state-of-the-art results among workflow-based approaches and approaches the best-known performance across all APR categories. Specifically, Refine boosts AutoCodeRover's performance by 14.67%, achieving a score of 51.67% and surpassing all prior baselines. On SWE-Bench Verified, Refine improves the resolution rate by 12.2%, and when integrated across multiple APR systems, it yields an average improvement of 14%-demonstrating its broad effectiveness and generalizability. These results highlight the effectiveness of refinement as a missing component in current APR pipelines and the potential of agentic collaboration in closing the gap between near-correct and correct patches. We also open source our code.</x:v>
      </x:c>
      <x:c r="L455" s="17" t="str">
        <x:v>http://arxiv.org/abs/2510.03588v1</x:v>
      </x:c>
      <x:c r="M455" s="23" t="n">
        <x:v>0.7859772746905644</x:v>
      </x:c>
      <x:c r="N455" s="17" t="str">
        <x:v>qwen3-rerank-no-instruct-20260727-125006-results.jsonl</x:v>
      </x:c>
      <x:c r="O455" s="24" t="str">
        <x:v>2</x:v>
      </x:c>
      <x:c r="P455" s="28" t="str">
        <x:v>《REFINE: Enhancing Program Repair Agents through Context-Aware Patch Refinement》核心提出或分析神经/LLM程序修复的补丁生成与验证方法。</x:v>
      </x:c>
      <x:c r="Q455" s="25" t="str"/>
      <x:c r="R455" s="24" t="str">
        <x:f>IF(Q455&lt;&gt;"",Q455,O455)</x:f>
        <x:v>2</x:v>
      </x:c>
      <x:c r="S455" s="29" t="str"/>
    </x:row>
    <x:row r="456" ht="54" customHeight="1">
      <x:c r="A456" s="17" t="str">
        <x:v>csq023-r15</x:v>
      </x:c>
      <x:c r="B456" s="17" t="str">
        <x:v>csq023</x:v>
      </x:c>
      <x:c r="C456" s="17" t="str">
        <x:v>software_engineering</x:v>
      </x:c>
      <x:c r="D456" s="17" t="str">
        <x:v>automated_program_repair</x:v>
      </x:c>
      <x:c r="E456" s="27" t="str">
        <x:v>What are the main neural and large-language-model-based approaches to automated program repair, and how do they generate and validate patches?</x:v>
      </x:c>
      <x:c r="F456" s="22" t="n">
        <x:v>15</x:v>
      </x:c>
      <x:c r="G456" s="17" t="str">
        <x:v>arXiv:2509.16701</x:v>
      </x:c>
      <x:c r="H456" s="27" t="str">
        <x:v>RelRepair: Enhancing Automated Program Repair by Retrieving Relevant Code</x:v>
      </x:c>
      <x:c r="I456" s="17" t="str">
        <x:v>Shunyu Liu; Guangdong Bai; Mark Utting; Guowei Yang</x:v>
      </x:c>
      <x:c r="J456" s="22" t="n">
        <x:v>2025</x:v>
      </x:c>
      <x:c r="K456" s="27" t="str">
        <x:v>Automated Program Repair (APR) has emerged as a promising paradigm for reducing debugging time and improving the overall efficiency of software development. Recent advances in Large Language Models (LLMs) have demonstrated their potential for automated bug fixing and other software engineering tasks. Nevertheless, the general-purpose nature of LLM pre-training means these models often lack the capacity to perform project-specific repairs, which require understanding of domain-specific identifiers, code structures, and contextual relationships within a particular codebase. As a result, LLMs may struggle to generate correct patches when the repair depends on project-specific information. To address this limitation, we introduce RelRepair, a novel approach that retrieves relevant project-specific code to enhance automated program repair. RelRepair first identifies relevant function signatures by analyzing function names and code comments within the project. It then conducts deeper code analysis to retrieve code snippets relevant to the repair context. The retrieved relevant information is then incorporated into the LLM's input prompt, guiding the model to generate more accurate and informed patches. We evaluate RelRepair on two widely studied datasets, Defects4J V1.2 and ManySStuBs4J, and compare its performance against several state-of-the-art LLM-based APR approaches. RelRepair successfully repairs 101 bugs in Defects4J V1.2. Furthermore, RelRepair achieves a 17.1\% improvement in the ManySStuBs4J dataset, increasing the overall fix rate to 48.3\%. These results highlight the importance of providing relevant project-specific information to LLMs, shedding light on effective strategies for leveraging LLMs in APR tasks.</x:v>
      </x:c>
      <x:c r="L456" s="17" t="str">
        <x:v>http://arxiv.org/abs/2509.16701v1</x:v>
      </x:c>
      <x:c r="M456" s="23" t="n">
        <x:v>0.7758642905909282</x:v>
      </x:c>
      <x:c r="N456" s="17" t="str">
        <x:v>qwen3-rerank-no-instruct-20260727-125006-results.jsonl</x:v>
      </x:c>
      <x:c r="O456" s="24" t="str">
        <x:v>2</x:v>
      </x:c>
      <x:c r="P456" s="28" t="str">
        <x:v>《RelRepair: Enhancing Automated Program Repair by Retrieving Relevant Code》核心提出或分析神经/LLM程序修复的补丁生成与验证方法。</x:v>
      </x:c>
      <x:c r="Q456" s="25" t="str"/>
      <x:c r="R456" s="24" t="str">
        <x:f>IF(Q456&lt;&gt;"",Q456,O456)</x:f>
        <x:v>2</x:v>
      </x:c>
      <x:c r="S456" s="29" t="str"/>
    </x:row>
    <x:row r="457" ht="54" customHeight="1">
      <x:c r="A457" s="17" t="str">
        <x:v>csq023-r16</x:v>
      </x:c>
      <x:c r="B457" s="17" t="str">
        <x:v>csq023</x:v>
      </x:c>
      <x:c r="C457" s="17" t="str">
        <x:v>software_engineering</x:v>
      </x:c>
      <x:c r="D457" s="17" t="str">
        <x:v>automated_program_repair</x:v>
      </x:c>
      <x:c r="E457" s="27" t="str">
        <x:v>What are the main neural and large-language-model-based approaches to automated program repair, and how do they generate and validate patches?</x:v>
      </x:c>
      <x:c r="F457" s="22" t="n">
        <x:v>16</x:v>
      </x:c>
      <x:c r="G457" s="17" t="str">
        <x:v>arXiv:2103.00073</x:v>
      </x:c>
      <x:c r="H457" s="27" t="str">
        <x:v>CURE: Code-Aware Neural Machine Translation for Automatic Program Repair</x:v>
      </x:c>
      <x:c r="I457" s="17" t="str">
        <x:v>Nan Jiang; Thibaud Lutellier; Lin Tan</x:v>
      </x:c>
      <x:c r="J457" s="22" t="n">
        <x:v>2021</x:v>
      </x:c>
      <x:c r="K457" s="27" t="str">
        <x:v>Automatic program repair (APR) is crucial to improve software reliability. Recently, neural machine translation (NMT) techniques have been used to fix software bugs automatically. While promising, these approaches have two major limitations. Their search space often does not contain the correct fix, and their search strategy ignores software knowledge such as strict code syntax. Due to these limitations, existing NMT-based techniques underperform the best template-based approaches. We propose CURE, a new NMT-based APR technique with three major novelties. First, CURE pre-trains a programming language (PL) model on a large software codebase to learn developer-like source code before the APR task. Second, CURE designs a new code-aware search strategy that finds more correct fixes by focusing on compilable patches and patches that are close in length to the buggy code. Finally, CURE uses a subword tokenization technique to generate a smaller search space that contains more correct fixes. Our evaluation on two widely-used benchmarks shows that CURE correctly fixes 57 Defects4J bugs and 26 QuixBugs bugs, outperforming all existing APR techniques on both benchmarks.</x:v>
      </x:c>
      <x:c r="L457" s="17" t="str">
        <x:v>http://arxiv.org/abs/2103.00073v4</x:v>
      </x:c>
      <x:c r="M457" s="23" t="n">
        <x:v>0.7719296685750437</x:v>
      </x:c>
      <x:c r="N457" s="17" t="str">
        <x:v>qwen3-rerank-no-instruct-20260727-125006-results.jsonl</x:v>
      </x:c>
      <x:c r="O457" s="24" t="str">
        <x:v>2</x:v>
      </x:c>
      <x:c r="P457" s="28" t="str">
        <x:v>《CURE: Code-Aware Neural Machine Translation for Automatic Program Repair》核心提出或分析神经/LLM程序修复的补丁生成与验证方法。</x:v>
      </x:c>
      <x:c r="Q457" s="25" t="str"/>
      <x:c r="R457" s="24" t="str">
        <x:f>IF(Q457&lt;&gt;"",Q457,O457)</x:f>
        <x:v>2</x:v>
      </x:c>
      <x:c r="S457" s="29" t="str"/>
    </x:row>
    <x:row r="458" ht="54" customHeight="1">
      <x:c r="A458" s="17" t="str">
        <x:v>csq023-r17</x:v>
      </x:c>
      <x:c r="B458" s="17" t="str">
        <x:v>csq023</x:v>
      </x:c>
      <x:c r="C458" s="17" t="str">
        <x:v>software_engineering</x:v>
      </x:c>
      <x:c r="D458" s="17" t="str">
        <x:v>automated_program_repair</x:v>
      </x:c>
      <x:c r="E458" s="27" t="str">
        <x:v>What are the main neural and large-language-model-based approaches to automated program repair, and how do they generate and validate patches?</x:v>
      </x:c>
      <x:c r="F458" s="22" t="n">
        <x:v>17</x:v>
      </x:c>
      <x:c r="G458" s="17" t="str">
        <x:v>arXiv:2506.08311</x:v>
      </x:c>
      <x:c r="H458" s="27" t="str">
        <x:v>Understanding Automated Program Repair Agents Through the Lens of Traceability: An Empirical Study</x:v>
      </x:c>
      <x:c r="I458" s="17" t="str">
        <x:v>Ira Ceka; Hailie Mitchell; Saurabh Pujar; Luca Buratti; Shyam Ramji; Junfeng Yang; Gail Kaiser; Baishakhi Ray</x:v>
      </x:c>
      <x:c r="J458" s="22" t="n">
        <x:v>2025</x:v>
      </x:c>
      <x:c r="K458" s="27" t="str">
        <x:v>Automated Program Repair (APR) agents leverage Large Language Models (LLMs) to autonomously diagnose and fix software bugs through reasoning, planning, and tool use. Despite impressive leaderboard gains on benchmarks such as SWE-bench, little is understood about how these agents take actions, where they fail, and how their behavior compares to that of human developers. This paper presents the first systematic analysis of five state-of-the-art APR agents across 500 real-world repair tasks, tracing their full decision-making pipelines -- from issue description to patch validation. Our study reveals that while agents excel at simple fixes, they struggle with logic-intensive bugs, often producing verbose or overfitted patches that merely satisfy existing tests. We find that test generation and regression test selection remain major bottlenecks, with agents frequently failing to reproduce issues or run relevant regression tests. Moreover, most agents operate with primitive tooling (e.g., bash scripts) and lack access to debuggers or program analyzers, which constrains their reasoning and patch quality. These findings highlight key limitations in current APR systems and motivate a shift-left approach -- emphasizing early, high-quality test generation and validation -- to reduce spurious fixes and improve semantic correctness. We further outline concrete directions for next-generation APR design: (1) richer and more integrated tool ecosystems, (2) diversified agentic architectures that combine complementary strengths, and (3) benchmarks that prioritize semantic repair quality and test generation fidelity over surface-level success metrics.</x:v>
      </x:c>
      <x:c r="L458" s="17" t="str">
        <x:v>http://arxiv.org/abs/2506.08311v2</x:v>
      </x:c>
      <x:c r="M458" s="23" t="n">
        <x:v>0.7718561838852003</x:v>
      </x:c>
      <x:c r="N458" s="17" t="str">
        <x:v>qwen3-rerank-no-instruct-20260727-125006-results.jsonl</x:v>
      </x:c>
      <x:c r="O458" s="24" t="str">
        <x:v>2</x:v>
      </x:c>
      <x:c r="P458" s="28" t="str">
        <x:v>《Understanding Automated Program Repair Agents Through the Lens of Traceability: An Empirical Study》核心提出或分析神经/LLM程序修复的补丁生成与验证方法。</x:v>
      </x:c>
      <x:c r="Q458" s="25" t="str"/>
      <x:c r="R458" s="24" t="str">
        <x:f>IF(Q458&lt;&gt;"",Q458,O458)</x:f>
        <x:v>2</x:v>
      </x:c>
      <x:c r="S458" s="29" t="str"/>
    </x:row>
    <x:row r="459" ht="54" customHeight="1">
      <x:c r="A459" s="17" t="str">
        <x:v>csq023-r18</x:v>
      </x:c>
      <x:c r="B459" s="17" t="str">
        <x:v>csq023</x:v>
      </x:c>
      <x:c r="C459" s="17" t="str">
        <x:v>software_engineering</x:v>
      </x:c>
      <x:c r="D459" s="17" t="str">
        <x:v>automated_program_repair</x:v>
      </x:c>
      <x:c r="E459" s="27" t="str">
        <x:v>What are the main neural and large-language-model-based approaches to automated program repair, and how do they generate and validate patches?</x:v>
      </x:c>
      <x:c r="F459" s="22" t="n">
        <x:v>18</x:v>
      </x:c>
      <x:c r="G459" s="17" t="str">
        <x:v>arXiv:2507.18755</x:v>
      </x:c>
      <x:c r="H459" s="27" t="str">
        <x:v>Agentic Program Repair from Test Failures at Scale: A Neuro-symbolic approach with static analysis and test execution feedback</x:v>
      </x:c>
      <x:c r="I459" s="17" t="str">
        <x:v>Chandra Maddila; Adam Tait; Claire Chang; Daniel Cheng; Nauman Ahmad; Vijayaraghavan Murali; Marshall Roch; Arnaud Avondet; Aaron Meltzer; Victor Montalvao; Michael Hopko; Chris Waterson; Parth Thakkar; Renuka Fernandez; Kristian Kristensen; Sivan Barzily; Sherry Chen; Rui Abreu; Nachiappan Nagappan; Payam Shodjai; Killian Murphy; James Everingham; Aparna Ramani; Peter C. Rigby</x:v>
      </x:c>
      <x:c r="J459" s="22" t="n">
        <x:v>2025</x:v>
      </x:c>
      <x:c r="K459" s="27" t="str">
        <x:v>Aim: With the advent of LLMs, sophisticated agentic program repair has become viable at large organizations with large codebases. In this work, we develop an Engineering Agent that fixes the source code based on test failures at scale across diverse software offerings internally. Method: Using Llama as the base, we employ the ReAct harness to develop an agent. We start with a test failure that was triaged by a rule-based test failure bot. We then set up an agentic harness and allow the agent to reason and run a set of 15 actions from reading a file to generating a patch. We provide feedback to the agent through static analysis and test failures so it can refine its solution. We leverage an LLM-as-a-Judge to ensure that the patch conforms to the standards followed by a human review to land fixes. Benchmark Findings: We curated offline benchmarks for our patch generator, the Engineering Agent loop, and the LLM-as-a-Judge. In offline evaluations we found that a specialized 70B model is highly competitive with the much larger but vanilla Llama-405B. In an ablation study, we found that the ReAct harness (neural model) benefited from the symbolic information from static analysis tools and test execution traces. A model that strikes a balance between the solve rate and error rate vs the cost and latency has a benchmark solve rate of 42.3% using an average 11.8 feedback iterations. Production Findings: In a three month period, 80% of the generated fixes were reviewed, of which 31.5% were landed (25.5% of the total number of generated fixes). Feedback from Engineers: We used open coding to extract qualitative themes from engineers' feedback. We saw positive feedback in the form of quick approvals, gratitude, and surprise. We also found mixed feedback when the Engineering Agent's solution was partially correct and it served as a good starting point.</x:v>
      </x:c>
      <x:c r="L459" s="17" t="str">
        <x:v>http://arxiv.org/abs/2507.18755v1</x:v>
      </x:c>
      <x:c r="M459" s="23" t="n">
        <x:v>0.7663111364434227</x:v>
      </x:c>
      <x:c r="N459" s="17" t="str">
        <x:v>qwen3-rerank-no-instruct-20260727-125006-results.jsonl</x:v>
      </x:c>
      <x:c r="O459" s="24" t="str">
        <x:v>2</x:v>
      </x:c>
      <x:c r="P459" s="28" t="str">
        <x:v>《Agentic Program Repair from Test Failures at Scale: A Neuro-symbolic approach with static analysis and test execution feedback》核心提出或分析神经/LLM程序修复的补丁生成与验证方法。</x:v>
      </x:c>
      <x:c r="Q459" s="25" t="str"/>
      <x:c r="R459" s="24" t="str">
        <x:f>IF(Q459&lt;&gt;"",Q459,O459)</x:f>
        <x:v>2</x:v>
      </x:c>
      <x:c r="S459" s="29" t="str"/>
    </x:row>
    <x:row r="460" ht="54" customHeight="1">
      <x:c r="A460" s="17" t="str">
        <x:v>csq023-r19</x:v>
      </x:c>
      <x:c r="B460" s="17" t="str">
        <x:v>csq023</x:v>
      </x:c>
      <x:c r="C460" s="17" t="str">
        <x:v>software_engineering</x:v>
      </x:c>
      <x:c r="D460" s="17" t="str">
        <x:v>automated_program_repair</x:v>
      </x:c>
      <x:c r="E460" s="27" t="str">
        <x:v>What are the main neural and large-language-model-based approaches to automated program repair, and how do they generate and validate patches?</x:v>
      </x:c>
      <x:c r="F460" s="22" t="n">
        <x:v>19</x:v>
      </x:c>
      <x:c r="G460" s="17" t="str">
        <x:v>arXiv:2303.18184</x:v>
      </x:c>
      <x:c r="H460" s="27" t="str">
        <x:v>A Survey on Automated Program Repair Techniques</x:v>
      </x:c>
      <x:c r="I460" s="17" t="str">
        <x:v>Kai Huang; Zhengzi Xu; Su Yang; Hongyu Sun; Xuejun Li; Zheng Yan; Yuqing Zhang</x:v>
      </x:c>
      <x:c r="J460" s="22" t="n">
        <x:v>2023</x:v>
      </x:c>
      <x:c r="K460" s="27" t="str">
        <x:v>With the rapid development and large-scale popularity of program software, modern society increasingly relies on software systems. However, the problems exposed by software have also come to the fore. Software defect has become an important factor troubling developers. In this context, Automated Program Repair (APR) techniques have emerged, aiming to automatically fix software defect problems and reduce manual debugging work. In particular, benefiting from the advances in deep learning, numerous learning-based APR techniques have emerged in recent years, which also bring new opportunities for APR research. To give researchers a quick overview of APR techniques' complete development and future opportunities, we revisit the evolution of APR techniques and discuss in depth the latest advances in APR research. In this paper, the development of APR techniques is introduced in terms of four different patch generation schemes: search-based, constraint-based, template-based, and learning-based. Moreover, we propose a uniform set of criteria to review and compare each APR tool, summarize the advantages and disadvantages of APR techniques, and discuss the current state of APR development. Furthermore, we introduce the research on the related technical areas of APR that have also provided a strong motivation to advance APR development. Finally, we analyze current challenges and future directions, especially highlighting the critical opportunities that large language models bring to APR research.</x:v>
      </x:c>
      <x:c r="L460" s="17" t="str">
        <x:v>http://arxiv.org/abs/2303.18184v3</x:v>
      </x:c>
      <x:c r="M460" s="23" t="n">
        <x:v>0.727500291994657</x:v>
      </x:c>
      <x:c r="N460" s="17" t="str">
        <x:v>qwen3-rerank-no-instruct-20260727-125006-results.jsonl</x:v>
      </x:c>
      <x:c r="O460" s="24" t="str">
        <x:v>2</x:v>
      </x:c>
      <x:c r="P460" s="28" t="str">
        <x:v>《A Survey on Automated Program Repair Techniques》核心提出或分析神经/LLM程序修复的补丁生成与验证方法。</x:v>
      </x:c>
      <x:c r="Q460" s="25" t="str"/>
      <x:c r="R460" s="24" t="str">
        <x:f>IF(Q460&lt;&gt;"",Q460,O460)</x:f>
        <x:v>2</x:v>
      </x:c>
      <x:c r="S460" s="29" t="str"/>
    </x:row>
    <x:row r="461" ht="54" customHeight="1">
      <x:c r="A461" s="17" t="str">
        <x:v>csq023-r20</x:v>
      </x:c>
      <x:c r="B461" s="17" t="str">
        <x:v>csq023</x:v>
      </x:c>
      <x:c r="C461" s="17" t="str">
        <x:v>software_engineering</x:v>
      </x:c>
      <x:c r="D461" s="17" t="str">
        <x:v>automated_program_repair</x:v>
      </x:c>
      <x:c r="E461" s="27" t="str">
        <x:v>What are the main neural and large-language-model-based approaches to automated program repair, and how do they generate and validate patches?</x:v>
      </x:c>
      <x:c r="F461" s="22" t="n">
        <x:v>20</x:v>
      </x:c>
      <x:c r="G461" s="17" t="str">
        <x:v>arXiv:2404.15236</x:v>
      </x:c>
      <x:c r="H461" s="27" t="str">
        <x:v>Revisiting Unnaturalness for Automated Program Repair in the Era of Large Language Models</x:v>
      </x:c>
      <x:c r="I461" s="17" t="str">
        <x:v>Aidan Z. H. Yang; Sophia Kolak; Vincent J. Hellendoorn; Ruben Martins; Claire Le Goues</x:v>
      </x:c>
      <x:c r="J461" s="22" t="n">
        <x:v>2024</x:v>
      </x:c>
      <x:c r="K461" s="27" t="str">
        <x:v>Language models have improved by orders of magnitude with the recent emergence of Transformer-based Large Language Models (LLMs). LLMs have demonstrated their ability to generate natural code that is highly similar to code written by professional developers. One intermediate value an LLM can emit is entropy, which measures the naturalness of a token of code. We hypothesize that entropy can be used to improve the performance of Automated Program Repair (APR) tasks. While much progress has been made in Automated Program Repair (APR), fault localization techniques suffer from a lack of diversity in ranking scores, patch generation tools tend to be inefficient as all tests need to run before determining if a patch is likely to be correct, and patch ranking often suffers from the test-suite over-fitting problem. However, using an LLM directly for APR introduces concerns for training data leakage. In this work, we introduce a novel way of using the entropy of LLMs in combination with prior APR tools to improve all stages of APR. We show that entropy is highly complementary with prior fault localization tools. Our proposed re-ranking method achieves a 50% Top-5 score improvement over SBFL. We propose a patch-naturalness measurement, entropy-delta, to improve the efficiency of template-based repair techniques by ranking plausible patches before undergoing testing. When using entropy-delta for patch ranking and classification, our proposed method can rank correct patches more effectively than state-of-the-art machine learning tools with an 49% improvement in Top-1. Our work suggests that LLMs can be an effective addition to compliment prior APR tasks while minimizing both the test-suite overfitting problem and the LLM data leakage problem.</x:v>
      </x:c>
      <x:c r="L461" s="17" t="str">
        <x:v>http://arxiv.org/abs/2404.15236v1</x:v>
      </x:c>
      <x:c r="M461" s="23" t="n">
        <x:v>0.7137226772564261</x:v>
      </x:c>
      <x:c r="N461" s="17" t="str">
        <x:v>qwen3-rerank-no-instruct-20260727-125006-results.jsonl</x:v>
      </x:c>
      <x:c r="O461" s="24" t="str">
        <x:v>2</x:v>
      </x:c>
      <x:c r="P461" s="28" t="str">
        <x:v>《Revisiting Unnaturalness for Automated Program Repair in the Era of Large Language Models》核心提出或分析神经/LLM程序修复的补丁生成与验证方法。</x:v>
      </x:c>
      <x:c r="Q461" s="25" t="str"/>
      <x:c r="R461" s="24" t="str">
        <x:f>IF(Q461&lt;&gt;"",Q461,O461)</x:f>
        <x:v>2</x:v>
      </x:c>
      <x:c r="S461" s="29" t="str"/>
    </x:row>
    <x:row r="462" ht="54" customHeight="1">
      <x:c r="A462" s="17" t="str">
        <x:v>csq024-r01</x:v>
      </x:c>
      <x:c r="B462" s="17" t="str">
        <x:v>csq024</x:v>
      </x:c>
      <x:c r="C462" s="17" t="str">
        <x:v>software_engineering</x:v>
      </x:c>
      <x:c r="D462" s="17" t="str">
        <x:v>code_generation</x:v>
      </x:c>
      <x:c r="E462" s="27" t="str">
        <x:v>How do execution-based, test-based, and model-based evaluation approaches for code generation compare?</x:v>
      </x:c>
      <x:c r="F462" s="22" t="n">
        <x:v>1</x:v>
      </x:c>
      <x:c r="G462" s="17" t="str">
        <x:v>arXiv:2211.09374</x:v>
      </x:c>
      <x:c r="H462" s="27" t="str">
        <x:v>Execution-based Evaluation for Data Science Code Generation Models</x:v>
      </x:c>
      <x:c r="I462" s="17" t="str">
        <x:v>Junjie Huang; Chenglong Wang; Jipeng Zhang; Cong Yan; Haotian Cui; Jeevana Priya Inala; Colin Clement; Nan Duan; Jianfeng Gao</x:v>
      </x:c>
      <x:c r="J462" s="22" t="n">
        <x:v>2022</x:v>
      </x:c>
      <x:c r="K462" s="27" t="str">
        <x:v>Code generation models can benefit data scientists' productivity by automatically generating code from context and text descriptions. An important measure of the modeling progress is whether a model can generate code that can correctly execute to solve the task. However, due to the lack of an evaluation dataset that directly supports execution-based model evaluation, existing work relies on code surface form similarity metrics (e.g., BLEU, CodeBLEU) for model selection, which can be inaccurate. To remedy this, we introduce ExeDS, an evaluation dataset for execution evaluation for data science code generation tasks. ExeDS contains a set of 534 problems from Jupyter Notebooks, each consisting of code context, task description, reference program, and the desired execution output. With ExeDS, we evaluate the execution performance of five state-of-the-art code generation models that have achieved high surface-form evaluation scores. Our experiments show that models with high surface-form scores do not necessarily perform well on execution metrics, and execution-based metrics can better capture model code generation errors. Source code and data can be found at https://github.com/Jun-jie-Huang/ExeDS</x:v>
      </x:c>
      <x:c r="L462" s="17" t="str">
        <x:v>http://arxiv.org/abs/2211.09374v1</x:v>
      </x:c>
      <x:c r="M462" s="23" t="n">
        <x:v>0.8978403435153377</x:v>
      </x:c>
      <x:c r="N462" s="17" t="str">
        <x:v>qwen3-rerank-no-instruct-20260727-125006-results.jsonl</x:v>
      </x:c>
      <x:c r="O462" s="24" t="str">
        <x:v>2</x:v>
      </x:c>
      <x:c r="P462" s="28" t="str">
        <x:v>《Execution-based Evaluation for Data Science Code Generation Models》核心研究代码生成的执行式、测试式或模型式评价方法与指标。</x:v>
      </x:c>
      <x:c r="Q462" s="25" t="str"/>
      <x:c r="R462" s="24" t="str">
        <x:f>IF(Q462&lt;&gt;"",Q462,O462)</x:f>
        <x:v>2</x:v>
      </x:c>
      <x:c r="S462" s="29" t="str"/>
    </x:row>
    <x:row r="463" ht="54" customHeight="1">
      <x:c r="A463" s="17" t="str">
        <x:v>csq024-r02</x:v>
      </x:c>
      <x:c r="B463" s="17" t="str">
        <x:v>csq024</x:v>
      </x:c>
      <x:c r="C463" s="17" t="str">
        <x:v>software_engineering</x:v>
      </x:c>
      <x:c r="D463" s="17" t="str">
        <x:v>code_generation</x:v>
      </x:c>
      <x:c r="E463" s="27" t="str">
        <x:v>How do execution-based, test-based, and model-based evaluation approaches for code generation compare?</x:v>
      </x:c>
      <x:c r="F463" s="22" t="n">
        <x:v>2</x:v>
      </x:c>
      <x:c r="G463" s="17" t="str">
        <x:v>arXiv:2408.13745</x:v>
      </x:c>
      <x:c r="H463" s="27" t="str">
        <x:v>DOCE: Finding the Sweet Spot for Execution-Based Code Generation</x:v>
      </x:c>
      <x:c r="I463" s="17" t="str">
        <x:v>Haau-Sing Li; Patrick Fernandes; Iryna Gurevych; André F. T. Martins</x:v>
      </x:c>
      <x:c r="J463" s="22" t="n">
        <x:v>2024</x:v>
      </x:c>
      <x:c r="K463" s="27" t="str">
        <x:v>Recently, a diverse set of decoding and reranking procedures have been shown effective for LLM-based code generation. However, a comprehensive framework that links and experimentally compares these methods is missing. We address this by proposing Decoding Objectives for Code Execution, a comprehensive framework that includes candidate generation, $n$-best reranking, minimum Bayes risk (MBR) decoding, and self-debugging as the core components. We then study the contributions of these components through execution-based evaluation metrics. Our findings highlight the importance of execution-based methods and the difference gap between execution-based and execution-free methods. Furthermore, we assess the impact of filtering based on trial unit tests, a simple and effective strategy that has been often overlooked in prior works. We also propose self-debugging on multiple candidates, obtaining state-of-the-art performance on reranking for code generation. We expect our framework to provide a solid guideline for future research on code generation.</x:v>
      </x:c>
      <x:c r="L463" s="17" t="str">
        <x:v>http://arxiv.org/abs/2408.13745v4</x:v>
      </x:c>
      <x:c r="M463" s="23" t="n">
        <x:v>0.8443214647766746</x:v>
      </x:c>
      <x:c r="N463" s="17" t="str">
        <x:v>qwen3-rerank-no-instruct-20260727-125006-results.jsonl</x:v>
      </x:c>
      <x:c r="O463" s="24" t="str">
        <x:v>2</x:v>
      </x:c>
      <x:c r="P463" s="28" t="str">
        <x:v>《DOCE: Finding the Sweet Spot for Execution-Based Code Generation》核心研究代码生成的执行式、测试式或模型式评价方法与指标。</x:v>
      </x:c>
      <x:c r="Q463" s="25" t="str"/>
      <x:c r="R463" s="24" t="str">
        <x:f>IF(Q463&lt;&gt;"",Q463,O463)</x:f>
        <x:v>2</x:v>
      </x:c>
      <x:c r="S463" s="29" t="str"/>
    </x:row>
    <x:row r="464" ht="54" customHeight="1">
      <x:c r="A464" s="17" t="str">
        <x:v>csq024-r03</x:v>
      </x:c>
      <x:c r="B464" s="17" t="str">
        <x:v>csq024</x:v>
      </x:c>
      <x:c r="C464" s="17" t="str">
        <x:v>software_engineering</x:v>
      </x:c>
      <x:c r="D464" s="17" t="str">
        <x:v>code_generation</x:v>
      </x:c>
      <x:c r="E464" s="27" t="str">
        <x:v>How do execution-based, test-based, and model-based evaluation approaches for code generation compare?</x:v>
      </x:c>
      <x:c r="F464" s="22" t="n">
        <x:v>3</x:v>
      </x:c>
      <x:c r="G464" s="17" t="str">
        <x:v>arXiv:2404.00566</x:v>
      </x:c>
      <x:c r="H464" s="27" t="str">
        <x:v>CodeBenchGen: Creating Scalable Execution-based Code Generation Benchmarks</x:v>
      </x:c>
      <x:c r="I464" s="17" t="str">
        <x:v>Yiqing Xie; Alex Xie; Divyanshu Sheth; Pengfei Liu; Daniel Fried; Carolyn Rose</x:v>
      </x:c>
      <x:c r="J464" s="22" t="n">
        <x:v>2024</x:v>
      </x:c>
      <x:c r="K464" s="27" t="str">
        <x:v>To adequately test modern code generation systems, evaluation benchmarks must execute and test the code generated by the system. However, these execution and testing requirements have largely limited benchmarks to settings where code is easily executable or has human-written tests. To facilitate evaluation of code generation systems across diverse scenarios, we present CodeBenchGen, a framework to create scalable execution-based benchmarks from naturally occurring code sources. Specifically, we leverage a large language model (LLM) to sandbox arbitrary pieces of code into evaluation examples, including test cases for execution-based evaluation. We illustrate the usefulness of our framework by creating a dataset, Exec-CSN, which includes 1,931 examples involving 293 libraries converted from code in 367 GitHub repositories taken from the Code- SearchNet dataset. To demonstrate the solvability of examples in Exec-CSN, we present a human study demonstrating that 81.3% of the examples can be solved by humans and 61% are rated as "requires effort to solve". We conduct code generation experiments on open-source and proprietary models and analyze the performance of both humans and models. We provide code and data at: https://github.com/yiqingxyq/CodeBenchGen.</x:v>
      </x:c>
      <x:c r="L464" s="17" t="str">
        <x:v>http://arxiv.org/abs/2404.00566v4</x:v>
      </x:c>
      <x:c r="M464" s="23" t="n">
        <x:v>0.809888830834195</x:v>
      </x:c>
      <x:c r="N464" s="17" t="str">
        <x:v>qwen3-rerank-no-instruct-20260727-125006-results.jsonl</x:v>
      </x:c>
      <x:c r="O464" s="24" t="str">
        <x:v>2</x:v>
      </x:c>
      <x:c r="P464" s="28" t="str">
        <x:v>《CodeBenchGen: Creating Scalable Execution-based Code Generation Benchmarks》核心研究代码生成的执行式、测试式或模型式评价方法与指标。</x:v>
      </x:c>
      <x:c r="Q464" s="25" t="str"/>
      <x:c r="R464" s="24" t="str">
        <x:f>IF(Q464&lt;&gt;"",Q464,O464)</x:f>
        <x:v>2</x:v>
      </x:c>
      <x:c r="S464" s="29" t="str"/>
    </x:row>
    <x:row r="465" ht="54" customHeight="1">
      <x:c r="A465" s="17" t="str">
        <x:v>csq024-r04</x:v>
      </x:c>
      <x:c r="B465" s="17" t="str">
        <x:v>csq024</x:v>
      </x:c>
      <x:c r="C465" s="17" t="str">
        <x:v>software_engineering</x:v>
      </x:c>
      <x:c r="D465" s="17" t="str">
        <x:v>code_generation</x:v>
      </x:c>
      <x:c r="E465" s="27" t="str">
        <x:v>How do execution-based, test-based, and model-based evaluation approaches for code generation compare?</x:v>
      </x:c>
      <x:c r="F465" s="22" t="n">
        <x:v>4</x:v>
      </x:c>
      <x:c r="G465" s="17" t="str">
        <x:v>arXiv:2212.10481</x:v>
      </x:c>
      <x:c r="H465" s="27" t="str">
        <x:v>Execution-Based Evaluation for Open-Domain Code Generation</x:v>
      </x:c>
      <x:c r="I465" s="17" t="str">
        <x:v>Zhiruo Wang; Shuyan Zhou; Daniel Fried; Graham Neubig</x:v>
      </x:c>
      <x:c r="J465" s="22" t="n">
        <x:v>2022</x:v>
      </x:c>
      <x:c r="K465" s="27" t="str">
        <x:v>To extend the scope of coding queries to more realistic settings, we propose ODEX, the first Open-Domain EXecution-based natural language (NL) to Python code generation dataset. ODEX has 945 NL-Code pairs spanning 79 diverse libraries, along with 1,707 human-written test cases for execution. Our NL-Code pairs are harvested from StackOverflow forums to encourage natural and practical coding queries. Moreover, ODEX supports four natural languages as intents, in English, Spanish, Japanese, and Russian. ODEX unveils intriguing behavioral differences among top-performing code language models (LM). While CODEX achieves better overall results, CODEGEN improves effectively via scaling -- CODEGEN 6.1B performs comparably with CODEX 12B. Both models show substantial gaps between open and closed domains, but CODEGEN gaps tend to decrease with model size while CODEX gaps increase. We release ODEX to facilitate research into open-domain problems for the code generation community.</x:v>
      </x:c>
      <x:c r="L465" s="17" t="str">
        <x:v>http://arxiv.org/abs/2212.10481v2</x:v>
      </x:c>
      <x:c r="M465" s="23" t="n">
        <x:v>0.788664469695386</x:v>
      </x:c>
      <x:c r="N465" s="17" t="str">
        <x:v>qwen3-rerank-no-instruct-20260727-125006-results.jsonl</x:v>
      </x:c>
      <x:c r="O465" s="24" t="str">
        <x:v>2</x:v>
      </x:c>
      <x:c r="P465" s="28" t="str">
        <x:v>《Execution-Based Evaluation for Open-Domain Code Generation》核心研究代码生成的执行式、测试式或模型式评价方法与指标。</x:v>
      </x:c>
      <x:c r="Q465" s="25" t="str"/>
      <x:c r="R465" s="24" t="str">
        <x:f>IF(Q465&lt;&gt;"",Q465,O465)</x:f>
        <x:v>2</x:v>
      </x:c>
      <x:c r="S465" s="29" t="str"/>
    </x:row>
    <x:row r="466" ht="54" customHeight="1">
      <x:c r="A466" s="17" t="str">
        <x:v>csq024-r05</x:v>
      </x:c>
      <x:c r="B466" s="17" t="str">
        <x:v>csq024</x:v>
      </x:c>
      <x:c r="C466" s="17" t="str">
        <x:v>software_engineering</x:v>
      </x:c>
      <x:c r="D466" s="17" t="str">
        <x:v>code_generation</x:v>
      </x:c>
      <x:c r="E466" s="27" t="str">
        <x:v>How do execution-based, test-based, and model-based evaluation approaches for code generation compare?</x:v>
      </x:c>
      <x:c r="F466" s="22" t="n">
        <x:v>5</x:v>
      </x:c>
      <x:c r="G466" s="17" t="str">
        <x:v>arXiv:2206.01335</x:v>
      </x:c>
      <x:c r="H466" s="27" t="str">
        <x:v>Code Generation Tools (Almost) for Free? A Study of Few-Shot, Pre-Trained Language Models on Code</x:v>
      </x:c>
      <x:c r="I466" s="17" t="str">
        <x:v>Patrick Bareiß; Beatriz Souza; Marcelo d'Amorim; Michael Pradel</x:v>
      </x:c>
      <x:c r="J466" s="22" t="n">
        <x:v>2022</x:v>
      </x:c>
      <x:c r="K466" s="27" t="str">
        <x:v>Few-shot learning with large-scale, pre-trained language models is a powerful way to answer questions about code, e.g., how to complete a given code example, or even generate code snippets from scratch. The success of these models raises the question whether they could serve as a basis for building a wide range code generation tools. Traditionally, such tools are built manually and separately for each task. Instead, few-shot learning may allow to obtain different tools from a single pre-trained language model by simply providing a few examples or a natural language description of the expected tool behavior. This paper studies to what extent a state-of-the-art, pre-trained language model of code, Codex, may serve this purpose. We consider three code manipulation and code generation tasks targeted by a range of traditional tools: (i) code mutation; (ii) test oracle generation from natural language documentation; and (iii) test case generation. For each task, we compare few-shot learning to a manually built tool. Our results show that the model-based tools complement (code mutation), are on par (test oracle generation), or even outperform their respective traditionally built tool (test case generation), while imposing far less effort to develop them. By comparing the effectiveness of different variants of the model-based tools, we provide insights on how to design an appropriate input ("prompt") to the model and what influence the size of the model has. For example, we find that providing a small natural language description of the code generation task is an easy way to improve predictions. Overall, we conclude that few-shot language models are surprisingly effective, yet there is still more work to be done, such as exploring more diverse ways of prompting and tackling even more involved tasks.</x:v>
      </x:c>
      <x:c r="L466" s="17" t="str">
        <x:v>http://arxiv.org/abs/2206.01335v2</x:v>
      </x:c>
      <x:c r="M466" s="23" t="n">
        <x:v>0.749790291373952</x:v>
      </x:c>
      <x:c r="N466" s="17" t="str">
        <x:v>qwen3-rerank-no-instruct-20260727-125006-results.jsonl</x:v>
      </x:c>
      <x:c r="O466" s="24" t="str">
        <x:v>0</x:v>
      </x:c>
      <x:c r="P466" s="28" t="str">
        <x:v>《Code Generation Tools (Almost) for Free? A Study of Few-Shot, Pre-Trained Language Models on Code》研究目标不是代码生成评价方法，无法回答三类评价比较。</x:v>
      </x:c>
      <x:c r="Q466" s="25" t="str"/>
      <x:c r="R466" s="24" t="str">
        <x:f>IF(Q466&lt;&gt;"",Q466,O466)</x:f>
        <x:v>0</x:v>
      </x:c>
      <x:c r="S466" s="29" t="str"/>
    </x:row>
    <x:row r="467" ht="54" customHeight="1">
      <x:c r="A467" s="17" t="str">
        <x:v>csq024-r06</x:v>
      </x:c>
      <x:c r="B467" s="17" t="str">
        <x:v>csq024</x:v>
      </x:c>
      <x:c r="C467" s="17" t="str">
        <x:v>software_engineering</x:v>
      </x:c>
      <x:c r="D467" s="17" t="str">
        <x:v>code_generation</x:v>
      </x:c>
      <x:c r="E467" s="27" t="str">
        <x:v>How do execution-based, test-based, and model-based evaluation approaches for code generation compare?</x:v>
      </x:c>
      <x:c r="F467" s="22" t="n">
        <x:v>6</x:v>
      </x:c>
      <x:c r="G467" s="17" t="str">
        <x:v>arXiv:2301.09043</x:v>
      </x:c>
      <x:c r="H467" s="27" t="str">
        <x:v>CodeScore: Evaluating Code Generation by Learning Code Execution</x:v>
      </x:c>
      <x:c r="I467" s="17" t="str">
        <x:v>Yihong Dong; Jiazheng Ding; Xue Jiang; Ge Li; Zhuo Li; Zhi Jin</x:v>
      </x:c>
      <x:c r="J467" s="22" t="n">
        <x:v>2023</x:v>
      </x:c>
      <x:c r="K467" s="27" t="str">
        <x:v>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 are predominantly designed for the Ref-only input format. However, code evaluation necessitates versatility in input formats. Aside from Ref-only, there are NL-only and Ref\&amp;NL formats, which existing match-based CEMs cannot effectively accommodate. In this paper, we propose CodeScore, a large language model (LLM)-based CEM, which estimates the functional correctness of generated code on three input types. To acquire CodeScore, we present UniCE, a unified code generation learning framework, for LLMs to learn code execution (i.e., learning PassRatio and Executability of generated code) with unified input. Extensive experimental results on multiple code evaluation datasets demonstrate that CodeScore absolutely improves up to 58.87% correlation with functional correctness compared to other CEMs, achieves state-of-the-art performance, and effectively handles three input formats.</x:v>
      </x:c>
      <x:c r="L467" s="17" t="str">
        <x:v>http://arxiv.org/abs/2301.09043v4</x:v>
      </x:c>
      <x:c r="M467" s="23" t="n">
        <x:v>0.735600569123579</x:v>
      </x:c>
      <x:c r="N467" s="17" t="str">
        <x:v>qwen3-rerank-no-instruct-20260727-125006-results.jsonl</x:v>
      </x:c>
      <x:c r="O467" s="24" t="str">
        <x:v>2</x:v>
      </x:c>
      <x:c r="P467" s="28" t="str">
        <x:v>《CodeScore: Evaluating Code Generation by Learning Code Execution》核心研究代码生成的执行式、测试式或模型式评价方法与指标。</x:v>
      </x:c>
      <x:c r="Q467" s="25" t="str"/>
      <x:c r="R467" s="24" t="str">
        <x:f>IF(Q467&lt;&gt;"",Q467,O467)</x:f>
        <x:v>2</x:v>
      </x:c>
      <x:c r="S467" s="29" t="str"/>
    </x:row>
    <x:row r="468" ht="54" customHeight="1">
      <x:c r="A468" s="17" t="str">
        <x:v>csq024-r07</x:v>
      </x:c>
      <x:c r="B468" s="17" t="str">
        <x:v>csq024</x:v>
      </x:c>
      <x:c r="C468" s="17" t="str">
        <x:v>software_engineering</x:v>
      </x:c>
      <x:c r="D468" s="17" t="str">
        <x:v>code_generation</x:v>
      </x:c>
      <x:c r="E468" s="27" t="str">
        <x:v>How do execution-based, test-based, and model-based evaluation approaches for code generation compare?</x:v>
      </x:c>
      <x:c r="F468" s="22" t="n">
        <x:v>7</x:v>
      </x:c>
      <x:c r="G468" s="17" t="str">
        <x:v>arXiv:2506.10948</x:v>
      </x:c>
      <x:c r="H468" s="27" t="str">
        <x:v>Execution Guided Line-by-Line Code Generation</x:v>
      </x:c>
      <x:c r="I468" s="17" t="str">
        <x:v>Boaz Lavon; Shahar Katz; Lior Wolf</x:v>
      </x:c>
      <x:c r="J468" s="22" t="n">
        <x:v>2025</x:v>
      </x:c>
      <x:c r="K468" s="27" t="str">
        <x:v>We present a novel approach to neural code generation that incorporates real-time execution signals into the language model generation process. While large language models (LLMs) have demonstrated impressive code generation capabilities, they typically do not utilize execution feedback during inference, a critical signal that human programmers regularly leverage. Our method, Execution-Guided Classifier-Free Guidance (EG-CFG), dynamically incorporates execution signals as the model generates code, providing line-by-line feedback that guides the generation process toward executable solutions. EG-CFG employs a multi-stage process: first, we conduct beam search to sample candidate program completions for each line; second, we extract execution signals by executing these candidates against test cases; and finally, we incorporate these signals into the prompt during generation. By maintaining consistent signals across tokens within the same line and refreshing signals at line boundaries, our approach provides coherent guidance while preserving syntactic structure. Moreover, the method naturally supports native parallelism at the task level in which multiple agents operate in parallel, exploring diverse reasoning paths and collectively generating a broad set of candidate solutions. Our experiments across diverse coding tasks demonstrate that EG-CFG significantly improves code generation performance compared to standard approaches, achieving state-of-the-art results across various levels of complexity, from foundational problems to challenging competitive programming and data science tasks. Our code is available at: https://github.com/boazlavon/eg_cfg</x:v>
      </x:c>
      <x:c r="L468" s="17" t="str">
        <x:v>http://arxiv.org/abs/2506.10948v2</x:v>
      </x:c>
      <x:c r="M468" s="23" t="n">
        <x:v>0.6369913255990225</x:v>
      </x:c>
      <x:c r="N468" s="17" t="str">
        <x:v>qwen3-rerank-no-instruct-20260727-125006-results.jsonl</x:v>
      </x:c>
      <x:c r="O468" s="24" t="str">
        <x:v>1</x:v>
      </x:c>
      <x:c r="P468" s="28" t="str">
        <x:v>《Execution Guided Line-by-Line Code Generation》涉及执行/测试反馈或代码生成，但主要优化生成过程，未直接比较评价路线。</x:v>
      </x:c>
      <x:c r="Q468" s="25" t="str"/>
      <x:c r="R468" s="24" t="str">
        <x:f>IF(Q468&lt;&gt;"",Q468,O468)</x:f>
        <x:v>1</x:v>
      </x:c>
      <x:c r="S468" s="29" t="str"/>
    </x:row>
    <x:row r="469" ht="54" customHeight="1">
      <x:c r="A469" s="17" t="str">
        <x:v>csq024-r08</x:v>
      </x:c>
      <x:c r="B469" s="17" t="str">
        <x:v>csq024</x:v>
      </x:c>
      <x:c r="C469" s="17" t="str">
        <x:v>software_engineering</x:v>
      </x:c>
      <x:c r="D469" s="17" t="str">
        <x:v>code_generation</x:v>
      </x:c>
      <x:c r="E469" s="27" t="str">
        <x:v>How do execution-based, test-based, and model-based evaluation approaches for code generation compare?</x:v>
      </x:c>
      <x:c r="F469" s="22" t="n">
        <x:v>8</x:v>
      </x:c>
      <x:c r="G469" s="17" t="str">
        <x:v>arXiv:2502.02827</x:v>
      </x:c>
      <x:c r="H469" s="27" t="str">
        <x:v>COFFE: A Code Efficiency Benchmark for Code Generation</x:v>
      </x:c>
      <x:c r="I469" s="17" t="str">
        <x:v>Yun Peng; Jun Wan; Yichen Li; Xiaoxue Ren</x:v>
      </x:c>
      <x:c r="J469" s="22" t="n">
        <x:v>2025</x:v>
      </x:c>
      <x:c r="K469" s="27" t="str">
        <x:v>Code generation has largely improved development efficiency in the era of large language models (LLMs). With the ability to follow instructions, current LLMs can be prompted to generate code solutions given detailed descriptions in natural language. Many research efforts are being devoted to improving the correctness of LLM-generated code, and many benchmarks are proposed to evaluate the correctness comprehensively.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of code generation, we propose COFFE, a code generation benchmark for evaluating the time efficiency of LLM-generated code solutions. COFFE contains 398 and 358 problems for function-level and file-level code generation, respectively. To improve the distinguishability, we design a novel stressful test case generation approach with contracts and two new formats of test cases to improve the accuracy of generation. For the time evaluation metric, we propose efficienct@k based on CPU instruction count to ensure a stable and solid comparison between different solutions. We evaluate 14 popular LLMs on COFFE and identify four findings. Based on the findings, we draw some implications for LLM researchers and software practitioners to facilitate future research and usage of LLMs in code generation.</x:v>
      </x:c>
      <x:c r="L469" s="17" t="str">
        <x:v>http://arxiv.org/abs/2502.02827v1</x:v>
      </x:c>
      <x:c r="M469" s="23" t="n">
        <x:v>0.6243412037400289</x:v>
      </x:c>
      <x:c r="N469" s="17" t="str">
        <x:v>qwen3-rerank-no-instruct-20260727-125006-results.jsonl</x:v>
      </x:c>
      <x:c r="O469" s="24" t="str">
        <x:v>2</x:v>
      </x:c>
      <x:c r="P469" s="28" t="str">
        <x:v>《COFFE: A Code Efficiency Benchmark for Code Generation》核心研究代码生成的执行式、测试式或模型式评价方法与指标。</x:v>
      </x:c>
      <x:c r="Q469" s="25" t="str"/>
      <x:c r="R469" s="24" t="str">
        <x:f>IF(Q469&lt;&gt;"",Q469,O469)</x:f>
        <x:v>2</x:v>
      </x:c>
      <x:c r="S469" s="29" t="str"/>
    </x:row>
    <x:row r="470" ht="54" customHeight="1">
      <x:c r="A470" s="17" t="str">
        <x:v>csq024-r09</x:v>
      </x:c>
      <x:c r="B470" s="17" t="str">
        <x:v>csq024</x:v>
      </x:c>
      <x:c r="C470" s="17" t="str">
        <x:v>software_engineering</x:v>
      </x:c>
      <x:c r="D470" s="17" t="str">
        <x:v>code_generation</x:v>
      </x:c>
      <x:c r="E470" s="27" t="str">
        <x:v>How do execution-based, test-based, and model-based evaluation approaches for code generation compare?</x:v>
      </x:c>
      <x:c r="F470" s="22" t="n">
        <x:v>9</x:v>
      </x:c>
      <x:c r="G470" s="17" t="str">
        <x:v>arXiv:2302.08468</x:v>
      </x:c>
      <x:c r="H470" s="27" t="str">
        <x:v>LEVER: Learning to Verify Language-to-Code Generation with Execution</x:v>
      </x:c>
      <x:c r="I470" s="17" t="str">
        <x:v>Ansong Ni; Srini Iyer; Dragomir Radev; Ves Stoyanov; Wen-tau Yih; Sida I. Wang; Xi Victoria Lin</x:v>
      </x:c>
      <x:c r="J470" s="22" t="n">
        <x:v>2023</x:v>
      </x:c>
      <x:c r="K470" s="27" t="str">
        <x:v>The advent of large language models trained on code (code LLMs) has led to significant progress in language-to-code generation. State-of-the-art approaches in this area combine LLM decoding with sample pruning and reranking using test cases or heuristics based on the execution results. However, it is challenging to obtain test cases for many real-world language-to-code applications, and heuristics cannot well capture the semantic features of the execution results, such as data type and value range, which often indicates the correctness of the program. In this work, we propose LEVER, a simple approach to improve language-to-code generation by learning to verify the generated programs with their execution results. Specifically, we train verifiers to determine whether a program sampled from the LLMs is correct or not based on the natural language input, the program itself and its execution results. The sampled programs are reranked by combining the verification score with the LLM generation probability, and marginalizing over programs with the same execution results. On four datasets across the domains of table QA, math QA and basic Python programming, LEVER consistently improves over the base code LLMs(4.6% to 10.9% with code-davinci-002) and achieves new state-of-the-art results on all of them.</x:v>
      </x:c>
      <x:c r="L470" s="17" t="str">
        <x:v>http://arxiv.org/abs/2302.08468v3</x:v>
      </x:c>
      <x:c r="M470" s="23" t="n">
        <x:v>0.6184995319114004</x:v>
      </x:c>
      <x:c r="N470" s="17" t="str">
        <x:v>qwen3-rerank-no-instruct-20260727-125006-results.jsonl</x:v>
      </x:c>
      <x:c r="O470" s="24" t="str">
        <x:v>2</x:v>
      </x:c>
      <x:c r="P470" s="28" t="str">
        <x:v>《LEVER: Learning to Verify Language-to-Code Generation with Execution》核心研究代码生成的执行式、测试式或模型式评价方法与指标。</x:v>
      </x:c>
      <x:c r="Q470" s="25" t="str"/>
      <x:c r="R470" s="24" t="str">
        <x:f>IF(Q470&lt;&gt;"",Q470,O470)</x:f>
        <x:v>2</x:v>
      </x:c>
      <x:c r="S470" s="29" t="str"/>
    </x:row>
    <x:row r="471" ht="54" customHeight="1">
      <x:c r="A471" s="17" t="str">
        <x:v>csq024-r10</x:v>
      </x:c>
      <x:c r="B471" s="17" t="str">
        <x:v>csq024</x:v>
      </x:c>
      <x:c r="C471" s="17" t="str">
        <x:v>software_engineering</x:v>
      </x:c>
      <x:c r="D471" s="17" t="str">
        <x:v>code_generation</x:v>
      </x:c>
      <x:c r="E471" s="27" t="str">
        <x:v>How do execution-based, test-based, and model-based evaluation approaches for code generation compare?</x:v>
      </x:c>
      <x:c r="F471" s="22" t="n">
        <x:v>10</x:v>
      </x:c>
      <x:c r="G471" s="17" t="str">
        <x:v>arXiv:2406.06918</x:v>
      </x:c>
      <x:c r="H471" s="27" t="str">
        <x:v>HumanEvo: An Evolution-aware Benchmark for More Realistic Evaluation of Repository-level Code Generation</x:v>
      </x:c>
      <x:c r="I471" s="17" t="str">
        <x:v>Dewu Zheng; Yanlin Wang; Ensheng Shi; Ruikai Zhang; Yuchi Ma; Hongyu Zhang; Zibin Zheng</x:v>
      </x:c>
      <x:c r="J471" s="22" t="n">
        <x:v>2024</x:v>
      </x:c>
      <x:c r="K471" s="27" t="str">
        <x:v>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x:v>
      </x:c>
      <x:c r="L471" s="17" t="str">
        <x:v>http://arxiv.org/abs/2406.06918v2</x:v>
      </x:c>
      <x:c r="M471" s="23" t="n">
        <x:v>0.6151462544283743</x:v>
      </x:c>
      <x:c r="N471" s="17" t="str">
        <x:v>qwen3-rerank-no-instruct-20260727-125006-results.jsonl</x:v>
      </x:c>
      <x:c r="O471" s="24" t="str">
        <x:v>2</x:v>
      </x:c>
      <x:c r="P471" s="28" t="str">
        <x:v>《HumanEvo: An Evolution-aware Benchmark for More Realistic Evaluation of Repository-level Code Generation》核心研究代码生成的执行式、测试式或模型式评价方法与指标。</x:v>
      </x:c>
      <x:c r="Q471" s="25" t="str"/>
      <x:c r="R471" s="24" t="str">
        <x:f>IF(Q471&lt;&gt;"",Q471,O471)</x:f>
        <x:v>2</x:v>
      </x:c>
      <x:c r="S471" s="29" t="str"/>
    </x:row>
    <x:row r="472" ht="54" customHeight="1">
      <x:c r="A472" s="17" t="str">
        <x:v>csq024-r11</x:v>
      </x:c>
      <x:c r="B472" s="17" t="str">
        <x:v>csq024</x:v>
      </x:c>
      <x:c r="C472" s="17" t="str">
        <x:v>software_engineering</x:v>
      </x:c>
      <x:c r="D472" s="17" t="str">
        <x:v>code_generation</x:v>
      </x:c>
      <x:c r="E472" s="27" t="str">
        <x:v>How do execution-based, test-based, and model-based evaluation approaches for code generation compare?</x:v>
      </x:c>
      <x:c r="F472" s="22" t="n">
        <x:v>11</x:v>
      </x:c>
      <x:c r="G472" s="17" t="str">
        <x:v>arXiv:2508.13757</x:v>
      </x:c>
      <x:c r="H472" s="27" t="str">
        <x:v>COMPASS: A Multi-Dimensional Benchmark for Evaluating Code Generation in Large Language Models</x:v>
      </x:c>
      <x:c r="I472" s="17" t="str">
        <x:v>James Meaden; Michał Jarosz; Piotr Jodłowski; Grigori Melnik</x:v>
      </x:c>
      <x:c r="J472" s="22" t="n">
        <x:v>2025</x:v>
      </x:c>
      <x:c r="K472" s="27" t="str">
        <x:v>Current code generation benchmarks focus primarily on functional correctness while overlooking two critical aspects of real-world programming: algorithmic efficiency and code quality. We introduce COMPASS (COdility's Multi-dimensional Programming ASSessment), a comprehensive evaluation framework that assesses code generation across three dimensions: correctness, efficiency, and quality. COMPASS consists of 50 competitive programming problems from real Codility competitions, providing authentic human baselines from 393,150 submissions. Unlike existing benchmarks that treat algorithmically inefficient solutions identically to optimal ones provided they pass test cases, COMPASS systematically evaluates runtime efficiency and code quality using industry-standard analysis tools. Our evaluation of three leading reasoning-enhanced models, Anthropic Claude Opus 4, Google Gemini 2.5 Pro, and OpenAI O4-Mini-High, reveals that models achieving high correctness scores do not necessarily produce efficient algorithms or maintainable code. These findings highlight the importance of evaluating more than just correctness to truly understand the real-world capabilities of code generation models. COMPASS serves as a guiding framework, charting a path for future research toward AI systems that are robust, reliable, and ready for production use.</x:v>
      </x:c>
      <x:c r="L472" s="17" t="str">
        <x:v>http://arxiv.org/abs/2508.13757v1</x:v>
      </x:c>
      <x:c r="M472" s="23" t="n">
        <x:v>0.6131485198434041</x:v>
      </x:c>
      <x:c r="N472" s="17" t="str">
        <x:v>qwen3-rerank-no-instruct-20260727-125006-results.jsonl</x:v>
      </x:c>
      <x:c r="O472" s="24" t="str">
        <x:v>2</x:v>
      </x:c>
      <x:c r="P472" s="28" t="str">
        <x:v>《COMPASS: A Multi-Dimensional Benchmark for Evaluating Code Generation in Large Language Models》核心研究代码生成的执行式、测试式或模型式评价方法与指标。</x:v>
      </x:c>
      <x:c r="Q472" s="25" t="str"/>
      <x:c r="R472" s="24" t="str">
        <x:f>IF(Q472&lt;&gt;"",Q472,O472)</x:f>
        <x:v>2</x:v>
      </x:c>
      <x:c r="S472" s="29" t="str"/>
    </x:row>
    <x:row r="473" ht="54" customHeight="1">
      <x:c r="A473" s="17" t="str">
        <x:v>csq024-r12</x:v>
      </x:c>
      <x:c r="B473" s="17" t="str">
        <x:v>csq024</x:v>
      </x:c>
      <x:c r="C473" s="17" t="str">
        <x:v>software_engineering</x:v>
      </x:c>
      <x:c r="D473" s="17" t="str">
        <x:v>code_generation</x:v>
      </x:c>
      <x:c r="E473" s="27" t="str">
        <x:v>How do execution-based, test-based, and model-based evaluation approaches for code generation compare?</x:v>
      </x:c>
      <x:c r="F473" s="22" t="n">
        <x:v>12</x:v>
      </x:c>
      <x:c r="G473" s="17" t="str">
        <x:v>arXiv:2510.08697</x:v>
      </x:c>
      <x:c r="H473" s="27" t="str">
        <x:v>BigCodeArena: Unveiling More Reliable Human Preferences in Code Generation via Execution</x:v>
      </x:c>
      <x:c r="I473" s="17" t="str">
        <x:v>Terry Yue Zhuo; Xiaolong Jin; Hange Liu; Juyong Jiang; Tianyang Liu; Chen Gong; Bhupesh Bishnoi; Vaisakhi Mishra; Marek Suppa; Noah Ziems; Saiteja Utpala; Ming Xu; Guangyu Song; Kaixin Li; Yuhan Cao; Bo Liu; Zheng Liu; Sabina Abdurakhmanova; Wenhao Yu; Mengzhao Jia; Jihan Yao; Kenneth Hamilton; Kumar Shridhar; Minh Chien Vu; Dingmin Wang; Jiawei Liu; Zijian Wang; Qian Liu; Binyuan Hui; Meg Risdal; Ahsen Khaliq; Atin Sood; Zhenchang Xing; Wasi Uddin Ahmad; John Grundy; David Lo; Banghua Zhu; Xiaoning Du; Torsten Scholak; Leandro von Werra</x:v>
      </x:c>
      <x:c r="J473" s="22" t="n">
        <x:v>2025</x:v>
      </x:c>
      <x:c r="K473" s="27" t="str">
        <x:v>Crowdsourced model evaluation platforms, such as Chatbot Arena, enable real-time evaluation from human perspectives to assess the quality of model responses. In the coding domain, manually examining the quality of LLM-generated content is extremely challenging, as it requires understanding long chunks of raw code and deliberately simulating code execution. To this end, we introduce BigCodeArena, an open human evaluation platform for code generation backed by a comprehensive and on-the-fly execution environment. Built on top of Chatbot Arena, BigCodeArena enables the execution of LLM-generated code and allows humans to interact with the execution process and outcomes. We collected over 14,000 raw code-centric conversation sessions across 10 widely used LLMs, spanning 10 languages and 8 types of execution environments. Among these conversations, we identified more than 4,700 multi-turn samples with pairwise human preferences. Further analysis uncovers underexplored preferences of LLMs in fine-grained domains characterized by tasks, languages, and frameworks. To systematically examine code understanding and generation capabilities of frontier LLMs, we curated two benchmarks based on the collected data, namely BigCodeReward and AutoCodeArena. For BigCodeReward, we post-processed the 4,700 conversations and evaluated the consistency between reward models and human preferences. The evaluation shows that most LLMs have superior performance in judging coding preferences when the execution results are available. Inspired by these findings, we propose AutoCodeArena, an automatic Elo rating benchmark designed to assess the coding quality of LLMs without human involvement. We find that proprietary LLMs like GPT-5, Claude-Sonnet-4, and Claude-Opus-4 still lead in code generation performance among recent emerging models.</x:v>
      </x:c>
      <x:c r="L473" s="17" t="str">
        <x:v>http://arxiv.org/abs/2510.08697v2</x:v>
      </x:c>
      <x:c r="M473" s="23" t="n">
        <x:v>0.6070976474678509</x:v>
      </x:c>
      <x:c r="N473" s="17" t="str">
        <x:v>qwen3-rerank-no-instruct-20260727-125006-results.jsonl</x:v>
      </x:c>
      <x:c r="O473" s="24" t="str">
        <x:v>2</x:v>
      </x:c>
      <x:c r="P473" s="28" t="str">
        <x:v>《BigCodeArena: Unveiling More Reliable Human Preferences in Code Generation via Execution》核心研究代码生成的执行式、测试式或模型式评价方法与指标。</x:v>
      </x:c>
      <x:c r="Q473" s="25" t="str"/>
      <x:c r="R473" s="24" t="str">
        <x:f>IF(Q473&lt;&gt;"",Q473,O473)</x:f>
        <x:v>2</x:v>
      </x:c>
      <x:c r="S473" s="29" t="str"/>
    </x:row>
    <x:row r="474" ht="54" customHeight="1">
      <x:c r="A474" s="17" t="str">
        <x:v>csq024-r13</x:v>
      </x:c>
      <x:c r="B474" s="17" t="str">
        <x:v>csq024</x:v>
      </x:c>
      <x:c r="C474" s="17" t="str">
        <x:v>software_engineering</x:v>
      </x:c>
      <x:c r="D474" s="17" t="str">
        <x:v>code_generation</x:v>
      </x:c>
      <x:c r="E474" s="27" t="str">
        <x:v>How do execution-based, test-based, and model-based evaluation approaches for code generation compare?</x:v>
      </x:c>
      <x:c r="F474" s="22" t="n">
        <x:v>13</x:v>
      </x:c>
      <x:c r="G474" s="17" t="str">
        <x:v>arXiv:2212.10264</x:v>
      </x:c>
      <x:c r="H474" s="27" t="str">
        <x:v>ReCode: Robustness Evaluation of Code Generation Models</x:v>
      </x:c>
      <x:c r="I474" s="17" t="str">
        <x:v>Shiqi Wang; Zheng Li; Haifeng Qian; Chenghao Yang; Zijian Wang; Mingyue Shang; Varun Kumar; Samson Tan; Baishakhi Ray; Parminder Bhatia; Ramesh Nallapati; Murali Krishna Ramanathan; Dan Roth; Bing Xiang</x:v>
      </x:c>
      <x:c r="J474" s="22" t="n">
        <x:v>2022</x:v>
      </x:c>
      <x:c r="K474" s="27" t="str">
        <x:v>Code generation models have achieved impressive performance. However, they tend to be brittle as slight edits to a prompt could lead to very different generations; these robustness properties, critical for user experience when deployed in real-life applications, are not well understood. Most existing works on robustness in text or code tasks have focused on classification, while robustness in generation tasks is an uncharted area and to date there is no comprehensive benchmark for robustness in code generation. In this paper, we propose ReCode, a comprehensive robustness evaluation benchmark for code generation models. We customize over 30 transformations specifically for code on docstrings, function and variable names, code syntax, and code format. They are carefully designed to be natural in real-life coding practice, preserve the original semantic meaning, and thus provide multifaceted assessments of a model's robustness performance. With human annotators, we verified that over 90% of the perturbed prompts do not alter the semantic meaning of the original prompt. In addition, we define robustness metrics for code generation models considering the worst-case behavior under each type of perturbation, taking advantage of the fact that executing the generated code can serve as objective evaluation. We demonstrate ReCode on SOTA models using HumanEval, MBPP, as well as function completion tasks derived from them. Interesting observations include: better robustness for CodeGen over InCoder and GPT-J; models are most sensitive to syntax perturbations; more challenging robustness evaluation on MBPP over HumanEval.</x:v>
      </x:c>
      <x:c r="L474" s="17" t="str">
        <x:v>http://arxiv.org/abs/2212.10264v1</x:v>
      </x:c>
      <x:c r="M474" s="23" t="n">
        <x:v>0.5922306892354257</x:v>
      </x:c>
      <x:c r="N474" s="17" t="str">
        <x:v>qwen3-rerank-no-instruct-20260727-125006-results.jsonl</x:v>
      </x:c>
      <x:c r="O474" s="24" t="str">
        <x:v>2</x:v>
      </x:c>
      <x:c r="P474" s="28" t="str">
        <x:v>《ReCode: Robustness Evaluation of Code Generation Models》核心研究代码生成的执行式、测试式或模型式评价方法与指标。</x:v>
      </x:c>
      <x:c r="Q474" s="25" t="str"/>
      <x:c r="R474" s="24" t="str">
        <x:f>IF(Q474&lt;&gt;"",Q474,O474)</x:f>
        <x:v>2</x:v>
      </x:c>
      <x:c r="S474" s="29" t="str"/>
    </x:row>
    <x:row r="475" ht="54" customHeight="1">
      <x:c r="A475" s="17" t="str">
        <x:v>csq024-r14</x:v>
      </x:c>
      <x:c r="B475" s="17" t="str">
        <x:v>csq024</x:v>
      </x:c>
      <x:c r="C475" s="17" t="str">
        <x:v>software_engineering</x:v>
      </x:c>
      <x:c r="D475" s="17" t="str">
        <x:v>code_generation</x:v>
      </x:c>
      <x:c r="E475" s="27" t="str">
        <x:v>How do execution-based, test-based, and model-based evaluation approaches for code generation compare?</x:v>
      </x:c>
      <x:c r="F475" s="22" t="n">
        <x:v>14</x:v>
      </x:c>
      <x:c r="G475" s="17" t="str">
        <x:v>arXiv:2505.02133</x:v>
      </x:c>
      <x:c r="H475" s="27" t="str">
        <x:v>Enhancing LLM Code Generation: A Systematic Evaluation of Multi-Agent Collaboration and Runtime Debugging for Improved Accuracy, Reliability, and Latency</x:v>
      </x:c>
      <x:c r="I475" s="17" t="str">
        <x:v>Nazmus Ashrafi; Salah Bouktif; Mohammed Mediani</x:v>
      </x:c>
      <x:c r="J475" s="22" t="n">
        <x:v>2025</x:v>
      </x:c>
      <x:c r="K475" s="27" t="str">
        <x:v>The use of large language models (LLMs) for automated code generation has emerged as a significant focus within AI research. As these pretrained models continue to evolve, their ability to understand and generate complex code structures has opened new possibilities for automating intricate programming tasks for the sake of accurate code generation. Although contemporary foundational models demonstrate promoting results, researchers continue to explore optimal post-training strategies to enhance code quality. These include supervised fine-tuning, retrieval-augmented generation (RAG), debugging, and many others. In this paper, we combine two widely used approaches namely multi-agent collaboration and runtime execution information-based debugging, for improving code generation functionality, reliability, and practical applicability. We perform an empirical study in order to extend the evaluation of the individual strategies as well as the proposed composition of the activities of both strategies. Our study use 19 LLMs to examines the performance of individual and the proposed strategies, offering comprehensive insights into how different programming activities compositions and training paradigms influence code generation effectiveness. In particular, we implement a chained system that combines both strategies to assess their combined impact on functional accuracy, code reliability, and generation latency using two benchmark datasets commonly used for code generation. Our findings provide valuable insights for organizations seeking robust AI-driven coding solutions by guiding them in selecting models that can better adapt to complex post-training strategies, ultimately fostering the adoption of more effective and reliable code generation technologies.</x:v>
      </x:c>
      <x:c r="L475" s="17" t="str">
        <x:v>http://arxiv.org/abs/2505.02133v1</x:v>
      </x:c>
      <x:c r="M475" s="23" t="n">
        <x:v>0.5700933771026666</x:v>
      </x:c>
      <x:c r="N475" s="17" t="str">
        <x:v>qwen3-rerank-no-instruct-20260727-125006-results.jsonl</x:v>
      </x:c>
      <x:c r="O475" s="24" t="str">
        <x:v>1</x:v>
      </x:c>
      <x:c r="P475" s="28" t="str">
        <x:v>《Enhancing LLM Code Generation: A Systematic Evaluation of Multi-Agent Collaboration and Runtime Debugging for Improved Accuracy, Reliability, and Latency》涉及执行/测试反馈或代码生成，但主要优化生成过程，未直接比较评价路线。</x:v>
      </x:c>
      <x:c r="Q475" s="25" t="str"/>
      <x:c r="R475" s="24" t="str">
        <x:f>IF(Q475&lt;&gt;"",Q475,O475)</x:f>
        <x:v>1</x:v>
      </x:c>
      <x:c r="S475" s="29" t="str"/>
    </x:row>
    <x:row r="476" ht="54" customHeight="1">
      <x:c r="A476" s="17" t="str">
        <x:v>csq024-r15</x:v>
      </x:c>
      <x:c r="B476" s="17" t="str">
        <x:v>csq024</x:v>
      </x:c>
      <x:c r="C476" s="17" t="str">
        <x:v>software_engineering</x:v>
      </x:c>
      <x:c r="D476" s="17" t="str">
        <x:v>code_generation</x:v>
      </x:c>
      <x:c r="E476" s="27" t="str">
        <x:v>How do execution-based, test-based, and model-based evaluation approaches for code generation compare?</x:v>
      </x:c>
      <x:c r="F476" s="22" t="n">
        <x:v>15</x:v>
      </x:c>
      <x:c r="G476" s="17" t="str">
        <x:v>arXiv:2508.00013</x:v>
      </x:c>
      <x:c r="H476" s="27" t="str">
        <x:v>From Provable Correctness to Probabilistic Generation: A Comparative Review of Program Synthesis Paradigms</x:v>
      </x:c>
      <x:c r="I476" s="17" t="str">
        <x:v>Zurabi Kobaladze; Anna Arnania; Tamar Sanikidze</x:v>
      </x:c>
      <x:c r="J476" s="22" t="n">
        <x:v>2025</x:v>
      </x:c>
      <x:c r="K476" s="27" t="str">
        <x:v>Program synthesis--the automated generation of executable code from high-level specifications--has been a central goal of computer science for over fifty years. This thesis provides a comparative literature review of the main paradigms that have shaped the field, tracing its evolution from formal logic based methods to recent advances using large scale neural models. We examine five key approaches: logic based (deductive) synthesis, inductive (example based) synthesis, sketch/schema based synthesis, large language model based synthesis, and neuro-symbolic hybrids. For each, we analyze foundational principles, notable systems, and practical applications, highlighting trade offs between correctness guarantees, specification requirements, search complexity, and expressive power. By reviewing developments from formally verified synthesis tools such as KIDS and Coq to data driven models generating probabilistic code from natural language like Codex, we present a comprehensive narrative of progress and ongoing challenges. This work emphasizes the transition from symbolic to hybrid neuro-symbolic methods and outlines future directions for reliable and scalable program synthesis.</x:v>
      </x:c>
      <x:c r="L476" s="17" t="str">
        <x:v>http://arxiv.org/abs/2508.00013v1</x:v>
      </x:c>
      <x:c r="M476" s="23" t="n">
        <x:v>0.5674214625438356</x:v>
      </x:c>
      <x:c r="N476" s="17" t="str">
        <x:v>qwen3-rerank-no-instruct-20260727-125006-results.jsonl</x:v>
      </x:c>
      <x:c r="O476" s="24" t="str">
        <x:v>0</x:v>
      </x:c>
      <x:c r="P476" s="28" t="str">
        <x:v>《From Provable Correctness to Probabilistic Generation: A Comparative Review of Program Synthesis Paradigms》研究目标不是代码生成评价方法，无法回答三类评价比较。</x:v>
      </x:c>
      <x:c r="Q476" s="25" t="str"/>
      <x:c r="R476" s="24" t="str">
        <x:f>IF(Q476&lt;&gt;"",Q476,O476)</x:f>
        <x:v>0</x:v>
      </x:c>
      <x:c r="S476" s="29" t="str"/>
    </x:row>
    <x:row r="477" ht="54" customHeight="1">
      <x:c r="A477" s="17" t="str">
        <x:v>csq024-r16</x:v>
      </x:c>
      <x:c r="B477" s="17" t="str">
        <x:v>csq024</x:v>
      </x:c>
      <x:c r="C477" s="17" t="str">
        <x:v>software_engineering</x:v>
      </x:c>
      <x:c r="D477" s="17" t="str">
        <x:v>code_generation</x:v>
      </x:c>
      <x:c r="E477" s="27" t="str">
        <x:v>How do execution-based, test-based, and model-based evaluation approaches for code generation compare?</x:v>
      </x:c>
      <x:c r="F477" s="22" t="n">
        <x:v>16</x:v>
      </x:c>
      <x:c r="G477" s="17" t="str">
        <x:v>arXiv:2510.18471</x:v>
      </x:c>
      <x:c r="H477" s="27" t="str">
        <x:v>CodeRL+: Improving Code Generation via Reinforcement with Execution Semantics Alignment</x:v>
      </x:c>
      <x:c r="I477" s="17" t="str">
        <x:v>Xue Jiang; Yihong Dong; Mengyang Liu; Hongyi Deng; Tian Wang; Yongding Tao; Rongyu Cao; Binhua Li; Zhi Jin; Wenpin Jiao; Fei Huang; Yongbin Li; Ge Li</x:v>
      </x:c>
      <x:c r="J477" s="22" t="n">
        <x:v>2025</x:v>
      </x:c>
      <x:c r="K477" s="27" t="str">
        <x:v>While Large Language Models (LLMs) excel at code generation by learning from vast code corpora, a fundamental semantic gap remains between their training on textual patterns and the goal of functional correctness, which is governed by formal execution semantics. Reinforcement Learning with Verifiable Rewards (RLVR) approaches attempt to bridge this gap using outcome rewards from executing test cases. However, solely relying on binary pass/fail signals is inefficient for establishing a well-aligned connection between the textual representation of code and its execution semantics, especially for subtle logical errors within the code. In this paper, we propose CodeRL+, a novel approach that integrates execution semantics alignment into the RLVR training pipeline for code generation. CodeRL+ enables the model to infer variable-level execution trajectory, providing a direct learning signal of execution semantics. CodeRL+ can construct execution semantics alignment directly using existing on-policy rollouts and integrates seamlessly with various RL algorithms. Extensive experiments demonstrate that CodeRL+ outperforms post-training baselines (including RLVR and Distillation), achieving a 4.6% average relative improvement in pass@1. CodeRL+ generalizes effectively to other coding tasks, yielding 15.5% and 4.4% higher accuracy on code-reasoning and test-output-generation benchmarks, respectively. CodeRL+ shows strong applicability across diverse RL algorithms and LLMs. Furthermore, probe analyses provide compelling evidence that CodeRL+ strengthens the alignment between code's textual representations and its underlying execution semantics.</x:v>
      </x:c>
      <x:c r="L477" s="17" t="str">
        <x:v>http://arxiv.org/abs/2510.18471v2</x:v>
      </x:c>
      <x:c r="M477" s="23" t="n">
        <x:v>0.5381485015017413</x:v>
      </x:c>
      <x:c r="N477" s="17" t="str">
        <x:v>qwen3-rerank-no-instruct-20260727-125006-results.jsonl</x:v>
      </x:c>
      <x:c r="O477" s="24" t="str">
        <x:v>1</x:v>
      </x:c>
      <x:c r="P477" s="28" t="str">
        <x:v>《CodeRL+: Improving Code Generation via Reinforcement with Execution Semantics Alignment》涉及执行/测试反馈或代码生成，但主要优化生成过程，未直接比较评价路线。</x:v>
      </x:c>
      <x:c r="Q477" s="25" t="str"/>
      <x:c r="R477" s="24" t="str">
        <x:f>IF(Q477&lt;&gt;"",Q477,O477)</x:f>
        <x:v>1</x:v>
      </x:c>
      <x:c r="S477" s="29" t="str"/>
    </x:row>
    <x:row r="478" ht="54" customHeight="1">
      <x:c r="A478" s="17" t="str">
        <x:v>csq024-r17</x:v>
      </x:c>
      <x:c r="B478" s="17" t="str">
        <x:v>csq024</x:v>
      </x:c>
      <x:c r="C478" s="17" t="str">
        <x:v>software_engineering</x:v>
      </x:c>
      <x:c r="D478" s="17" t="str">
        <x:v>code_generation</x:v>
      </x:c>
      <x:c r="E478" s="27" t="str">
        <x:v>How do execution-based, test-based, and model-based evaluation approaches for code generation compare?</x:v>
      </x:c>
      <x:c r="F478" s="22" t="n">
        <x:v>17</x:v>
      </x:c>
      <x:c r="G478" s="17" t="str">
        <x:v>arXiv:2302.00288</x:v>
      </x:c>
      <x:c r="H478" s="27" t="str">
        <x:v>CoderEval: A Benchmark of Pragmatic Code Generation with Generative Pre-trained Models</x:v>
      </x:c>
      <x:c r="I478" s="17" t="str">
        <x:v>Hao Yu; Bo Shen; Dezhi Ran; Jiaxin Zhang; Qi Zhang; Yuchi Ma; Guangtai Liang; Ying Li; Qianxiang Wang; Tao Xie</x:v>
      </x:c>
      <x:c r="J478" s="22" t="n">
        <x:v>2023</x:v>
      </x:c>
      <x:c r="K478" s="27" t="str">
        <x:v>Code generation models based on the pre-training and fine-tuning paradigm have been increasingly attempted by both academia and industry, resulting in well-known industrial models such as Codex, CodeGen, and PanGu-Coder. To evaluate the effectiveness of these models, multiple existing benchmarks are proposed, including only cases of generating a standalone function, i.e., a function that may invoke or access only built-in functions and standard libraries. However, non-standalone functions, which typically are not included in the existing benchmarks, constitute more than 70% of the functions in popular open-source projects, and evaluating models' effectiveness on standalone functions cannot reflect these models' effectiveness on pragmatic code generation scenarios. To help bridge the preceding gap, in this paper, we propose a benchmark named CoderEval, consisting of 230 Python and 230 Java code generation tasks carefully curated from popular real-world open-source projects and a self-contained execution platform to automatically assess the functional correctness of generated code. CoderEval supports code generation tasks from six levels of context dependency, where context refers to code elements such as types, APIs, variables, and consts defined outside the function under generation but within the dependent third-party libraries, current class, file, or project. CoderEval can be used to evaluate the effectiveness of models in generating code beyond only standalone functions. By evaluating three code generation models on CoderEval, we find that the effectiveness of these models in generating standalone functions is substantially higher than that in generating non-standalone functions. Our analysis highlights the current progress and pinpoints future directions to further improve a model's effectiveness by leveraging contextual information for pragmatic code generation.</x:v>
      </x:c>
      <x:c r="L478" s="17" t="str">
        <x:v>http://arxiv.org/abs/2302.00288v3</x:v>
      </x:c>
      <x:c r="M478" s="23" t="n">
        <x:v>0.5359261531922316</x:v>
      </x:c>
      <x:c r="N478" s="17" t="str">
        <x:v>qwen3-rerank-no-instruct-20260727-125006-results.jsonl</x:v>
      </x:c>
      <x:c r="O478" s="24" t="str">
        <x:v>2</x:v>
      </x:c>
      <x:c r="P478" s="28" t="str">
        <x:v>《CoderEval: A Benchmark of Pragmatic Code Generation with Generative Pre-trained Models》核心研究代码生成的执行式、测试式或模型式评价方法与指标。</x:v>
      </x:c>
      <x:c r="Q478" s="25" t="str"/>
      <x:c r="R478" s="24" t="str">
        <x:f>IF(Q478&lt;&gt;"",Q478,O478)</x:f>
        <x:v>2</x:v>
      </x:c>
      <x:c r="S478" s="29" t="str"/>
    </x:row>
    <x:row r="479" ht="54" customHeight="1">
      <x:c r="A479" s="17" t="str">
        <x:v>csq024-r18</x:v>
      </x:c>
      <x:c r="B479" s="17" t="str">
        <x:v>csq024</x:v>
      </x:c>
      <x:c r="C479" s="17" t="str">
        <x:v>software_engineering</x:v>
      </x:c>
      <x:c r="D479" s="17" t="str">
        <x:v>code_generation</x:v>
      </x:c>
      <x:c r="E479" s="27" t="str">
        <x:v>How do execution-based, test-based, and model-based evaluation approaches for code generation compare?</x:v>
      </x:c>
      <x:c r="F479" s="22" t="n">
        <x:v>18</x:v>
      </x:c>
      <x:c r="G479" s="17" t="str">
        <x:v>arXiv:2307.05584</x:v>
      </x:c>
      <x:c r="H479" s="27" t="str">
        <x:v>Code Generation for Machine Learning using Model-Driven Engineering and SysML</x:v>
      </x:c>
      <x:c r="I479" s="17" t="str">
        <x:v>Simon Raedler; Matthias Rupp; Eugen Rigger; Stefanie Rinderle-Ma</x:v>
      </x:c>
      <x:c r="J479" s="22" t="n">
        <x:v>2023</x:v>
      </x:c>
      <x:c r="K479" s="27" t="str">
        <x:v>Data-driven engineering refers to systematic data collection and processing using machine learning to improve engineering systems. Currently, the implementation of data-driven engineering relies on fundamental data science and software engineering skills. At the same time, model-based engineering is gaining relevance for the engineering of complex systems. In previous work, a model-based engineering approach integrating the formalization of machine learning tasks using the general-purpose modeling language SysML is presented. However, formalized machine learning tasks still require the implementation in a specialized programming languages like Python. Therefore, this work aims to facilitate the implementation of data-driven engineering in practice by extending the previous work of formalizing machine learning tasks by integrating model transformation to generate executable code. The method focuses on the modifiability and maintainability of the model transformation so that extensions and changes to the code generation can be integrated without requiring modifications to the code generator. The presented method is evaluated for feasibility in a case study to predict weather forecasts. Based thereon, quality attributes of model transformations are assessed and discussed. Results demonstrate the flexibility and the simplicity of the method reducing efforts for implementation. Further, the work builds a theoretical basis for standardizing data-driven engineering implementation in practice.</x:v>
      </x:c>
      <x:c r="L479" s="17" t="str">
        <x:v>http://arxiv.org/abs/2307.05584v1</x:v>
      </x:c>
      <x:c r="M479" s="23" t="n">
        <x:v>0.5205177086669398</x:v>
      </x:c>
      <x:c r="N479" s="17" t="str">
        <x:v>qwen3-rerank-no-instruct-20260727-125006-results.jsonl</x:v>
      </x:c>
      <x:c r="O479" s="24" t="str">
        <x:v>0</x:v>
      </x:c>
      <x:c r="P479" s="28" t="str">
        <x:v>《Code Generation for Machine Learning using Model-Driven Engineering and SysML》研究目标不是代码生成评价方法，无法回答三类评价比较。</x:v>
      </x:c>
      <x:c r="Q479" s="25" t="str"/>
      <x:c r="R479" s="24" t="str">
        <x:f>IF(Q479&lt;&gt;"",Q479,O479)</x:f>
        <x:v>0</x:v>
      </x:c>
      <x:c r="S479" s="29" t="str"/>
    </x:row>
    <x:row r="480" ht="54" customHeight="1">
      <x:c r="A480" s="17" t="str">
        <x:v>csq024-r19</x:v>
      </x:c>
      <x:c r="B480" s="17" t="str">
        <x:v>csq024</x:v>
      </x:c>
      <x:c r="C480" s="17" t="str">
        <x:v>software_engineering</x:v>
      </x:c>
      <x:c r="D480" s="17" t="str">
        <x:v>code_generation</x:v>
      </x:c>
      <x:c r="E480" s="27" t="str">
        <x:v>How do execution-based, test-based, and model-based evaluation approaches for code generation compare?</x:v>
      </x:c>
      <x:c r="F480" s="22" t="n">
        <x:v>19</x:v>
      </x:c>
      <x:c r="G480" s="17" t="str">
        <x:v>arXiv:2402.14658</x:v>
      </x:c>
      <x:c r="H480" s="27" t="str">
        <x:v>OpenCodeInterpreter: Integrating Code Generation with Execution and Refinement</x:v>
      </x:c>
      <x:c r="I480" s="17" t="str">
        <x:v>Tianyu Zheng; Ge Zhang; Tianhao Shen; Xueling Liu; Bill Yuchen Lin; Jie Fu; Wenhu Chen; Xiang Yue</x:v>
      </x:c>
      <x:c r="J480" s="22" t="n">
        <x:v>2024</x:v>
      </x:c>
      <x:c r="K480" s="27" t="str">
        <x:v>The introduction of large language models has significantly advanced code generation. However, open-source models often lack the execution capabilities and iterative refinement of advanced systems like the GPT-4 Code Interpreter. To address this, we introduce OpenCodeInterpreter, a family of open-source code systems designed for generating, executing, and iteratively refining code. Supported by Code-Feedback, a dataset featuring 68K multi-turn interactions, OpenCodeInterpreter integrates execution and human feedback for dynamic code refinement. Our comprehensive evaluation of OpenCodeInterpreter across key benchmarks such as HumanEval, MBPP, and their enhanced versions from EvalPlus reveals its exceptional performance. Notably, OpenCodeInterpreter-33B achieves an accuracy of 83.2 (76.4) on the average (and plus versions) of HumanEval and MBPP, closely rivaling GPT-4's 84.2 (76.2) and further elevates to 91.6 (84.6) with synthesized human feedback from GPT-4. OpenCodeInterpreter brings the gap between open-source code generation models and proprietary systems like GPT-4 Code Interpreter.</x:v>
      </x:c>
      <x:c r="L480" s="17" t="str">
        <x:v>http://arxiv.org/abs/2402.14658v3</x:v>
      </x:c>
      <x:c r="M480" s="23" t="n">
        <x:v>0.5155216721555277</x:v>
      </x:c>
      <x:c r="N480" s="17" t="str">
        <x:v>qwen3-rerank-no-instruct-20260727-125006-results.jsonl</x:v>
      </x:c>
      <x:c r="O480" s="24" t="str">
        <x:v>1</x:v>
      </x:c>
      <x:c r="P480" s="28" t="str">
        <x:v>《OpenCodeInterpreter: Integrating Code Generation with Execution and Refinement》涉及执行/测试反馈或代码生成，但主要优化生成过程，未直接比较评价路线。</x:v>
      </x:c>
      <x:c r="Q480" s="25" t="str"/>
      <x:c r="R480" s="24" t="str">
        <x:f>IF(Q480&lt;&gt;"",Q480,O480)</x:f>
        <x:v>1</x:v>
      </x:c>
      <x:c r="S480" s="29" t="str"/>
    </x:row>
    <x:row r="481" ht="54" customHeight="1">
      <x:c r="A481" s="17" t="str">
        <x:v>csq024-r20</x:v>
      </x:c>
      <x:c r="B481" s="17" t="str">
        <x:v>csq024</x:v>
      </x:c>
      <x:c r="C481" s="17" t="str">
        <x:v>software_engineering</x:v>
      </x:c>
      <x:c r="D481" s="17" t="str">
        <x:v>code_generation</x:v>
      </x:c>
      <x:c r="E481" s="27" t="str">
        <x:v>How do execution-based, test-based, and model-based evaluation approaches for code generation compare?</x:v>
      </x:c>
      <x:c r="F481" s="22" t="n">
        <x:v>20</x:v>
      </x:c>
      <x:c r="G481" s="17" t="str">
        <x:v>arXiv:2510.12047</x:v>
      </x:c>
      <x:c r="H481" s="27" t="str">
        <x:v>ContractEval: A Benchmark for Evaluating Contract-Satisfying Assertions in Code Generation</x:v>
      </x:c>
      <x:c r="I481" s="17" t="str">
        <x:v>Soohan Lim; Joonghyuk Hahn; Hyunwoo Park; Sang-Ki Ko; Yo-Sub Han</x:v>
      </x:c>
      <x:c r="J481" s="22" t="n">
        <x:v>2025</x:v>
      </x:c>
      <x:c r="K481" s="27" t="str">
        <x:v>Current code generation evaluation measures functional correctness on well-formed inputs that satisfy all input preconditions. This paradigm has a critical limitation: task descriptions often leave these preconditions implicit, while evaluation filters out inputs that violate them. As a result, generated code may achieve high pass@k scores while failing to enforce the preconditions that the task actually requires. To address this gap, we introduce ContractEval, a benchmark for evaluating whether generated code enforces such preconditions--commonly referred to as contracts. Built on HumanEval+ and MBPP+, ContractEval consists of 364 tasks, each with three components: (i) descriptions reconstructed to explicitly state the contracts, (ii) test cases synthesized through a neuro-symbolic pipeline that pairs an LLM with an SMT solver to evaluate whether generated code satisfies these contracts, and (iii) reference code combined with contracts. Using ContractEval to evaluate five representative open-source code LLMs, we reveal a stark disparity between functional correctness and contract satisfaction. Under standard prompting, these models achieve pass@1 of 75-82% with 0% contract satisfaction. Even when contracts are explicitly stated in the prompt, the satisfaction rate reaches only 23-41%. This indicates that current LLMs struggle to satisfy contracts in their generated code, establishing contract satisfaction as a crucial and previously overlooked axis of code generation quality. Our code is available at https://github.com/suhanmen/ContractEval.</x:v>
      </x:c>
      <x:c r="L481" s="17" t="str">
        <x:v>http://arxiv.org/abs/2510.12047v4</x:v>
      </x:c>
      <x:c r="M481" s="23" t="n">
        <x:v>0.5152069006428558</x:v>
      </x:c>
      <x:c r="N481" s="17" t="str">
        <x:v>qwen3-rerank-no-instruct-20260727-125006-results.jsonl</x:v>
      </x:c>
      <x:c r="O481" s="24" t="str">
        <x:v>2</x:v>
      </x:c>
      <x:c r="P481" s="28" t="str">
        <x:v>《ContractEval: A Benchmark for Evaluating Contract-Satisfying Assertions in Code Generation》核心研究代码生成的执行式、测试式或模型式评价方法与指标。</x:v>
      </x:c>
      <x:c r="Q481" s="25" t="str"/>
      <x:c r="R481" s="24" t="str">
        <x:f>IF(Q481&lt;&gt;"",Q481,O481)</x:f>
        <x:v>2</x:v>
      </x:c>
      <x:c r="S481" s="29" t="str"/>
    </x:row>
    <x:row r="482" ht="54" customHeight="1">
      <x:c r="A482" s="17" t="str">
        <x:v>csq025-r01</x:v>
      </x:c>
      <x:c r="B482" s="17" t="str">
        <x:v>csq025</x:v>
      </x:c>
      <x:c r="C482" s="17" t="str">
        <x:v>software_engineering</x:v>
      </x:c>
      <x:c r="D482" s="17" t="str">
        <x:v>vulnerability_detection</x:v>
      </x:c>
      <x:c r="E482" s="27" t="str">
        <x:v>Which datasets and evaluation protocols are used for machine-learning-based source-code vulnerability detection, and which forms of data leakage can inflate reported performance?</x:v>
      </x:c>
      <x:c r="F482" s="22" t="n">
        <x:v>1</x:v>
      </x:c>
      <x:c r="G482" s="17" t="str">
        <x:v>arXiv:2403.18624</x:v>
      </x:c>
      <x:c r="H482" s="27" t="str">
        <x:v>Vulnerability Detection with Code Language Models: How Far Are We?</x:v>
      </x:c>
      <x:c r="I482" s="17" t="str">
        <x:v>Yangruibo Ding; Yanjun Fu; Omniyyah Ibrahim; Chawin Sitawarin; Xinyun Chen; Basel Alomair; David Wagner; Baishakhi Ray; Yizheng Chen</x:v>
      </x:c>
      <x:c r="J482" s="22" t="n">
        <x:v>2024</x:v>
      </x:c>
      <x:c r="K482" s="27" t="str">
        <x:v>In the context of the rising interest in code language models (code LMs) and vulnerability detection, we study the effectiveness of code LMs for detecting vulnerabilities. Our analysis reveals significant shortcomings in existing vulnerability datasets, including poor data quality, low label accuracy, and high duplication rates, leading to unreliable model performance in realistic vulnerability detection scenarios. Additionally, the evaluation methods used with these datasets are not representative of real-world vulnerability detection. To address these challenges, we introduce PrimeVul, a new dataset for training and evaluating code LMs for vulnerability detection. PrimeVul incorporates a novel set of data labeling techniques that achieve comparable label accuracy to human-verified benchmarks while significantly expanding the dataset. It also implements a rigorous data de-duplication and chronological data splitting strategy to mitigate data leakage issues, alongside introducing more realistic evaluation metrics and settings. This comprehensive approach aims to provide a more accurate assessment of code LMs' performance in real-world conditions. Evaluating code LMs on PrimeVul reveals that existing benchmarks significantly overestimate the performance of these models. For instance, a state-of-the-art 7B model scored 68.26% F1 on BigVul but only 3.09% F1 on PrimeVul. Attempts to improve performance through advanced training techniques and larger models like GPT-3.5 and GPT-4 were unsuccessful, with results akin to random guessing in the most stringent settings. These findings underscore the considerable gap between current capabilities and the practical requirements for deploying code LMs in security roles, highlighting the need for more innovative research in this domain.</x:v>
      </x:c>
      <x:c r="L482" s="17" t="str">
        <x:v>http://arxiv.org/abs/2403.18624v2</x:v>
      </x:c>
      <x:c r="M482" s="23" t="n">
        <x:v>0.8562502046402047</x:v>
      </x:c>
      <x:c r="N482" s="17" t="str">
        <x:v>qwen3-rerank-no-instruct-20260727-125006-results.jsonl</x:v>
      </x:c>
      <x:c r="O482" s="24" t="str">
        <x:v>2</x:v>
      </x:c>
      <x:c r="P482" s="28" t="str">
        <x:v>《Vulnerability Detection with Code Language Models: How Far Are We?》核心提供ML源代码漏洞检测数据集、评测协议或数据泄漏证据。</x:v>
      </x:c>
      <x:c r="Q482" s="25" t="str"/>
      <x:c r="R482" s="24" t="str">
        <x:f>IF(Q482&lt;&gt;"",Q482,O482)</x:f>
        <x:v>2</x:v>
      </x:c>
      <x:c r="S482" s="29" t="str"/>
    </x:row>
    <x:row r="483" ht="54" customHeight="1">
      <x:c r="A483" s="17" t="str">
        <x:v>csq025-r02</x:v>
      </x:c>
      <x:c r="B483" s="17" t="str">
        <x:v>csq025</x:v>
      </x:c>
      <x:c r="C483" s="17" t="str">
        <x:v>software_engineering</x:v>
      </x:c>
      <x:c r="D483" s="17" t="str">
        <x:v>vulnerability_detection</x:v>
      </x:c>
      <x:c r="E483" s="27" t="str">
        <x:v>Which datasets and evaluation protocols are used for machine-learning-based source-code vulnerability detection, and which forms of data leakage can inflate reported performance?</x:v>
      </x:c>
      <x:c r="F483" s="22" t="n">
        <x:v>2</x:v>
      </x:c>
      <x:c r="G483" s="17" t="str">
        <x:v>arXiv:2303.07525</x:v>
      </x:c>
      <x:c r="H483" s="27" t="str">
        <x:v>Automated Vulnerability Detection in Source Code Using Quantum Natural Language Processing</x:v>
      </x:c>
      <x:c r="I483" s="17" t="str">
        <x:v>Mst Shapna Akter; Hossain Shahriar; Zakirul Alam Bhuiya</x:v>
      </x:c>
      <x:c r="J483" s="22" t="n">
        <x:v>2023</x:v>
      </x:c>
      <x:c r="K483" s="27" t="str">
        <x:v>One of the most important challenges in the field of software code audit is the presence of vulnerabilities in software source code. These flaws are highly likely ex-ploited and lead to system compromise, data leakage, or denial of ser-vice. C and C++ open source code are now available in order to create a large-scale, classical machine-learning and quantum machine-learning system for function-level vulnerability identification. We assembled a siz-able dataset of millions of open-source functions that point to poten-tial exploits. We created an efficient and scalable vulnerability detection method based on a deep neural network model Long Short Term Memory (LSTM), and quantum machine learning model Long Short Term Memory (QLSTM), that can learn features extracted from the source codes. The source code is first converted into a minimal intermediate representation to remove the pointless components and shorten the de-pendency. Therefore, We keep the semantic and syntactic information using state of the art word embedding algorithms such as Glove and fastText. The embedded vectors are subsequently fed into the classical and quantum convolutional neural networks to classify the possible vulnerabilities. To measure the performance, we used evaluation metrics such as F1 score, precision, re-call, accuracy, and total execution time. We made a comparison between the results derived from the classical LSTM and quantum LSTM using basic feature representation as well as semantic and syntactic represen-tation. We found that the QLSTM with semantic and syntactic features detects significantly accurate vulnerability and runs faster than its classical counterpart.</x:v>
      </x:c>
      <x:c r="L483" s="17" t="str">
        <x:v>http://arxiv.org/abs/2303.07525v1</x:v>
      </x:c>
      <x:c r="M483" s="23" t="n">
        <x:v>0.7942990628192175</x:v>
      </x:c>
      <x:c r="N483" s="17" t="str">
        <x:v>qwen3-rerank-no-instruct-20260727-125006-results.jsonl</x:v>
      </x:c>
      <x:c r="O483" s="24" t="str">
        <x:v>2</x:v>
      </x:c>
      <x:c r="P483" s="28" t="str">
        <x:v>《Automated Vulnerability Detection in Source Code Using Quantum Natural Language Processing》核心提供ML源代码漏洞检测数据集、评测协议或数据泄漏证据。</x:v>
      </x:c>
      <x:c r="Q483" s="25" t="str"/>
      <x:c r="R483" s="24" t="str">
        <x:f>IF(Q483&lt;&gt;"",Q483,O483)</x:f>
        <x:v>2</x:v>
      </x:c>
      <x:c r="S483" s="29" t="str"/>
    </x:row>
    <x:row r="484" ht="54" customHeight="1">
      <x:c r="A484" s="17" t="str">
        <x:v>csq025-r03</x:v>
      </x:c>
      <x:c r="B484" s="17" t="str">
        <x:v>csq025</x:v>
      </x:c>
      <x:c r="C484" s="17" t="str">
        <x:v>software_engineering</x:v>
      </x:c>
      <x:c r="D484" s="17" t="str">
        <x:v>vulnerability_detection</x:v>
      </x:c>
      <x:c r="E484" s="27" t="str">
        <x:v>Which datasets and evaluation protocols are used for machine-learning-based source-code vulnerability detection, and which forms of data leakage can inflate reported performance?</x:v>
      </x:c>
      <x:c r="F484" s="22" t="n">
        <x:v>3</x:v>
      </x:c>
      <x:c r="G484" s="17" t="str">
        <x:v>arXiv:1807.04320</x:v>
      </x:c>
      <x:c r="H484" s="27" t="str">
        <x:v>Automated Vulnerability Detection in Source Code Using Deep Representation Learning</x:v>
      </x:c>
      <x:c r="I484" s="17" t="str">
        <x:v>Rebecca L. Russell; Louis Kim; Lei H. Hamilton; Tomo Lazovich; Jacob A. Harer; Onur Ozdemir; Paul M. Ellingwood; Marc W. McConley</x:v>
      </x:c>
      <x:c r="J484" s="22" t="n">
        <x:v>2018</x:v>
      </x:c>
      <x:c r="K484" s="27" t="str">
        <x:v>Increasing numbers of software vulnerabilities are discovered every year whether they are reported publicly or discovered internally in proprietary code. These vulnerabilities can pose serious risk of exploit and result in system compromise, information leaks, or denial of service. We leveraged the wealth of C and C++ open-source code available to develop a large-scale function-level vulnerability detection system using machine learning. To supplement existing labeled vulnerability datasets, we compiled a vast dataset of millions of open-source functions and labeled it with carefully-selected findings from three different static analyzers that indicate potential exploits. The labeled dataset is available at: https://osf.io/d45bw/. Using these datasets, we developed a fast and scalable vulnerability detection tool based on deep feature representation learning that directly interprets lexed source code. We evaluated our tool on code from both real software packages and the NIST SATE IV benchmark dataset. Our results demonstrate that deep feature representation learning on source code is a promising approach for automated software vulnerability detection.</x:v>
      </x:c>
      <x:c r="L484" s="17" t="str">
        <x:v>http://arxiv.org/abs/1807.04320v2</x:v>
      </x:c>
      <x:c r="M484" s="23" t="n">
        <x:v>0.7519113592093796</x:v>
      </x:c>
      <x:c r="N484" s="17" t="str">
        <x:v>qwen3-rerank-no-instruct-20260727-125006-results.jsonl</x:v>
      </x:c>
      <x:c r="O484" s="24" t="str">
        <x:v>2</x:v>
      </x:c>
      <x:c r="P484" s="28" t="str">
        <x:v>《Automated Vulnerability Detection in Source Code Using Deep Representation Learning》核心提供ML源代码漏洞检测数据集、评测协议或数据泄漏证据。</x:v>
      </x:c>
      <x:c r="Q484" s="25" t="str"/>
      <x:c r="R484" s="24" t="str">
        <x:f>IF(Q484&lt;&gt;"",Q484,O484)</x:f>
        <x:v>2</x:v>
      </x:c>
      <x:c r="S484" s="29" t="str"/>
    </x:row>
    <x:row r="485" ht="54" customHeight="1">
      <x:c r="A485" s="17" t="str">
        <x:v>csq025-r04</x:v>
      </x:c>
      <x:c r="B485" s="17" t="str">
        <x:v>csq025</x:v>
      </x:c>
      <x:c r="C485" s="17" t="str">
        <x:v>software_engineering</x:v>
      </x:c>
      <x:c r="D485" s="17" t="str">
        <x:v>vulnerability_detection</x:v>
      </x:c>
      <x:c r="E485" s="27" t="str">
        <x:v>Which datasets and evaluation protocols are used for machine-learning-based source-code vulnerability detection, and which forms of data leakage can inflate reported performance?</x:v>
      </x:c>
      <x:c r="F485" s="22" t="n">
        <x:v>4</x:v>
      </x:c>
      <x:c r="G485" s="17" t="str">
        <x:v>arXiv:2205.12424</x:v>
      </x:c>
      <x:c r="H485" s="27" t="str">
        <x:v>VulBERTa: Simplified Source Code Pre-Training for Vulnerability Detection</x:v>
      </x:c>
      <x:c r="I485" s="17" t="str">
        <x:v>Hazim Hanif; Sergio Maffeis</x:v>
      </x:c>
      <x:c r="J485" s="22" t="n">
        <x:v>2022</x:v>
      </x:c>
      <x:c r="K485" s="27" t="str">
        <x:v>This paper presents VulBERTa, a deep learning approach to detect security vulnerabilities in source code. Our approach pre-trains a RoBERTa model with a custom tokenisation pipeline on real-world code from open-source C/C++ projects. The model learns a deep knowledge representation of the code syntax and semantics, which we leverage to train vulnerability detection classifiers. We evaluate our approach on binary and multi-class vulnerability detection tasks across several datasets (Vuldeepecker, Draper, REVEAL and muVuldeepecker) and benchmarks (CodeXGLUE and D2A). The evaluation results show that VulBERTa achieves state-of-the-art performance and outperforms existing approaches across different datasets, despite its conceptual simplicity, and limited cost in terms of size of training data and number of model parameters.</x:v>
      </x:c>
      <x:c r="L485" s="17" t="str">
        <x:v>http://arxiv.org/abs/2205.12424v1</x:v>
      </x:c>
      <x:c r="M485" s="23" t="n">
        <x:v>0.7378424426898645</x:v>
      </x:c>
      <x:c r="N485" s="17" t="str">
        <x:v>qwen3-rerank-no-instruct-20260727-125006-results.jsonl</x:v>
      </x:c>
      <x:c r="O485" s="24" t="str">
        <x:v>2</x:v>
      </x:c>
      <x:c r="P485" s="28" t="str">
        <x:v>《VulBERTa: Simplified Source Code Pre-Training for Vulnerability Detection》核心提供ML源代码漏洞检测数据集、评测协议或数据泄漏证据。</x:v>
      </x:c>
      <x:c r="Q485" s="25" t="str"/>
      <x:c r="R485" s="24" t="str">
        <x:f>IF(Q485&lt;&gt;"",Q485,O485)</x:f>
        <x:v>2</x:v>
      </x:c>
      <x:c r="S485" s="29" t="str"/>
    </x:row>
    <x:row r="486" ht="54" customHeight="1">
      <x:c r="A486" s="17" t="str">
        <x:v>csq025-r05</x:v>
      </x:c>
      <x:c r="B486" s="17" t="str">
        <x:v>csq025</x:v>
      </x:c>
      <x:c r="C486" s="17" t="str">
        <x:v>software_engineering</x:v>
      </x:c>
      <x:c r="D486" s="17" t="str">
        <x:v>vulnerability_detection</x:v>
      </x:c>
      <x:c r="E486" s="27" t="str">
        <x:v>Which datasets and evaluation protocols are used for machine-learning-based source-code vulnerability detection, and which forms of data leakage can inflate reported performance?</x:v>
      </x:c>
      <x:c r="F486" s="22" t="n">
        <x:v>5</x:v>
      </x:c>
      <x:c r="G486" s="17" t="str">
        <x:v>arXiv:2306.07981</x:v>
      </x:c>
      <x:c r="H486" s="27" t="str">
        <x:v>Feature Engineering-Based Detection of Buffer Overflow Vulnerability in Source Code Using Neural Networks</x:v>
      </x:c>
      <x:c r="I486" s="17" t="str">
        <x:v>Mst Shapna Akter; Hossain Shahriar; Juan Rodriguez Cardenas; Sheikh Iqbal Ahamed; Alfredo Cuzzocrea</x:v>
      </x:c>
      <x:c r="J486" s="22" t="n">
        <x:v>2023</x:v>
      </x:c>
      <x:c r="K486" s="27" t="str">
        <x:v>One of the most significant challenges in the field of software code auditing is the presence of vulnerabilities in software source code. Every year, more and more software flaws are discovered, either internally in proprietary code or publicly disclosed. These flaws are highly likely to be exploited and can lead to system compromise, data leakage, or denial of service. To create a large-scale machine learning system for function level vulnerability identification, we utilized a sizable dataset of C and C++ open-source code containing millions of functions with potential buffer overflow exploits. We have developed an efficient and scalable vulnerability detection method based on neural network models that learn features extracted from the source codes. The source code is first converted into an intermediate representation to remove unnecessary components and shorten dependencies. We maintain the semantic and syntactic information using state of the art word embedding algorithms such as GloVe and fastText. The embedded vectors are subsequently fed into neural networks such as LSTM, BiLSTM, LSTM Autoencoder, word2vec, BERT, and GPT2 to classify the possible vulnerabilities. We maintain the semantic and syntactic information using state of the art word embedding algorithms such as GloVe and fastText. The embedded vectors are subsequently fed into neural networks such as LSTM, BiLSTM, LSTM Autoencoder, word2vec, BERT, and GPT2 to classify the possible vulnerabilities. Furthermore, we have proposed a neural network model that can overcome issues associated with traditional neural networks. We have used evaluation metrics such as F1 score, precision, recall, accuracy, and total execution time to measure the performance. We have conducted a comparative analysis between results derived from features containing a minimal text representation and semantic and syntactic information.</x:v>
      </x:c>
      <x:c r="L486" s="17" t="str">
        <x:v>http://arxiv.org/abs/2306.07981v1</x:v>
      </x:c>
      <x:c r="M486" s="23" t="n">
        <x:v>0.7331818011907766</x:v>
      </x:c>
      <x:c r="N486" s="17" t="str">
        <x:v>qwen3-rerank-no-instruct-20260727-125006-results.jsonl</x:v>
      </x:c>
      <x:c r="O486" s="24" t="str">
        <x:v>2</x:v>
      </x:c>
      <x:c r="P486" s="28" t="str">
        <x:v>《Feature Engineering-Based Detection of Buffer Overflow Vulnerability in Source Code Using Neural Networks》核心提供ML源代码漏洞检测数据集、评测协议或数据泄漏证据。</x:v>
      </x:c>
      <x:c r="Q486" s="25" t="str"/>
      <x:c r="R486" s="24" t="str">
        <x:f>IF(Q486&lt;&gt;"",Q486,O486)</x:f>
        <x:v>2</x:v>
      </x:c>
      <x:c r="S486" s="29" t="str"/>
    </x:row>
    <x:row r="487" ht="54" customHeight="1">
      <x:c r="A487" s="17" t="str">
        <x:v>csq025-r06</x:v>
      </x:c>
      <x:c r="B487" s="17" t="str">
        <x:v>csq025</x:v>
      </x:c>
      <x:c r="C487" s="17" t="str">
        <x:v>software_engineering</x:v>
      </x:c>
      <x:c r="D487" s="17" t="str">
        <x:v>vulnerability_detection</x:v>
      </x:c>
      <x:c r="E487" s="27" t="str">
        <x:v>Which datasets and evaluation protocols are used for machine-learning-based source-code vulnerability detection, and which forms of data leakage can inflate reported performance?</x:v>
      </x:c>
      <x:c r="F487" s="22" t="n">
        <x:v>6</x:v>
      </x:c>
      <x:c r="G487" s="17" t="str">
        <x:v>arXiv:2306.11673</x:v>
      </x:c>
      <x:c r="H487" s="27" t="str">
        <x:v>A Survey on Automated Software Vulnerability Detection Using Machine Learning and Deep Learning</x:v>
      </x:c>
      <x:c r="I487" s="17" t="str">
        <x:v>Nima Shiri Harzevili; Alvine Boaye Belle; Junjie Wang; Song Wang; Zhen Ming;  Jiang; Nachiappan Nagappan</x:v>
      </x:c>
      <x:c r="J487" s="22" t="n">
        <x:v>2023</x:v>
      </x:c>
      <x:c r="K487" s="27" t="str">
        <x:v>Software vulnerability detection is critical in software security because it identifies potential bugs in software systems, enabling immediate remediation and mitigation measures to be implemented before they may be exploited. Automatic vulnerability identification is important because it can evaluate large codebases more efficiently than manual code auditing. Many Machine Learning (ML) and Deep Learning (DL) based models for detecting vulnerabilities in source code have been presented in recent years. However, a survey that summarises, classifies, and analyses the application of ML/DL models for vulnerability detection is missing. It may be difficult to discover gaps in existing research and potential for future improvement without a comprehensive survey. This could result in essential areas of research being overlooked or under-represented, leading to a skewed understanding of the state of the art in vulnerability detection. This work address that gap by presenting a systematic survey to characterize various features of ML/DL-based source code level software vulnerability detection approaches via five primary research questions (RQs). Specifically, our RQ1 examines the trend of publications that leverage ML/DL for vulnerability detection, including the evolution of research and the distribution of publication venues. RQ2 describes vulnerability datasets used by existing ML/DL-based models, including their sources, types, and representations, as well as analyses of the embedding techniques used by these approaches. RQ3 explores the model architectures and design assumptions of ML/DL-based vulnerability detection approaches. RQ4 summarises the type and frequency of vulnerabilities that are covered by existing studies. Lastly, RQ5 presents a list of current challenges to be researched and an outline of a potential research roadmap that highlights crucial opportunities for future work.</x:v>
      </x:c>
      <x:c r="L487" s="17" t="str">
        <x:v>http://arxiv.org/abs/2306.11673v1</x:v>
      </x:c>
      <x:c r="M487" s="23" t="n">
        <x:v>0.6846735492883347</x:v>
      </x:c>
      <x:c r="N487" s="17" t="str">
        <x:v>qwen3-rerank-no-instruct-20260727-125006-results.jsonl</x:v>
      </x:c>
      <x:c r="O487" s="24" t="str">
        <x:v>2</x:v>
      </x:c>
      <x:c r="P487" s="28" t="str">
        <x:v>《A Survey on Automated Software Vulnerability Detection Using Machine Learning and Deep Learning》核心提供ML源代码漏洞检测数据集、评测协议或数据泄漏证据。</x:v>
      </x:c>
      <x:c r="Q487" s="25" t="str"/>
      <x:c r="R487" s="24" t="str">
        <x:f>IF(Q487&lt;&gt;"",Q487,O487)</x:f>
        <x:v>2</x:v>
      </x:c>
      <x:c r="S487" s="29" t="str"/>
    </x:row>
    <x:row r="488" ht="54" customHeight="1">
      <x:c r="A488" s="17" t="str">
        <x:v>csq025-r07</x:v>
      </x:c>
      <x:c r="B488" s="17" t="str">
        <x:v>csq025</x:v>
      </x:c>
      <x:c r="C488" s="17" t="str">
        <x:v>software_engineering</x:v>
      </x:c>
      <x:c r="D488" s="17" t="str">
        <x:v>vulnerability_detection</x:v>
      </x:c>
      <x:c r="E488" s="27" t="str">
        <x:v>Which datasets and evaluation protocols are used for machine-learning-based source-code vulnerability detection, and which forms of data leakage can inflate reported performance?</x:v>
      </x:c>
      <x:c r="F488" s="22" t="n">
        <x:v>7</x:v>
      </x:c>
      <x:c r="G488" s="17" t="str">
        <x:v>arXiv:2404.09537</x:v>
      </x:c>
      <x:c r="H488" s="27" t="str">
        <x:v>Machine Learning Techniques for Python Source Code Vulnerability Detection</x:v>
      </x:c>
      <x:c r="I488" s="17" t="str">
        <x:v>Talaya Farasat; Joachim Posegga</x:v>
      </x:c>
      <x:c r="J488" s="22" t="n">
        <x:v>2024</x:v>
      </x:c>
      <x:c r="K488" s="27" t="str">
        <x:v>Software vulnerabilities are a fundamental reason for the prevalence of cyber attacks and their identification is a crucial yet challenging problem in cyber security. In this paper, we apply and compare different machine learning algorithms for source code vulnerability detection specifically for Python programming language. Our experimental evaluation demonstrates that our Bidirectional Long Short-Term Memory (BiLSTM) model achieves a remarkable performance (average Accuracy = 98.6%, average F-Score = 94.7%, average Precision = 96.2%, average Recall = 93.3%, average ROC = 99.3%), thereby, establishing a new benchmark for vulnerability detection in Python source code.</x:v>
      </x:c>
      <x:c r="L488" s="17" t="str">
        <x:v>http://arxiv.org/abs/2404.09537v1</x:v>
      </x:c>
      <x:c r="M488" s="23" t="n">
        <x:v>0.6330463686650252</x:v>
      </x:c>
      <x:c r="N488" s="17" t="str">
        <x:v>qwen3-rerank-no-instruct-20260727-125006-results.jsonl</x:v>
      </x:c>
      <x:c r="O488" s="24" t="str">
        <x:v>2</x:v>
      </x:c>
      <x:c r="P488" s="28" t="str">
        <x:v>《Machine Learning Techniques for Python Source Code Vulnerability Detection》核心提供ML源代码漏洞检测数据集、评测协议或数据泄漏证据。</x:v>
      </x:c>
      <x:c r="Q488" s="25" t="str"/>
      <x:c r="R488" s="24" t="str">
        <x:f>IF(Q488&lt;&gt;"",Q488,O488)</x:f>
        <x:v>2</x:v>
      </x:c>
      <x:c r="S488" s="29" t="str"/>
    </x:row>
    <x:row r="489" ht="54" customHeight="1">
      <x:c r="A489" s="17" t="str">
        <x:v>csq025-r08</x:v>
      </x:c>
      <x:c r="B489" s="17" t="str">
        <x:v>csq025</x:v>
      </x:c>
      <x:c r="C489" s="17" t="str">
        <x:v>software_engineering</x:v>
      </x:c>
      <x:c r="D489" s="17" t="str">
        <x:v>vulnerability_detection</x:v>
      </x:c>
      <x:c r="E489" s="27" t="str">
        <x:v>Which datasets and evaluation protocols are used for machine-learning-based source-code vulnerability detection, and which forms of data leakage can inflate reported performance?</x:v>
      </x:c>
      <x:c r="F489" s="22" t="n">
        <x:v>8</x:v>
      </x:c>
      <x:c r="G489" s="17" t="str">
        <x:v>arXiv:2511.09212</x:v>
      </x:c>
      <x:c r="H489" s="27" t="str">
        <x:v>Leveraging Self-Paced Learning for Software Vulnerability Detection</x:v>
      </x:c>
      <x:c r="I489" s="17" t="str">
        <x:v>Zeru Cheng; Yanjing Yang; He Zhang; Lanxin Yang; Jinghao Hu; Jinwei Xu; Bohan Liu; Haifeng Shen</x:v>
      </x:c>
      <x:c r="J489" s="22" t="n">
        <x:v>2025</x:v>
      </x:c>
      <x:c r="K489" s="27" t="str">
        <x:v>Software vulnerabilities are major risks to software systems. Recently, researchers have proposed many deep learning approaches to detect software vulnerabilities. However, their accuracy is limited in practice. One of the main causes is low-quality training data (i.e., source code). To this end, we propose a new approach: SPLVD (Self-Paced Learning for Software Vulnerability Detection). SPLVD dynamically selects source code for model training based on the stage of training, which simulates the human learning process progressing from easy to hard. SPLVD has a data selector that is specifically designed for the vulnerability detection task, which enables it to prioritize the learning of easy source code. Before each training epoch, SPLVD uses the data selector to recalculate the difficulty of the source code, select new training source code, and update the data selector. When evaluating SPLVD, we first use three benchmark datasets with over 239K source code in which 25K are vulnerable for standard evaluations. Experimental results demonstrate that SPLVD achieves the highest F1 of 89.2%, 68.7%, and 43.5%, respectively, outperforming the state-of-the-art approaches. Then we collect projects from OpenHarmony, a new ecosystem that has not been learned by general LLMs, to evaluate SPLVD further. SPLVD achieves the highest precision of 90.9%, demonstrating its practical effectiveness.</x:v>
      </x:c>
      <x:c r="L489" s="17" t="str">
        <x:v>http://arxiv.org/abs/2511.09212v1</x:v>
      </x:c>
      <x:c r="M489" s="23" t="n">
        <x:v>0.6201957321664657</x:v>
      </x:c>
      <x:c r="N489" s="17" t="str">
        <x:v>qwen3-rerank-no-instruct-20260727-125006-results.jsonl</x:v>
      </x:c>
      <x:c r="O489" s="24" t="str">
        <x:v>2</x:v>
      </x:c>
      <x:c r="P489" s="28" t="str">
        <x:v>《Leveraging Self-Paced Learning for Software Vulnerability Detection》核心提供ML源代码漏洞检测数据集、评测协议或数据泄漏证据。</x:v>
      </x:c>
      <x:c r="Q489" s="25" t="str"/>
      <x:c r="R489" s="24" t="str">
        <x:f>IF(Q489&lt;&gt;"",Q489,O489)</x:f>
        <x:v>2</x:v>
      </x:c>
      <x:c r="S489" s="29" t="str"/>
    </x:row>
    <x:row r="490" ht="54" customHeight="1">
      <x:c r="A490" s="17" t="str">
        <x:v>csq025-r09</x:v>
      </x:c>
      <x:c r="B490" s="17" t="str">
        <x:v>csq025</x:v>
      </x:c>
      <x:c r="C490" s="17" t="str">
        <x:v>software_engineering</x:v>
      </x:c>
      <x:c r="D490" s="17" t="str">
        <x:v>vulnerability_detection</x:v>
      </x:c>
      <x:c r="E490" s="27" t="str">
        <x:v>Which datasets and evaluation protocols are used for machine-learning-based source-code vulnerability detection, and which forms of data leakage can inflate reported performance?</x:v>
      </x:c>
      <x:c r="F490" s="22" t="n">
        <x:v>9</x:v>
      </x:c>
      <x:c r="G490" s="17" t="str">
        <x:v>arXiv:2306.05375</x:v>
      </x:c>
      <x:c r="H490" s="27" t="str">
        <x:v>Sequential Graph Neural Networks for Source Code Vulnerability Identification</x:v>
      </x:c>
      <x:c r="I490" s="17" t="str">
        <x:v>Ammar Ahmed; Anwar Said; Mudassir Shabbir; Xenofon Koutsoukos</x:v>
      </x:c>
      <x:c r="J490" s="22" t="n">
        <x:v>2023</x:v>
      </x:c>
      <x:c r="K490" s="27" t="str">
        <x:v>Vulnerability identification constitutes a task of high importance for cyber security. It is quite helpful for locating and fixing vulnerable functions in large applications. However, this task is rather challenging owing to the absence of reliable and adequately managed datasets and learning models. Existing solutions typically rely on human expertise to annotate datasets or specify features, which is prone to error. In addition, the learning models have a high rate of false positives. To bridge this gap, in this paper, we present a properly curated C/C++ source code vulnerability dataset, denoted as CVEFunctionGraphEmbeddings (CVEFGE), to aid in developing models. CVEFGE is automatically crawled from the CVE database, which contains authentic and publicly disclosed source code vulnerabilities. We also propose a learning framework based on graph neural networks, denoted SEquential Graph Neural Network (SEGNN) for learning a large number of code semantic representations. SEGNN consists of a sequential learning module, graph convolution, pooling, and fully connected layers. Our evaluations on two datasets and four baseline methods in a graph classification setting demonstrate state-of-the-art results.</x:v>
      </x:c>
      <x:c r="L490" s="17" t="str">
        <x:v>http://arxiv.org/abs/2306.05375v1</x:v>
      </x:c>
      <x:c r="M490" s="23" t="n">
        <x:v>0.6084994160552668</x:v>
      </x:c>
      <x:c r="N490" s="17" t="str">
        <x:v>qwen3-rerank-no-instruct-20260727-125006-results.jsonl</x:v>
      </x:c>
      <x:c r="O490" s="24" t="str">
        <x:v>2</x:v>
      </x:c>
      <x:c r="P490" s="28" t="str">
        <x:v>《Sequential Graph Neural Networks for Source Code Vulnerability Identification》核心提供ML源代码漏洞检测数据集、评测协议或数据泄漏证据。</x:v>
      </x:c>
      <x:c r="Q490" s="25" t="str"/>
      <x:c r="R490" s="24" t="str">
        <x:f>IF(Q490&lt;&gt;"",Q490,O490)</x:f>
        <x:v>2</x:v>
      </x:c>
      <x:c r="S490" s="29" t="str"/>
    </x:row>
    <x:row r="491" ht="54" customHeight="1">
      <x:c r="A491" s="17" t="str">
        <x:v>csq025-r10</x:v>
      </x:c>
      <x:c r="B491" s="17" t="str">
        <x:v>csq025</x:v>
      </x:c>
      <x:c r="C491" s="17" t="str">
        <x:v>software_engineering</x:v>
      </x:c>
      <x:c r="D491" s="17" t="str">
        <x:v>vulnerability_detection</x:v>
      </x:c>
      <x:c r="E491" s="27" t="str">
        <x:v>Which datasets and evaluation protocols are used for machine-learning-based source-code vulnerability detection, and which forms of data leakage can inflate reported performance?</x:v>
      </x:c>
      <x:c r="F491" s="22" t="n">
        <x:v>10</x:v>
      </x:c>
      <x:c r="G491" s="17" t="str">
        <x:v>arXiv:2512.18456</x:v>
      </x:c>
      <x:c r="H491" s="27" t="str">
        <x:v>SoK: Understanding (New) Security Issues Across AI4Code Use Cases</x:v>
      </x:c>
      <x:c r="I491" s="17" t="str">
        <x:v>Qilong Wu; Taoran Li; Tianyang Zhou; Varun Chandrasekaran</x:v>
      </x:c>
      <x:c r="J491" s="22" t="n">
        <x:v>2025</x:v>
      </x:c>
      <x:c r="K491" s="27" t="str">
        <x:v>AI-for-Code (AI4Code) systems are reshaping software engineering, with tools like GitHub Copilot accelerating code generation, translation, and vulnerability detection. Alongside these advances, however, security risks remain pervasive: insecure outputs, biased benchmarks, and susceptibility to adversarial manipulation undermine their reliability. This SoK surveys the landscape of AI4Code security across three core applications, identifying recurring gaps: benchmark dominance by Python and toy problems, lack of standardized security datasets, data leakage in evaluation, and fragile adversarial robustness. A comparative study of six state-of-the-art models illustrates these challenges: insecure patterns persist in code generation, vulnerability detection is brittle to semantic-preserving attacks, fine-tuning often misaligns security objectives, and code translation yields uneven security benefits. From this analysis, we distill three forward paths: embedding secure-by-default practices in code generation, building robust and comprehensive detection benchmarks, and leveraging translation as a route to security-enhanced languages. We call for a shift toward security-first AI4Code, where vulnerability mitigation and robustness are embedded throughout the development life cycle.</x:v>
      </x:c>
      <x:c r="L491" s="17" t="str">
        <x:v>http://arxiv.org/abs/2512.18456v1</x:v>
      </x:c>
      <x:c r="M491" s="23" t="n">
        <x:v>0.6046065813147747</x:v>
      </x:c>
      <x:c r="N491" s="17" t="str">
        <x:v>qwen3-rerank-no-instruct-20260727-125006-results.jsonl</x:v>
      </x:c>
      <x:c r="O491" s="24" t="str">
        <x:v>2</x:v>
      </x:c>
      <x:c r="P491" s="28" t="str">
        <x:v>《SoK: Understanding (New) Security Issues Across AI4Code Use Cases》核心提供ML源代码漏洞检测数据集、评测协议或数据泄漏证据。</x:v>
      </x:c>
      <x:c r="Q491" s="25" t="str"/>
      <x:c r="R491" s="24" t="str">
        <x:f>IF(Q491&lt;&gt;"",Q491,O491)</x:f>
        <x:v>2</x:v>
      </x:c>
      <x:c r="S491" s="29" t="str"/>
    </x:row>
    <x:row r="492" ht="54" customHeight="1">
      <x:c r="A492" s="17" t="str">
        <x:v>csq025-r11</x:v>
      </x:c>
      <x:c r="B492" s="17" t="str">
        <x:v>csq025</x:v>
      </x:c>
      <x:c r="C492" s="17" t="str">
        <x:v>software_engineering</x:v>
      </x:c>
      <x:c r="D492" s="17" t="str">
        <x:v>vulnerability_detection</x:v>
      </x:c>
      <x:c r="E492" s="27" t="str">
        <x:v>Which datasets and evaluation protocols are used for machine-learning-based source-code vulnerability detection, and which forms of data leakage can inflate reported performance?</x:v>
      </x:c>
      <x:c r="F492" s="22" t="n">
        <x:v>11</x:v>
      </x:c>
      <x:c r="G492" s="17" t="str">
        <x:v>arXiv:2304.00409</x:v>
      </x:c>
      <x:c r="H492" s="27" t="str">
        <x:v>DiverseVul: A New Vulnerable Source Code Dataset for Deep Learning Based Vulnerability Detection</x:v>
      </x:c>
      <x:c r="I492" s="17" t="str">
        <x:v>Yizheng Chen; Zhoujie Ding; Lamya Alowain; Xinyun Chen; David Wagner</x:v>
      </x:c>
      <x:c r="J492" s="22" t="n">
        <x:v>2023</x:v>
      </x:c>
      <x:c r="K492" s="27" t="str">
        <x:v>We propose and release a new vulnerable source code dataset. We curate the dataset by crawling security issue websites, extracting vulnerability-fixing commits and source codes from the corresponding projects. Our new dataset contains 18,945 vulnerable functions spanning 150 CWEs and 330,492 non-vulnerable functions extracted from 7,514 commits. Our dataset covers 295 more projects than all previous datasets combined. Combining our new dataset with previous datasets, we present an analysis of the challenges and promising research directions of using deep learning for detecting software vulnerabilities. We study 11 model architectures belonging to 4 families. Our results show that deep learning is still not ready for vulnerability detection, due to high false positive rate, low F1 score, and difficulty of detecting hard CWEs. In particular, we demonstrate an important generalization challenge for the deployment of deep learning-based models. We show that increasing the volume of training data may not further improve the performance of deep learning models for vulnerability detection, but might be useful to improve the generalization ability to unseen projects. We also identify hopeful future research directions. We demonstrate that large language models (LLMs) are a promising research direction for ML-based vulnerability detection, outperforming Graph Neural Networks (GNNs) with code-structure features in our experiments. Moreover, developing source code specific pre-training objectives is a promising research direction to improve the vulnerability detection performance.</x:v>
      </x:c>
      <x:c r="L492" s="17" t="str">
        <x:v>http://arxiv.org/abs/2304.00409v2</x:v>
      </x:c>
      <x:c r="M492" s="23" t="n">
        <x:v>0.6029470614511775</x:v>
      </x:c>
      <x:c r="N492" s="17" t="str">
        <x:v>qwen3-rerank-no-instruct-20260727-125006-results.jsonl</x:v>
      </x:c>
      <x:c r="O492" s="24" t="str">
        <x:v>2</x:v>
      </x:c>
      <x:c r="P492" s="28" t="str">
        <x:v>《DiverseVul: A New Vulnerable Source Code Dataset for Deep Learning Based Vulnerability Detection》核心提供ML源代码漏洞检测数据集、评测协议或数据泄漏证据。</x:v>
      </x:c>
      <x:c r="Q492" s="25" t="str"/>
      <x:c r="R492" s="24" t="str">
        <x:f>IF(Q492&lt;&gt;"",Q492,O492)</x:f>
        <x:v>2</x:v>
      </x:c>
      <x:c r="S492" s="29" t="str"/>
    </x:row>
    <x:row r="493" ht="54" customHeight="1">
      <x:c r="A493" s="17" t="str">
        <x:v>csq025-r12</x:v>
      </x:c>
      <x:c r="B493" s="17" t="str">
        <x:v>csq025</x:v>
      </x:c>
      <x:c r="C493" s="17" t="str">
        <x:v>software_engineering</x:v>
      </x:c>
      <x:c r="D493" s="17" t="str">
        <x:v>vulnerability_detection</x:v>
      </x:c>
      <x:c r="E493" s="27" t="str">
        <x:v>Which datasets and evaluation protocols are used for machine-learning-based source-code vulnerability detection, and which forms of data leakage can inflate reported performance?</x:v>
      </x:c>
      <x:c r="F493" s="22" t="n">
        <x:v>12</x:v>
      </x:c>
      <x:c r="G493" s="17" t="str">
        <x:v>arXiv:2407.14372</x:v>
      </x:c>
      <x:c r="H493" s="27" t="str">
        <x:v>SCoPE: Evaluating LLMs for Software Vulnerability Detection</x:v>
      </x:c>
      <x:c r="I493" s="17" t="str">
        <x:v>José Gonçalves; Tiago Dias; Eva Maia; Isabel Praça</x:v>
      </x:c>
      <x:c r="J493" s="22" t="n">
        <x:v>2024</x:v>
      </x:c>
      <x:c r="K493" s="27" t="str">
        <x:v>In recent years, code security has become increasingly important, especially with the rise of interconnected technologies. Detecting vulnerabilities early in the software development process has demonstrated numerous benefits. Consequently, the scientific community started using machine learning for automated detection of source code vulnerabilities. This work explores and refines the CVEFixes dataset, which is commonly used to train models for code-related tasks, specifically the C/C++ subset. To this purpose, the Source Code Processing Engine (SCoPE), a framework composed of strategized techniques that can be used to reduce the size and normalize C/C++ functions is presented. The output generated by SCoPE was used to create a new version of CVEFixes. This refined dataset was then employed in a feature representation analysis to assess the effectiveness of the tool's code processing techniques, consisting of fine-tuning three pre-trained LLMs for software vulnerability detection. The results show that SCoPE successfully helped to identify 905 duplicates within the evaluated subset. The LLM results corroborate with the literature regarding their suitability for software vulnerability detection, with the best model achieving 53% F1-score.</x:v>
      </x:c>
      <x:c r="L493" s="17" t="str">
        <x:v>http://arxiv.org/abs/2407.14372v1</x:v>
      </x:c>
      <x:c r="M493" s="23" t="n">
        <x:v>0.5954825007033913</x:v>
      </x:c>
      <x:c r="N493" s="17" t="str">
        <x:v>qwen3-rerank-no-instruct-20260727-125006-results.jsonl</x:v>
      </x:c>
      <x:c r="O493" s="24" t="str">
        <x:v>2</x:v>
      </x:c>
      <x:c r="P493" s="28" t="str">
        <x:v>《SCoPE: Evaluating LLMs for Software Vulnerability Detection》核心提供ML源代码漏洞检测数据集、评测协议或数据泄漏证据。</x:v>
      </x:c>
      <x:c r="Q493" s="25" t="str"/>
      <x:c r="R493" s="24" t="str">
        <x:f>IF(Q493&lt;&gt;"",Q493,O493)</x:f>
        <x:v>2</x:v>
      </x:c>
      <x:c r="S493" s="29" t="str"/>
    </x:row>
    <x:row r="494" ht="54" customHeight="1">
      <x:c r="A494" s="17" t="str">
        <x:v>csq025-r13</x:v>
      </x:c>
      <x:c r="B494" s="17" t="str">
        <x:v>csq025</x:v>
      </x:c>
      <x:c r="C494" s="17" t="str">
        <x:v>software_engineering</x:v>
      </x:c>
      <x:c r="D494" s="17" t="str">
        <x:v>vulnerability_detection</x:v>
      </x:c>
      <x:c r="E494" s="27" t="str">
        <x:v>Which datasets and evaluation protocols are used for machine-learning-based source-code vulnerability detection, and which forms of data leakage can inflate reported performance?</x:v>
      </x:c>
      <x:c r="F494" s="22" t="n">
        <x:v>13</x:v>
      </x:c>
      <x:c r="G494" s="17" t="str">
        <x:v>arXiv:2507.16887</x:v>
      </x:c>
      <x:c r="H494" s="27" t="str">
        <x:v>Revisiting Pre-trained Language Models for Vulnerability Detection</x:v>
      </x:c>
      <x:c r="I494" s="17" t="str">
        <x:v>Youpeng Li; Weiliang Qi; Xuyu Wang; Fuxun Yu; Xinda Wang</x:v>
      </x:c>
      <x:c r="J494" s="22" t="n">
        <x:v>2025</x:v>
      </x:c>
      <x:c r="K494" s="27" t="str">
        <x:v>The rapid advancement of pre-trained language models (PLMs) has demonstrated promising results for various code-related tasks. However, their effectiveness in detecting real-world vulnerabilities remains a critical challenge. While existing empirical studies evaluate PLMs for vulnerability detection (VD), they suffer from data leakage, limited scope, and superficial analysis, hindering the accuracy and comprehensiveness of evaluations. This paper begins by revisiting the common issues in existing research on PLMs for VD through the evaluation pipeline. It then proceeds with an accurate and extensive evaluation of 18 PLMs on high-quality datasets that feature accurate labeling, diverse vulnerability types, and various projects. Specifically, we compare the performance of PLMs under both fine-tuning and prompt engineering, assess their effectiveness and generalizability across various training and testing settings, and analyze their robustness to a series of perturbations. Our findings reveal that PLMs incorporating pre-training tasks designed to capture the syntactic and semantic patterns of code outperform both general-purpose PLMs and those solely pre-trained or fine-tuned on large code corpora. However, these models face notable challenges in real-world scenarios, such as difficulties in detecting vulnerabilities with complex dependencies, handling perturbations introduced by code normalization and abstraction, and identifying semantic-preserving vulnerable code transformations. Also, the truncation caused by the limited context windows of PLMs can lead to a non-negligible number of labeling errors, which is overlooked by previous work. This study underscores the importance of thorough evaluations of model performance in practical scenarios and outlines future directions to help enhance the effectiveness of PLMs for realistic VD applications.</x:v>
      </x:c>
      <x:c r="L494" s="17" t="str">
        <x:v>http://arxiv.org/abs/2507.16887v3</x:v>
      </x:c>
      <x:c r="M494" s="23" t="n">
        <x:v>0.5361142827134437</x:v>
      </x:c>
      <x:c r="N494" s="17" t="str">
        <x:v>qwen3-rerank-no-instruct-20260727-125006-results.jsonl</x:v>
      </x:c>
      <x:c r="O494" s="24" t="str">
        <x:v>2</x:v>
      </x:c>
      <x:c r="P494" s="28" t="str">
        <x:v>《Revisiting Pre-trained Language Models for Vulnerability Detection》核心提供ML源代码漏洞检测数据集、评测协议或数据泄漏证据。</x:v>
      </x:c>
      <x:c r="Q494" s="25" t="str"/>
      <x:c r="R494" s="24" t="str">
        <x:f>IF(Q494&lt;&gt;"",Q494,O494)</x:f>
        <x:v>2</x:v>
      </x:c>
      <x:c r="S494" s="29" t="str"/>
    </x:row>
    <x:row r="495" ht="54" customHeight="1">
      <x:c r="A495" s="17" t="str">
        <x:v>csq025-r14</x:v>
      </x:c>
      <x:c r="B495" s="17" t="str">
        <x:v>csq025</x:v>
      </x:c>
      <x:c r="C495" s="17" t="str">
        <x:v>software_engineering</x:v>
      </x:c>
      <x:c r="D495" s="17" t="str">
        <x:v>vulnerability_detection</x:v>
      </x:c>
      <x:c r="E495" s="27" t="str">
        <x:v>Which datasets and evaluation protocols are used for machine-learning-based source-code vulnerability detection, and which forms of data leakage can inflate reported performance?</x:v>
      </x:c>
      <x:c r="F495" s="22" t="n">
        <x:v>14</x:v>
      </x:c>
      <x:c r="G495" s="17" t="str">
        <x:v>arXiv:2503.17885</x:v>
      </x:c>
      <x:c r="H495" s="27" t="str">
        <x:v>Reasoning with LLMs for Zero-Shot Vulnerability Detection</x:v>
      </x:c>
      <x:c r="I495" s="17" t="str">
        <x:v>Arastoo Zibaeirad; Marco Vieira</x:v>
      </x:c>
      <x:c r="J495" s="22" t="n">
        <x:v>2025</x:v>
      </x:c>
      <x:c r="K495" s="27" t="str">
        <x:v>Automating software vulnerability detection (SVD) remains a critical challenge in an era of increasingly complex and interdependent software systems. Despite significant advances in Large Language Models (LLMs) for code analysis, prevailing evaluation methodologies often lack the \textbf{context-aware robustness} necessary to capture real-world intricacies and cross-component interactions. To address these limitations, we present \textbf{VulnSage}, a comprehensive evaluation framework and a dataset curated from diverse, large-scale open-source system software projects developed in C/C++. Unlike prior datasets, it leverages a heuristic noise pre-filtering approach combined with LLM-based reasoning to ensure a representative and minimally noisy spectrum of vulnerabilities. The framework supports multi-granular analysis across function, file, and inter-function levels and employs four diverse zero-shot prompt strategies: Baseline, Chain-of-Thought, Think, and Think &amp; Verify. Through this evaluation, we uncover that structured reasoning prompts substantially improve LLM performance, with Think &amp; Verify reducing ambiguous responses from 20.3% to 9.1% while increasing accuracy. We further demonstrate that code-specialized models consistently outperform general-purpose alternatives, with performance varying significantly across vulnerability types, revealing that no single approach universally excels across all security contexts. Link to dataset and codes: https://github.com/Erroristotle/VulnSage.git</x:v>
      </x:c>
      <x:c r="L495" s="17" t="str">
        <x:v>http://arxiv.org/abs/2503.17885v1</x:v>
      </x:c>
      <x:c r="M495" s="23" t="n">
        <x:v>0.5307744099018468</x:v>
      </x:c>
      <x:c r="N495" s="17" t="str">
        <x:v>qwen3-rerank-no-instruct-20260727-125006-results.jsonl</x:v>
      </x:c>
      <x:c r="O495" s="24" t="str">
        <x:v>2</x:v>
      </x:c>
      <x:c r="P495" s="28" t="str">
        <x:v>《Reasoning with LLMs for Zero-Shot Vulnerability Detection》核心提供ML源代码漏洞检测数据集、评测协议或数据泄漏证据。</x:v>
      </x:c>
      <x:c r="Q495" s="25" t="str"/>
      <x:c r="R495" s="24" t="str">
        <x:f>IF(Q495&lt;&gt;"",Q495,O495)</x:f>
        <x:v>2</x:v>
      </x:c>
      <x:c r="S495" s="29" t="str"/>
    </x:row>
    <x:row r="496" ht="54" customHeight="1">
      <x:c r="A496" s="17" t="str">
        <x:v>csq025-r15</x:v>
      </x:c>
      <x:c r="B496" s="17" t="str">
        <x:v>csq025</x:v>
      </x:c>
      <x:c r="C496" s="17" t="str">
        <x:v>software_engineering</x:v>
      </x:c>
      <x:c r="D496" s="17" t="str">
        <x:v>vulnerability_detection</x:v>
      </x:c>
      <x:c r="E496" s="27" t="str">
        <x:v>Which datasets and evaluation protocols are used for machine-learning-based source-code vulnerability detection, and which forms of data leakage can inflate reported performance?</x:v>
      </x:c>
      <x:c r="F496" s="22" t="n">
        <x:v>15</x:v>
      </x:c>
      <x:c r="G496" s="17" t="str">
        <x:v>arXiv:2503.18175</x:v>
      </x:c>
      <x:c r="H496" s="27" t="str">
        <x:v>Enhancing Software Vulnerability Detection Using Code Property Graphs and Convolutional Neural Networks</x:v>
      </x:c>
      <x:c r="I496" s="17" t="str">
        <x:v>Amanpreet Singh Saimbhi</x:v>
      </x:c>
      <x:c r="J496" s="22" t="n">
        <x:v>2025</x:v>
      </x:c>
      <x:c r="K496" s="27" t="str">
        <x:v>The increasing complexity of modern software systems has led to a rise in vulnerabilities that malicious actors can exploit. Traditional methods of vulnerability detection, such as static and dynamic analysis, have limitations in scalability and automation. This paper proposes a novel approach to detecting software vulnerabilities using a combination of code property graphs and machine learning techniques. By leveraging code property graphs, which integrate abstract syntax trees, control flow graphs, and program dependency graphs, we achieve a detailed representation of software code that enhances the accuracy and granularity of vulnerability detection. We introduce various neural network models, including convolutional neural networks adapted for graph data, to process these representations. Our approach provides a scalable and automated solution for vulnerability detection, addressing the shortcomings of existing methods. We also present a newly generated dataset labeled with function-level vulnerability types sourced from open-source repositories. Our contributions include a methodology for transforming software code into code property graphs, the implementation of a convolutional neural network model for graph data, and the creation of a comprehensive dataset for training and evaluation. This work lays the foundation for more effective and efficient vulnerability detection in complex software systems.</x:v>
      </x:c>
      <x:c r="L496" s="17" t="str">
        <x:v>http://arxiv.org/abs/2503.18175v1</x:v>
      </x:c>
      <x:c r="M496" s="23" t="n">
        <x:v>0.5193034797875495</x:v>
      </x:c>
      <x:c r="N496" s="17" t="str">
        <x:v>qwen3-rerank-no-instruct-20260727-125006-results.jsonl</x:v>
      </x:c>
      <x:c r="O496" s="24" t="str">
        <x:v>2</x:v>
      </x:c>
      <x:c r="P496" s="28" t="str">
        <x:v>《Enhancing Software Vulnerability Detection Using Code Property Graphs and Convolutional Neural Networks》核心提供ML源代码漏洞检测数据集、评测协议或数据泄漏证据。</x:v>
      </x:c>
      <x:c r="Q496" s="25" t="str"/>
      <x:c r="R496" s="24" t="str">
        <x:f>IF(Q496&lt;&gt;"",Q496,O496)</x:f>
        <x:v>2</x:v>
      </x:c>
      <x:c r="S496" s="29" t="str"/>
    </x:row>
    <x:row r="497" ht="54" customHeight="1">
      <x:c r="A497" s="17" t="str">
        <x:v>csq025-r16</x:v>
      </x:c>
      <x:c r="B497" s="17" t="str">
        <x:v>csq025</x:v>
      </x:c>
      <x:c r="C497" s="17" t="str">
        <x:v>software_engineering</x:v>
      </x:c>
      <x:c r="D497" s="17" t="str">
        <x:v>vulnerability_detection</x:v>
      </x:c>
      <x:c r="E497" s="27" t="str">
        <x:v>Which datasets and evaluation protocols are used for machine-learning-based source-code vulnerability detection, and which forms of data leakage can inflate reported performance?</x:v>
      </x:c>
      <x:c r="F497" s="22" t="n">
        <x:v>16</x:v>
      </x:c>
      <x:c r="G497" s="17" t="str">
        <x:v>arXiv:2512.09006</x:v>
      </x:c>
      <x:c r="H497" s="27" t="str">
        <x:v>Llama-based source code vulnerability detection: Prompt engineering vs Fine tuning</x:v>
      </x:c>
      <x:c r="I497" s="17" t="str">
        <x:v>Dyna Soumhane Ouchebara; Stéphane Dupont</x:v>
      </x:c>
      <x:c r="J497" s="22" t="n">
        <x:v>2025</x:v>
      </x:c>
      <x:c r="K497" s="27" t="str">
        <x:v>The significant increase in software production, driven by the acceleration of development cycles over the past two decades, has led to a steady rise in software vulnerabilities, as shown by statistics published yearly by the CVE program. The automation of the source code vulnerability detection (CVD) process has thus become essential, and several methods have been proposed ranging from the well established program analysis techniques to the more recent AI-based methods. Our research investigates Large Language Models (LLMs), which are considered among the most performant AI models to date, for the CVD task. The objective is to study their performance and apply different state-of-the-art techniques to enhance their effectiveness for this task. We explore various fine-tuning and prompt engineering settings. We particularly suggest one novel approach for fine-tuning LLMs which we call Double Fine-tuning, and also test the understudied Test-Time fine-tuning approach. We leverage the recent open-source Llama-3.1 8B, with source code samples extracted from BigVul and PrimeVul datasets. Our conclusions highlight the importance of fine-tuning to resolve the task, the performance of Double tuning, as well as the potential of Llama models for CVD. Though prompting proved ineffective, Retrieval augmented generation (RAG) performed relatively well as an example selection technique. Overall, some of our research questions have been answered, and many are still on hold, which leaves us many future work perspectives. Code repository is available here: https://github.com/DynaSoumhaneOuchebara/Llama-based-vulnerability-detection.</x:v>
      </x:c>
      <x:c r="L497" s="17" t="str">
        <x:v>http://arxiv.org/abs/2512.09006v1</x:v>
      </x:c>
      <x:c r="M497" s="23" t="n">
        <x:v>0.5026277851771904</x:v>
      </x:c>
      <x:c r="N497" s="17" t="str">
        <x:v>qwen3-rerank-no-instruct-20260727-125006-results.jsonl</x:v>
      </x:c>
      <x:c r="O497" s="24" t="str">
        <x:v>2</x:v>
      </x:c>
      <x:c r="P497" s="28" t="str">
        <x:v>《Llama-based source code vulnerability detection: Prompt engineering vs Fine tuning》核心提供ML源代码漏洞检测数据集、评测协议或数据泄漏证据。</x:v>
      </x:c>
      <x:c r="Q497" s="25" t="str"/>
      <x:c r="R497" s="24" t="str">
        <x:f>IF(Q497&lt;&gt;"",Q497,O497)</x:f>
        <x:v>2</x:v>
      </x:c>
      <x:c r="S497" s="29" t="str"/>
    </x:row>
    <x:row r="498" ht="54" customHeight="1">
      <x:c r="A498" s="17" t="str">
        <x:v>csq025-r17</x:v>
      </x:c>
      <x:c r="B498" s="17" t="str">
        <x:v>csq025</x:v>
      </x:c>
      <x:c r="C498" s="17" t="str">
        <x:v>software_engineering</x:v>
      </x:c>
      <x:c r="D498" s="17" t="str">
        <x:v>vulnerability_detection</x:v>
      </x:c>
      <x:c r="E498" s="27" t="str">
        <x:v>Which datasets and evaluation protocols are used for machine-learning-based source-code vulnerability detection, and which forms of data leakage can inflate reported performance?</x:v>
      </x:c>
      <x:c r="F498" s="22" t="n">
        <x:v>17</x:v>
      </x:c>
      <x:c r="G498" s="17" t="str">
        <x:v>arXiv:2408.00435</x:v>
      </x:c>
      <x:c r="H498" s="27" t="str">
        <x:v>A Qualitative Study on Using ChatGPT for Software Security: Perception vs. Practicality</x:v>
      </x:c>
      <x:c r="I498" s="17" t="str">
        <x:v>M. Mehdi Kholoosi; M. Ali Babar; Roland Croft</x:v>
      </x:c>
      <x:c r="J498" s="22" t="n">
        <x:v>2024</x:v>
      </x:c>
      <x:c r="K498" s="27" t="str">
        <x:v>Artificial Intelligence (AI) advancements have enabled the development of Large Language Models (LLMs) that can perform a variety of tasks with remarkable semantic understanding and accuracy. ChatGPT is one such LLM that has gained significant attention due to its impressive capabilities for assisting in various knowledge-intensive tasks. Due to the knowledge-intensive nature of engineering secure software, ChatGPT's assistance is expected to be explored for security-related tasks during the development/evolution of software. To gain an understanding of the potential of ChatGPT as an emerging technology for supporting software security, we adopted a two-fold approach. Initially, we performed an empirical study to analyse the perceptions of those who had explored the use of ChatGPT for security tasks and shared their views on Twitter. It was determined that security practitioners view ChatGPT as beneficial for various software security tasks, including vulnerability detection, information retrieval, and penetration testing. Secondly, we designed an experiment aimed at investigating the practicality of this technology when deployed as an oracle in real-world settings. In particular, we focused on vulnerability detection and qualitatively examined ChatGPT outputs for given prompts within this prominent software security task. Based on our analysis, responses from ChatGPT in this task are largely filled with generic security information and may not be appropriate for industry use. To prevent data leakage, we performed this analysis on a vulnerability dataset compiled after the OpenAI data cut-off date from real-world projects covering 40 distinct vulnerability types and 12 programming languages. We assert that the findings from this study would contribute to future research aimed at developing and evaluating LLMs dedicated to software security.</x:v>
      </x:c>
      <x:c r="L498" s="17" t="str">
        <x:v>http://arxiv.org/abs/2408.00435v1</x:v>
      </x:c>
      <x:c r="M498" s="23" t="n">
        <x:v>0.48444118601520003</x:v>
      </x:c>
      <x:c r="N498" s="17" t="str">
        <x:v>qwen3-rerank-no-instruct-20260727-125006-results.jsonl</x:v>
      </x:c>
      <x:c r="O498" s="24" t="str">
        <x:v>2</x:v>
      </x:c>
      <x:c r="P498" s="28" t="str">
        <x:v>《A Qualitative Study on Using ChatGPT for Software Security: Perception vs. Practicality》核心提供ML源代码漏洞检测数据集、评测协议或数据泄漏证据。</x:v>
      </x:c>
      <x:c r="Q498" s="25" t="str"/>
      <x:c r="R498" s="24" t="str">
        <x:f>IF(Q498&lt;&gt;"",Q498,O498)</x:f>
        <x:v>2</x:v>
      </x:c>
      <x:c r="S498" s="29" t="str"/>
    </x:row>
    <x:row r="499" ht="54" customHeight="1">
      <x:c r="A499" s="17" t="str">
        <x:v>csq025-r18</x:v>
      </x:c>
      <x:c r="B499" s="17" t="str">
        <x:v>csq025</x:v>
      </x:c>
      <x:c r="C499" s="17" t="str">
        <x:v>software_engineering</x:v>
      </x:c>
      <x:c r="D499" s="17" t="str">
        <x:v>vulnerability_detection</x:v>
      </x:c>
      <x:c r="E499" s="27" t="str">
        <x:v>Which datasets and evaluation protocols are used for machine-learning-based source-code vulnerability detection, and which forms of data leakage can inflate reported performance?</x:v>
      </x:c>
      <x:c r="F499" s="22" t="n">
        <x:v>18</x:v>
      </x:c>
      <x:c r="G499" s="17" t="str">
        <x:v>arXiv:2303.16362</x:v>
      </x:c>
      <x:c r="H499" s="27" t="str">
        <x:v>Benchmarking Software Vulnerability Detection Techniques: A Survey</x:v>
      </x:c>
      <x:c r="I499" s="17" t="str">
        <x:v>Yingzhou Bi; Jiangtao Huang; Penghui Liu; Lianmei Wang</x:v>
      </x:c>
      <x:c r="J499" s="22" t="n">
        <x:v>2023</x:v>
      </x:c>
      <x:c r="K499" s="27" t="str">
        <x:v>Software vulnerabilities can have serious consequences, which is why many techniques have been proposed to defend against them. Among these, vulnerability detection techniques are a major area of focus. However, there is a lack of a comprehensive approach for benchmarking these proposed techniques. In this paper, we present the first survey that comprehensively investigates and summarizes the current state of software vulnerability detection benchmarking. We review the current literature on benchmarking vulnerability detection, including benchmarking approaches in technique-proposing papers and empirical studies. We also separately discuss the benchmarking approaches for traditional and deep learning-based vulnerability detection techniques. Our survey analyzes the challenges of benchmarking software vulnerability detection techniques and the difficulties involved. We summarize the challenges of benchmarking software vulnerability detection techniques and describe possible solutions for addressing these challenges.</x:v>
      </x:c>
      <x:c r="L499" s="17" t="str">
        <x:v>http://arxiv.org/abs/2303.16362v1</x:v>
      </x:c>
      <x:c r="M499" s="23" t="n">
        <x:v>0.47822171138785324</x:v>
      </x:c>
      <x:c r="N499" s="17" t="str">
        <x:v>qwen3-rerank-no-instruct-20260727-125006-results.jsonl</x:v>
      </x:c>
      <x:c r="O499" s="24" t="str">
        <x:v>2</x:v>
      </x:c>
      <x:c r="P499" s="28" t="str">
        <x:v>《Benchmarking Software Vulnerability Detection Techniques: A Survey》核心提供ML源代码漏洞检测数据集、评测协议或数据泄漏证据。</x:v>
      </x:c>
      <x:c r="Q499" s="25" t="str"/>
      <x:c r="R499" s="24" t="str">
        <x:f>IF(Q499&lt;&gt;"",Q499,O499)</x:f>
        <x:v>2</x:v>
      </x:c>
      <x:c r="S499" s="29" t="str"/>
    </x:row>
    <x:row r="500" ht="54" customHeight="1">
      <x:c r="A500" s="17" t="str">
        <x:v>csq025-r19</x:v>
      </x:c>
      <x:c r="B500" s="17" t="str">
        <x:v>csq025</x:v>
      </x:c>
      <x:c r="C500" s="17" t="str">
        <x:v>software_engineering</x:v>
      </x:c>
      <x:c r="D500" s="17" t="str">
        <x:v>vulnerability_detection</x:v>
      </x:c>
      <x:c r="E500" s="27" t="str">
        <x:v>Which datasets and evaluation protocols are used for machine-learning-based source-code vulnerability detection, and which forms of data leakage can inflate reported performance?</x:v>
      </x:c>
      <x:c r="F500" s="22" t="n">
        <x:v>19</x:v>
      </x:c>
      <x:c r="G500" s="17" t="str">
        <x:v>arXiv:2305.16615</x:v>
      </x:c>
      <x:c r="H500" s="27" t="str">
        <x:v>AIBugHunter: A Practical Tool for Predicting, Classifying and Repairing Software Vulnerabilities</x:v>
      </x:c>
      <x:c r="I500" s="17" t="str">
        <x:v>Michael Fu; Chakkrit Tantithamthavorn; Trung Le; Yuki Kume; Van Nguyen; Dinh Phung; John Grundy</x:v>
      </x:c>
      <x:c r="J500" s="22" t="n">
        <x:v>2023</x:v>
      </x:c>
      <x:c r="K500" s="27" t="str">
        <x:v>Many ML-based approaches have been proposed to automatically detect, localize, and repair software vulnerabilities. While ML-based methods are more effective than program analysis-based vulnerability analysis tools, few have been integrated into modern IDEs, hindering practical adoption. To bridge this critical gap, we propose AIBugHunter, a novel ML-based software vulnerability analysis tool for C/C++ languages that is integrated into Visual Studio Code. AIBugHunter helps software developers to achieve real-time vulnerability detection, explanation, and repairs during programming. In particular, AIBugHunter scans through developers' source code to (1) locate vulnerabilities, (2) identify vulnerability types, (3) estimate vulnerability severity, and (4) suggest vulnerability repairs. In this article, we propose a novel multi-objective optimization (MOO)-based vulnerability classification approach and a transformer-based estimation approach to help AIBugHunter accurately identify vulnerability types and estimate severity. Our empirical experiments on a large dataset consisting of 188K+ C/C++ functions confirm that our proposed approaches are more accurate than other state-of-the-art baseline methods for vulnerability classification and estimation. Furthermore, we conduct qualitative evaluations including a survey study and a user study to obtain software practitioners' perceptions of our AIBugHunter tool and assess the impact that AIBugHunter may have on developers' productivity in security aspects. Our survey study shows that our AIBugHunter is perceived as useful where 90% of the participants consider adopting our AIBugHunter. Last but not least, our user study shows that our AIBugHunter could possibly enhance developers' productivity in combating cybersecurity issues during software development.</x:v>
      </x:c>
      <x:c r="L500" s="17" t="str">
        <x:v>http://arxiv.org/abs/2305.16615v1</x:v>
      </x:c>
      <x:c r="M500" s="23" t="n">
        <x:v>0.42154784454047356</x:v>
      </x:c>
      <x:c r="N500" s="17" t="str">
        <x:v>qwen3-rerank-no-instruct-20260727-125006-results.jsonl</x:v>
      </x:c>
      <x:c r="O500" s="24" t="str">
        <x:v>2</x:v>
      </x:c>
      <x:c r="P500" s="28" t="str">
        <x:v>《AIBugHunter: A Practical Tool for Predicting, Classifying and Repairing Software Vulnerabilities》核心提供ML源代码漏洞检测数据集、评测协议或数据泄漏证据。</x:v>
      </x:c>
      <x:c r="Q500" s="25" t="str"/>
      <x:c r="R500" s="24" t="str">
        <x:f>IF(Q500&lt;&gt;"",Q500,O500)</x:f>
        <x:v>2</x:v>
      </x:c>
      <x:c r="S500" s="29" t="str"/>
    </x:row>
    <x:row r="501" ht="54" customHeight="1">
      <x:c r="A501" s="17" t="str">
        <x:v>csq025-r20</x:v>
      </x:c>
      <x:c r="B501" s="17" t="str">
        <x:v>csq025</x:v>
      </x:c>
      <x:c r="C501" s="17" t="str">
        <x:v>software_engineering</x:v>
      </x:c>
      <x:c r="D501" s="17" t="str">
        <x:v>vulnerability_detection</x:v>
      </x:c>
      <x:c r="E501" s="27" t="str">
        <x:v>Which datasets and evaluation protocols are used for machine-learning-based source-code vulnerability detection, and which forms of data leakage can inflate reported performance?</x:v>
      </x:c>
      <x:c r="F501" s="22" t="n">
        <x:v>20</x:v>
      </x:c>
      <x:c r="G501" s="17" t="str">
        <x:v>arXiv:2412.20740</x:v>
      </x:c>
      <x:c r="H501" s="27" t="str">
        <x:v>Similar but Patched Code Considered Harmful -- The Impact of Similar but Patched Code on Recurring Vulnerability Detection and How to Remove Them</x:v>
      </x:c>
      <x:c r="I501" s="17" t="str">
        <x:v>Zixuan Tan; Jiayuan Zhou; Xing Hu; Shengyi Pan; Kui Liu; Xin Xia</x:v>
      </x:c>
      <x:c r="J501" s="22" t="n">
        <x:v>2024</x:v>
      </x:c>
      <x:c r="K501" s="27" t="str">
        <x:v>Identifying recurring vulnerabilities is crucial for ensuring software security. Clone-based techniques, while widely used, often generate many false alarms due to the existence of similar but patched (SBP) code, which is similar to vulnerable code but is not vulnerable due to having been patched. Although the SBP code poses a great challenge to the effectiveness of existing approaches, it has not yet been well explored. In this paper, we propose a programming language agnostic framework, Fixed Vulnerability Filter (FVF), to identify and filter such SBP instances in vulnerability detection. Different from existing studies that leverage function signatures, our approach analyzes code change histories to precisely pinpoint SBPs and consequently reduce false alarms. Evaluation under practical scenarios confirms the effectiveness and precision of our approach. Remarkably, FVF identifies and filters 65.1% of false alarms from four vulnerability detection tools (i.e., ReDeBug, VUDDY, MVP, and an elementary hash-based approach) without yielding false positives. We further apply FVF to 1,081 real-world software projects and construct a real-world SBP dataset containing 6,827 SBP functions. Due to the SBP nature, the dataset can act as a strict benchmark to test the sensitivity of the vulnerability detection approach in distinguishing real vulnerabilities and SBPs. Using this dataset, we demonstrate the ineffectiveness of four state-of-the-art deep learning-based vulnerability detection approaches. Our dataset can help developers make a more realistic evaluation of vulnerability detection approaches and also paves the way for further exploration of real-world SBP scenarios.</x:v>
      </x:c>
      <x:c r="L501" s="17" t="str">
        <x:v>http://arxiv.org/abs/2412.20740v1</x:v>
      </x:c>
      <x:c r="M501" s="23" t="n">
        <x:v>0.41518828824234516</x:v>
      </x:c>
      <x:c r="N501" s="17" t="str">
        <x:v>qwen3-rerank-no-instruct-20260727-125006-results.jsonl</x:v>
      </x:c>
      <x:c r="O501" s="24" t="str">
        <x:v>2</x:v>
      </x:c>
      <x:c r="P501" s="28" t="str">
        <x:v>《Similar but Patched Code Considered Harmful -- The Impact of Similar but Patched Code on Recurring Vulnerability Detection and How to Remove Them》核心提供ML源代码漏洞检测数据集、评测协议或数据泄漏证据。</x:v>
      </x:c>
      <x:c r="Q501" s="25" t="str"/>
      <x:c r="R501" s="24" t="str">
        <x:f>IF(Q501&lt;&gt;"",Q501,O501)</x:f>
        <x:v>2</x:v>
      </x:c>
      <x:c r="S501" s="29" t="str"/>
    </x:row>
    <x:row r="502" ht="54" customHeight="1">
      <x:c r="A502" s="17" t="str">
        <x:v>csq026-r01</x:v>
      </x:c>
      <x:c r="B502" s="17" t="str">
        <x:v>csq026</x:v>
      </x:c>
      <x:c r="C502" s="17" t="str">
        <x:v>software_engineering</x:v>
      </x:c>
      <x:c r="D502" s="17" t="str">
        <x:v>llm_agents_for_se</x:v>
      </x:c>
      <x:c r="E502" s="27" t="str">
        <x:v>What limitations have been reported for large-language-model agents on repository-level software engineering tasks, especially in localization, long-context reasoning, testing, and reproducibility?</x:v>
      </x:c>
      <x:c r="F502" s="22" t="n">
        <x:v>1</x:v>
      </x:c>
      <x:c r="G502" s="17" t="str">
        <x:v>arXiv:2506.14683</x:v>
      </x:c>
      <x:c r="H502" s="27" t="str">
        <x:v>Unified Software Engineering Agent as AI Software Engineer</x:v>
      </x:c>
      <x:c r="I502" s="17" t="str">
        <x:v>Leonhard Applis; Yuntong Zhang; Shanchao Liang; Nan Jiang; Lin Tan; Abhik Roychoudhury</x:v>
      </x:c>
      <x:c r="J502" s="22" t="n">
        <x:v>2025</x:v>
      </x:c>
      <x:c r="K502" s="27" t="str">
        <x:v>The growth of Large Language Model (LLM) technology has raised expectations for automated coding. However, software engineering is more than coding and is concerned with activities including maintenance and evolution of a project. In this context, the concept of LLM agents has gained traction, which utilize LLMs as reasoning engines to invoke external tools autonomously. But is an LLM agent the same as an AI software engineer? In this paper, we seek to understand this question by developing a Unified Software Engineering agent or USEagent. Unlike existing work which builds specialized agents for specific software tasks such as testing, debugging, and repair, our goal is to build a unified agent which can orchestrate and handle multiple capabilities. This gives the agent the promise of handling complex scenarios in software development such as fixing an incomplete patch, adding new features, or taking over code written by others. We envision USEagent as the first draft of a future AI Software Engineer which can be a team member in future software development teams involving both AI and humans. To evaluate the efficacy of USEagent, we build a Unified Software Engineering bench (USEbench) comprising of myriad tasks such as coding, testing, and patching. USEbench is a judicious mixture of tasks from existing benchmarks such as SWE-bench, SWT-bench, and REPOCOD. In an evaluation on USEbench consisting of 1,271 repository-level software engineering tasks, USEagent shows improved efficacy compared to existing general agents such as OpenHands CodeActAgent. There exist gaps in the capabilities of USEagent for certain coding tasks, which provides hints on further developing the AI Software Engineer of the future.</x:v>
      </x:c>
      <x:c r="L502" s="17" t="str">
        <x:v>http://arxiv.org/abs/2506.14683v2</x:v>
      </x:c>
      <x:c r="M502" s="23" t="n">
        <x:v>0.7423750640294083</x:v>
      </x:c>
      <x:c r="N502" s="17" t="str">
        <x:v>qwen3-rerank-no-instruct-20260727-125006-results.jsonl</x:v>
      </x:c>
      <x:c r="O502" s="24" t="str">
        <x:v>2</x:v>
      </x:c>
      <x:c r="P502" s="28" t="str">
        <x:v>《Unified Software Engineering Agent as AI Software Engineer》核心揭示或评测仓库级LLM代理在定位、上下文、测试或复现方面的局限。</x:v>
      </x:c>
      <x:c r="Q502" s="25" t="str"/>
      <x:c r="R502" s="24" t="str">
        <x:f>IF(Q502&lt;&gt;"",Q502,O502)</x:f>
        <x:v>2</x:v>
      </x:c>
      <x:c r="S502" s="29" t="str"/>
    </x:row>
    <x:row r="503" ht="54" customHeight="1">
      <x:c r="A503" s="17" t="str">
        <x:v>csq026-r02</x:v>
      </x:c>
      <x:c r="B503" s="17" t="str">
        <x:v>csq026</x:v>
      </x:c>
      <x:c r="C503" s="17" t="str">
        <x:v>software_engineering</x:v>
      </x:c>
      <x:c r="D503" s="17" t="str">
        <x:v>llm_agents_for_se</x:v>
      </x:c>
      <x:c r="E503" s="27" t="str">
        <x:v>What limitations have been reported for large-language-model agents on repository-level software engineering tasks, especially in localization, long-context reasoning, testing, and reproducibility?</x:v>
      </x:c>
      <x:c r="F503" s="22" t="n">
        <x:v>2</x:v>
      </x:c>
      <x:c r="G503" s="17" t="str">
        <x:v>arXiv:2504.14757</x:v>
      </x:c>
      <x:c r="H503" s="27" t="str">
        <x:v>SWE-Synth: Synthesizing Verifiable Bug-Fix Data to Enable Large Language Models in Resolving Real-World Bugs</x:v>
      </x:c>
      <x:c r="I503" s="17" t="str">
        <x:v>Minh V. T. Pham; Huy N. Phan; Hoang N. Phan; Cuong Le Chi; Tien N. Nguyen; Nghi D. Q. Bui</x:v>
      </x:c>
      <x:c r="J503" s="22" t="n">
        <x:v>2025</x:v>
      </x:c>
      <x:c r="K503" s="27" t="str">
        <x:v>Large language models (LLMs) are transforming automated program repair (APR) through agent-based approaches that localize bugs, generate patches, and verify fixes. However, the lack of high-quality, scalable training datasets, especially those with verifiable outputs and intermediate reasoning traces-limits progress, particularly for open-source models. In this work, we present SWE-Synth, a framework for synthesizing realistic, verifiable, and process-aware bug-fix datasets at the repository level. SWE-Synth leverages LLM agents to simulate debugging workflows, producing not only bug-fix pairs but also test cases and structured repair trajectories. Compared to manually curated datasets, our method scales with minimal human effort while preserving contextual richness and correctness. Experiments show that models trained on SWE-Synth outperform those trained on real-world datasets by 2.3% on SWE-Bench Lite. Our results highlight the potential of synthetic, agent-generated data to advance the state of the art in APR and software engineering automation.</x:v>
      </x:c>
      <x:c r="L503" s="17" t="str">
        <x:v>http://arxiv.org/abs/2504.14757v2</x:v>
      </x:c>
      <x:c r="M503" s="23" t="n">
        <x:v>0.6907586966281449</x:v>
      </x:c>
      <x:c r="N503" s="17" t="str">
        <x:v>qwen3-rerank-no-instruct-20260727-125006-results.jsonl</x:v>
      </x:c>
      <x:c r="O503" s="24" t="str">
        <x:v>2</x:v>
      </x:c>
      <x:c r="P503" s="28" t="str">
        <x:v>《SWE-Synth: Synthesizing Verifiable Bug-Fix Data to Enable Large Language Models in Resolving Real-World Bugs》核心揭示或评测仓库级LLM代理在定位、上下文、测试或复现方面的局限。</x:v>
      </x:c>
      <x:c r="Q503" s="25" t="str"/>
      <x:c r="R503" s="24" t="str">
        <x:f>IF(Q503&lt;&gt;"",Q503,O503)</x:f>
        <x:v>2</x:v>
      </x:c>
      <x:c r="S503" s="29" t="str"/>
    </x:row>
    <x:row r="504" ht="54" customHeight="1">
      <x:c r="A504" s="17" t="str">
        <x:v>csq026-r03</x:v>
      </x:c>
      <x:c r="B504" s="17" t="str">
        <x:v>csq026</x:v>
      </x:c>
      <x:c r="C504" s="17" t="str">
        <x:v>software_engineering</x:v>
      </x:c>
      <x:c r="D504" s="17" t="str">
        <x:v>llm_agents_for_se</x:v>
      </x:c>
      <x:c r="E504" s="27" t="str">
        <x:v>What limitations have been reported for large-language-model agents on repository-level software engineering tasks, especially in localization, long-context reasoning, testing, and reproducibility?</x:v>
      </x:c>
      <x:c r="F504" s="22" t="n">
        <x:v>3</x:v>
      </x:c>
      <x:c r="G504" s="17" t="str">
        <x:v>arXiv:2311.09835</x:v>
      </x:c>
      <x:c r="H504" s="27" t="str">
        <x:v>ML-Bench: Evaluating Large Language Models and Agents for Machine Learning Tasks on Repository-Level Code</x:v>
      </x:c>
      <x:c r="I504" s="17" t="str">
        <x:v>Xiangru Tang; Yuliang Liu; Zefan Cai; Yanjun Shao; Junjie Lu; Yichi Zhang; Zexuan Deng; Helan Hu; Kaikai An; Ruijun Huang; Shuzheng Si; Sheng Chen; Haozhe Zhao; Liang Chen; Yan Wang; Tianyu Liu; Zhiwei Jiang; Baobao Chang; Yin Fang; Yujia Qin; Wangchunshu Zhou; Yilun Zhao; Arman Cohan; Mark Gerstein</x:v>
      </x:c>
      <x:c r="J504" s="22" t="n">
        <x:v>2023</x:v>
      </x:c>
      <x:c r="K504" s="27" t="str">
        <x:v>Despite Large Language Models (LLMs) like GPT-4 achieving impressive results in function-level code generation, they struggle with repository-scale code understanding (e.g., coming up with the right arguments for calling routines), requiring a deeper comprehension of complex file interactions. Also, recently, people have developed LLM agents that attempt to interact with repository code (e.g., compiling and evaluating its execution), prompting the need to evaluate their performance. These gaps have motivated our development of ML-Bench, a benchmark rooted in real-world programming applications that leverage existing code repositories to perform tasks. Addressing the need for LLMs to interpret long code contexts and translate instructions into precise, executable scripts, ML-Bench encompasses annotated 9,641 examples across 18 GitHub repositories, challenging LLMs to accommodate user-specified arguments and documentation intricacies effectively. To evaluate both LLMs and AI agents, two setups are employed: ML-LLM-Bench for assessing LLMs' text-to-code conversion within a predefined deployment environment, and ML-Agent-Bench for testing autonomous agents in an end-to-end task execution within a Linux sandbox environment. Our findings indicate that while GPT-4o leads with a Pass@5 rate surpassing 50%, there remains significant scope for improvement, highlighted by issues such as hallucinated outputs and difficulties with bash script generation. Notably, in the more demanding ML-Agent-Bench, GPT-4o achieves a 76.47% success rate, reflecting the efficacy of iterative action and feedback in complex task resolution. Our code, dataset, and models are available at https://github.com/gersteinlab/ML-bench.</x:v>
      </x:c>
      <x:c r="L504" s="17" t="str">
        <x:v>http://arxiv.org/abs/2311.09835v5</x:v>
      </x:c>
      <x:c r="M504" s="23" t="n">
        <x:v>0.664120900944651</x:v>
      </x:c>
      <x:c r="N504" s="17" t="str">
        <x:v>qwen3-rerank-no-instruct-20260727-125006-results.jsonl</x:v>
      </x:c>
      <x:c r="O504" s="24" t="str">
        <x:v>2</x:v>
      </x:c>
      <x:c r="P504" s="28" t="str">
        <x:v>《ML-Bench: Evaluating Large Language Models and Agents for Machine Learning Tasks on Repository-Level Code》核心揭示或评测仓库级LLM代理在定位、上下文、测试或复现方面的局限。</x:v>
      </x:c>
      <x:c r="Q504" s="25" t="str"/>
      <x:c r="R504" s="24" t="str">
        <x:f>IF(Q504&lt;&gt;"",Q504,O504)</x:f>
        <x:v>2</x:v>
      </x:c>
      <x:c r="S504" s="29" t="str"/>
    </x:row>
    <x:row r="505" ht="54" customHeight="1">
      <x:c r="A505" s="17" t="str">
        <x:v>csq026-r04</x:v>
      </x:c>
      <x:c r="B505" s="17" t="str">
        <x:v>csq026</x:v>
      </x:c>
      <x:c r="C505" s="17" t="str">
        <x:v>software_engineering</x:v>
      </x:c>
      <x:c r="D505" s="17" t="str">
        <x:v>llm_agents_for_se</x:v>
      </x:c>
      <x:c r="E505" s="27" t="str">
        <x:v>What limitations have been reported for large-language-model agents on repository-level software engineering tasks, especially in localization, long-context reasoning, testing, and reproducibility?</x:v>
      </x:c>
      <x:c r="F505" s="22" t="n">
        <x:v>4</x:v>
      </x:c>
      <x:c r="G505" s="17" t="str">
        <x:v>arXiv:2511.16005</x:v>
      </x:c>
      <x:c r="H505" s="27" t="str">
        <x:v>InfCode-C++: Intent-Guided Semantic Retrieval and AST-Structured Search for C++ Issue Resolution</x:v>
      </x:c>
      <x:c r="I505" s="17" t="str">
        <x:v>Qingao Dong; Mengfei Wang; Hengzhi Zhang; Zhichao Li; Yuan Yuan; Mu Li; Xiang Gao; Hailong Sun; Chunming Hu; Weifeng Lv</x:v>
      </x:c>
      <x:c r="J505" s="22" t="n">
        <x:v>2025</x:v>
      </x:c>
      <x:c r="K505" s="27" t="str">
        <x:v>Large language model (LLM) agents have recently shown strong performance on repository-level issue resolution, but existing systems are almost exclusively designed for Python and rely heavily on lexical retrieval and shallow code navigation. These approaches transfer poorly to C++ projects, where overloaded identifiers, nested namespaces, template instantiations, and deep control-flow structures make context retrieval and fault localization substantially more difficult. As a result, state-of-the-art Python-oriented agents show a drastic performance drop on the C++ subset of MultiSWE-bench. We introduce INFCODE-C++, the first C++-aware autonomous system for end-to-end issue resolution. The system combines two complementary retrieval mechanisms -- semantic code-intent retrieval and deterministic AST-structured querying -- to construct accurate, language-aware context for repair.These components enable precise localization and robust patch synthesis in large, statically typed C++ repositories. Evaluated on the \texttt{MultiSWE-bench-CPP} benchmark, INFCODE-C++ achieves a resolution rate of 25.58\%, outperforming the strongest prior agent by 10.85 percentage points and more than doubling the performance of MSWE-agent. Ablation and behavioral studies further demonstrate the critical role of semantic retrieval, structural analysis, and accurate reproduction in C++ issue resolution. INFCODE-C++ highlights the need for language-aware reasoning in multi-language software agents and establishes a foundation for future research on scalable, LLM-driven repair for complex, statically typed ecosystems.</x:v>
      </x:c>
      <x:c r="L505" s="17" t="str">
        <x:v>http://arxiv.org/abs/2511.16005v1</x:v>
      </x:c>
      <x:c r="M505" s="23" t="n">
        <x:v>0.6270305588698534</x:v>
      </x:c>
      <x:c r="N505" s="17" t="str">
        <x:v>qwen3-rerank-no-instruct-20260727-125006-results.jsonl</x:v>
      </x:c>
      <x:c r="O505" s="24" t="str">
        <x:v>2</x:v>
      </x:c>
      <x:c r="P505" s="28" t="str">
        <x:v>《InfCode-C++: Intent-Guided Semantic Retrieval and AST-Structured Search for C++ Issue Resolution》核心揭示或评测仓库级LLM代理在定位、上下文、测试或复现方面的局限。</x:v>
      </x:c>
      <x:c r="Q505" s="25" t="str"/>
      <x:c r="R505" s="24" t="str">
        <x:f>IF(Q505&lt;&gt;"",Q505,O505)</x:f>
        <x:v>2</x:v>
      </x:c>
      <x:c r="S505" s="29" t="str"/>
    </x:row>
    <x:row r="506" ht="54" customHeight="1">
      <x:c r="A506" s="17" t="str">
        <x:v>csq026-r05</x:v>
      </x:c>
      <x:c r="B506" s="17" t="str">
        <x:v>csq026</x:v>
      </x:c>
      <x:c r="C506" s="17" t="str">
        <x:v>software_engineering</x:v>
      </x:c>
      <x:c r="D506" s="17" t="str">
        <x:v>llm_agents_for_se</x:v>
      </x:c>
      <x:c r="E506" s="27" t="str">
        <x:v>What limitations have been reported for large-language-model agents on repository-level software engineering tasks, especially in localization, long-context reasoning, testing, and reproducibility?</x:v>
      </x:c>
      <x:c r="F506" s="22" t="n">
        <x:v>5</x:v>
      </x:c>
      <x:c r="G506" s="17" t="str">
        <x:v>arXiv:2502.06994</x:v>
      </x:c>
      <x:c r="H506" s="27" t="str">
        <x:v>SyncMind: Measuring Agent Out-of-Sync Recovery in Collaborative Software Engineering</x:v>
      </x:c>
      <x:c r="I506" s="17" t="str">
        <x:v>Xuehang Guo; Xingyao Wang; Yangyi Chen; Sha Li; Chi Han; Manling Li; Heng Ji</x:v>
      </x:c>
      <x:c r="J506" s="22" t="n">
        <x:v>2025</x:v>
      </x:c>
      <x:c r="K506" s="27" t="str">
        <x:v>Software engineering (SE) is increasingly collaborative, with developers working together on shared complex codebases. Effective collaboration in shared environments requires participants -- whether humans or AI agents -- to stay on the same page as their environment evolves. When a collaborator's understanding diverges from the current state -- what we term the out-of-sync challenge -- the collaborator's actions may fail, leading to integration issues. In this work, we introduce SyncMind, a framework that systematically defines the out-of-sync problem faced by large language model (LLM) agents in collaborative software engineering (CSE). Based on SyncMind, we create SyncBench, a benchmark featuring 24,332 instances of agent out-of-sync scenarios in real-world CSE derived from 21 popular GitHub repositories with executable verification tests. Experiments on SyncBench uncover critical insights into existing LLM agents' capabilities and limitations. Besides substantial performance gaps among agents (from Llama-3.1 agent &lt;= 3.33% to Claude-3.5-Sonnet &gt;= 28.18%), their consistently low collaboration willingness (&lt;= 4.86%) suggests fundamental limitations of existing LLM in CSE. However, when collaboration occurs, it positively correlates with out-of-sync recovery success. Minimal performance differences in agents' resource-aware out-of-sync recoveries further reveal their significant lack of resource awareness and adaptability, shedding light on future resource-efficient collaborative systems. Code and data are openly available on our project website: https://xhguo7.github.io/SyncMind/.</x:v>
      </x:c>
      <x:c r="L506" s="17" t="str">
        <x:v>http://arxiv.org/abs/2502.06994v2</x:v>
      </x:c>
      <x:c r="M506" s="23" t="n">
        <x:v>0.6075338773185572</x:v>
      </x:c>
      <x:c r="N506" s="17" t="str">
        <x:v>qwen3-rerank-no-instruct-20260727-125006-results.jsonl</x:v>
      </x:c>
      <x:c r="O506" s="24" t="str">
        <x:v>2</x:v>
      </x:c>
      <x:c r="P506" s="28" t="str">
        <x:v>《SyncMind: Measuring Agent Out-of-Sync Recovery in Collaborative Software Engineering》核心揭示或评测仓库级LLM代理在定位、上下文、测试或复现方面的局限。</x:v>
      </x:c>
      <x:c r="Q506" s="25" t="str"/>
      <x:c r="R506" s="24" t="str">
        <x:f>IF(Q506&lt;&gt;"",Q506,O506)</x:f>
        <x:v>2</x:v>
      </x:c>
      <x:c r="S506" s="29" t="str"/>
    </x:row>
    <x:row r="507" ht="54" customHeight="1">
      <x:c r="A507" s="17" t="str">
        <x:v>csq026-r06</x:v>
      </x:c>
      <x:c r="B507" s="17" t="str">
        <x:v>csq026</x:v>
      </x:c>
      <x:c r="C507" s="17" t="str">
        <x:v>software_engineering</x:v>
      </x:c>
      <x:c r="D507" s="17" t="str">
        <x:v>llm_agents_for_se</x:v>
      </x:c>
      <x:c r="E507" s="27" t="str">
        <x:v>What limitations have been reported for large-language-model agents on repository-level software engineering tasks, especially in localization, long-context reasoning, testing, and reproducibility?</x:v>
      </x:c>
      <x:c r="F507" s="22" t="n">
        <x:v>6</x:v>
      </x:c>
      <x:c r="G507" s="17" t="str">
        <x:v>arXiv:2512.20957</x:v>
      </x:c>
      <x:c r="H507" s="27" t="str">
        <x:v>One Tool Is Enough: Reinforcement Learning for Repository-Level LLM Agents</x:v>
      </x:c>
      <x:c r="I507" s="17" t="str">
        <x:v>Zhaoxi Zhang; Yitong Duan; Yanzhi Zhang; Yiming Xu; Zhixiang Wang; Kun Liang; Weikang Li; Jiahui Liang; Deguo Xia; Jizhou Huang; Jiyan He; Yunfang Wu</x:v>
      </x:c>
      <x:c r="J507" s="22" t="n">
        <x:v>2025</x:v>
      </x:c>
      <x:c r="K507" s="27" t="str">
        <x:v>Locating files and functions requiring modification in large software repositories is challenging due to their scale and structural complexity. Existing LLM-based methods typically treat this as a repository-level retrieval task and rely on multiple auxiliary tools, which often overlook code execution logic and complicate model control. We propose RepoNavigator, an LLM agent equipped with a single execution-aware tool: jumping to the definition of an invoked symbol. This unified design reflects the actual flow of code execution while simplifying tool manipulation. RepoNavigator is trained end-to-end via Reinforcement Learning (RL) directly from a base pretrained model, without relying on closed-source distillation. Experiments demonstrate that RL-trained RepoNavigator achieves state-of-the-art performance, with the 7B model outperforming 14B baselines, the 14B model surpassing 32B competitors, and the 32B model exceeding closed-source models such as GPT-5 on most metrics. These results confirm that integrating a single, structurally grounded tool with RL training provides an efficient and scalable solution for repository-level issue localization.</x:v>
      </x:c>
      <x:c r="L507" s="17" t="str">
        <x:v>http://arxiv.org/abs/2512.20957v6</x:v>
      </x:c>
      <x:c r="M507" s="23" t="n">
        <x:v>0.6016357498957341</x:v>
      </x:c>
      <x:c r="N507" s="17" t="str">
        <x:v>qwen3-rerank-no-instruct-20260727-125006-results.jsonl</x:v>
      </x:c>
      <x:c r="O507" s="24" t="str">
        <x:v>2</x:v>
      </x:c>
      <x:c r="P507" s="28" t="str">
        <x:v>《One Tool Is Enough: Reinforcement Learning for Repository-Level LLM Agents》核心揭示或评测仓库级LLM代理在定位、上下文、测试或复现方面的局限。</x:v>
      </x:c>
      <x:c r="Q507" s="25" t="str"/>
      <x:c r="R507" s="24" t="str">
        <x:f>IF(Q507&lt;&gt;"",Q507,O507)</x:f>
        <x:v>2</x:v>
      </x:c>
      <x:c r="S507" s="29" t="str"/>
    </x:row>
    <x:row r="508" ht="54" customHeight="1">
      <x:c r="A508" s="17" t="str">
        <x:v>csq026-r07</x:v>
      </x:c>
      <x:c r="B508" s="17" t="str">
        <x:v>csq026</x:v>
      </x:c>
      <x:c r="C508" s="17" t="str">
        <x:v>software_engineering</x:v>
      </x:c>
      <x:c r="D508" s="17" t="str">
        <x:v>llm_agents_for_se</x:v>
      </x:c>
      <x:c r="E508" s="27" t="str">
        <x:v>What limitations have been reported for large-language-model agents on repository-level software engineering tasks, especially in localization, long-context reasoning, testing, and reproducibility?</x:v>
      </x:c>
      <x:c r="F508" s="22" t="n">
        <x:v>7</x:v>
      </x:c>
      <x:c r="G508" s="17" t="str">
        <x:v>arXiv:2501.18160</x:v>
      </x:c>
      <x:c r="H508" s="27" t="str">
        <x:v>RepoAudit: An Autonomous LLM-Agent for Repository-Level Code Auditing</x:v>
      </x:c>
      <x:c r="I508" s="17" t="str">
        <x:v>Jinyao Guo; Chengpeng Wang; Xiangzhe Xu; Zian Su; Xiangyu Zhang</x:v>
      </x:c>
      <x:c r="J508" s="22" t="n">
        <x:v>2025</x:v>
      </x:c>
      <x:c r="K508" s="27" t="str">
        <x:v>Code auditing is the process of reviewing code with the aim of identifying bugs. Large Language Models (LLMs) have demonstrated promising capabilities for this task without requiring compilation, while also supporting user-friendly customization. However, auditing a code repository with LLMs poses significant challenges: limited context windows and hallucinations can degrade the quality of bug reports, and analyzing large-scale repositories incurs substantial time and token costs, hindering efficiency and scalability. This work introduces an LLM-based agent, RepoAudit, designed to perform autonomous repository-level code auditing. Equipped with agent memory, RepoAudit explores the codebase on demand by analyzing data-flow facts along feasible program paths within individual functions. It further incorporates a validator module to mitigate hallucinations by verifying data-flow facts and checking the satisfiability of path conditions associated with potential bugs, thereby reducing false positives. RepoAudit detects 40 true bugs across 15 real-world benchmark projects with a precision of 78.43%, requiring on average only 0.44 hours and $2.54 per project. Also, it detects 185 new bugs in high-profile projects, among which 174 have been confirmed or fixed. We have open-sourced RepoAudit at https://github.com/PurCL/RepoAudit.</x:v>
      </x:c>
      <x:c r="L508" s="17" t="str">
        <x:v>http://arxiv.org/abs/2501.18160v3</x:v>
      </x:c>
      <x:c r="M508" s="23" t="n">
        <x:v>0.5829629465596963</x:v>
      </x:c>
      <x:c r="N508" s="17" t="str">
        <x:v>qwen3-rerank-no-instruct-20260727-125006-results.jsonl</x:v>
      </x:c>
      <x:c r="O508" s="24" t="str">
        <x:v>2</x:v>
      </x:c>
      <x:c r="P508" s="28" t="str">
        <x:v>《RepoAudit: An Autonomous LLM-Agent for Repository-Level Code Auditing》核心揭示或评测仓库级LLM代理在定位、上下文、测试或复现方面的局限。</x:v>
      </x:c>
      <x:c r="Q508" s="25" t="str"/>
      <x:c r="R508" s="24" t="str">
        <x:f>IF(Q508&lt;&gt;"",Q508,O508)</x:f>
        <x:v>2</x:v>
      </x:c>
      <x:c r="S508" s="29" t="str"/>
    </x:row>
    <x:row r="509" ht="54" customHeight="1">
      <x:c r="A509" s="17" t="str">
        <x:v>csq026-r08</x:v>
      </x:c>
      <x:c r="B509" s="17" t="str">
        <x:v>csq026</x:v>
      </x:c>
      <x:c r="C509" s="17" t="str">
        <x:v>software_engineering</x:v>
      </x:c>
      <x:c r="D509" s="17" t="str">
        <x:v>llm_agents_for_se</x:v>
      </x:c>
      <x:c r="E509" s="27" t="str">
        <x:v>What limitations have been reported for large-language-model agents on repository-level software engineering tasks, especially in localization, long-context reasoning, testing, and reproducibility?</x:v>
      </x:c>
      <x:c r="F509" s="22" t="n">
        <x:v>8</x:v>
      </x:c>
      <x:c r="G509" s="17" t="str">
        <x:v>arXiv:2509.24148</x:v>
      </x:c>
      <x:c r="H509" s="27" t="str">
        <x:v>TENET: One Step Toward Test-Driven Development for Repository-Level Code Generation</x:v>
      </x:c>
      <x:c r="I509" s="17" t="str">
        <x:v>Yiran Hu; Nan Jiang; Shanchao Liang; Yi Wu; Lin Tan</x:v>
      </x:c>
      <x:c r="J509" s="22" t="n">
        <x:v>2025</x:v>
      </x:c>
      <x:c r="K509" s="27" t="str">
        <x:v>Test-Driven Development (TDD) is a widely adopted practice that requires developers to create and execute tests alongside implementation. With recent advances in Large Language Models (LLMs), developers can shift from manually writing the code to defining tests as executable specifications and delegating code synthesis to AI agents. However, enabling repository-level TDD under developer-written tests is challenging, requiring: (1) specification enhancement: identifying a concise yet representative test subset from large suites with rich task semantics; (2) retrieval augmentation: using tests to guide reasoning and context retrieval; and (3) test-driven refinement: interpreting test feedback for iterative improvement. We propose TENET, an agentic framework for repository-level code generation under the TDD paradigm. TENET includes: (1) a test harness mechanism that selects a concise test suite to maximize diversity of the target usage scenarios; (2) a tailored agent toolset for efficient retrieval and debugging; and (3) a reflection-based refinement workflow that iteratively analyzes failures and updates implementations. TENET consistently outperforms the strongest baselines across backbones, achieving 69.08% and 81.77% Pass@1 on RepoCod and RepoEval with Claude Sonnet 4, improving by 9.49 and 2.17 percentage points, respectively. Additionally, we present the first systematic study of how test suite characteristics influence LLM agent performance in TDD settings.</x:v>
      </x:c>
      <x:c r="L509" s="17" t="str">
        <x:v>http://arxiv.org/abs/2509.24148v3</x:v>
      </x:c>
      <x:c r="M509" s="23" t="n">
        <x:v>0.5745730995523743</x:v>
      </x:c>
      <x:c r="N509" s="17" t="str">
        <x:v>qwen3-rerank-no-instruct-20260727-125006-results.jsonl</x:v>
      </x:c>
      <x:c r="O509" s="24" t="str">
        <x:v>2</x:v>
      </x:c>
      <x:c r="P509" s="28" t="str">
        <x:v>《TENET: One Step Toward Test-Driven Development for Repository-Level Code Generation》核心揭示或评测仓库级LLM代理在定位、上下文、测试或复现方面的局限。</x:v>
      </x:c>
      <x:c r="Q509" s="25" t="str"/>
      <x:c r="R509" s="24" t="str">
        <x:f>IF(Q509&lt;&gt;"",Q509,O509)</x:f>
        <x:v>2</x:v>
      </x:c>
      <x:c r="S509" s="29" t="str"/>
    </x:row>
    <x:row r="510" ht="54" customHeight="1">
      <x:c r="A510" s="17" t="str">
        <x:v>csq026-r09</x:v>
      </x:c>
      <x:c r="B510" s="17" t="str">
        <x:v>csq026</x:v>
      </x:c>
      <x:c r="C510" s="17" t="str">
        <x:v>software_engineering</x:v>
      </x:c>
      <x:c r="D510" s="17" t="str">
        <x:v>llm_agents_for_se</x:v>
      </x:c>
      <x:c r="E510" s="27" t="str">
        <x:v>What limitations have been reported for large-language-model agents on repository-level software engineering tasks, especially in localization, long-context reasoning, testing, and reproducibility?</x:v>
      </x:c>
      <x:c r="F510" s="22" t="n">
        <x:v>9</x:v>
      </x:c>
      <x:c r="G510" s="17" t="str">
        <x:v>arXiv:2512.21373</x:v>
      </x:c>
      <x:c r="H510" s="27" t="str">
        <x:v>AInsteinBench: Benchmarking Coding Agents on Scientific Repositories</x:v>
      </x:c>
      <x:c r="I510" s="17" t="str">
        <x:v>Titouan Duston; Shuo Xin; Yang Sun; Daoguang Zan; Aoyan Li; Shulin Xin; Kai Shen; Yixiao Chen; Qiming Sun; Ge Zhang; Jiashuo Liu; Huan Zhou; Jingkai Liu; Zhichen Pu; Yuanheng Wang; Bo-Xuan Ge; Xin Tong; Fei Ye; Zhi-Chao Zhao; Wen-Biao Han; Zhoujian Cao; Yueran Zhao; Weiluo Ren; Qingshen Long; Yuxiao Liu; Anni Huang; Yidi Du; Yuanyuan Rong; Jiahao Peng</x:v>
      </x:c>
      <x:c r="J510" s="22" t="n">
        <x:v>2025</x:v>
      </x:c>
      <x:c r="K510" s="27" t="str">
        <x:v>We introduce AInsteinBench, a large-scale benchmark for evaluating whether large language model (LLM) agents can operate as scientific computing development agents within real research software ecosystems. Unlike existing scientific reasoning benchmarks which focus on conceptual knowledge, or software engineering benchmarks that emphasize generic feature implementation and issue resolving, AInsteinBench evaluates models in end-to-end scientific development settings grounded in production-grade scientific repositories. The benchmark consists of tasks derived from maintainer-authored pull requests across six widely used scientific codebases, spanning quantum chemistry, quantum computing, molecular dynamics, numerical relativity, fluid dynamics, and cheminformatics. All benchmark tasks are carefully curated through multi-stage filtering and expert review to ensure scientific challenge, adequate test coverage, and well-calibrated difficulty. By leveraging evaluation in executable environments, scientifically meaningful failure modes, and test-driven verification, AInsteinBench measures a model's ability to move beyond surface-level code generation toward the core competencies required for computational scientific research.</x:v>
      </x:c>
      <x:c r="L510" s="17" t="str">
        <x:v>http://arxiv.org/abs/2512.21373v1</x:v>
      </x:c>
      <x:c r="M510" s="23" t="n">
        <x:v>0.5259588062305411</x:v>
      </x:c>
      <x:c r="N510" s="17" t="str">
        <x:v>qwen3-rerank-no-instruct-20260727-125006-results.jsonl</x:v>
      </x:c>
      <x:c r="O510" s="24" t="str">
        <x:v>2</x:v>
      </x:c>
      <x:c r="P510" s="28" t="str">
        <x:v>《AInsteinBench: Benchmarking Coding Agents on Scientific Repositories》核心揭示或评测仓库级LLM代理在定位、上下文、测试或复现方面的局限。</x:v>
      </x:c>
      <x:c r="Q510" s="25" t="str"/>
      <x:c r="R510" s="24" t="str">
        <x:f>IF(Q510&lt;&gt;"",Q510,O510)</x:f>
        <x:v>2</x:v>
      </x:c>
      <x:c r="S510" s="29" t="str"/>
    </x:row>
    <x:row r="511" ht="54" customHeight="1">
      <x:c r="A511" s="17" t="str">
        <x:v>csq026-r10</x:v>
      </x:c>
      <x:c r="B511" s="17" t="str">
        <x:v>csq026</x:v>
      </x:c>
      <x:c r="C511" s="17" t="str">
        <x:v>software_engineering</x:v>
      </x:c>
      <x:c r="D511" s="17" t="str">
        <x:v>llm_agents_for_se</x:v>
      </x:c>
      <x:c r="E511" s="27" t="str">
        <x:v>What limitations have been reported for large-language-model agents on repository-level software engineering tasks, especially in localization, long-context reasoning, testing, and reproducibility?</x:v>
      </x:c>
      <x:c r="F511" s="22" t="n">
        <x:v>10</x:v>
      </x:c>
      <x:c r="G511" s="17" t="str">
        <x:v>arXiv:2506.17772</x:v>
      </x:c>
      <x:c r="H511" s="27" t="str">
        <x:v>PAGENT: Learning to Patch Software Engineering Agents</x:v>
      </x:c>
      <x:c r="I511" s="17" t="str">
        <x:v>Haoran Xue; Gias Uddin; Song Wang</x:v>
      </x:c>
      <x:c r="J511" s="22" t="n">
        <x:v>2025</x:v>
      </x:c>
      <x:c r="K511" s="27" t="str">
        <x:v>LLM Agents produce patches automatically to resolve an issue. However, they can generate inaccurate patches. Little is known about the root causes behind those failed patches or how those could be fixed. This paper reports an empirical study of the failed patches generated by seven top LLM code agents. We collected 114 issues from the SWE-bench Lite dataset that remained unresolved across the agents. The seven agents produced a total of 769 failed patches for those issues, which we checked with a combination of GPT-4o and manual analysis. We present a taxonomy of the failure reasons across the patches. The taxonomy contains six categories, with several sub-categories under each category. For example, a frequently observed category is the inability of an LLM to correctly infer/produce the appropriate variable type in the produced patch. As a first step towards addressing such type-related errors, we designed PAGENT (Patch Agent). PAGENT utilizes program analysis techniques like CFG creation and exploration to infer the type of information of a patch. PAGENT does this by applying repository-level static code analysis techniques. Then, PAGENT refines the inferred type by further utilizing an LLM-based inference technique. We tested PAGENT on all 127 type-related failed patches from the top three agents in our study. PAGENT could fix 29 of the 127 failed patches.</x:v>
      </x:c>
      <x:c r="L511" s="17" t="str">
        <x:v>http://arxiv.org/abs/2506.17772v1</x:v>
      </x:c>
      <x:c r="M511" s="23" t="n">
        <x:v>0.5167163521416656</x:v>
      </x:c>
      <x:c r="N511" s="17" t="str">
        <x:v>qwen3-rerank-no-instruct-20260727-125006-results.jsonl</x:v>
      </x:c>
      <x:c r="O511" s="24" t="str">
        <x:v>1</x:v>
      </x:c>
      <x:c r="P511" s="28" t="str">
        <x:v>《PAGENT: Learning to Patch Software Engineering Agents》涉及LLM软件工程代理，但主要是方法改进或相邻任务，局限分析不够直接。</x:v>
      </x:c>
      <x:c r="Q511" s="25" t="str"/>
      <x:c r="R511" s="24" t="str">
        <x:f>IF(Q511&lt;&gt;"",Q511,O511)</x:f>
        <x:v>1</x:v>
      </x:c>
      <x:c r="S511" s="29" t="str"/>
    </x:row>
    <x:row r="512" ht="54" customHeight="1">
      <x:c r="A512" s="17" t="str">
        <x:v>csq026-r11</x:v>
      </x:c>
      <x:c r="B512" s="17" t="str">
        <x:v>csq026</x:v>
      </x:c>
      <x:c r="C512" s="17" t="str">
        <x:v>software_engineering</x:v>
      </x:c>
      <x:c r="D512" s="17" t="str">
        <x:v>llm_agents_for_se</x:v>
      </x:c>
      <x:c r="E512" s="27" t="str">
        <x:v>What limitations have been reported for large-language-model agents on repository-level software engineering tasks, especially in localization, long-context reasoning, testing, and reproducibility?</x:v>
      </x:c>
      <x:c r="F512" s="22" t="n">
        <x:v>11</x:v>
      </x:c>
      <x:c r="G512" s="17" t="str">
        <x:v>arXiv:2503.09089</x:v>
      </x:c>
      <x:c r="H512" s="27" t="str">
        <x:v>LocAgent: Graph-Guided LLM Agents for Code Localization</x:v>
      </x:c>
      <x:c r="I512" s="17" t="str">
        <x:v>Zhaoling Chen; Xiangru Tang; Gangda Deng; Fang Wu; Jialong Wu; Zhiwei Jiang; Viktor Prasanna; Arman Cohan; Xingyao Wang</x:v>
      </x:c>
      <x:c r="J512" s="22" t="n">
        <x:v>2025</x:v>
      </x:c>
      <x:c r="K512" s="27" t="str">
        <x:v>Code localization--identifying precisely where in a codebase changes need to be made--is a fundamental yet challenging task in software maintenance. Existing approaches struggle to efficiently navigate complex codebases when identifying relevant code sections. The challenge lies in bridging natural language problem descriptions with the appropriate code elements, often requiring reasoning across hierarchical structures and multiple dependencies. We introduce LocAgent, a framework that addresses code localization through graph-based representation. By parsing codebases into directed heterogeneous graphs, LocAgent creates a lightweight representation that captures code structures (files, classes, functions) and their dependencies (imports, invocations, inheritance), enabling LLM agents to effectively search and locate relevant entities through powerful multi-hop reasoning. Experimental results on real-world benchmarks demonstrate that our approach significantly enhances accuracy in code localization. Notably, our method with the fine-tuned Qwen-2.5-Coder-Instruct-32B model achieves comparable results to SOTA proprietary models at greatly reduced cost (approximately 86% reduction), reaching up to 92.7% accuracy on file-level localization while improving downstream GitHub issue resolution success rates by 12% for multiple attempts (Pass@10). Our code is available at https://github.com/gersteinlab/LocAgent.</x:v>
      </x:c>
      <x:c r="L512" s="17" t="str">
        <x:v>http://arxiv.org/abs/2503.09089v2</x:v>
      </x:c>
      <x:c r="M512" s="23" t="n">
        <x:v>0.46205106803883667</x:v>
      </x:c>
      <x:c r="N512" s="17" t="str">
        <x:v>qwen3-rerank-no-instruct-20260727-125006-results.jsonl</x:v>
      </x:c>
      <x:c r="O512" s="24" t="str">
        <x:v>2</x:v>
      </x:c>
      <x:c r="P512" s="28" t="str">
        <x:v>《LocAgent: Graph-Guided LLM Agents for Code Localization》核心揭示或评测仓库级LLM代理在定位、上下文、测试或复现方面的局限。</x:v>
      </x:c>
      <x:c r="Q512" s="25" t="str"/>
      <x:c r="R512" s="24" t="str">
        <x:f>IF(Q512&lt;&gt;"",Q512,O512)</x:f>
        <x:v>2</x:v>
      </x:c>
      <x:c r="S512" s="29" t="str"/>
    </x:row>
    <x:row r="513" ht="54" customHeight="1">
      <x:c r="A513" s="17" t="str">
        <x:v>csq026-r12</x:v>
      </x:c>
      <x:c r="B513" s="17" t="str">
        <x:v>csq026</x:v>
      </x:c>
      <x:c r="C513" s="17" t="str">
        <x:v>software_engineering</x:v>
      </x:c>
      <x:c r="D513" s="17" t="str">
        <x:v>llm_agents_for_se</x:v>
      </x:c>
      <x:c r="E513" s="27" t="str">
        <x:v>What limitations have been reported for large-language-model agents on repository-level software engineering tasks, especially in localization, long-context reasoning, testing, and reproducibility?</x:v>
      </x:c>
      <x:c r="F513" s="22" t="n">
        <x:v>12</x:v>
      </x:c>
      <x:c r="G513" s="17" t="str">
        <x:v>arXiv:2304.07590</x:v>
      </x:c>
      <x:c r="H513" s="27" t="str">
        <x:v>Self-collaboration Code Generation via ChatGPT</x:v>
      </x:c>
      <x:c r="I513" s="17" t="str">
        <x:v>Yihong Dong; Xue Jiang; Zhi Jin; Ge Li</x:v>
      </x:c>
      <x:c r="J513" s="22" t="n">
        <x:v>2023</x:v>
      </x:c>
      <x:c r="K513" s="27" t="str">
        <x:v>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`experts', 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the base LLM agent. Moreover, we showcase that self-collaboration could potentially enable LLMs to efficiently handle complex repository-level tasks that are not readily solved by the single LLM agent.</x:v>
      </x:c>
      <x:c r="L513" s="17" t="str">
        <x:v>http://arxiv.org/abs/2304.07590v3</x:v>
      </x:c>
      <x:c r="M513" s="23" t="n">
        <x:v>0.4358385525048766</x:v>
      </x:c>
      <x:c r="N513" s="17" t="str">
        <x:v>qwen3-rerank-no-instruct-20260727-125006-results.jsonl</x:v>
      </x:c>
      <x:c r="O513" s="24" t="str">
        <x:v>1</x:v>
      </x:c>
      <x:c r="P513" s="28" t="str">
        <x:v>《Self-collaboration Code Generation via ChatGPT》涉及LLM软件工程代理，但主要是方法改进或相邻任务，局限分析不够直接。</x:v>
      </x:c>
      <x:c r="Q513" s="25" t="str"/>
      <x:c r="R513" s="24" t="str">
        <x:f>IF(Q513&lt;&gt;"",Q513,O513)</x:f>
        <x:v>1</x:v>
      </x:c>
      <x:c r="S513" s="29" t="str"/>
    </x:row>
    <x:row r="514" ht="54" customHeight="1">
      <x:c r="A514" s="17" t="str">
        <x:v>csq026-r13</x:v>
      </x:c>
      <x:c r="B514" s="17" t="str">
        <x:v>csq026</x:v>
      </x:c>
      <x:c r="C514" s="17" t="str">
        <x:v>software_engineering</x:v>
      </x:c>
      <x:c r="D514" s="17" t="str">
        <x:v>llm_agents_for_se</x:v>
      </x:c>
      <x:c r="E514" s="27" t="str">
        <x:v>What limitations have been reported for large-language-model agents on repository-level software engineering tasks, especially in localization, long-context reasoning, testing, and reproducibility?</x:v>
      </x:c>
      <x:c r="F514" s="22" t="n">
        <x:v>13</x:v>
      </x:c>
      <x:c r="G514" s="17" t="str">
        <x:v>arXiv:2508.02611</x:v>
      </x:c>
      <x:c r="H514" s="27" t="str">
        <x:v>Meta-RAG on Large Codebases Using Code Summarization</x:v>
      </x:c>
      <x:c r="I514" s="17" t="str">
        <x:v>Vali Tawosi; Salwa Alamir; Xiaomo Liu; Manuela Veloso</x:v>
      </x:c>
      <x:c r="J514" s="22" t="n">
        <x:v>2025</x:v>
      </x:c>
      <x:c r="K514" s="27" t="str">
        <x:v>Large Language Model (LLM) systems have been at the forefront of applied Artificial Intelligence (AI) research in a multitude of domains. One such domain is software development, where researchers have pushed the automation of a number of code tasks through LLM agents. Software development is a complex ecosystem, that stretches far beyond code implementation and well into the realm of code maintenance. In this paper, we propose a multi-agent system to localize bugs in large pre-existing codebases using information retrieval and LLMs. Our system introduces a novel Retrieval Augmented Generation (RAG) approach, Meta-RAG, where we utilize summaries to condense codebases by an average of 79.8\%, into a compact, structured, natural language representation. We then use an LLM agent to determine which parts of the codebase are critical for bug resolution, i.e. bug localization. We demonstrate the usefulness of Meta-RAG through evaluation with the SWE-bench Lite dataset. Meta-RAG scores 84.67 % and 53.0 % for file-level and function-level correct localization rates, respectively, achieving state-of-the-art performance.</x:v>
      </x:c>
      <x:c r="L514" s="17" t="str">
        <x:v>http://arxiv.org/abs/2508.02611v1</x:v>
      </x:c>
      <x:c r="M514" s="23" t="n">
        <x:v>0.43016765930264417</x:v>
      </x:c>
      <x:c r="N514" s="17" t="str">
        <x:v>qwen3-rerank-no-instruct-20260727-125006-results.jsonl</x:v>
      </x:c>
      <x:c r="O514" s="24" t="str">
        <x:v>2</x:v>
      </x:c>
      <x:c r="P514" s="28" t="str">
        <x:v>《Meta-RAG on Large Codebases Using Code Summarization》核心揭示或评测仓库级LLM代理在定位、上下文、测试或复现方面的局限。</x:v>
      </x:c>
      <x:c r="Q514" s="25" t="str"/>
      <x:c r="R514" s="24" t="str">
        <x:f>IF(Q514&lt;&gt;"",Q514,O514)</x:f>
        <x:v>2</x:v>
      </x:c>
      <x:c r="S514" s="29" t="str"/>
    </x:row>
    <x:row r="515" ht="54" customHeight="1">
      <x:c r="A515" s="17" t="str">
        <x:v>csq026-r14</x:v>
      </x:c>
      <x:c r="B515" s="17" t="str">
        <x:v>csq026</x:v>
      </x:c>
      <x:c r="C515" s="17" t="str">
        <x:v>software_engineering</x:v>
      </x:c>
      <x:c r="D515" s="17" t="str">
        <x:v>llm_agents_for_se</x:v>
      </x:c>
      <x:c r="E515" s="27" t="str">
        <x:v>What limitations have been reported for large-language-model agents on repository-level software engineering tasks, especially in localization, long-context reasoning, testing, and reproducibility?</x:v>
      </x:c>
      <x:c r="F515" s="22" t="n">
        <x:v>14</x:v>
      </x:c>
      <x:c r="G515" s="17" t="str">
        <x:v>arXiv:2505.16975</x:v>
      </x:c>
      <x:c r="H515" s="27" t="str">
        <x:v>SWE-Dev: Evaluating and Training Autonomous Feature-Driven Software Development</x:v>
      </x:c>
      <x:c r="I515" s="17" t="str">
        <x:v>Yaxin Du; Yuzhu Cai; Yifan Zhou; Cheng Wang; Yu Qian; Xianghe Pang; Qian Liu; Yue Hu; Siheng Chen</x:v>
      </x:c>
      <x:c r="J515" s="22" t="n">
        <x:v>2025</x:v>
      </x:c>
      <x:c r="K515" s="27" t="str">
        <x:v>Large Language Models (LLMs) have shown strong capability in diverse software engineering tasks. However, feature-driven development, a highly prevalent real-world task that involves developing new functionalities for large, existing codebases, remains underexplored. We therefore introduce SWE-Dev, the first large-scale dataset (with 14,000 training and 500 test samples) designed to evaluate and train autonomous coding systems on real-world end-to-end feature-driven software development tasks. To ensure verifiable and diverse training, SWE-Dev uniquely provides all instances with a runnable environment and its developer-authored executable unit tests. This collection not only provides high-quality data for Supervised Fine-Tuning (SFT), but also enables Reinforcement Learning (RL) by delivering accurate reward signals from executable unit tests. We evaluated SWE-Dev across 17 base LLMs, 10 reasoning-focused LLMs, 10 multi-agent systems, and 8 tool-augmented LLM agents. Results show substantial headroom: the best single-turn model reaches only 22.51\% Pass@1 on the hard split, while OpenHands agents improve to 56.44\% but still leave many tasks unsolved. Code is available here https://github.com/DorothyDUUU/SWE-Dev.</x:v>
      </x:c>
      <x:c r="L515" s="17" t="str">
        <x:v>http://arxiv.org/abs/2505.16975v3</x:v>
      </x:c>
      <x:c r="M515" s="23" t="n">
        <x:v>0.4275972985328474</x:v>
      </x:c>
      <x:c r="N515" s="17" t="str">
        <x:v>qwen3-rerank-no-instruct-20260727-125006-results.jsonl</x:v>
      </x:c>
      <x:c r="O515" s="24" t="str">
        <x:v>2</x:v>
      </x:c>
      <x:c r="P515" s="28" t="str">
        <x:v>《SWE-Dev: Evaluating and Training Autonomous Feature-Driven Software Development》核心揭示或评测仓库级LLM代理在定位、上下文、测试或复现方面的局限。</x:v>
      </x:c>
      <x:c r="Q515" s="25" t="str"/>
      <x:c r="R515" s="24" t="str">
        <x:f>IF(Q515&lt;&gt;"",Q515,O515)</x:f>
        <x:v>2</x:v>
      </x:c>
      <x:c r="S515" s="29" t="str"/>
    </x:row>
    <x:row r="516" ht="54" customHeight="1">
      <x:c r="A516" s="17" t="str">
        <x:v>csq026-r15</x:v>
      </x:c>
      <x:c r="B516" s="17" t="str">
        <x:v>csq026</x:v>
      </x:c>
      <x:c r="C516" s="17" t="str">
        <x:v>software_engineering</x:v>
      </x:c>
      <x:c r="D516" s="17" t="str">
        <x:v>llm_agents_for_se</x:v>
      </x:c>
      <x:c r="E516" s="27" t="str">
        <x:v>What limitations have been reported for large-language-model agents on repository-level software engineering tasks, especially in localization, long-context reasoning, testing, and reproducibility?</x:v>
      </x:c>
      <x:c r="F516" s="22" t="n">
        <x:v>15</x:v>
      </x:c>
      <x:c r="G516" s="17" t="str">
        <x:v>arXiv:2310.02003</x:v>
      </x:c>
      <x:c r="H516" s="27" t="str">
        <x:v>L2MAC: Large Language Model Automatic Computer for Extensive Code Generation</x:v>
      </x:c>
      <x:c r="I516" s="17" t="str">
        <x:v>Samuel Holt; Max Ruiz Luyten; Mihaela van der Schaar</x:v>
      </x:c>
      <x:c r="J516" s="22" t="n">
        <x:v>2023</x:v>
      </x:c>
      <x:c r="K516" s="27" t="str">
        <x:v>Transformer-based large language models (LLMs) are constrained by the fixed context window of the underlying transformer architecture, hindering their ability to produce long and coherent outputs. Memory-augmented LLMs are a promising solution, but current approaches cannot handle long output generation tasks since they (1) only focus on reading memory and reduce its evolution to the concatenation of new memories or (2) use very specialized memories that cannot adapt to other domains. This paper presents L2MAC, the first practical LLM-based general-purpose stored-program automatic computer (von Neumann architecture) framework, an LLM-based multi-agent system, for long and consistent output generation. Its memory has two components: the instruction registry, which is populated with a prompt program to solve the user-given task, and a file store, which will contain the final and intermediate outputs. Each instruction in turn is executed by a separate LLM agent, whose context is managed by a control unit capable of precise memory reading and writing to ensure effective interaction with the file store. These components enable L2MAC to generate extensive outputs, bypassing the constraints of the finite context window while producing outputs that fulfill a complex user-specified task. We empirically demonstrate that L2MAC achieves state-of-the-art performance in generating large codebases for system design tasks, significantly outperforming other coding methods in implementing the detailed user-specified task; we show that L2MAC works for general-purpose extensive text-based tasks, such as writing an entire book; and we provide valuable insights into L2MAC's performance improvement over existing methods.</x:v>
      </x:c>
      <x:c r="L516" s="17" t="str">
        <x:v>http://arxiv.org/abs/2310.02003v6</x:v>
      </x:c>
      <x:c r="M516" s="23" t="n">
        <x:v>0.3892460535890792</x:v>
      </x:c>
      <x:c r="N516" s="17" t="str">
        <x:v>qwen3-rerank-no-instruct-20260727-125006-results.jsonl</x:v>
      </x:c>
      <x:c r="O516" s="24" t="str">
        <x:v>1</x:v>
      </x:c>
      <x:c r="P516" s="28" t="str">
        <x:v>《L2MAC: Large Language Model Automatic Computer for Extensive Code Generation》涉及LLM软件工程代理，但主要是方法改进或相邻任务，局限分析不够直接。</x:v>
      </x:c>
      <x:c r="Q516" s="25" t="str"/>
      <x:c r="R516" s="24" t="str">
        <x:f>IF(Q516&lt;&gt;"",Q516,O516)</x:f>
        <x:v>1</x:v>
      </x:c>
      <x:c r="S516" s="29" t="str"/>
    </x:row>
    <x:row r="517" ht="54" customHeight="1">
      <x:c r="A517" s="17" t="str">
        <x:v>csq026-r16</x:v>
      </x:c>
      <x:c r="B517" s="17" t="str">
        <x:v>csq026</x:v>
      </x:c>
      <x:c r="C517" s="17" t="str">
        <x:v>software_engineering</x:v>
      </x:c>
      <x:c r="D517" s="17" t="str">
        <x:v>llm_agents_for_se</x:v>
      </x:c>
      <x:c r="E517" s="27" t="str">
        <x:v>What limitations have been reported for large-language-model agents on repository-level software engineering tasks, especially in localization, long-context reasoning, testing, and reproducibility?</x:v>
      </x:c>
      <x:c r="F517" s="22" t="n">
        <x:v>16</x:v>
      </x:c>
      <x:c r="G517" s="17" t="str">
        <x:v>arXiv:2507.07257</x:v>
      </x:c>
      <x:c r="H517" s="27" t="str">
        <x:v>Open Source Planning &amp; Control System with Language Agents for Autonomous Scientific Discovery</x:v>
      </x:c>
      <x:c r="I517" s="17" t="str">
        <x:v>Licong Xu; Milind Sarkar; Anto I. Lonappan; Íñigo Zubeldia; Pablo Villanueva-Domingo; Santiago Casas; Christian Fidler; Chetana Amancharla; Ujjwal Tiwari; Adrian Bayer; Chadi Ait Ekioui; Miles Cranmer; Adrian Dimitrov; James Fergusson; Kahaan Gandhi; Sven Krippendorf; Andrew Laverick; Julien Lesgourgues; Antony Lewis; Thomas Meier; Blake Sherwin; Kristen Surrao; Francisco Villaescusa-Navarro; Chi Wang; Xueqing Xu; Boris Bolliet</x:v>
      </x:c>
      <x:c r="J517" s="22" t="n">
        <x:v>2025</x:v>
      </x:c>
      <x:c r="K517" s="27" t="str">
        <x:v>We present a multi-agent system for automation of scientific research tasks, cmbagent (https://github.com/CMBAgents/cmbagent). The system is formed by about 30 Large Language Model (LLM) agents and implements a Planning &amp; Control strategy to orchestrate the agentic workflow, with no human-in-the-loop at any point. Each agent specializes in a different task (performing retrieval on scientific papers and codebases, writing code, interpreting results, critiquing the output of other agents) and the system is able to execute code locally. We successfully apply cmbagent to carry out a PhD level cosmology task (the measurement of cosmological parameters using supernova data) and evaluate its performance on two benchmark sets, finding superior performance over state-of-the-art LLMs. The source code is available on GitHub, demonstration videos are also available, and the system is deployed on HuggingFace and will be available on the cloud.</x:v>
      </x:c>
      <x:c r="L517" s="17" t="str">
        <x:v>http://arxiv.org/abs/2507.07257v2</x:v>
      </x:c>
      <x:c r="M517" s="23" t="n">
        <x:v>0.37376914662941413</x:v>
      </x:c>
      <x:c r="N517" s="17" t="str">
        <x:v>qwen3-rerank-no-instruct-20260727-125006-results.jsonl</x:v>
      </x:c>
      <x:c r="O517" s="24" t="str">
        <x:v>0</x:v>
      </x:c>
      <x:c r="P517" s="28" t="str">
        <x:v>《Open Source Planning &amp; Control System with Language Agents for Autonomous Scientific Discovery》不是仓库级软件工程代理能力或局限研究。</x:v>
      </x:c>
      <x:c r="Q517" s="25" t="str"/>
      <x:c r="R517" s="24" t="str">
        <x:f>IF(Q517&lt;&gt;"",Q517,O517)</x:f>
        <x:v>0</x:v>
      </x:c>
      <x:c r="S517" s="29" t="str"/>
    </x:row>
    <x:row r="518" ht="54" customHeight="1">
      <x:c r="A518" s="17" t="str">
        <x:v>csq026-r17</x:v>
      </x:c>
      <x:c r="B518" s="17" t="str">
        <x:v>csq026</x:v>
      </x:c>
      <x:c r="C518" s="17" t="str">
        <x:v>software_engineering</x:v>
      </x:c>
      <x:c r="D518" s="17" t="str">
        <x:v>llm_agents_for_se</x:v>
      </x:c>
      <x:c r="E518" s="27" t="str">
        <x:v>What limitations have been reported for large-language-model agents on repository-level software engineering tasks, especially in localization, long-context reasoning, testing, and reproducibility?</x:v>
      </x:c>
      <x:c r="F518" s="22" t="n">
        <x:v>17</x:v>
      </x:c>
      <x:c r="G518" s="17" t="str">
        <x:v>arXiv:2404.02183</x:v>
      </x:c>
      <x:c r="H518" s="27" t="str">
        <x:v>Self-Organized Agents: A LLM Multi-Agent Framework toward Ultra Large-Scale Code Generation and Optimization</x:v>
      </x:c>
      <x:c r="I518" s="17" t="str">
        <x:v>Yoichi Ishibashi; Yoshimasa Nishimura</x:v>
      </x:c>
      <x:c r="J518" s="22" t="n">
        <x:v>2024</x:v>
      </x:c>
      <x:c r="K518" s="27" t="str">
        <x:v>Recent advancements in automatic code generation using large language model (LLM) agent have brought us closer to the future of automated software development. However, existing single-agent approaches face limitations in generating and improving large-scale, complex codebases due to constraints in context length. To tackle this challenge, we propose Self-Organized multi-Agent framework (SoA), a novel multi-agent framework that enables the scalable and efficient generation and optimization of large-scale code. In SoA, self-organized agents operate independently to generate and modify code components while seamlessly collaborating to construct the overall codebase. A key feature of our framework is the automatic multiplication of agents based on problem complexity, allowing for dynamic scalability. This enables the overall code volume to be increased indefinitely according to the number of agents, while the amount of code managed by each agent remains constant. We evaluate SoA on the HumanEval benchmark and demonstrate that, compared to a single-agent system, each agent in SoA handles significantly less code, yet the overall generated code is substantially greater. Moreover, SoA surpasses the powerful single-agent baseline by 5% in terms of Pass@1 accuracy.</x:v>
      </x:c>
      <x:c r="L518" s="17" t="str">
        <x:v>http://arxiv.org/abs/2404.02183v1</x:v>
      </x:c>
      <x:c r="M518" s="23" t="n">
        <x:v>0.36290574887035953</x:v>
      </x:c>
      <x:c r="N518" s="17" t="str">
        <x:v>qwen3-rerank-no-instruct-20260727-125006-results.jsonl</x:v>
      </x:c>
      <x:c r="O518" s="24" t="str">
        <x:v>1</x:v>
      </x:c>
      <x:c r="P518" s="28" t="str">
        <x:v>《Self-Organized Agents: A LLM Multi-Agent Framework toward Ultra Large-Scale Code Generation and Optimization》涉及LLM软件工程代理，但主要是方法改进或相邻任务，局限分析不够直接。</x:v>
      </x:c>
      <x:c r="Q518" s="25" t="str"/>
      <x:c r="R518" s="24" t="str">
        <x:f>IF(Q518&lt;&gt;"",Q518,O518)</x:f>
        <x:v>1</x:v>
      </x:c>
      <x:c r="S518" s="29" t="str"/>
    </x:row>
    <x:row r="519" ht="54" customHeight="1">
      <x:c r="A519" s="17" t="str">
        <x:v>csq026-r18</x:v>
      </x:c>
      <x:c r="B519" s="17" t="str">
        <x:v>csq026</x:v>
      </x:c>
      <x:c r="C519" s="17" t="str">
        <x:v>software_engineering</x:v>
      </x:c>
      <x:c r="D519" s="17" t="str">
        <x:v>llm_agents_for_se</x:v>
      </x:c>
      <x:c r="E519" s="27" t="str">
        <x:v>What limitations have been reported for large-language-model agents on repository-level software engineering tasks, especially in localization, long-context reasoning, testing, and reproducibility?</x:v>
      </x:c>
      <x:c r="F519" s="22" t="n">
        <x:v>18</x:v>
      </x:c>
      <x:c r="G519" s="17" t="str">
        <x:v>arXiv:2512.18552</x:v>
      </x:c>
      <x:c r="H519" s="27" t="str">
        <x:v>Toward Training Superintelligent Software Agents through Self-Play SWE-RL</x:v>
      </x:c>
      <x:c r="I519" s="17" t="str">
        <x:v>Yuxiang Wei; Zhiqing Sun; Emily McMilin; Jonas Gehring; David Zhang; Gabriel Synnaeve; Daniel Fried; Lingming Zhang; Sida Wang</x:v>
      </x:c>
      <x:c r="J519" s="22" t="n">
        <x:v>2025</x:v>
      </x:c>
      <x:c r="K519" s="27" t="str">
        <x:v>While current software agents powered by large language models (LLMs) and agentic reinforcement learning (RL) can boost programmer productivity, their training data (e.g., GitHub issues and pull requests) and environments (e.g., pass-to-pass and fail-to-pass tests) heavily depend on human knowledge or curation, posing a fundamental barrier to superintelligence. In this paper, we present Self-play SWE-RL (SSR), a first step toward training paradigms for superintelligent software agents. Our approach takes minimal data assumptions, only requiring access to sandboxed repositories with source code and installed dependencies, with no need for human-labeled issues or tests. Grounded in these real-world codebases, a single LLM agent is trained via reinforcement learning in a self-play setting to iteratively inject and repair software bugs of increasing complexity, with each bug formally specified by a test patch rather than a natural language issue description. On the SWE-bench Verified and SWE-Bench Pro benchmarks, SSR achieves notable self-improvement (+10.4 and +7.8 points, respectively) and consistently outperforms the human-data baseline over the entire training trajectory, despite being evaluated on natural language issues absent from self-play. Our results, albeit early, suggest a path where agents autonomously gather extensive learning experiences from real-world software repositories, ultimately enabling superintelligent systems that exceed human capabilities in understanding how systems are constructed, solving novel challenges, and autonomously creating new software from scratch.</x:v>
      </x:c>
      <x:c r="L519" s="17" t="str">
        <x:v>http://arxiv.org/abs/2512.18552v3</x:v>
      </x:c>
      <x:c r="M519" s="23" t="n">
        <x:v>0.34967510734260654</x:v>
      </x:c>
      <x:c r="N519" s="17" t="str">
        <x:v>qwen3-rerank-no-instruct-20260727-125006-results.jsonl</x:v>
      </x:c>
      <x:c r="O519" s="24" t="str">
        <x:v>2</x:v>
      </x:c>
      <x:c r="P519" s="28" t="str">
        <x:v>《Toward Training Superintelligent Software Agents through Self-Play SWE-RL》核心揭示或评测仓库级LLM代理在定位、上下文、测试或复现方面的局限。</x:v>
      </x:c>
      <x:c r="Q519" s="25" t="str"/>
      <x:c r="R519" s="24" t="str">
        <x:f>IF(Q519&lt;&gt;"",Q519,O519)</x:f>
        <x:v>2</x:v>
      </x:c>
      <x:c r="S519" s="29" t="str"/>
    </x:row>
    <x:row r="520" ht="54" customHeight="1">
      <x:c r="A520" s="17" t="str">
        <x:v>csq026-r19</x:v>
      </x:c>
      <x:c r="B520" s="17" t="str">
        <x:v>csq026</x:v>
      </x:c>
      <x:c r="C520" s="17" t="str">
        <x:v>software_engineering</x:v>
      </x:c>
      <x:c r="D520" s="17" t="str">
        <x:v>llm_agents_for_se</x:v>
      </x:c>
      <x:c r="E520" s="27" t="str">
        <x:v>What limitations have been reported for large-language-model agents on repository-level software engineering tasks, especially in localization, long-context reasoning, testing, and reproducibility?</x:v>
      </x:c>
      <x:c r="F520" s="22" t="n">
        <x:v>19</x:v>
      </x:c>
      <x:c r="G520" s="17" t="str">
        <x:v>arXiv:2512.13526</x:v>
      </x:c>
      <x:c r="H520" s="27" t="str">
        <x:v>Async Control: Stress-testing Asynchronous Control Measures for LLM Agents</x:v>
      </x:c>
      <x:c r="I520" s="17" t="str">
        <x:v>Asa Cooper Stickland; Jan Michelfeit; Arathi Mani; Charlie Griffin; Ollie Matthews; Tomek Korbak; Rogan Inglis; Oliver Makins; Alan Cooney</x:v>
      </x:c>
      <x:c r="J520" s="22" t="n">
        <x:v>2025</x:v>
      </x:c>
      <x:c r="K520" s="27" t="str">
        <x:v>LLM-based software engineering agents are increasingly used in real-world development tasks, often with access to sensitive data or security-critical codebases. Such agents could intentionally sabotage these codebases if they were misaligned. We investigate asynchronous monitoring, in which a monitoring system reviews agent actions after the fact. Unlike synchronous monitoring, this approach does not impose runtime latency, while still attempting to disrupt attacks before irreversible harm occurs. We treat monitor development as an adversarial game between a blue team (who design monitors) and a red team (who create sabotaging agents). We attempt to set the game rules such that they upper bound the sabotage potential of an agent based on Claude 4.1 Opus. To ground this game in a realistic, high-stakes deployment scenario, we develop a suite of 5 diverse software engineering environments that simulate tasks that an agent might perform within an AI developer's internal infrastructure. Over the course of the game, we develop an ensemble monitor that achieves a 6% false negative rate at 1% false positive rate on a held out test environment. Then, we estimate risk of sabotage at deployment time by extrapolating from our monitor's false negative rate. We describe one simple model for this extrapolation, present a sensitivity analysis, and describe situations in which the model would be invalid. Code is available at: https://github.com/UKGovernmentBEIS/async-control.</x:v>
      </x:c>
      <x:c r="L520" s="17" t="str">
        <x:v>http://arxiv.org/abs/2512.13526v1</x:v>
      </x:c>
      <x:c r="M520" s="23" t="n">
        <x:v>0.3366810425994267</x:v>
      </x:c>
      <x:c r="N520" s="17" t="str">
        <x:v>qwen3-rerank-no-instruct-20260727-125006-results.jsonl</x:v>
      </x:c>
      <x:c r="O520" s="24" t="str">
        <x:v>1</x:v>
      </x:c>
      <x:c r="P520" s="28" t="str">
        <x:v>《Async Control: Stress-testing Asynchronous Control Measures for LLM Agents》涉及LLM软件工程代理，但主要是方法改进或相邻任务，局限分析不够直接。</x:v>
      </x:c>
      <x:c r="Q520" s="25" t="str"/>
      <x:c r="R520" s="24" t="str">
        <x:f>IF(Q520&lt;&gt;"",Q520,O520)</x:f>
        <x:v>1</x:v>
      </x:c>
      <x:c r="S520" s="29" t="str"/>
    </x:row>
    <x:row r="521" ht="54" customHeight="1">
      <x:c r="A521" s="17" t="str">
        <x:v>csq026-r20</x:v>
      </x:c>
      <x:c r="B521" s="17" t="str">
        <x:v>csq026</x:v>
      </x:c>
      <x:c r="C521" s="17" t="str">
        <x:v>software_engineering</x:v>
      </x:c>
      <x:c r="D521" s="17" t="str">
        <x:v>llm_agents_for_se</x:v>
      </x:c>
      <x:c r="E521" s="27" t="str">
        <x:v>What limitations have been reported for large-language-model agents on repository-level software engineering tasks, especially in localization, long-context reasoning, testing, and reproducibility?</x:v>
      </x:c>
      <x:c r="F521" s="22" t="n">
        <x:v>20</x:v>
      </x:c>
      <x:c r="G521" s="17" t="str">
        <x:v>arXiv:2503.14340</x:v>
      </x:c>
      <x:c r="H521" s="27" t="str">
        <x:v>MANTRA: Enhancing Automated Method-Level Refactoring with Contextual RAG and Multi-Agent LLM Collaboration</x:v>
      </x:c>
      <x:c r="I521" s="17" t="str">
        <x:v>Yisen Xu; Feng Lin; Jinqiu Yang;  Tse-Hsun;  Chen; Nikolaos Tsantalis</x:v>
      </x:c>
      <x:c r="J521" s="22" t="n">
        <x:v>2025</x:v>
      </x:c>
      <x:c r="K521" s="27" t="str">
        <x:v>Maintaining and scaling software systems relies heavily on effective code refactoring, yet this process remains labor-intensive, requiring developers to carefully analyze existing codebases and prevent the introduction of new defects. Although recent advancements have leveraged Large Language Models (LLMs) to automate refactoring tasks, current solutions are constrained in scope and lack mechanisms to guarantee code compilability and successful test execution. In this work, we introduce MANTRA, a comprehensive LLM agent-based framework that automates method-level refactoring. MANTRA integrates Context-Aware Retrieval-Augmented Generation, coordinated Multi-Agent Collaboration, and Verbal Reinforcement Learning to emulate human decision-making during refactoring while preserving code correctness and readability. Our empirical study, conducted on 703 instances of "pure refactorings" (i.e., code changes exclusively involving structural improvements), drawn from 10 representative Java projects, covers the six most prevalent refactoring operations. Experimental results demonstrate that MANTRA substantially surpasses a baseline LLM model (RawGPT ), achieving an 82.8% success rate (582/703) in producing code that compiles and passes all tests, compared to just 8.7% (61/703) with RawGPT. Moreover, in comparison to IntelliJ's LLM-powered refactoring tool (EM-Assist), MANTRA exhibits a 50% improvement in generating Extract Method transformations. A usability study involving 37 professional developers further shows that refactorings performed by MANTRA are perceived to be as readable and reusable as human-written code, and in certain cases, even more favorable. These results highlight the practical advantages of MANTRA and emphasize the growing potential of LLM-based systems in advancing the automation of software refactoring tasks.</x:v>
      </x:c>
      <x:c r="L521" s="17" t="str">
        <x:v>http://arxiv.org/abs/2503.14340v2</x:v>
      </x:c>
      <x:c r="M521" s="23" t="n">
        <x:v>0.3356071438910195</x:v>
      </x:c>
      <x:c r="N521" s="17" t="str">
        <x:v>qwen3-rerank-no-instruct-20260727-125006-results.jsonl</x:v>
      </x:c>
      <x:c r="O521" s="24" t="str">
        <x:v>1</x:v>
      </x:c>
      <x:c r="P521" s="28" t="str">
        <x:v>《MANTRA: Enhancing Automated Method-Level Refactoring with Contextual RAG and Multi-Agent LLM Collaboration》涉及LLM软件工程代理，但主要是方法改进或相邻任务，局限分析不够直接。</x:v>
      </x:c>
      <x:c r="Q521" s="25" t="str"/>
      <x:c r="R521" s="24" t="str">
        <x:f>IF(Q521&lt;&gt;"",Q521,O521)</x:f>
        <x:v>1</x:v>
      </x:c>
      <x:c r="S521" s="29" t="str"/>
    </x:row>
    <x:row r="522" ht="54" customHeight="1">
      <x:c r="A522" s="17" t="str">
        <x:v>csq027-r01</x:v>
      </x:c>
      <x:c r="B522" s="17" t="str">
        <x:v>csq027</x:v>
      </x:c>
      <x:c r="C522" s="17" t="str">
        <x:v>data_management_and_ir</x:v>
      </x:c>
      <x:c r="D522" s="17" t="str">
        <x:v>learned_indexes</x:v>
      </x:c>
      <x:c r="E522" s="27" t="str">
        <x:v>What learned index structures have been proposed, and under which data distributions and update workloads do they outperform or underperform traditional indexes?</x:v>
      </x:c>
      <x:c r="F522" s="22" t="n">
        <x:v>1</x:v>
      </x:c>
      <x:c r="G522" s="17" t="str">
        <x:v>arXiv:2305.01237</x:v>
      </x:c>
      <x:c r="H522" s="27" t="str">
        <x:v>Updatable Learned Indexes Meet Disk-Resident DBMS -- From Evaluations to Design Choices</x:v>
      </x:c>
      <x:c r="I522" s="17" t="str">
        <x:v>Hai Lan; Zhifeng Bao; J. Shane Culpepper; Renata Borovica-Gajic</x:v>
      </x:c>
      <x:c r="J522" s="22" t="n">
        <x:v>2023</x:v>
      </x:c>
      <x:c r="K522" s="27" t="str">
        <x:v>Although many updatable learned indexes have been proposed in recent years, whether they can outperform traditional approaches on disk remains unknown. In this study, we revisit and implement four state-of-the-art updatable learned indexes on disk, and compare them against the B+-tree under a wide range of settings. Through our evaluation, we make some key observations: 1) Overall, the B+-tree performs well across a range of workload types and datasets. 2) A learned index could outperform B+-tree or other learned indexes on disk for a specific workload. For example, PGM achieves the best performance in write-only workloads while LIPP significantly outperforms others in lookup-only workloads. We further conduct a detailed performance analysis to reveal the strengths and weaknesses of these learned indexes on disk. Moreover, we summarize the observed common shortcomings in five categories and propose four design principles to guide future design of on-disk, updatable learned indexes: (1) reducing the index's tree height, (2) better data structures to lower operation overheads, (3) improving the efficiency of scan operations, and (4) more efficient storage layout.</x:v>
      </x:c>
      <x:c r="L522" s="17" t="str">
        <x:v>http://arxiv.org/abs/2305.01237v1</x:v>
      </x:c>
      <x:c r="M522" s="23" t="n">
        <x:v>0.9434260415825757</x:v>
      </x:c>
      <x:c r="N522" s="17" t="str">
        <x:v>qwen3-rerank-no-instruct-20260727-125006-results.jsonl</x:v>
      </x:c>
      <x:c r="O522" s="24" t="str">
        <x:v>2</x:v>
      </x:c>
      <x:c r="P522" s="28" t="str">
        <x:v>《Updatable Learned Indexes Meet Disk-Resident DBMS -- From Evaluations to Design Choices》核心提出或系统评测学习索引，并分析分布、更新负载与传统索引权衡。</x:v>
      </x:c>
      <x:c r="Q522" s="25" t="str"/>
      <x:c r="R522" s="24" t="str">
        <x:f>IF(Q522&lt;&gt;"",Q522,O522)</x:f>
        <x:v>2</x:v>
      </x:c>
      <x:c r="S522" s="29" t="str"/>
    </x:row>
    <x:row r="523" ht="54" customHeight="1">
      <x:c r="A523" s="17" t="str">
        <x:v>csq027-r02</x:v>
      </x:c>
      <x:c r="B523" s="17" t="str">
        <x:v>csq027</x:v>
      </x:c>
      <x:c r="C523" s="17" t="str">
        <x:v>data_management_and_ir</x:v>
      </x:c>
      <x:c r="D523" s="17" t="str">
        <x:v>learned_indexes</x:v>
      </x:c>
      <x:c r="E523" s="27" t="str">
        <x:v>What learned index structures have been proposed, and under which data distributions and update workloads do they outperform or underperform traditional indexes?</x:v>
      </x:c>
      <x:c r="F523" s="22" t="n">
        <x:v>2</x:v>
      </x:c>
      <x:c r="G523" s="17" t="str">
        <x:v>arXiv:2006.12804</x:v>
      </x:c>
      <x:c r="H523" s="27" t="str">
        <x:v>Benchmarking Learned Indexes</x:v>
      </x:c>
      <x:c r="I523" s="17" t="str">
        <x:v>Ryan Marcus; Andreas Kipf; Alexander van Renen; Mihail Stoian; Sanchit Misra; Alfons Kemper; Thomas Neumann; Tim Kraska</x:v>
      </x:c>
      <x:c r="J523" s="22" t="n">
        <x:v>2020</x:v>
      </x:c>
      <x:c r="K523" s="27" t="str">
        <x:v>Recent advancements in learned index structures propose replacing existing index structures, like B-Trees, with approximate learned models. In this work, we present a unified benchmark that compares well-tuned implementations of three learned index structures against several state-of-the-art "traditional" baselines. Using four real-world datasets, we demonstrate that learned index structures can indeed outperform non-learned indexes in read-only in-memory workloads over a dense array. We also investigate the impact of caching, pipelining, dataset size, and key size. We study the performance profile of learned index structures, and build an explanation for why learned models achieve such good performance. Finally, we investigate other important properties of learned index structures, such as their performance in multi-threaded systems and their build times.</x:v>
      </x:c>
      <x:c r="L523" s="17" t="str">
        <x:v>http://arxiv.org/abs/2006.12804v2</x:v>
      </x:c>
      <x:c r="M523" s="23" t="n">
        <x:v>0.9388460116444917</x:v>
      </x:c>
      <x:c r="N523" s="17" t="str">
        <x:v>qwen3-rerank-no-instruct-20260727-125006-results.jsonl</x:v>
      </x:c>
      <x:c r="O523" s="24" t="str">
        <x:v>2</x:v>
      </x:c>
      <x:c r="P523" s="28" t="str">
        <x:v>《Benchmarking Learned Indexes》核心提出或系统评测学习索引，并分析分布、更新负载与传统索引权衡。</x:v>
      </x:c>
      <x:c r="Q523" s="25" t="str"/>
      <x:c r="R523" s="24" t="str">
        <x:f>IF(Q523&lt;&gt;"",Q523,O523)</x:f>
        <x:v>2</x:v>
      </x:c>
      <x:c r="S523" s="29" t="str"/>
    </x:row>
    <x:row r="524" ht="54" customHeight="1">
      <x:c r="A524" s="17" t="str">
        <x:v>csq027-r03</x:v>
      </x:c>
      <x:c r="B524" s="17" t="str">
        <x:v>csq027</x:v>
      </x:c>
      <x:c r="C524" s="17" t="str">
        <x:v>data_management_and_ir</x:v>
      </x:c>
      <x:c r="D524" s="17" t="str">
        <x:v>learned_indexes</x:v>
      </x:c>
      <x:c r="E524" s="27" t="str">
        <x:v>What learned index structures have been proposed, and under which data distributions and update workloads do they outperform or underperform traditional indexes?</x:v>
      </x:c>
      <x:c r="F524" s="22" t="n">
        <x:v>3</x:v>
      </x:c>
      <x:c r="G524" s="17" t="str">
        <x:v>arXiv:2104.05520</x:v>
      </x:c>
      <x:c r="H524" s="27" t="str">
        <x:v>Updatable Learned Index with Precise Positions</x:v>
      </x:c>
      <x:c r="I524" s="17" t="str">
        <x:v>Jiacheng Wu; Yong Zhang; Shimin Chen; Jin Wang; Yu Chen; Chunxiao Xing</x:v>
      </x:c>
      <x:c r="J524" s="22" t="n">
        <x:v>2021</x:v>
      </x:c>
      <x:c r="K524" s="27" t="str">
        <x:v>Index plays an essential role in modern database engines to accelerate the query processing. The new paradigm of "learned index" has significantly changed the way of designing index structures in DBMS. The key insight is that indexes could be regarded as learned models that predict the position of a lookup key in the dataset. While such studies show promising results in both lookup time and index size, they cannot efficiently support update operations. Although recent studies have proposed some preliminary approaches to support update, they are at the cost of scarifying the lookup performance as they suffer from the overheads brought by imprecise predictions in the leaf nodes. In this paper, we propose LIPP, a brand new framework of learned index to address such issues. Similar with state-of-the-art learned index structures, LIPP is able to support all kinds of index operations, namely lookup query, range query, insert, delete, update and bulkload. Meanwhile, we overcome the limitations of previous studies by properly extending the tree structure when dealing with update operations so as to eliminate the deviation of location predicted by the models in the leaf nodes. Moreover, we further propose a dynamic adjustment strategy to ensure that the height of the tree index is tightly bounded and provide comprehensive theoretical analysis to illustrate it. We conduct an extensive set of experiments on several real-life and synthetic datasets. The results demonstrate that our method consistently outperforms state-of-the-art solutions, achieving by up to 4x for a broader class of workloads with different index operations.</x:v>
      </x:c>
      <x:c r="L524" s="17" t="str">
        <x:v>http://arxiv.org/abs/2104.05520v2</x:v>
      </x:c>
      <x:c r="M524" s="23" t="n">
        <x:v>0.9264052411633181</x:v>
      </x:c>
      <x:c r="N524" s="17" t="str">
        <x:v>qwen3-rerank-no-instruct-20260727-125006-results.jsonl</x:v>
      </x:c>
      <x:c r="O524" s="24" t="str">
        <x:v>2</x:v>
      </x:c>
      <x:c r="P524" s="28" t="str">
        <x:v>《Updatable Learned Index with Precise Positions》核心提出或系统评测学习索引，并分析分布、更新负载与传统索引权衡。</x:v>
      </x:c>
      <x:c r="Q524" s="25" t="str"/>
      <x:c r="R524" s="24" t="str">
        <x:f>IF(Q524&lt;&gt;"",Q524,O524)</x:f>
        <x:v>2</x:v>
      </x:c>
      <x:c r="S524" s="29" t="str"/>
    </x:row>
    <x:row r="525" ht="54" customHeight="1">
      <x:c r="A525" s="17" t="str">
        <x:v>csq027-r04</x:v>
      </x:c>
      <x:c r="B525" s="17" t="str">
        <x:v>csq027</x:v>
      </x:c>
      <x:c r="C525" s="17" t="str">
        <x:v>data_management_and_ir</x:v>
      </x:c>
      <x:c r="D525" s="17" t="str">
        <x:v>learned_indexes</x:v>
      </x:c>
      <x:c r="E525" s="27" t="str">
        <x:v>What learned index structures have been proposed, and under which data distributions and update workloads do they outperform or underperform traditional indexes?</x:v>
      </x:c>
      <x:c r="F525" s="22" t="n">
        <x:v>4</x:v>
      </x:c>
      <x:c r="G525" s="17" t="str">
        <x:v>arXiv:1902.00655</x:v>
      </x:c>
      <x:c r="H525" s="27" t="str">
        <x:v>Learned Indexes for Dynamic Workloads</x:v>
      </x:c>
      <x:c r="I525" s="17" t="str">
        <x:v>Chuzhe Tang; Zhiyuan Dong; Minjie Wang; Zhaoguo Wang; Haibo Chen</x:v>
      </x:c>
      <x:c r="J525" s="22" t="n">
        <x:v>2019</x:v>
      </x:c>
      <x:c r="K525" s="27" t="str">
        <x:v>The recent proposal of learned index structures opens up a new perspective on how traditional range indexes can be optimized. However, the current learned indexes assume the data distribution is relatively static and the access pattern is uniform, while real-world scenarios consist of skew query distribution and evolving data. In this paper, we demonstrate that the missing consideration of access patterns and dynamic data distribution notably hinders the applicability of learned indexes. To this end, we propose solutions for learned indexes for dynamic workloads (called Doraemon). To improve the latency for skew queries, Doraemon augments the training data with access frequencies. To address the slow model re-training when data distribution shifts, Doraemon caches the previously-trained models and incrementally fine-tunes them for similar access patterns and data distribution. Our preliminary result shows that, Doraemon improves the query latency by 45.1% and reduces the model re-training time to 1/20.</x:v>
      </x:c>
      <x:c r="L525" s="17" t="str">
        <x:v>http://arxiv.org/abs/1902.00655v1</x:v>
      </x:c>
      <x:c r="M525" s="23" t="n">
        <x:v>0.9214953835748727</x:v>
      </x:c>
      <x:c r="N525" s="17" t="str">
        <x:v>qwen3-rerank-no-instruct-20260727-125006-results.jsonl</x:v>
      </x:c>
      <x:c r="O525" s="24" t="str">
        <x:v>2</x:v>
      </x:c>
      <x:c r="P525" s="28" t="str">
        <x:v>《Learned Indexes for Dynamic Workloads》核心提出或系统评测学习索引，并分析分布、更新负载与传统索引权衡。</x:v>
      </x:c>
      <x:c r="Q525" s="25" t="str"/>
      <x:c r="R525" s="24" t="str">
        <x:f>IF(Q525&lt;&gt;"",Q525,O525)</x:f>
        <x:v>2</x:v>
      </x:c>
      <x:c r="S525" s="29" t="str"/>
    </x:row>
    <x:row r="526" ht="54" customHeight="1">
      <x:c r="A526" s="17" t="str">
        <x:v>csq027-r05</x:v>
      </x:c>
      <x:c r="B526" s="17" t="str">
        <x:v>csq027</x:v>
      </x:c>
      <x:c r="C526" s="17" t="str">
        <x:v>data_management_and_ir</x:v>
      </x:c>
      <x:c r="D526" s="17" t="str">
        <x:v>learned_indexes</x:v>
      </x:c>
      <x:c r="E526" s="27" t="str">
        <x:v>What learned index structures have been proposed, and under which data distributions and update workloads do they outperform or underperform traditional indexes?</x:v>
      </x:c>
      <x:c r="F526" s="22" t="n">
        <x:v>5</x:v>
      </x:c>
      <x:c r="G526" s="17" t="str">
        <x:v>arXiv:2109.08495</x:v>
      </x:c>
      <x:c r="H526" s="27" t="str">
        <x:v>Micro-architectural Analysis of a Learned Index</x:v>
      </x:c>
      <x:c r="I526" s="17" t="str">
        <x:v>Mikkel Møller Andersen; Pınar Tözün</x:v>
      </x:c>
      <x:c r="J526" s="22" t="n">
        <x:v>2021</x:v>
      </x:c>
      <x:c r="K526" s="27" t="str">
        <x:v>Since the publication of The Case for Learned Index Structures in 2018, there has been a rise in research that focuses on learned indexes for different domains and with different functionalities. While the effectiveness of learned indexes as an alternative to traditional index structures such as B+Trees have already been demonstrated by several studies, previous work tend to focus on higher-level performance metrics such as throughput and index size. In this paper, our goal is to dig deeper and investigate how learned indexes behave at a micro-architectural level compared to traditional indexes. More specifically, we focus on previously proposed learned index structure ALEX, which is a tree-based in-memory index structure that consists of a hierarchy of machine learned models. Unlike the original proposal for learned indexes, ALEX is designed from the ground up to allow updates and inserts. Therefore, it enables more dynamic workloads using learned indexes. In this work, we perform a micro-architectural analysis of ALEX and compare its behavior to the tree-based index structures that are not based on learned models, i.e., ART and B+Tree. Our results show that ALEX is bound by memory stalls, mainly stalls due to data misses from the last-level cache. Compared to ART and B+Tree, ALEX exhibits fewer stalls and a lower cycles-per-instruction value across different workloads. On the other hand, the amount of instructions required to handle out-of-bound inserts in ALEX can increase the instructions needed per request significantly (10X) for write-heavy workloads. However, the micro-architectural behavior shows that this increase in the instruction footprint exhibit high instruction-level parallelism, and, therefore, does not negatively impact the overall execution time.</x:v>
      </x:c>
      <x:c r="L526" s="17" t="str">
        <x:v>http://arxiv.org/abs/2109.08495v1</x:v>
      </x:c>
      <x:c r="M526" s="23" t="n">
        <x:v>0.9200002969702372</x:v>
      </x:c>
      <x:c r="N526" s="17" t="str">
        <x:v>qwen3-rerank-no-instruct-20260727-125006-results.jsonl</x:v>
      </x:c>
      <x:c r="O526" s="24" t="str">
        <x:v>2</x:v>
      </x:c>
      <x:c r="P526" s="28" t="str">
        <x:v>《Micro-architectural Analysis of a Learned Index》核心提出或系统评测学习索引，并分析分布、更新负载与传统索引权衡。</x:v>
      </x:c>
      <x:c r="Q526" s="25" t="str"/>
      <x:c r="R526" s="24" t="str">
        <x:f>IF(Q526&lt;&gt;"",Q526,O526)</x:f>
        <x:v>2</x:v>
      </x:c>
      <x:c r="S526" s="29" t="str"/>
    </x:row>
    <x:row r="527" ht="54" customHeight="1">
      <x:c r="A527" s="17" t="str">
        <x:v>csq027-r06</x:v>
      </x:c>
      <x:c r="B527" s="17" t="str">
        <x:v>csq027</x:v>
      </x:c>
      <x:c r="C527" s="17" t="str">
        <x:v>data_management_and_ir</x:v>
      </x:c>
      <x:c r="D527" s="17" t="str">
        <x:v>learned_indexes</x:v>
      </x:c>
      <x:c r="E527" s="27" t="str">
        <x:v>What learned index structures have been proposed, and under which data distributions and update workloads do they outperform or underperform traditional indexes?</x:v>
      </x:c>
      <x:c r="F527" s="22" t="n">
        <x:v>6</x:v>
      </x:c>
      <x:c r="G527" s="17" t="str">
        <x:v>arXiv:1911.13014</x:v>
      </x:c>
      <x:c r="H527" s="27" t="str">
        <x:v>SOSD: A Benchmark for Learned Indexes</x:v>
      </x:c>
      <x:c r="I527" s="17" t="str">
        <x:v>Andreas Kipf; Ryan Marcus; Alexander van Renen; Mihail Stoian; Alfons Kemper; Tim Kraska; Thomas Neumann</x:v>
      </x:c>
      <x:c r="J527" s="22" t="n">
        <x:v>2019</x:v>
      </x:c>
      <x:c r="K527" s="27" t="str">
        <x:v>A groundswell of recent work has focused on improving data management systems with learned components. Specifically, work on learned index structures has proposed replacing traditional index structures, such as B-trees, with learned models. Given the decades of research committed to improving index structures, there is significant skepticism about whether learned indexes actually outperform state-of-the-art implementations of traditional structures on real-world data. To answer this question, we propose a new benchmarking framework that comes with a variety of real-world datasets and baseline implementations to compare against. We also show preliminary results for selected index structures, and find that learned models indeed often outperform state-of-the-art implementations, and are therefore a promising direction for future research.</x:v>
      </x:c>
      <x:c r="L527" s="17" t="str">
        <x:v>http://arxiv.org/abs/1911.13014v1</x:v>
      </x:c>
      <x:c r="M527" s="23" t="n">
        <x:v>0.9128712088313695</x:v>
      </x:c>
      <x:c r="N527" s="17" t="str">
        <x:v>qwen3-rerank-no-instruct-20260727-125006-results.jsonl</x:v>
      </x:c>
      <x:c r="O527" s="24" t="str">
        <x:v>2</x:v>
      </x:c>
      <x:c r="P527" s="28" t="str">
        <x:v>《SOSD: A Benchmark for Learned Indexes》核心提出或系统评测学习索引，并分析分布、更新负载与传统索引权衡。</x:v>
      </x:c>
      <x:c r="Q527" s="25" t="str"/>
      <x:c r="R527" s="24" t="str">
        <x:f>IF(Q527&lt;&gt;"",Q527,O527)</x:f>
        <x:v>2</x:v>
      </x:c>
      <x:c r="S527" s="29" t="str"/>
    </x:row>
    <x:row r="528" ht="54" customHeight="1">
      <x:c r="A528" s="17" t="str">
        <x:v>csq027-r07</x:v>
      </x:c>
      <x:c r="B528" s="17" t="str">
        <x:v>csq027</x:v>
      </x:c>
      <x:c r="C528" s="17" t="str">
        <x:v>data_management_and_ir</x:v>
      </x:c>
      <x:c r="D528" s="17" t="str">
        <x:v>learned_indexes</x:v>
      </x:c>
      <x:c r="E528" s="27" t="str">
        <x:v>What learned index structures have been proposed, and under which data distributions and update workloads do they outperform or underperform traditional indexes?</x:v>
      </x:c>
      <x:c r="F528" s="22" t="n">
        <x:v>7</x:v>
      </x:c>
      <x:c r="G528" s="17" t="str">
        <x:v>arXiv:2204.10028</x:v>
      </x:c>
      <x:c r="H528" s="27" t="str">
        <x:v>A Learned Index for Exact Similarity Search in Metric Spaces</x:v>
      </x:c>
      <x:c r="I528" s="17" t="str">
        <x:v>Yao Tian; Tingyun Yan; Xi Zhao; Kai Huang; Xiaofang Zhou</x:v>
      </x:c>
      <x:c r="J528" s="22" t="n">
        <x:v>2022</x:v>
      </x:c>
      <x:c r="K528" s="27" t="str">
        <x:v>Indexing is an effective way to support efficient query processing in large databases. Recently the concept of learned index, which replaces or complements traditional index structures with machine learning models, has been actively explored to reduce storage and search costs. However, accurate and efficient similarity query processing in high-dimensional metric spaces remains to be an open challenge. In this paper, we propose a novel indexing approach called LIMS that uses data clustering, pivot-based data transformation techniques and learned indexes to support efficient similarity query processing in metric spaces. In LIMS, the underlying data is partitioned into clusters such that each cluster follows a relatively uniform data distribution. Data redistribution is achieved by utilizing a small number of pivots for each cluster. Similar data are mapped into compact regions and the mapped values are totally ordinal. Machine learning models are developed to approximate the position of each data record on disk. Efficient algorithms are designed for processing range queries and nearest neighbor queries based on LIMS, and for index maintenance with dynamic updates. Extensive experiments on real-world and synthetic datasets demonstrate the superiority of LIMS compared with traditional indexes and state-of-the-art learned indexes.</x:v>
      </x:c>
      <x:c r="L528" s="17" t="str">
        <x:v>http://arxiv.org/abs/2204.10028v2</x:v>
      </x:c>
      <x:c r="M528" s="23" t="n">
        <x:v>0.9092742593699739</x:v>
      </x:c>
      <x:c r="N528" s="17" t="str">
        <x:v>qwen3-rerank-no-instruct-20260727-125006-results.jsonl</x:v>
      </x:c>
      <x:c r="O528" s="24" t="str">
        <x:v>2</x:v>
      </x:c>
      <x:c r="P528" s="28" t="str">
        <x:v>《A Learned Index for Exact Similarity Search in Metric Spaces》核心提出或系统评测学习索引，并分析分布、更新负载与传统索引权衡。</x:v>
      </x:c>
      <x:c r="Q528" s="25" t="str"/>
      <x:c r="R528" s="24" t="str">
        <x:f>IF(Q528&lt;&gt;"",Q528,O528)</x:f>
        <x:v>2</x:v>
      </x:c>
      <x:c r="S528" s="29" t="str"/>
    </x:row>
    <x:row r="529" ht="54" customHeight="1">
      <x:c r="A529" s="17" t="str">
        <x:v>csq027-r08</x:v>
      </x:c>
      <x:c r="B529" s="17" t="str">
        <x:v>csq027</x:v>
      </x:c>
      <x:c r="C529" s="17" t="str">
        <x:v>data_management_and_ir</x:v>
      </x:c>
      <x:c r="D529" s="17" t="str">
        <x:v>learned_indexes</x:v>
      </x:c>
      <x:c r="E529" s="27" t="str">
        <x:v>What learned index structures have been proposed, and under which data distributions and update workloads do they outperform or underperform traditional indexes?</x:v>
      </x:c>
      <x:c r="F529" s="22" t="n">
        <x:v>8</x:v>
      </x:c>
      <x:c r="G529" s="17" t="str">
        <x:v>arXiv:1905.08898</x:v>
      </x:c>
      <x:c r="H529" s="27" t="str">
        <x:v>ALEX: An Updatable Adaptive Learned Index</x:v>
      </x:c>
      <x:c r="I529" s="17" t="str">
        <x:v>Jialin Ding; Umar Farooq Minhas; Jia Yu; Chi Wang; Jaeyoung Do; Yinan Li; Hantian Zhang; Badrish Chandramouli; Johannes Gehrke; Donald Kossmann; David Lomet; Tim Kraska</x:v>
      </x:c>
      <x:c r="J529" s="22" t="n">
        <x:v>2019</x:v>
      </x:c>
      <x:c r="K529" s="27" t="str">
        <x:v>Recent work on "learned indexes" has changed the way we look at the decades-old field of DBMS indexing. The key idea is that indexes can be thought of as "models" that predict the position of a key in a dataset. Indexes can, thus, be learned. The original work by Kraska et al. shows that a learned index beats a B+Tree by a factor of up to three in search time and by an order of magnitude in memory footprint. However, it is limited to static, read-only workloads. In this paper, we present a new learned index called ALEX which addresses practical issues that arise when implementing learned indexes for workloads that contain a mix of point lookups, short range queries, inserts, updates, and deletes. ALEX effectively combines the core insights from learned indexes with proven storage and indexing techniques to achieve high performance and low memory footprint. On read-only workloads, ALEX beats the learned index from Kraska et al. by up to 2.2X on performance with up to 15X smaller index size. Across the spectrum of read-write workloads, ALEX beats B+Trees by up to 4.1X while never performing worse, with up to 2000X smaller index size. We believe ALEX presents a key step towards making learned indexes practical for a broader class of database workloads with dynamic updates.</x:v>
      </x:c>
      <x:c r="L529" s="17" t="str">
        <x:v>http://arxiv.org/abs/1905.08898v2</x:v>
      </x:c>
      <x:c r="M529" s="23" t="n">
        <x:v>0.904066583562475</x:v>
      </x:c>
      <x:c r="N529" s="17" t="str">
        <x:v>qwen3-rerank-no-instruct-20260727-125006-results.jsonl</x:v>
      </x:c>
      <x:c r="O529" s="24" t="str">
        <x:v>2</x:v>
      </x:c>
      <x:c r="P529" s="28" t="str">
        <x:v>《ALEX: An Updatable Adaptive Learned Index》核心提出或系统评测学习索引，并分析分布、更新负载与传统索引权衡。</x:v>
      </x:c>
      <x:c r="Q529" s="25" t="str"/>
      <x:c r="R529" s="24" t="str">
        <x:f>IF(Q529&lt;&gt;"",Q529,O529)</x:f>
        <x:v>2</x:v>
      </x:c>
      <x:c r="S529" s="29" t="str"/>
    </x:row>
    <x:row r="530" ht="54" customHeight="1">
      <x:c r="A530" s="17" t="str">
        <x:v>csq027-r09</x:v>
      </x:c>
      <x:c r="B530" s="17" t="str">
        <x:v>csq027</x:v>
      </x:c>
      <x:c r="C530" s="17" t="str">
        <x:v>data_management_and_ir</x:v>
      </x:c>
      <x:c r="D530" s="17" t="str">
        <x:v>learned_indexes</x:v>
      </x:c>
      <x:c r="E530" s="27" t="str">
        <x:v>What learned index structures have been proposed, and under which data distributions and update workloads do they outperform or underperform traditional indexes?</x:v>
      </x:c>
      <x:c r="F530" s="22" t="n">
        <x:v>9</x:v>
      </x:c>
      <x:c r="G530" s="17" t="str">
        <x:v>arXiv:2304.08817</x:v>
      </x:c>
      <x:c r="H530" s="27" t="str">
        <x:v>DILI: A Distribution-Driven Learned Index (Extended version)</x:v>
      </x:c>
      <x:c r="I530" s="17" t="str">
        <x:v>Pengfei Li; Hua Lu; Rong Zhu; Bolin Ding; Long Yang; Gang Pan</x:v>
      </x:c>
      <x:c r="J530" s="22" t="n">
        <x:v>2023</x:v>
      </x:c>
      <x:c r="K530" s="27" t="str">
        <x:v>Targeting in-memory one-dimensional search keys, we propose a novel DIstribution-driven Learned Index tree (DILI), where a concise and computation-efficient linear regression model is used for each node. An internal node's key range is equally divided by its child nodes such that a key search enjoys perfect model prediction accuracy to find the relevant leaf node. A leaf node uses machine learning models to generate searchable data layout and thus accurately predicts the data record position for a key. To construct DILI, we first build a bottom-up tree with linear regression models according to global and local key distributions. Using the bottom-up tree, we build DILI in a top-down manner, individualizing the fanouts for internal nodes according to local distributions. DILI strikes a good balance between the number of leaf nodes and the height of the tree, two critical factors of key search time. Moreover, we design flexible algorithms for DILI to efficiently insert and delete keys and automatically adjust the tree structure when necessary. Extensive experimental results show that DILI outperforms the state-of-the-art alternatives on different kinds of workloads.</x:v>
      </x:c>
      <x:c r="L530" s="17" t="str">
        <x:v>http://arxiv.org/abs/2304.08817v2</x:v>
      </x:c>
      <x:c r="M530" s="23" t="n">
        <x:v>0.8974832928711591</x:v>
      </x:c>
      <x:c r="N530" s="17" t="str">
        <x:v>qwen3-rerank-no-instruct-20260727-125006-results.jsonl</x:v>
      </x:c>
      <x:c r="O530" s="24" t="str">
        <x:v>2</x:v>
      </x:c>
      <x:c r="P530" s="28" t="str">
        <x:v>《DILI: A Distribution-Driven Learned Index (Extended version)》核心提出或系统评测学习索引，并分析分布、更新负载与传统索引权衡。</x:v>
      </x:c>
      <x:c r="Q530" s="25" t="str"/>
      <x:c r="R530" s="24" t="str">
        <x:f>IF(Q530&lt;&gt;"",Q530,O530)</x:f>
        <x:v>2</x:v>
      </x:c>
      <x:c r="S530" s="29" t="str"/>
    </x:row>
    <x:row r="531" ht="54" customHeight="1">
      <x:c r="A531" s="17" t="str">
        <x:v>csq027-r10</x:v>
      </x:c>
      <x:c r="B531" s="17" t="str">
        <x:v>csq027</x:v>
      </x:c>
      <x:c r="C531" s="17" t="str">
        <x:v>data_management_and_ir</x:v>
      </x:c>
      <x:c r="D531" s="17" t="str">
        <x:v>learned_indexes</x:v>
      </x:c>
      <x:c r="E531" s="27" t="str">
        <x:v>What learned index structures have been proposed, and under which data distributions and update workloads do they outperform or underperform traditional indexes?</x:v>
      </x:c>
      <x:c r="F531" s="22" t="n">
        <x:v>10</x:v>
      </x:c>
      <x:c r="G531" s="17" t="str">
        <x:v>arXiv:2306.02604</x:v>
      </x:c>
      <x:c r="H531" s="27" t="str">
        <x:v>A Simple Yet High-Performing On-disk Learned Index: Can We Have Our Cake and Eat it Too?</x:v>
      </x:c>
      <x:c r="I531" s="17" t="str">
        <x:v>Hai Lan; Zhifeng Bao; J. Shane Culpepper; Renata Borovica-Gajic; Yu Dong</x:v>
      </x:c>
      <x:c r="J531" s="22" t="n">
        <x:v>2023</x:v>
      </x:c>
      <x:c r="K531" s="27" t="str">
        <x:v>While in-memory learned indexes have shown promising performance as compared to B+-tree, most widely used databases in real applications still rely on disk-based operations. Based on our experiments, we observe that directly applying the existing learned indexes on disk suffers from several drawbacks and cannot outperform a standard B+-tree in most cases. Therefore, in this work we make the first attempt to show how the idea of learned index can benefit the on-disk index by proposing AULID, a fully on-disk updatable learned index that can achieve state-of-the-art performance across multiple workload types. The AULID approach combines the benefits from both traditional indexing techniques and the learned indexes to reduce the I/O cost, the main overhead under disk setting. Specifically, three aspects are taken into consideration in reducing I/O costs: (1) reduce the overhead in updating the index structure; (2) induce shorter paths from root to leaf node; (3) achieve better locality to minimize the number of block reads required to complete a scan. Five principles are proposed to guide the design of AULID which shows remarkable performance gains and meanwhile is easy to implement. Our evaluation shows that AULID has comparable storage costs to a B+-tree and is much smaller than other learned indexes, and AULID is up to 2.11x, 8.63x, 1.72x, 5.51x, and 8.02x more efficient than FITing-tree, PGM, B+-tree, ALEX, and LIPP.</x:v>
      </x:c>
      <x:c r="L531" s="17" t="str">
        <x:v>http://arxiv.org/abs/2306.02604v1</x:v>
      </x:c>
      <x:c r="M531" s="23" t="n">
        <x:v>0.8966391891391476</x:v>
      </x:c>
      <x:c r="N531" s="17" t="str">
        <x:v>qwen3-rerank-no-instruct-20260727-125006-results.jsonl</x:v>
      </x:c>
      <x:c r="O531" s="24" t="str">
        <x:v>2</x:v>
      </x:c>
      <x:c r="P531" s="28" t="str">
        <x:v>《A Simple Yet High-Performing On-disk Learned Index: Can We Have Our Cake and Eat it Too?》核心提出或系统评测学习索引，并分析分布、更新负载与传统索引权衡。</x:v>
      </x:c>
      <x:c r="Q531" s="25" t="str"/>
      <x:c r="R531" s="24" t="str">
        <x:f>IF(Q531&lt;&gt;"",Q531,O531)</x:f>
        <x:v>2</x:v>
      </x:c>
      <x:c r="S531" s="29" t="str"/>
    </x:row>
    <x:row r="532" ht="54" customHeight="1">
      <x:c r="A532" s="17" t="str">
        <x:v>csq027-r11</x:v>
      </x:c>
      <x:c r="B532" s="17" t="str">
        <x:v>csq027</x:v>
      </x:c>
      <x:c r="C532" s="17" t="str">
        <x:v>data_management_and_ir</x:v>
      </x:c>
      <x:c r="D532" s="17" t="str">
        <x:v>learned_indexes</x:v>
      </x:c>
      <x:c r="E532" s="27" t="str">
        <x:v>What learned index structures have been proposed, and under which data distributions and update workloads do they outperform or underperform traditional indexes?</x:v>
      </x:c>
      <x:c r="F532" s="22" t="n">
        <x:v>11</x:v>
      </x:c>
      <x:c r="G532" s="17" t="str">
        <x:v>arXiv:2101.10457</x:v>
      </x:c>
      <x:c r="H532" s="27" t="str">
        <x:v>Shift-Table: A Low-latency Learned Index for Range Queries using Model Correction</x:v>
      </x:c>
      <x:c r="I532" s="17" t="str">
        <x:v>Ali Hadian; Thomas Heinis</x:v>
      </x:c>
      <x:c r="J532" s="22" t="n">
        <x:v>2021</x:v>
      </x:c>
      <x:c r="K532" s="27" t="str">
        <x:v>Indexing large-scale databases in main memory is still challenging today. Learned index structures -- in which the core components of classical indexes are replaced with machine learning models -- have recently been suggested to significantly improve performance for read-only range queries. However, a recent benchmark study shows that learned indexes only achieve limited performance improvements for real-world data on modern hardware. More specifically, a learned model cannot learn the micro-level details and fluctuations of data distributions thus resulting in poor accuracy; or it can fit to the data distribution at the cost of training a big model whose parameters cannot fit into cache. As a consequence, querying a learned index on real-world data takes a substantial number of memory lookups, thereby degrading performance. In this paper, we adopt a different approach for modeling a data distribution that complements the model fitting approach of learned indexes. We propose Shift-Table, an algorithmic layer that captures the micro-level data distribution and resolves the local biases of a learned model at the cost of at most one memory lookup. Our suggested model combines the low latency of lookup tables with learned indexes and enables low-latency processing of range queries. Using Shift-Table, we achieve a speedup of 1.5X to 2X on real-world datasets compared to trained and tuned learned indexes.</x:v>
      </x:c>
      <x:c r="L532" s="17" t="str">
        <x:v>http://arxiv.org/abs/2101.10457v1</x:v>
      </x:c>
      <x:c r="M532" s="23" t="n">
        <x:v>0.8906408441706134</x:v>
      </x:c>
      <x:c r="N532" s="17" t="str">
        <x:v>qwen3-rerank-no-instruct-20260727-125006-results.jsonl</x:v>
      </x:c>
      <x:c r="O532" s="24" t="str">
        <x:v>2</x:v>
      </x:c>
      <x:c r="P532" s="28" t="str">
        <x:v>《Shift-Table: A Low-latency Learned Index for Range Queries using Model Correction》核心提出或系统评测学习索引，并分析分布、更新负载与传统索引权衡。</x:v>
      </x:c>
      <x:c r="Q532" s="25" t="str"/>
      <x:c r="R532" s="24" t="str">
        <x:f>IF(Q532&lt;&gt;"",Q532,O532)</x:f>
        <x:v>2</x:v>
      </x:c>
      <x:c r="S532" s="29" t="str"/>
    </x:row>
    <x:row r="533" ht="54" customHeight="1">
      <x:c r="A533" s="17" t="str">
        <x:v>csq027-r12</x:v>
      </x:c>
      <x:c r="B533" s="17" t="str">
        <x:v>csq027</x:v>
      </x:c>
      <x:c r="C533" s="17" t="str">
        <x:v>data_management_and_ir</x:v>
      </x:c>
      <x:c r="D533" s="17" t="str">
        <x:v>learned_indexes</x:v>
      </x:c>
      <x:c r="E533" s="27" t="str">
        <x:v>What learned index structures have been proposed, and under which data distributions and update workloads do they outperform or underperform traditional indexes?</x:v>
      </x:c>
      <x:c r="F533" s="22" t="n">
        <x:v>12</x:v>
      </x:c>
      <x:c r="G533" s="17" t="str">
        <x:v>arXiv:2407.11556</x:v>
      </x:c>
      <x:c r="H533" s="27" t="str">
        <x:v>LITS: An Optimized Learned Index for Strings (An Extended Version)</x:v>
      </x:c>
      <x:c r="I533" s="17" t="str">
        <x:v>Yifan Yang; Shimin Chen</x:v>
      </x:c>
      <x:c r="J533" s="22" t="n">
        <x:v>2024</x:v>
      </x:c>
      <x:c r="K533" s="27" t="str">
        <x:v>Index is an important component in database systems. Learned indexes have been shown to outperform traditional tree-based index structures for fixed-sized integer or floating point keys. However, the application of the learned solution to variable-length string keys is under-researched. Our experiments show that existing learned indexes for strings fail to outperform traditional string indexes, such as HOT and ART. String keys are long and variable sized, and often contain skewed prefixes, which make the last-mile search expensive, and adversely impact the capability of learned models to capture the skewed distribution of string keys. In this paper, we propose a novel learned index for string keys, LITS (Learned Index with Hash-enhanced Prefix Table and Sub-tries). We propose an optimized learned model, combining a global Hash-enhanced Prefix Table (HPT) and a per-node local linear model to better distinguish string keys. Moreover, LITS exploits compact leaf nodes and hybrid structures with a PMSS model for efficient point and range operations. Our experimental results using eleven string data sets show that LITS achieves up to 2.43x and 2.27x improvement over HOT and ART for point operations, and attains comparable scan performance.</x:v>
      </x:c>
      <x:c r="L533" s="17" t="str">
        <x:v>http://arxiv.org/abs/2407.11556v1</x:v>
      </x:c>
      <x:c r="M533" s="23" t="n">
        <x:v>0.8859426659099532</x:v>
      </x:c>
      <x:c r="N533" s="17" t="str">
        <x:v>qwen3-rerank-no-instruct-20260727-125006-results.jsonl</x:v>
      </x:c>
      <x:c r="O533" s="24" t="str">
        <x:v>2</x:v>
      </x:c>
      <x:c r="P533" s="28" t="str">
        <x:v>《LITS: An Optimized Learned Index for Strings (An Extended Version)》核心提出或系统评测学习索引，并分析分布、更新负载与传统索引权衡。</x:v>
      </x:c>
      <x:c r="Q533" s="25" t="str"/>
      <x:c r="R533" s="24" t="str">
        <x:f>IF(Q533&lt;&gt;"",Q533,O533)</x:f>
        <x:v>2</x:v>
      </x:c>
      <x:c r="S533" s="29" t="str"/>
    </x:row>
    <x:row r="534" ht="54" customHeight="1">
      <x:c r="A534" s="17" t="str">
        <x:v>csq027-r13</x:v>
      </x:c>
      <x:c r="B534" s="17" t="str">
        <x:v>csq027</x:v>
      </x:c>
      <x:c r="C534" s="17" t="str">
        <x:v>data_management_and_ir</x:v>
      </x:c>
      <x:c r="D534" s="17" t="str">
        <x:v>learned_indexes</x:v>
      </x:c>
      <x:c r="E534" s="27" t="str">
        <x:v>What learned index structures have been proposed, and under which data distributions and update workloads do they outperform or underperform traditional indexes?</x:v>
      </x:c>
      <x:c r="F534" s="22" t="n">
        <x:v>13</x:v>
      </x:c>
      <x:c r="G534" s="17" t="str">
        <x:v>arXiv:1905.06256</x:v>
      </x:c>
      <x:c r="H534" s="27" t="str">
        <x:v>A Scalable Learned Index Scheme in Storage Systems</x:v>
      </x:c>
      <x:c r="I534" s="17" t="str">
        <x:v>Pengfei Li; Yu Hua; Pengfei Zuo; Jingnan Jia</x:v>
      </x:c>
      <x:c r="J534" s="22" t="n">
        <x:v>2019</x:v>
      </x:c>
      <x:c r="K534" s="27" t="str">
        <x:v>Index structures are important for efficient data access, which have been widely used to improve the performance in many in-memory systems. Due to high in-memory overheads, traditional index structures become difficult to process the explosive growth of data, let alone providing low latency and high throughput performance with limited system resources. The promising learned indexes leverage deep-learning models to complement existing index structures and obtain significant memory savings. However, the learned indexes fail to become scalable due to the heavy inter-model dependency and expensive retraining. To address these problems, we propose a scalable learned index scheme to construct different linear regression models according to the data distribution. Moreover, the used models are independent so as to reduce the complexity of retraining and become easy to partition and store the data into different pages, blocks or distributed systems. Our experimental results show that compared with state-of-the-art schemes, AIDEL improves the insertion performance by about 2$\times$ and provides comparable lookup performance, while efficiently supporting scalability.</x:v>
      </x:c>
      <x:c r="L534" s="17" t="str">
        <x:v>http://arxiv.org/abs/1905.06256v1</x:v>
      </x:c>
      <x:c r="M534" s="23" t="n">
        <x:v>0.882887425127078</x:v>
      </x:c>
      <x:c r="N534" s="17" t="str">
        <x:v>qwen3-rerank-no-instruct-20260727-125006-results.jsonl</x:v>
      </x:c>
      <x:c r="O534" s="24" t="str">
        <x:v>2</x:v>
      </x:c>
      <x:c r="P534" s="28" t="str">
        <x:v>《A Scalable Learned Index Scheme in Storage Systems》核心提出或系统评测学习索引，并分析分布、更新负载与传统索引权衡。</x:v>
      </x:c>
      <x:c r="Q534" s="25" t="str"/>
      <x:c r="R534" s="24" t="str">
        <x:f>IF(Q534&lt;&gt;"",Q534,O534)</x:f>
        <x:v>2</x:v>
      </x:c>
      <x:c r="S534" s="29" t="str"/>
    </x:row>
    <x:row r="535" ht="54" customHeight="1">
      <x:c r="A535" s="17" t="str">
        <x:v>csq027-r14</x:v>
      </x:c>
      <x:c r="B535" s="17" t="str">
        <x:v>csq027</x:v>
      </x:c>
      <x:c r="C535" s="17" t="str">
        <x:v>data_management_and_ir</x:v>
      </x:c>
      <x:c r="D535" s="17" t="str">
        <x:v>learned_indexes</x:v>
      </x:c>
      <x:c r="E535" s="27" t="str">
        <x:v>What learned index structures have been proposed, and under which data distributions and update workloads do they outperform or underperform traditional indexes?</x:v>
      </x:c>
      <x:c r="F535" s="22" t="n">
        <x:v>14</x:v>
      </x:c>
      <x:c r="G535" s="17" t="str">
        <x:v>arXiv:2408.04113</x:v>
      </x:c>
      <x:c r="H535" s="27" t="str">
        <x:v>UpLIF: An Updatable Self-Tuning Learned Index Framework</x:v>
      </x:c>
      <x:c r="I535" s="17" t="str">
        <x:v>Alireza Heidari; Amirhossein Ahmadi; Wei Zhang</x:v>
      </x:c>
      <x:c r="J535" s="22" t="n">
        <x:v>2024</x:v>
      </x:c>
      <x:c r="K535" s="27" t="str">
        <x:v>The emergence of learned indexes has caused a paradigm shift in our perception of indexing by considering indexes as predictive models that estimate keys' positions within a data set, resulting in notable improvements in key search efficiency and index size reduction; however, a significant challenge inherent in learned index modeling is its constrained support for update operations, necessitated by the requirement for a fixed distribution of records. Previous studies have proposed various approaches to address this issue with the drawback of high overhead due to multiple model retraining. In this paper, we present UpLIF, an adaptive self-tuning learned index that adjusts the model to accommodate incoming updates, predicts the distribution of updates for performance improvement, and optimizes its index structure using reinforcement learning. We also introduce the concept of balanced model adjustment, which determines the model's inherent properties (i.e. bias and variance), enabling the integration of these factors into the existing index model without the need for retraining with new data. Our comprehensive experiments show that the system surpasses state-of-the-art indexing solutions (both traditional and ML-based), achieving an increase in throughput of up to 3.12 times with 1000 times less memory usage.</x:v>
      </x:c>
      <x:c r="L535" s="17" t="str">
        <x:v>http://arxiv.org/abs/2408.04113v1</x:v>
      </x:c>
      <x:c r="M535" s="23" t="n">
        <x:v>0.8722334617912126</x:v>
      </x:c>
      <x:c r="N535" s="17" t="str">
        <x:v>qwen3-rerank-no-instruct-20260727-125006-results.jsonl</x:v>
      </x:c>
      <x:c r="O535" s="24" t="str">
        <x:v>2</x:v>
      </x:c>
      <x:c r="P535" s="28" t="str">
        <x:v>《UpLIF: An Updatable Self-Tuning Learned Index Framework》核心提出或系统评测学习索引，并分析分布、更新负载与传统索引权衡。</x:v>
      </x:c>
      <x:c r="Q535" s="25" t="str"/>
      <x:c r="R535" s="24" t="str">
        <x:f>IF(Q535&lt;&gt;"",Q535,O535)</x:f>
        <x:v>2</x:v>
      </x:c>
      <x:c r="S535" s="29" t="str"/>
    </x:row>
    <x:row r="536" ht="54" customHeight="1">
      <x:c r="A536" s="17" t="str">
        <x:v>csq027-r15</x:v>
      </x:c>
      <x:c r="B536" s="17" t="str">
        <x:v>csq027</x:v>
      </x:c>
      <x:c r="C536" s="17" t="str">
        <x:v>data_management_and_ir</x:v>
      </x:c>
      <x:c r="D536" s="17" t="str">
        <x:v>learned_indexes</x:v>
      </x:c>
      <x:c r="E536" s="27" t="str">
        <x:v>What learned index structures have been proposed, and under which data distributions and update workloads do they outperform or underperform traditional indexes?</x:v>
      </x:c>
      <x:c r="F536" s="22" t="n">
        <x:v>15</x:v>
      </x:c>
      <x:c r="G536" s="17" t="str">
        <x:v>arXiv:2205.11807</x:v>
      </x:c>
      <x:c r="H536" s="27" t="str">
        <x:v>NFL: Robust Learned Index via Distribution Transformation</x:v>
      </x:c>
      <x:c r="I536" s="17" t="str">
        <x:v>Shangyu Wu; Yufei Cui; Jinghuan Yu; Xuan Sun; Tei-Wei Kuo; Chun Jason Xue</x:v>
      </x:c>
      <x:c r="J536" s="22" t="n">
        <x:v>2022</x:v>
      </x:c>
      <x:c r="K536" s="27" t="str">
        <x:v>Recent works on learned index open a new direction for the indexing field. The key insight of the learned index is to approximate the mapping between keys and positions with piece-wise linear functions. Such methods require partitioning key space for a better approximation. Although lots of heuristics are proposed to improve the approximation quality, the bottleneck is that the segmentation overheads could hinder the overall performance. This paper tackles the approximation problem by applying a \textit{distribution transformation} to the keys before constructing the learned index. A two-stage Normalizing-Flow-based Learned index framework (NFL) is proposed, which first transforms the original complex key distribution into a near-uniform distribution, then builds a learned index leveraging the transformed keys. For effective distribution transformation, we propose a Numerical Normalizing Flow (Numerical NF). Based on the characteristics of the transformed keys, we propose a robust After-Flow Learned Index (AFLI). To validate the performance, comprehensive evaluations are conducted on both synthetic and real-world workloads, which shows that the proposed NFL produces the highest throughput and the lowest tail latency compared to the state-of-the-art learned indexes.</x:v>
      </x:c>
      <x:c r="L536" s="17" t="str">
        <x:v>http://arxiv.org/abs/2205.11807v1</x:v>
      </x:c>
      <x:c r="M536" s="23" t="n">
        <x:v>0.8715297598989847</x:v>
      </x:c>
      <x:c r="N536" s="17" t="str">
        <x:v>qwen3-rerank-no-instruct-20260727-125006-results.jsonl</x:v>
      </x:c>
      <x:c r="O536" s="24" t="str">
        <x:v>2</x:v>
      </x:c>
      <x:c r="P536" s="28" t="str">
        <x:v>《NFL: Robust Learned Index via Distribution Transformation》核心提出或系统评测学习索引，并分析分布、更新负载与传统索引权衡。</x:v>
      </x:c>
      <x:c r="Q536" s="25" t="str"/>
      <x:c r="R536" s="24" t="str">
        <x:f>IF(Q536&lt;&gt;"",Q536,O536)</x:f>
        <x:v>2</x:v>
      </x:c>
      <x:c r="S536" s="29" t="str"/>
    </x:row>
    <x:row r="537" ht="54" customHeight="1">
      <x:c r="A537" s="17" t="str">
        <x:v>csq027-r16</x:v>
      </x:c>
      <x:c r="B537" s="17" t="str">
        <x:v>csq027</x:v>
      </x:c>
      <x:c r="C537" s="17" t="str">
        <x:v>data_management_and_ir</x:v>
      </x:c>
      <x:c r="D537" s="17" t="str">
        <x:v>learned_indexes</x:v>
      </x:c>
      <x:c r="E537" s="27" t="str">
        <x:v>What learned index structures have been proposed, and under which data distributions and update workloads do they outperform or underperform traditional indexes?</x:v>
      </x:c>
      <x:c r="F537" s="22" t="n">
        <x:v>16</x:v>
      </x:c>
      <x:c r="G537" s="17" t="str">
        <x:v>arXiv:2207.02900</x:v>
      </x:c>
      <x:c r="H537" s="27" t="str">
        <x:v>Are Updatable Learned Indexes Ready?</x:v>
      </x:c>
      <x:c r="I537" s="17" t="str">
        <x:v>Chaichon Wongkham; Baotong Lu; Chris Liu; Zhicong Zhong; Eric Lo; Tianzheng Wang</x:v>
      </x:c>
      <x:c r="J537" s="22" t="n">
        <x:v>2022</x:v>
      </x:c>
      <x:c r="K537" s="27" t="str">
        <x:v>Recently, numerous promising results have shown that updatable learned indexes can perform better than traditional indexes with much lower memory space consumption. But it is unknown how these learned indexes compare against each other and against the traditional ones under realistic workloads with changing data distributions and concurrency levels. This makes practitioners still wary about how these new indexes would actually behave in practice. To fill this gap, this paper conducts the first comprehensive evaluation on updatable learned indexes. Our evaluation uses ten real datasets and various workloads to challenge learned indexes in three aspects: performance, memory space efficiency and robustness. Based on the results, we give a series of takeaways that can guide the future development and deployment of learned indexes.</x:v>
      </x:c>
      <x:c r="L537" s="17" t="str">
        <x:v>http://arxiv.org/abs/2207.02900v2</x:v>
      </x:c>
      <x:c r="M537" s="23" t="n">
        <x:v>0.8697427633800698</x:v>
      </x:c>
      <x:c r="N537" s="17" t="str">
        <x:v>qwen3-rerank-no-instruct-20260727-125006-results.jsonl</x:v>
      </x:c>
      <x:c r="O537" s="24" t="str">
        <x:v>2</x:v>
      </x:c>
      <x:c r="P537" s="28" t="str">
        <x:v>《Are Updatable Learned Indexes Ready?》核心提出或系统评测学习索引，并分析分布、更新负载与传统索引权衡。</x:v>
      </x:c>
      <x:c r="Q537" s="25" t="str"/>
      <x:c r="R537" s="24" t="str">
        <x:f>IF(Q537&lt;&gt;"",Q537,O537)</x:f>
        <x:v>2</x:v>
      </x:c>
      <x:c r="S537" s="29" t="str"/>
    </x:row>
    <x:row r="538" ht="54" customHeight="1">
      <x:c r="A538" s="17" t="str">
        <x:v>csq027-r17</x:v>
      </x:c>
      <x:c r="B538" s="17" t="str">
        <x:v>csq027</x:v>
      </x:c>
      <x:c r="C538" s="17" t="str">
        <x:v>data_management_and_ir</x:v>
      </x:c>
      <x:c r="D538" s="17" t="str">
        <x:v>learned_indexes</x:v>
      </x:c>
      <x:c r="E538" s="27" t="str">
        <x:v>What learned index structures have been proposed, and under which data distributions and update workloads do they outperform or underperform traditional indexes?</x:v>
      </x:c>
      <x:c r="F538" s="22" t="n">
        <x:v>17</x:v>
      </x:c>
      <x:c r="G538" s="17" t="str">
        <x:v>arXiv:2306.10651</x:v>
      </x:c>
      <x:c r="H538" s="27" t="str">
        <x:v>On Distribution Dependent Sub-Logarithmic Query Time of Learned Indexing</x:v>
      </x:c>
      <x:c r="I538" s="17" t="str">
        <x:v>Sepanta Zeighami; Cyrus Shahabi</x:v>
      </x:c>
      <x:c r="J538" s="22" t="n">
        <x:v>2023</x:v>
      </x:c>
      <x:c r="K538" s="27" t="str">
        <x:v>A fundamental problem in data management is to find the elements in an array that match a query. Recently, learned indexes are being extensively used to solve this problem, where they learn a model to predict the location of the items in the array. They are empirically shown to outperform non-learned methods (e.g., B-trees or binary search that answer queries in $O(\log n)$ time) by orders of magnitude. However, success of learned indexes has not been theoretically justified. Only existing attempt shows the same query time of $O(\log n)$, but with a constant factor improvement in space complexity over non-learned methods, under some assumptions on data distribution. In this paper, we significantly strengthen this result, showing that under mild assumptions on data distribution, and the same space complexity as non-learned methods, learned indexes can answer queries in $O(\log\log n)$ expected query time. We also show that allowing for slightly larger but still near-linear space overhead, a learned index can achieve $O(1)$ expected query time. Our results theoretically prove learned indexes are orders of magnitude faster than non-learned methods, theoretically grounding their empirical success.</x:v>
      </x:c>
      <x:c r="L538" s="17" t="str">
        <x:v>http://arxiv.org/abs/2306.10651v1</x:v>
      </x:c>
      <x:c r="M538" s="23" t="n">
        <x:v>0.8651000487264981</x:v>
      </x:c>
      <x:c r="N538" s="17" t="str">
        <x:v>qwen3-rerank-no-instruct-20260727-125006-results.jsonl</x:v>
      </x:c>
      <x:c r="O538" s="24" t="str">
        <x:v>2</x:v>
      </x:c>
      <x:c r="P538" s="28" t="str">
        <x:v>《On Distribution Dependent Sub-Logarithmic Query Time of Learned Indexing》核心提出或系统评测学习索引，并分析分布、更新负载与传统索引权衡。</x:v>
      </x:c>
      <x:c r="Q538" s="25" t="str"/>
      <x:c r="R538" s="24" t="str">
        <x:f>IF(Q538&lt;&gt;"",Q538,O538)</x:f>
        <x:v>2</x:v>
      </x:c>
      <x:c r="S538" s="29" t="str"/>
    </x:row>
    <x:row r="539" ht="54" customHeight="1">
      <x:c r="A539" s="17" t="str">
        <x:v>csq027-r18</x:v>
      </x:c>
      <x:c r="B539" s="17" t="str">
        <x:v>csq027</x:v>
      </x:c>
      <x:c r="C539" s="17" t="str">
        <x:v>data_management_and_ir</x:v>
      </x:c>
      <x:c r="D539" s="17" t="str">
        <x:v>learned_indexes</x:v>
      </x:c>
      <x:c r="E539" s="27" t="str">
        <x:v>What learned index structures have been proposed, and under which data distributions and update workloads do they outperform or underperform traditional indexes?</x:v>
      </x:c>
      <x:c r="F539" s="22" t="n">
        <x:v>18</x:v>
      </x:c>
      <x:c r="G539" s="17" t="str">
        <x:v>arXiv:2512.24824</x:v>
      </x:c>
      <x:c r="H539" s="27" t="str">
        <x:v>LMG Index: A Robust and Efficient Learned Index Framework for Multi-Dimensional Performance Balance</x:v>
      </x:c>
      <x:c r="I539" s="17" t="str">
        <x:v>Yuzhen Chen; Bin Yao</x:v>
      </x:c>
      <x:c r="J539" s="22" t="n">
        <x:v>2025</x:v>
      </x:c>
      <x:c r="K539" s="27" t="str">
        <x:v>Index structures are fundamental for efficient query processing on large-scale datasets. Learned indexes model the indexing process as a prediction problem to overcome the inherent trade-offs of traditional indexes. However, most existing learned indexes optimize only for limited objectives like query latency or space usage, neglecting other practical evaluation dimensions such as update efficiency and stability. Moreover, many learned indexes rely on assumptions about data distributions or workloads, lacking theoretical guarantees when facing unknown or evolving scenarios, which limits their generality in real-world systems. In this paper, we propose LMG, a robust and efficient learned index framework designed for multi-dimensional performance balance. LMG integrates a decoupled routing structure with theoretical $O(1)$ complexity for fixed key types and an optimal error threshold training algorithm that approaches $O(1)$ overhead in practice. Furthermore, the framework enhances query performance by optimizing gap allocation. Extensive evaluations show that our framework achieves competitive or leading performance across all key evaluation dimensions, including bulk loading (up to 7.55$\times$ faster), point queries (up to 1.68$\times$ faster), range queries (up to 11.41$\times$ faster), and mixed read-write throughput (up to 3.50$\times$ faster). Furthermore, LMG ensures robust long-term stability and high space efficiency (up to 6.26$\times$ smaller footprint). These results demonstrate that LMG significantly mitigates the multi-dimensional performance trade-offs often observed in state-of-the-art approaches, offering a balanced and efficient framework.</x:v>
      </x:c>
      <x:c r="L539" s="17" t="str">
        <x:v>http://arxiv.org/abs/2512.24824v2</x:v>
      </x:c>
      <x:c r="M539" s="23" t="n">
        <x:v>0.8475028479106517</x:v>
      </x:c>
      <x:c r="N539" s="17" t="str">
        <x:v>qwen3-rerank-no-instruct-20260727-125006-results.jsonl</x:v>
      </x:c>
      <x:c r="O539" s="24" t="str">
        <x:v>2</x:v>
      </x:c>
      <x:c r="P539" s="28" t="str">
        <x:v>《LMG Index: A Robust and Efficient Learned Index Framework for Multi-Dimensional Performance Balance》核心提出或系统评测学习索引，并分析分布、更新负载与传统索引权衡。</x:v>
      </x:c>
      <x:c r="Q539" s="25" t="str"/>
      <x:c r="R539" s="24" t="str">
        <x:f>IF(Q539&lt;&gt;"",Q539,O539)</x:f>
        <x:v>2</x:v>
      </x:c>
      <x:c r="S539" s="29" t="str"/>
    </x:row>
    <x:row r="540" ht="54" customHeight="1">
      <x:c r="A540" s="17" t="str">
        <x:v>csq027-r19</x:v>
      </x:c>
      <x:c r="B540" s="17" t="str">
        <x:v>csq027</x:v>
      </x:c>
      <x:c r="C540" s="17" t="str">
        <x:v>data_management_and_ir</x:v>
      </x:c>
      <x:c r="D540" s="17" t="str">
        <x:v>learned_indexes</x:v>
      </x:c>
      <x:c r="E540" s="27" t="str">
        <x:v>What learned index structures have been proposed, and under which data distributions and update workloads do they outperform or underperform traditional indexes?</x:v>
      </x:c>
      <x:c r="F540" s="22" t="n">
        <x:v>19</x:v>
      </x:c>
      <x:c r="G540" s="17" t="str">
        <x:v>arXiv:2502.05369</x:v>
      </x:c>
      <x:c r="H540" s="27" t="str">
        <x:v>DobLIX: A Dual-Objective Learned Index for Log-Structured Merge Trees</x:v>
      </x:c>
      <x:c r="I540" s="17" t="str">
        <x:v>Alireza Heidari; Amirhossein Ahmadi; Wei Zhang</x:v>
      </x:c>
      <x:c r="J540" s="22" t="n">
        <x:v>2025</x:v>
      </x:c>
      <x:c r="K540" s="27" t="str">
        <x:v>In this paper, we introduce DobLIX, a dual-objective learned index specifically designed for Log-Structured Merge(LSM) tree-based key-value stores. Although traditional learned indexes focus exclusively on optimizing index lookups, they often overlook the impact of data access from storage, resulting in performance bottlenecks. DobLIX addresses this by incorporating a second objective, data access optimization, into the learned index training process. This dual-objective approach ensures that both index lookup efficiency and data access costs are minimized, leading to significant improvements in read performance while maintaining write efficiency in real-world LSM-tree systems. Additionally, DobLIX features a reinforcement learning agent that dynamically tunes the system parameters, allowing it to adapt to varying workloads in real-time. Experimental results using real-world datasets demonstrate that DobLIX reduces indexing overhead and improves throughput by 1.19 to 2.21 times compared to state-of-the-art methods within RocksDB, a widely used LSM-tree-based storage engine.</x:v>
      </x:c>
      <x:c r="L540" s="17" t="str">
        <x:v>http://arxiv.org/abs/2502.05369v2</x:v>
      </x:c>
      <x:c r="M540" s="23" t="n">
        <x:v>0.8385068759986901</x:v>
      </x:c>
      <x:c r="N540" s="17" t="str">
        <x:v>qwen3-rerank-no-instruct-20260727-125006-results.jsonl</x:v>
      </x:c>
      <x:c r="O540" s="24" t="str">
        <x:v>2</x:v>
      </x:c>
      <x:c r="P540" s="28" t="str">
        <x:v>《DobLIX: A Dual-Objective Learned Index for Log-Structured Merge Trees》核心提出或系统评测学习索引，并分析分布、更新负载与传统索引权衡。</x:v>
      </x:c>
      <x:c r="Q540" s="25" t="str"/>
      <x:c r="R540" s="24" t="str">
        <x:f>IF(Q540&lt;&gt;"",Q540,O540)</x:f>
        <x:v>2</x:v>
      </x:c>
      <x:c r="S540" s="29" t="str"/>
    </x:row>
    <x:row r="541" ht="54" customHeight="1">
      <x:c r="A541" s="17" t="str">
        <x:v>csq027-r20</x:v>
      </x:c>
      <x:c r="B541" s="17" t="str">
        <x:v>csq027</x:v>
      </x:c>
      <x:c r="C541" s="17" t="str">
        <x:v>data_management_and_ir</x:v>
      </x:c>
      <x:c r="D541" s="17" t="str">
        <x:v>learned_indexes</x:v>
      </x:c>
      <x:c r="E541" s="27" t="str">
        <x:v>What learned index structures have been proposed, and under which data distributions and update workloads do they outperform or underperform traditional indexes?</x:v>
      </x:c>
      <x:c r="F541" s="22" t="n">
        <x:v>20</x:v>
      </x:c>
      <x:c r="G541" s="17" t="str">
        <x:v>arXiv:2008.00297</x:v>
      </x:c>
      <x:c r="H541" s="27" t="str">
        <x:v>The Price of Tailoring the Index to Your Data: Poisoning Attacks on Learned Index Structures</x:v>
      </x:c>
      <x:c r="I541" s="17" t="str">
        <x:v>Evgenios M. Kornaropoulos; Silei Ren; Roberto Tamassia</x:v>
      </x:c>
      <x:c r="J541" s="22" t="n">
        <x:v>2020</x:v>
      </x:c>
      <x:c r="K541" s="27" t="str">
        <x:v>The concept of learned index structures relies on the idea that the input-output functionality of a database index can be viewed as a prediction task and, thus, be implemented using a machine learning model instead of traditional algorithmic techniques. This novel angle for a decades-old problem has inspired numerous exciting results in the intersection of machine learning and data structures. However, the main advantage of learned index structures, i.e., the ability to adjust to the data at hand via the underlying ML-model, can become a disadvantage from a security perspective as it could be exploited. In this work, we present the first study of poisoning attacks on learned index structures. The required poisoning approach is different from all previous works since the model under attack is trained on a cumulative distribution function (CDF) and, thus, every injection on the training set has a cascading impact on multiple data values. We formulate the first poisoning attacks on linear regression models trained on the CDF, which is a basic building block of the proposed learned index structures. We generalize our poisoning techniques to attack a more advanced two-stage design of learned index structures called recursive model index (RMI), which has been shown to outperform traditional B-Trees. We evaluate our attacks on real-world and synthetic datasets under a wide variety of parameterizations of the model and show that the error of the RMI increases up to $300\times$ and the error of its second-stage models increases up to $3000\times$.</x:v>
      </x:c>
      <x:c r="L541" s="17" t="str">
        <x:v>http://arxiv.org/abs/2008.00297v2</x:v>
      </x:c>
      <x:c r="M541" s="23" t="n">
        <x:v>0.8364113236997822</x:v>
      </x:c>
      <x:c r="N541" s="17" t="str">
        <x:v>qwen3-rerank-no-instruct-20260727-125006-results.jsonl</x:v>
      </x:c>
      <x:c r="O541" s="24" t="str">
        <x:v>2</x:v>
      </x:c>
      <x:c r="P541" s="28" t="str">
        <x:v>《The Price of Tailoring the Index to Your Data: Poisoning Attacks on Learned Index Structures》核心提出或系统评测学习索引，并分析分布、更新负载与传统索引权衡。</x:v>
      </x:c>
      <x:c r="Q541" s="25" t="str"/>
      <x:c r="R541" s="24" t="str">
        <x:f>IF(Q541&lt;&gt;"",Q541,O541)</x:f>
        <x:v>2</x:v>
      </x:c>
      <x:c r="S541" s="29" t="str"/>
    </x:row>
    <x:row r="542" ht="54" customHeight="1">
      <x:c r="A542" s="17" t="str">
        <x:v>csq028-r01</x:v>
      </x:c>
      <x:c r="B542" s="17" t="str">
        <x:v>csq028</x:v>
      </x:c>
      <x:c r="C542" s="17" t="str">
        <x:v>data_management_and_ir</x:v>
      </x:c>
      <x:c r="D542" s="17" t="str">
        <x:v>vector_search</x:v>
      </x:c>
      <x:c r="E542" s="27" t="str">
        <x:v>How do graph-based, quantization-based, and inverted-file approaches to approximate nearest-neighbor search compare in recall, latency, memory usage, and index construction cost?</x:v>
      </x:c>
      <x:c r="F542" s="22" t="n">
        <x:v>1</x:v>
      </x:c>
      <x:c r="G542" s="17" t="str">
        <x:v>arXiv:2310.20419</x:v>
      </x:c>
      <x:c r="H542" s="27" t="str">
        <x:v>Relative NN-Descent: A Fast Index Construction for Graph-Based Approximate Nearest Neighbor Search</x:v>
      </x:c>
      <x:c r="I542" s="17" t="str">
        <x:v>Naoki Ono; Yusuke Matsui</x:v>
      </x:c>
      <x:c r="J542" s="22" t="n">
        <x:v>2023</x:v>
      </x:c>
      <x:c r="K542" s="27" t="str">
        <x:v>Approximate Nearest Neighbor Search (ANNS) is the task of finding the database vector that is closest to a given query vector. Graph-based ANNS is the family of methods with the best balance of accuracy and speed for million-scale datasets. However, graph-based methods have the disadvantage of long index construction time. Recently, many researchers have improved the tradeoff between accuracy and speed during a search. However, there is little research on accelerating index construction. We propose a fast graph construction algorithm, Relative NN-Descent (RNN-Descent). RNN-Descent combines NN-Descent, an algorithm for constructing approximate K-nearest neighbor graphs (K-NN graphs), and RNG Strategy, an algorithm for selecting edges effective for search. This algorithm allows the direct construction of graph-based indexes without ANNS. Experimental results demonstrated that the proposed method had the fastest index construction speed, while its search performance is comparable to existing state-of-the-art methods such as NSG. For example, in experiments on the GIST1M dataset, the construction of the proposed method is 2x faster than NSG. Additionally, it was even faster than the construction speed of NN-Descent.</x:v>
      </x:c>
      <x:c r="L542" s="17" t="str">
        <x:v>http://arxiv.org/abs/2310.20419v1</x:v>
      </x:c>
      <x:c r="M542" s="23" t="n">
        <x:v>0.7423719637658279</x:v>
      </x:c>
      <x:c r="N542" s="17" t="str">
        <x:v>qwen3-rerank-no-instruct-20260727-125006-results.jsonl</x:v>
      </x:c>
      <x:c r="O542" s="24" t="str">
        <x:v>1</x:v>
      </x:c>
      <x:c r="P542" s="28" t="str">
        <x:v>《Relative NN-Descent: A Fast Index Construction for Graph-Based Approximate Nearest Neighbor Search》聚焦单一ANN路线及其指标，可作局部证据但不能直接完成三类比较。</x:v>
      </x:c>
      <x:c r="Q542" s="25" t="str"/>
      <x:c r="R542" s="24" t="str">
        <x:f>IF(Q542&lt;&gt;"",Q542,O542)</x:f>
        <x:v>1</x:v>
      </x:c>
      <x:c r="S542" s="29" t="str"/>
    </x:row>
    <x:row r="543" ht="54" customHeight="1">
      <x:c r="A543" s="17" t="str">
        <x:v>csq028-r02</x:v>
      </x:c>
      <x:c r="B543" s="17" t="str">
        <x:v>csq028</x:v>
      </x:c>
      <x:c r="C543" s="17" t="str">
        <x:v>data_management_and_ir</x:v>
      </x:c>
      <x:c r="D543" s="17" t="str">
        <x:v>vector_search</x:v>
      </x:c>
      <x:c r="E543" s="27" t="str">
        <x:v>How do graph-based, quantization-based, and inverted-file approaches to approximate nearest-neighbor search compare in recall, latency, memory usage, and index construction cost?</x:v>
      </x:c>
      <x:c r="F543" s="22" t="n">
        <x:v>2</x:v>
      </x:c>
      <x:c r="G543" s="17" t="str">
        <x:v>arXiv:2410.01231</x:v>
      </x:c>
      <x:c r="H543" s="27" t="str">
        <x:v>Revisiting the Index Construction of Proximity Graph-Based Approximate Nearest Neighbor Search</x:v>
      </x:c>
      <x:c r="I543" s="17" t="str">
        <x:v>Shuo Yang; Jiadong Xie; Yingfan Liu; Jeffrey Xu Yu; Xiyue Gao; Qianru Wang; Yanguo Peng; Jiangtao Cui</x:v>
      </x:c>
      <x:c r="J543" s="22" t="n">
        <x:v>2024</x:v>
      </x:c>
      <x:c r="K543" s="27" t="str">
        <x:v>Proximity graphs (PG) have gained increasing popularity as the state-of-the-art solutions to $k$-approximate nearest neighbor ($k$-ANN) search on high-dimensional data, which serves as a fundamental function in various fields, e.g., retrieval-augmented generation. Although PG-based approaches have the best $k$-ANN search performance, their index construction cost is superlinear to the number of points. Such superlinear cost substantially limits their scalability in the era of big data. Hence, the goal of this paper is to accelerate the construction of PG-based methods without compromising their $k$-ANN search performance. To achieve this goal, two mainstream categories of PG are revisited: relative neighborhood graph (RNG) and navigable small world graph (NSWG). By revisiting their construction process, we find the issues of construction efficiency. To address these issues, we propose a new construction framework with a novel pruning strategy for edge selection, which accelerates RNG construction while keeping its $k$-ANN search performance. Then, we integrate this framework into NSWG construction to enhance both the construction efficiency and $k$-ANN search performance of NSWG. Extensive experiments are conducted to validate our construction framework for both RNG and NSWG, and that it significantly reduces the PG construction cost, achieving up to 5.6x speedup, while not compromising the $k$-ANN search performance.</x:v>
      </x:c>
      <x:c r="L543" s="17" t="str">
        <x:v>http://arxiv.org/abs/2410.01231v2</x:v>
      </x:c>
      <x:c r="M543" s="23" t="n">
        <x:v>0.6974509115464889</x:v>
      </x:c>
      <x:c r="N543" s="17" t="str">
        <x:v>qwen3-rerank-no-instruct-20260727-125006-results.jsonl</x:v>
      </x:c>
      <x:c r="O543" s="24" t="str">
        <x:v>1</x:v>
      </x:c>
      <x:c r="P543" s="28" t="str">
        <x:v>《Revisiting the Index Construction of Proximity Graph-Based Approximate Nearest Neighbor Search》聚焦单一ANN路线及其指标，可作局部证据但不能直接完成三类比较。</x:v>
      </x:c>
      <x:c r="Q543" s="25" t="str"/>
      <x:c r="R543" s="24" t="str">
        <x:f>IF(Q543&lt;&gt;"",Q543,O543)</x:f>
        <x:v>1</x:v>
      </x:c>
      <x:c r="S543" s="29" t="str"/>
    </x:row>
    <x:row r="544" ht="54" customHeight="1">
      <x:c r="A544" s="17" t="str">
        <x:v>csq028-r03</x:v>
      </x:c>
      <x:c r="B544" s="17" t="str">
        <x:v>csq028</x:v>
      </x:c>
      <x:c r="C544" s="17" t="str">
        <x:v>data_management_and_ir</x:v>
      </x:c>
      <x:c r="D544" s="17" t="str">
        <x:v>vector_search</x:v>
      </x:c>
      <x:c r="E544" s="27" t="str">
        <x:v>How do graph-based, quantization-based, and inverted-file approaches to approximate nearest-neighbor search compare in recall, latency, memory usage, and index construction cost?</x:v>
      </x:c>
      <x:c r="F544" s="22" t="n">
        <x:v>3</x:v>
      </x:c>
      <x:c r="G544" s="17" t="str">
        <x:v>arXiv:2101.12631</x:v>
      </x:c>
      <x:c r="H544" s="27" t="str">
        <x:v>A Comprehensive Survey and Experimental Comparison of Graph-Based Approximate Nearest Neighbor Search</x:v>
      </x:c>
      <x:c r="I544" s="17" t="str">
        <x:v>Mengzhao Wang; Xiaoliang Xu; Qiang Yue; Yuxiang Wang</x:v>
      </x:c>
      <x:c r="J544" s="22" t="n">
        <x:v>2021</x:v>
      </x:c>
      <x:c r="K544" s="27" t="str">
        <x:v>Approximate nearest neighbor search (ANNS) constitutes an important operation in a multitude of applications, including recommendation systems, information retrieval, and pattern recognition. In the past decade, graph-based ANNS algorithms have been the leading paradigm in this domain, with dozens of graph-based ANNS algorithms proposed. Such algorithms aim to provide effective, efficient solutions for retrieving the nearest neighbors for a given query. Nevertheless, these efforts focus on developing and optimizing algorithms with different approaches, so there is a real need for a comprehensive survey about the approaches' relative performance, strengths, and pitfalls. Thus here we provide a thorough comparative analysis and experimental evaluation of 13 representative graph-based ANNS algorithms via a new taxonomy and fine-grained pipeline. We compared each algorithm in a uniform test environment on eight real-world datasets and 12 synthetic datasets with varying sizes and characteristics. Our study yields novel discoveries, offerings several useful principles to improve algorithms, thus designing an optimized method that outperforms the state-of-the-art algorithms. This effort also helped us pinpoint algorithms' working portions, along with rule-of-thumb recommendations about promising research directions and suitable algorithms for practitioners in different fields.</x:v>
      </x:c>
      <x:c r="L544" s="17" t="str">
        <x:v>http://arxiv.org/abs/2101.12631v2</x:v>
      </x:c>
      <x:c r="M544" s="23" t="n">
        <x:v>0.6688642858572229</x:v>
      </x:c>
      <x:c r="N544" s="17" t="str">
        <x:v>qwen3-rerank-no-instruct-20260727-125006-results.jsonl</x:v>
      </x:c>
      <x:c r="O544" s="24" t="str">
        <x:v>1</x:v>
      </x:c>
      <x:c r="P544" s="28" t="str">
        <x:v>《A Comprehensive Survey and Experimental Comparison of Graph-Based Approximate Nearest Neighbor Search》聚焦单一ANN路线及其指标，可作局部证据但不能直接完成三类比较。</x:v>
      </x:c>
      <x:c r="Q544" s="25" t="str"/>
      <x:c r="R544" s="24" t="str">
        <x:f>IF(Q544&lt;&gt;"",Q544,O544)</x:f>
        <x:v>1</x:v>
      </x:c>
      <x:c r="S544" s="29" t="str"/>
    </x:row>
    <x:row r="545" ht="54" customHeight="1">
      <x:c r="A545" s="17" t="str">
        <x:v>csq028-r04</x:v>
      </x:c>
      <x:c r="B545" s="17" t="str">
        <x:v>csq028</x:v>
      </x:c>
      <x:c r="C545" s="17" t="str">
        <x:v>data_management_and_ir</x:v>
      </x:c>
      <x:c r="D545" s="17" t="str">
        <x:v>vector_search</x:v>
      </x:c>
      <x:c r="E545" s="27" t="str">
        <x:v>How do graph-based, quantization-based, and inverted-file approaches to approximate nearest-neighbor search compare in recall, latency, memory usage, and index construction cost?</x:v>
      </x:c>
      <x:c r="F545" s="22" t="n">
        <x:v>4</x:v>
      </x:c>
      <x:c r="G545" s="17" t="str">
        <x:v>arXiv:2311.18724</x:v>
      </x:c>
      <x:c r="H545" s="27" t="str">
        <x:v>Routing-Guided Learned Product Quantization for Graph-Based Approximate Nearest Neighbor Search</x:v>
      </x:c>
      <x:c r="I545" s="17" t="str">
        <x:v>Qiang Yue; Xiaoliang Xu; Yuxiang Wang; Yikun Tao; Xuliyuan Luo</x:v>
      </x:c>
      <x:c r="J545" s="22" t="n">
        <x:v>2023</x:v>
      </x:c>
      <x:c r="K545" s="27" t="str">
        <x:v>Given a vector dataset $\mathcal{X}$, a query vector $\vec{x}_q$, graph-based Approximate Nearest Neighbor Search (ANNS) aims to build a proximity graph (PG) as an index of $\mathcal{X}$ and approximately return vectors with minimum distances to $\vec{x}_q$ by searching over the PG index. It suffers from the large-scale $\mathcal{X}$ because a PG with full vectors is too large to fit into the memory, e.g., a billion-scale $\mathcal{X}$ in 128 dimensions would consume nearly 600 GB memory. To solve this, Product Quantization (PQ) integrated graph-based ANNS is proposed to reduce the memory usage, using smaller compact codes of quantized vectors in memory instead of the large original vectors. Existing PQ methods do not consider the important routing features of PG, resulting in low-quality quantized vectors that affect the ANNS's effectiveness. In this paper, we present an end-to-end Routing-guided learned Product Quantization (RPQ) for graph-based ANNS. It consists of (1) a \textit{differentiable quantizer} used to make the standard discrete PQ differentiable to suit for back-propagation of end-to-end learning, (2) a \textit{sampling-based feature extractor} used to extract neighborhood and routing features of a PG, and (3) a \textit{multi-feature joint training module} with two types of feature-aware losses to continuously optimize the differentiable quantizer. As a result, the inherent features of a PG would be embedded into the learned PQ, generating high-quality quantized vectors. Moreover, we integrate our RPQ with the state-of-the-art DiskANN and existing popular PGs to improve their performance. Comprehensive experiments on real-world large-scale datasets (from 1M to 1B) demonstrate RPQ's superiority, e.g., 1.7$\times$-4.2$\times$ improvement on QPS at the same recall@10 of 95\%.</x:v>
      </x:c>
      <x:c r="L545" s="17" t="str">
        <x:v>http://arxiv.org/abs/2311.18724v1</x:v>
      </x:c>
      <x:c r="M545" s="23" t="n">
        <x:v>0.6654945579033584</x:v>
      </x:c>
      <x:c r="N545" s="17" t="str">
        <x:v>qwen3-rerank-no-instruct-20260727-125006-results.jsonl</x:v>
      </x:c>
      <x:c r="O545" s="24" t="str">
        <x:v>2</x:v>
      </x:c>
      <x:c r="P545" s="28" t="str">
        <x:v>《Routing-Guided Learned Product Quantization for Graph-Based Approximate Nearest Neighbor Search》直接比较或融合图、量化、倒排/聚类ANN路线，并报告题目所需成本指标。</x:v>
      </x:c>
      <x:c r="Q545" s="25" t="str"/>
      <x:c r="R545" s="24" t="str">
        <x:f>IF(Q545&lt;&gt;"",Q545,O545)</x:f>
        <x:v>2</x:v>
      </x:c>
      <x:c r="S545" s="29" t="str"/>
    </x:row>
    <x:row r="546" ht="54" customHeight="1">
      <x:c r="A546" s="17" t="str">
        <x:v>csq028-r05</x:v>
      </x:c>
      <x:c r="B546" s="17" t="str">
        <x:v>csq028</x:v>
      </x:c>
      <x:c r="C546" s="17" t="str">
        <x:v>data_management_and_ir</x:v>
      </x:c>
      <x:c r="D546" s="17" t="str">
        <x:v>vector_search</x:v>
      </x:c>
      <x:c r="E546" s="27" t="str">
        <x:v>How do graph-based, quantization-based, and inverted-file approaches to approximate nearest-neighbor search compare in recall, latency, memory usage, and index construction cost?</x:v>
      </x:c>
      <x:c r="F546" s="22" t="n">
        <x:v>5</x:v>
      </x:c>
      <x:c r="G546" s="17" t="str">
        <x:v>arXiv:2503.17911</x:v>
      </x:c>
      <x:c r="H546" s="27" t="str">
        <x:v>VSAG: An Optimized Search Framework for Graph-based Approximate Nearest Neighbor Search</x:v>
      </x:c>
      <x:c r="I546" s="17" t="str">
        <x:v>Xiaoyao Zhong; Haotian Li; Jiabao Jin; Mingyu Yang; Deming Chu; Xiangyu Wang; Zhitao Shen; Wei Jia; George Gu; Yi Xie; Xuemin Lin; Heng Tao Shen; Jingkuan Song; Peng Cheng</x:v>
      </x:c>
      <x:c r="J546" s="22" t="n">
        <x:v>2025</x:v>
      </x:c>
      <x:c r="K546" s="27" t="str">
        <x:v>Approximate nearest neighbor search (ANNS) is a fundamental problem in vector databases and AI infrastructures. Recent graph-based ANNS algorithms have achieved high search accuracy with practical efficiency. Despite the advancements, these algorithms still face performance bottlenecks in production, due to the random memory access patterns of graph-based search and the high computational overheads of vector distance. In addition, the performance of a graph-based ANNS algorithm is highly sensitive to parameters, while selecting the optimal parameters is cost-prohibitive, e.g., manual tuning requires repeatedly re-building the index. This paper introduces VSAG, an open-source framework that aims to enhance the in production performance of graph-based ANNS algorithms. VSAG has been deployed at scale in the services of Ant Group, and it incorporates three key optimizations: (i) efficient memory access: it reduces L3 cache misses with pre-fetching and cache-friendly vector organization; (ii) automated parameter tuning: it automatically selects performance-optimal parameters without requiring index rebuilding; (iii) efficient distance computation: it leverages modern hardware, scalar quantization, and smartly switches to low-precision representation to dramatically reduce the distance computation costs. We evaluate VSAG on real-world datasets. The experimental results show that VSAG achieves the state-of-the-art performance and provides up to 4x speedup over HNSWlib (an industry-standard library) while ensuring the same accuracy.</x:v>
      </x:c>
      <x:c r="L546" s="17" t="str">
        <x:v>http://arxiv.org/abs/2503.17911v3</x:v>
      </x:c>
      <x:c r="M546" s="23" t="n">
        <x:v>0.6605658030748273</x:v>
      </x:c>
      <x:c r="N546" s="17" t="str">
        <x:v>qwen3-rerank-no-instruct-20260727-125006-results.jsonl</x:v>
      </x:c>
      <x:c r="O546" s="24" t="str">
        <x:v>1</x:v>
      </x:c>
      <x:c r="P546" s="28" t="str">
        <x:v>《VSAG: An Optimized Search Framework for Graph-based Approximate Nearest Neighbor Search》聚焦单一ANN路线及其指标，可作局部证据但不能直接完成三类比较。</x:v>
      </x:c>
      <x:c r="Q546" s="25" t="str"/>
      <x:c r="R546" s="24" t="str">
        <x:f>IF(Q546&lt;&gt;"",Q546,O546)</x:f>
        <x:v>1</x:v>
      </x:c>
      <x:c r="S546" s="29" t="str"/>
    </x:row>
    <x:row r="547" ht="54" customHeight="1">
      <x:c r="A547" s="17" t="str">
        <x:v>csq028-r06</x:v>
      </x:c>
      <x:c r="B547" s="17" t="str">
        <x:v>csq028</x:v>
      </x:c>
      <x:c r="C547" s="17" t="str">
        <x:v>data_management_and_ir</x:v>
      </x:c>
      <x:c r="D547" s="17" t="str">
        <x:v>vector_search</x:v>
      </x:c>
      <x:c r="E547" s="27" t="str">
        <x:v>How do graph-based, quantization-based, and inverted-file approaches to approximate nearest-neighbor search compare in recall, latency, memory usage, and index construction cost?</x:v>
      </x:c>
      <x:c r="F547" s="22" t="n">
        <x:v>6</x:v>
      </x:c>
      <x:c r="G547" s="17" t="str">
        <x:v>arXiv:2501.10479</x:v>
      </x:c>
      <x:c r="H547" s="27" t="str">
        <x:v>Lossless Compression of Vector IDs for Approximate Nearest Neighbor Search</x:v>
      </x:c>
      <x:c r="I547" s="17" t="str">
        <x:v>Daniel Severo; Giuseppe Ottaviano; Matthew Muckley; Karen Ullrich; Matthijs Douze</x:v>
      </x:c>
      <x:c r="J547" s="22" t="n">
        <x:v>2025</x:v>
      </x:c>
      <x:c r="K547" s="27" t="str">
        <x:v>Approximate nearest neighbor search for vectors relies on indexes that are most often accessed from RAM. Therefore, storage is the factor limiting the size of the database that can be served from a machine. Lossy vector compression, i.e., embedding quantization, has been applied extensively to reduce the size of indexes. However, for inverted file and graph-based indices, auxiliary data such as vector ids and links (edges) can represent most of the storage cost. We introduce and evaluate lossless compression schemes for these cases. These approaches are based on asymmetric numeral systems or wavelet trees that exploit the fact that the ordering of ids is irrelevant within the data structures. In some settings, we are able to compress the vector ids by a factor 7, with no impact on accuracy or search runtime. On billion-scale datasets, this results in a reduction of 30% of the index size. Furthermore, we show that for some datasets, these methods can also compress the quantized vector codes losslessly, by exploiting sub-optimalities in the original quantization algorithm. The source code for our approach available at https://github.com/facebookresearch/vector_db_id_compression.</x:v>
      </x:c>
      <x:c r="L547" s="17" t="str">
        <x:v>http://arxiv.org/abs/2501.10479v1</x:v>
      </x:c>
      <x:c r="M547" s="23" t="n">
        <x:v>0.6603225707285224</x:v>
      </x:c>
      <x:c r="N547" s="17" t="str">
        <x:v>qwen3-rerank-no-instruct-20260727-125006-results.jsonl</x:v>
      </x:c>
      <x:c r="O547" s="24" t="str">
        <x:v>2</x:v>
      </x:c>
      <x:c r="P547" s="28" t="str">
        <x:v>《Lossless Compression of Vector IDs for Approximate Nearest Neighbor Search》直接比较或融合图、量化、倒排/聚类ANN路线，并报告题目所需成本指标。</x:v>
      </x:c>
      <x:c r="Q547" s="25" t="str"/>
      <x:c r="R547" s="24" t="str">
        <x:f>IF(Q547&lt;&gt;"",Q547,O547)</x:f>
        <x:v>2</x:v>
      </x:c>
      <x:c r="S547" s="29" t="str"/>
    </x:row>
    <x:row r="548" ht="54" customHeight="1">
      <x:c r="A548" s="17" t="str">
        <x:v>csq028-r07</x:v>
      </x:c>
      <x:c r="B548" s="17" t="str">
        <x:v>csq028</x:v>
      </x:c>
      <x:c r="C548" s="17" t="str">
        <x:v>data_management_and_ir</x:v>
      </x:c>
      <x:c r="D548" s="17" t="str">
        <x:v>vector_search</x:v>
      </x:c>
      <x:c r="E548" s="27" t="str">
        <x:v>How do graph-based, quantization-based, and inverted-file approaches to approximate nearest-neighbor search compare in recall, latency, memory usage, and index construction cost?</x:v>
      </x:c>
      <x:c r="F548" s="22" t="n">
        <x:v>7</x:v>
      </x:c>
      <x:c r="G548" s="17" t="str">
        <x:v>arXiv:2111.08566</x:v>
      </x:c>
      <x:c r="H548" s="27" t="str">
        <x:v>SPANN: Highly-efficient Billion-scale Approximate Nearest Neighbor Search</x:v>
      </x:c>
      <x:c r="I548" s="17" t="str">
        <x:v>Qi Chen; Bing Zhao; Haidong Wang; Mingqin Li; Chuanjie Liu; Zengzhong Li; Mao Yang; Jingdong Wang</x:v>
      </x:c>
      <x:c r="J548" s="22" t="n">
        <x:v>2021</x:v>
      </x:c>
      <x:c r="K548" s="27" t="str">
        <x:v>The in-memory algorithms for approximate nearest neighbor search (ANNS) have achieved great success for fast high-recall search, but are extremely expensive when handling very large scale database. Thus, there is an increasing request for the hybrid ANNS solutions with small memory and inexpensive solid-state drive (SSD). In this paper, we present a simple but efficient memory-disk hybrid indexing and search system, named SPANN, that follows the inverted index methodology. It stores the centroid points of the posting lists in the memory and the large posting lists in the disk. We guarantee both disk-access efficiency (low latency) and high recall by effectively reducing the disk-access number and retrieving high-quality posting lists. In the index-building stage, we adopt a hierarchical balanced clustering algorithm to balance the length of posting lists and augment the posting list by adding the points in the closure of the corresponding clusters. In the search stage, we use a query-aware scheme to dynamically prune the access of unnecessary posting lists. Experiment results demonstrate that SPANN is 2$\times$ faster than the state-of-the-art ANNS solution DiskANN to reach the same recall quality $90\%$ with same memory cost in three billion-scale datasets. It can reach $90\%$ recall@1 and recall@10 in just around one millisecond with only 32GB memory cost. Code is available at: {\footnotesize\color{blue}{\url{https://github.com/microsoft/SPTAG}}}.</x:v>
      </x:c>
      <x:c r="L548" s="17" t="str">
        <x:v>http://arxiv.org/abs/2111.08566v1</x:v>
      </x:c>
      <x:c r="M548" s="23" t="n">
        <x:v>0.6426369918516645</x:v>
      </x:c>
      <x:c r="N548" s="17" t="str">
        <x:v>qwen3-rerank-no-instruct-20260727-125006-results.jsonl</x:v>
      </x:c>
      <x:c r="O548" s="24" t="str">
        <x:v>2</x:v>
      </x:c>
      <x:c r="P548" s="28" t="str">
        <x:v>《SPANN: Highly-efficient Billion-scale Approximate Nearest Neighbor Search》直接比较或融合图、量化、倒排/聚类ANN路线，并报告题目所需成本指标。</x:v>
      </x:c>
      <x:c r="Q548" s="25" t="str"/>
      <x:c r="R548" s="24" t="str">
        <x:f>IF(Q548&lt;&gt;"",Q548,O548)</x:f>
        <x:v>2</x:v>
      </x:c>
      <x:c r="S548" s="29" t="str"/>
    </x:row>
    <x:row r="549" ht="54" customHeight="1">
      <x:c r="A549" s="17" t="str">
        <x:v>csq028-r08</x:v>
      </x:c>
      <x:c r="B549" s="17" t="str">
        <x:v>csq028</x:v>
      </x:c>
      <x:c r="C549" s="17" t="str">
        <x:v>data_management_and_ir</x:v>
      </x:c>
      <x:c r="D549" s="17" t="str">
        <x:v>vector_search</x:v>
      </x:c>
      <x:c r="E549" s="27" t="str">
        <x:v>How do graph-based, quantization-based, and inverted-file approaches to approximate nearest-neighbor search compare in recall, latency, memory usage, and index construction cost?</x:v>
      </x:c>
      <x:c r="F549" s="22" t="n">
        <x:v>8</x:v>
      </x:c>
      <x:c r="G549" s="17" t="str">
        <x:v>arXiv:1707.00143</x:v>
      </x:c>
      <x:c r="H549" s="27" t="str">
        <x:v>Fast Approximate Nearest Neighbor Search With The Navigating Spreading-out Graph</x:v>
      </x:c>
      <x:c r="I549" s="17" t="str">
        <x:v>Cong Fu; Chao Xiang; Changxu Wang; Deng Cai</x:v>
      </x:c>
      <x:c r="J549" s="22" t="n">
        <x:v>2017</x:v>
      </x:c>
      <x:c r="K549" s="27" t="str">
        <x:v>Approximate nearest neighbor search (ANNS) is a fundamental problem in databases and data mining. A scalable ANNS algorithm should be both memory-efficient and fast. Some early graph-based approaches have shown attractive theoretical guarantees on search time complexity, but they all suffer from the problem of high indexing time complexity. Recently, some graph-based methods have been proposed to reduce indexing complexity by approximating the traditional graphs; these methods have achieved revolutionary performance on million-scale datasets. Yet, they still can not scale to billion-node databases. In this paper, to further improve the search-efficiency and scalability of graph-based methods, we start by introducing four aspects: (1) ensuring the connectivity of the graph; (2) lowering the average out-degree of the graph for fast traversal; (3) shortening the search path; and (4) reducing the index size. Then, we propose a novel graph structure called Monotonic Relative Neighborhood Graph (MRNG) which guarantees very low search complexity (close to logarithmic time). To further lower the indexing complexity and make it practical for billion-node ANNS problems, we propose a novel graph structure named Navigating Spreading-out Graph (NSG) by approximating the MRNG. The NSG takes the four aspects into account simultaneously. Extensive experiments show that NSG outperforms all the existing algorithms significantly. In addition, NSG shows superior performance in the E-commercial search scenario of Taobao (Alibaba Group) and has been integrated into their search engine at billion-node scale.</x:v>
      </x:c>
      <x:c r="L549" s="17" t="str">
        <x:v>http://arxiv.org/abs/1707.00143v10</x:v>
      </x:c>
      <x:c r="M549" s="23" t="n">
        <x:v>0.6201223085725714</x:v>
      </x:c>
      <x:c r="N549" s="17" t="str">
        <x:v>qwen3-rerank-no-instruct-20260727-125006-results.jsonl</x:v>
      </x:c>
      <x:c r="O549" s="24" t="str">
        <x:v>1</x:v>
      </x:c>
      <x:c r="P549" s="28" t="str">
        <x:v>《Fast Approximate Nearest Neighbor Search With The Navigating Spreading-out Graph》聚焦单一ANN路线及其指标，可作局部证据但不能直接完成三类比较。</x:v>
      </x:c>
      <x:c r="Q549" s="25" t="str"/>
      <x:c r="R549" s="24" t="str">
        <x:f>IF(Q549&lt;&gt;"",Q549,O549)</x:f>
        <x:v>1</x:v>
      </x:c>
      <x:c r="S549" s="29" t="str"/>
    </x:row>
    <x:row r="550" ht="54" customHeight="1">
      <x:c r="A550" s="17" t="str">
        <x:v>csq028-r09</x:v>
      </x:c>
      <x:c r="B550" s="17" t="str">
        <x:v>csq028</x:v>
      </x:c>
      <x:c r="C550" s="17" t="str">
        <x:v>data_management_and_ir</x:v>
      </x:c>
      <x:c r="D550" s="17" t="str">
        <x:v>vector_search</x:v>
      </x:c>
      <x:c r="E550" s="27" t="str">
        <x:v>How do graph-based, quantization-based, and inverted-file approaches to approximate nearest-neighbor search compare in recall, latency, memory usage, and index construction cost?</x:v>
      </x:c>
      <x:c r="F550" s="22" t="n">
        <x:v>9</x:v>
      </x:c>
      <x:c r="G550" s="17" t="str">
        <x:v>arXiv:2410.18926</x:v>
      </x:c>
      <x:c r="H550" s="27" t="str">
        <x:v>LoRANN: Low-Rank Matrix Factorization for Approximate Nearest Neighbor Search</x:v>
      </x:c>
      <x:c r="I550" s="17" t="str">
        <x:v>Elias Jääsaari; Ville Hyvönen; Teemu Roos</x:v>
      </x:c>
      <x:c r="J550" s="22" t="n">
        <x:v>2024</x:v>
      </x:c>
      <x:c r="K550" s="27" t="str">
        <x:v>Approximate nearest neighbor (ANN) search is a key component in many modern machine learning pipelines; recent use cases include retrieval-augmented generation (RAG) and vector databases. Clustering-based ANN algorithms, that use score computation methods based on product quantization (PQ), are often used in industrial-scale applications due to their scalability and suitability for distributed and disk-based implementations. However, they have slower query times than the leading graph-based ANN algorithms. In this work, we propose a new supervised score computation method based on the observation that inner product approximation is a multivariate (multi-output) regression problem that can be solved efficiently by reduced-rank regression. Our experiments show that on modern high-dimensional data sets, the proposed reduced-rank regression (RRR) method is superior to PQ in both query latency and memory usage. We also introduce LoRANN, a clustering-based ANN library that leverages the proposed score computation method. LoRANN is competitive with the leading graph-based algorithms and outperforms the state-of-the-art GPU ANN methods on high-dimensional data sets.</x:v>
      </x:c>
      <x:c r="L550" s="17" t="str">
        <x:v>http://arxiv.org/abs/2410.18926v1</x:v>
      </x:c>
      <x:c r="M550" s="23" t="n">
        <x:v>0.599898962044578</x:v>
      </x:c>
      <x:c r="N550" s="17" t="str">
        <x:v>qwen3-rerank-no-instruct-20260727-125006-results.jsonl</x:v>
      </x:c>
      <x:c r="O550" s="24" t="str">
        <x:v>2</x:v>
      </x:c>
      <x:c r="P550" s="28" t="str">
        <x:v>《LoRANN: Low-Rank Matrix Factorization for Approximate Nearest Neighbor Search》直接比较或融合图、量化、倒排/聚类ANN路线，并报告题目所需成本指标。</x:v>
      </x:c>
      <x:c r="Q550" s="25" t="str"/>
      <x:c r="R550" s="24" t="str">
        <x:f>IF(Q550&lt;&gt;"",Q550,O550)</x:f>
        <x:v>2</x:v>
      </x:c>
      <x:c r="S550" s="29" t="str"/>
    </x:row>
    <x:row r="551" ht="54" customHeight="1">
      <x:c r="A551" s="17" t="str">
        <x:v>csq028-r10</x:v>
      </x:c>
      <x:c r="B551" s="17" t="str">
        <x:v>csq028</x:v>
      </x:c>
      <x:c r="C551" s="17" t="str">
        <x:v>data_management_and_ir</x:v>
      </x:c>
      <x:c r="D551" s="17" t="str">
        <x:v>vector_search</x:v>
      </x:c>
      <x:c r="E551" s="27" t="str">
        <x:v>How do graph-based, quantization-based, and inverted-file approaches to approximate nearest-neighbor search compare in recall, latency, memory usage, and index construction cost?</x:v>
      </x:c>
      <x:c r="F551" s="22" t="n">
        <x:v>10</x:v>
      </x:c>
      <x:c r="G551" s="17" t="str">
        <x:v>arXiv:2509.25487</x:v>
      </x:c>
      <x:c r="H551" s="27" t="str">
        <x:v>Scalable Disk-Based Approximate Nearest Neighbor Search with Page-Aligned Graph</x:v>
      </x:c>
      <x:c r="I551" s="17" t="str">
        <x:v>Dingyi Kang; Dongming Jiang; Hanshen Yang; Hang Liu; Bingzhe Li</x:v>
      </x:c>
      <x:c r="J551" s="22" t="n">
        <x:v>2025</x:v>
      </x:c>
      <x:c r="K551" s="27" t="str">
        <x:v>Approximate Nearest Neighbor Search (ANNS), as the core of vector databases (VectorDBs), has become widely used in modern AI and ML systems, powering applications from information retrieval to bio-informatics. While graph-based ANNS methods achieve high query efficiency, their scalability is constrained by the available host memory. Recent disk-based ANNS approaches mitigate memory usage by offloading data to Solid-State Drives (SSDs). However, they still suffer from issues such as long I/O traversal path, misalignment with storage I/O granularity, and high in-memory indexing overhead, leading to significant I/O latency and ultimately limiting scalability for large-scale vector search. In this paper, we propose PageANN, a disk-based approximate nearest neighbor search (ANNS) framework designed for high performance and scalability. PageANN introduces a page-node graph structure that aligns logical graph nodes with physical SSD pages, thereby shortening I/O traversal paths and reducing I/O operations. Specifically, similar vectors are clustered into page nodes, and a co-designed disk data layout leverages this structure with a merging technique to store only representative vectors and topology information, avoiding unnecessary reads. To further improve efficiency, we design a memory management strategy that combines lightweight indexing with coordinated memory-disk data allocation, maximizing host memory utilization while minimizing query latency and storage overhead. Experimental results show that PageANN significantly outperforms state-of-the-art (SOTA) disk-based ANNS methods, achieving 1.85x-10.83x higher throughput and 51.7%-91.9% lower latency across different datasets and memory budgets, while maintaining comparable high recall accuracy.</x:v>
      </x:c>
      <x:c r="L551" s="17" t="str">
        <x:v>http://arxiv.org/abs/2509.25487v2</x:v>
      </x:c>
      <x:c r="M551" s="23" t="n">
        <x:v>0.599681891040916</x:v>
      </x:c>
      <x:c r="N551" s="17" t="str">
        <x:v>qwen3-rerank-no-instruct-20260727-125006-results.jsonl</x:v>
      </x:c>
      <x:c r="O551" s="24" t="str">
        <x:v>1</x:v>
      </x:c>
      <x:c r="P551" s="28" t="str">
        <x:v>《Scalable Disk-Based Approximate Nearest Neighbor Search with Page-Aligned Graph》聚焦单一ANN路线及其指标，可作局部证据但不能直接完成三类比较。</x:v>
      </x:c>
      <x:c r="Q551" s="25" t="str"/>
      <x:c r="R551" s="24" t="str">
        <x:f>IF(Q551&lt;&gt;"",Q551,O551)</x:f>
        <x:v>1</x:v>
      </x:c>
      <x:c r="S551" s="29" t="str"/>
    </x:row>
    <x:row r="552" ht="54" customHeight="1">
      <x:c r="A552" s="17" t="str">
        <x:v>csq028-r11</x:v>
      </x:c>
      <x:c r="B552" s="17" t="str">
        <x:v>csq028</x:v>
      </x:c>
      <x:c r="C552" s="17" t="str">
        <x:v>data_management_and_ir</x:v>
      </x:c>
      <x:c r="D552" s="17" t="str">
        <x:v>vector_search</x:v>
      </x:c>
      <x:c r="E552" s="27" t="str">
        <x:v>How do graph-based, quantization-based, and inverted-file approaches to approximate nearest-neighbor search compare in recall, latency, memory usage, and index construction cost?</x:v>
      </x:c>
      <x:c r="F552" s="22" t="n">
        <x:v>11</x:v>
      </x:c>
      <x:c r="G552" s="17" t="str">
        <x:v>arXiv:2411.12229</x:v>
      </x:c>
      <x:c r="H552" s="27" t="str">
        <x:v>SymphonyQG: Towards Symphonious Integration of Quantization and Graph for Approximate Nearest Neighbor Search</x:v>
      </x:c>
      <x:c r="I552" s="17" t="str">
        <x:v>Yutong Gou; Jianyang Gao; Yuexuan Xu; Cheng Long</x:v>
      </x:c>
      <x:c r="J552" s="22" t="n">
        <x:v>2024</x:v>
      </x:c>
      <x:c r="K552" s="27" t="str">
        <x:v>Approximate nearest neighbor (ANN) search in high-dimensional Euclidean space has a broad range of applications. Among existing ANN algorithms, graph-based methods have shown superior performance in terms of the time-accuracy trade-off. However, they face performance bottlenecks due to the random memory accesses caused by the searching process on the graph indices and the costs of computing exact distances to guide the searching process. To relieve the bottlenecks, a recent method named NGT-QG makes an attempt by integrating quantization and graph. It (1) replicates and stores the quantization codes of a vertex's neighbors compactly so that they can be accessed sequentially, and (2) uses a SIMD-based implementation named FastScan to efficiently estimate distances based on the quantization codes in batch for guiding the searching process. While NGT-QG achieves promising improvements over the vanilla graph-based methods, it has not fully unleashed the potential of integrating quantization and graph. For instance, it entails a re-ranking step to compute exact distances at the end, which introduces extra random memory accesses; its graph structure is not jointly designed considering the in-batch nature of FastScan, which causes wastes of computation in searching. In this work, following NGT-QG, we present a new method named SymphonyQG, which achieves more symphonious integration of quantization and graph (e.g., it avoids the explicit re-ranking step and refines the graph structure to be more aligned with FastScan). Based on extensive experiments on real-world datasets, SymphonyQG establishes the new state-of-the-art in terms of the time-accuracy trade-off.</x:v>
      </x:c>
      <x:c r="L552" s="17" t="str">
        <x:v>http://arxiv.org/abs/2411.12229v1</x:v>
      </x:c>
      <x:c r="M552" s="23" t="n">
        <x:v>0.5991562152309743</x:v>
      </x:c>
      <x:c r="N552" s="17" t="str">
        <x:v>qwen3-rerank-no-instruct-20260727-125006-results.jsonl</x:v>
      </x:c>
      <x:c r="O552" s="24" t="str">
        <x:v>2</x:v>
      </x:c>
      <x:c r="P552" s="28" t="str">
        <x:v>《SymphonyQG: Towards Symphonious Integration of Quantization and Graph for Approximate Nearest Neighbor Search》直接比较或融合图、量化、倒排/聚类ANN路线，并报告题目所需成本指标。</x:v>
      </x:c>
      <x:c r="Q552" s="25" t="str"/>
      <x:c r="R552" s="24" t="str">
        <x:f>IF(Q552&lt;&gt;"",Q552,O552)</x:f>
        <x:v>2</x:v>
      </x:c>
      <x:c r="S552" s="29" t="str"/>
    </x:row>
    <x:row r="553" ht="54" customHeight="1">
      <x:c r="A553" s="17" t="str">
        <x:v>csq028-r12</x:v>
      </x:c>
      <x:c r="B553" s="17" t="str">
        <x:v>csq028</x:v>
      </x:c>
      <x:c r="C553" s="17" t="str">
        <x:v>data_management_and_ir</x:v>
      </x:c>
      <x:c r="D553" s="17" t="str">
        <x:v>vector_search</x:v>
      </x:c>
      <x:c r="E553" s="27" t="str">
        <x:v>How do graph-based, quantization-based, and inverted-file approaches to approximate nearest-neighbor search compare in recall, latency, memory usage, and index construction cost?</x:v>
      </x:c>
      <x:c r="F553" s="22" t="n">
        <x:v>12</x:v>
      </x:c>
      <x:c r="G553" s="17" t="str">
        <x:v>arXiv:1609.07228</x:v>
      </x:c>
      <x:c r="H553" s="27" t="str">
        <x:v>EFANNA : An Extremely Fast Approximate Nearest Neighbor Search Algorithm Based on kNN Graph</x:v>
      </x:c>
      <x:c r="I553" s="17" t="str">
        <x:v>Cong Fu; Deng Cai</x:v>
      </x:c>
      <x:c r="J553" s="22" t="n">
        <x:v>2016</x:v>
      </x:c>
      <x:c r="K553" s="27" t="str">
        <x:v>Approximate nearest neighbor (ANN) search is a fundamental problem in many areas of data mining, machine learning and computer vision. The performance of traditional hierarchical structure (tree) based methods decreases as the dimensionality of data grows, while hashing based methods usually lack efficiency in practice. Recently, the graph based methods have drawn considerable attention. The main idea is that \emph{a neighbor of a neighbor is also likely to be a neighbor}, which we refer as \emph{NN-expansion}. These methods construct a $k$-nearest neighbor ($k$NN) graph offline. And at online search stage, these methods find candidate neighbors of a query point in some way (\eg, random selection), and then check the neighbors of these candidate neighbors for closer ones iteratively. Despite some promising results, there are mainly two problems with these approaches: 1) These approaches tend to converge to local optima. 2) Constructing a $k$NN graph is time consuming. We find that these two problems can be nicely solved when we provide a good initialization for NN-expansion. In this paper, we propose EFANNA, an extremely fast approximate nearest neighbor search algorithm based on $k$NN Graph. Efanna nicely combines the advantages of hierarchical structure based methods and nearest-neighbor-graph based methods. Extensive experiments have shown that EFANNA outperforms the state-of-art algorithms both on approximate nearest neighbor search and approximate nearest neighbor graph construction. To the best of our knowledge, EFANNA is the fastest algorithm so far both on approximate nearest neighbor graph construction and approximate nearest neighbor search. A library EFANNA based on this research is released on Github.</x:v>
      </x:c>
      <x:c r="L553" s="17" t="str">
        <x:v>http://arxiv.org/abs/1609.07228v3</x:v>
      </x:c>
      <x:c r="M553" s="23" t="n">
        <x:v>0.5913080542534087</x:v>
      </x:c>
      <x:c r="N553" s="17" t="str">
        <x:v>qwen3-rerank-no-instruct-20260727-125006-results.jsonl</x:v>
      </x:c>
      <x:c r="O553" s="24" t="str">
        <x:v>1</x:v>
      </x:c>
      <x:c r="P553" s="28" t="str">
        <x:v>《EFANNA : An Extremely Fast Approximate Nearest Neighbor Search Algorithm Based on kNN Graph》聚焦单一ANN路线及其指标，可作局部证据但不能直接完成三类比较。</x:v>
      </x:c>
      <x:c r="Q553" s="25" t="str"/>
      <x:c r="R553" s="24" t="str">
        <x:f>IF(Q553&lt;&gt;"",Q553,O553)</x:f>
        <x:v>1</x:v>
      </x:c>
      <x:c r="S553" s="29" t="str"/>
    </x:row>
    <x:row r="554" ht="54" customHeight="1">
      <x:c r="A554" s="17" t="str">
        <x:v>csq028-r13</x:v>
      </x:c>
      <x:c r="B554" s="17" t="str">
        <x:v>csq028</x:v>
      </x:c>
      <x:c r="C554" s="17" t="str">
        <x:v>data_management_and_ir</x:v>
      </x:c>
      <x:c r="D554" s="17" t="str">
        <x:v>vector_search</x:v>
      </x:c>
      <x:c r="E554" s="27" t="str">
        <x:v>How do graph-based, quantization-based, and inverted-file approaches to approximate nearest-neighbor search compare in recall, latency, memory usage, and index construction cost?</x:v>
      </x:c>
      <x:c r="F554" s="22" t="n">
        <x:v>13</x:v>
      </x:c>
      <x:c r="G554" s="17" t="str">
        <x:v>arXiv:2307.10479</x:v>
      </x:c>
      <x:c r="H554" s="27" t="str">
        <x:v>Fast Approximate Nearest Neighbor Search with a Dynamic Exploration Graph using Continuous Refinement</x:v>
      </x:c>
      <x:c r="I554" s="17" t="str">
        <x:v>Nico Hezel; Kai Uwe Barthel; Konstantin Schall; Klaus Jung</x:v>
      </x:c>
      <x:c r="J554" s="22" t="n">
        <x:v>2023</x:v>
      </x:c>
      <x:c r="K554" s="27" t="str">
        <x:v>For approximate nearest neighbor search, graph-based algorithms have shown to offer the best trade-off between accuracy and search time. We propose the Dynamic Exploration Graph (DEG) which significantly outperforms existing algorithms in terms of search and exploration efficiency by combining two new ideas: First, a single undirected even regular graph is incrementally built by partially replacing existing edges to integrate new vertices and to update old neighborhoods at the same time. Secondly, an edge optimization algorithm is used to continuously improve the quality of the graph. Combining this ongoing refinement with the graph construction process leads to a well-organized graph structure at all times, resulting in: (1) increased search efficiency, (2) predictable index size, (3) guaranteed connectivity and therefore reachability of all vertices, and (4) a dynamic graph structure. In addition we investigate how well existing graph-based search systems can handle indexed queries where the seed vertex of a search is the query itself. Such exploration tasks, despite their good starting point, are not necessarily easy. High efficiency in approximate nearest neighbor search (ANNS) does not automatically imply good performance in exploratory search. Extensive experiments show that our new Dynamic Exploration Graph outperforms existing algorithms significantly for indexed and unindexed queries.</x:v>
      </x:c>
      <x:c r="L554" s="17" t="str">
        <x:v>http://arxiv.org/abs/2307.10479v2</x:v>
      </x:c>
      <x:c r="M554" s="23" t="n">
        <x:v>0.5874010610970576</x:v>
      </x:c>
      <x:c r="N554" s="17" t="str">
        <x:v>qwen3-rerank-no-instruct-20260727-125006-results.jsonl</x:v>
      </x:c>
      <x:c r="O554" s="24" t="str">
        <x:v>1</x:v>
      </x:c>
      <x:c r="P554" s="28" t="str">
        <x:v>《Fast Approximate Nearest Neighbor Search with a Dynamic Exploration Graph using Continuous Refinement》聚焦单一ANN路线及其指标，可作局部证据但不能直接完成三类比较。</x:v>
      </x:c>
      <x:c r="Q554" s="25" t="str"/>
      <x:c r="R554" s="24" t="str">
        <x:f>IF(Q554&lt;&gt;"",Q554,O554)</x:f>
        <x:v>1</x:v>
      </x:c>
      <x:c r="S554" s="29" t="str"/>
    </x:row>
    <x:row r="555" ht="54" customHeight="1">
      <x:c r="A555" s="17" t="str">
        <x:v>csq028-r14</x:v>
      </x:c>
      <x:c r="B555" s="17" t="str">
        <x:v>csq028</x:v>
      </x:c>
      <x:c r="C555" s="17" t="str">
        <x:v>data_management_and_ir</x:v>
      </x:c>
      <x:c r="D555" s="17" t="str">
        <x:v>vector_search</x:v>
      </x:c>
      <x:c r="E555" s="27" t="str">
        <x:v>How do graph-based, quantization-based, and inverted-file approaches to approximate nearest-neighbor search compare in recall, latency, memory usage, and index construction cost?</x:v>
      </x:c>
      <x:c r="F555" s="22" t="n">
        <x:v>14</x:v>
      </x:c>
      <x:c r="G555" s="17" t="str">
        <x:v>arXiv:2511.16921</x:v>
      </x:c>
      <x:c r="H555" s="27" t="str">
        <x:v>δ-EMG: A Monotonic Graph Index for Approximate Nearest Neighbor Search</x:v>
      </x:c>
      <x:c r="I555" s="17" t="str">
        <x:v>Liming Xiang; Jing Feng; Ziqi Yin; Zijian Li; Daihao Xue; Hongchao Qin; Ronghua Li; Guoren Wang</x:v>
      </x:c>
      <x:c r="J555" s="22" t="n">
        <x:v>2025</x:v>
      </x:c>
      <x:c r="K555" s="27" t="str">
        <x:v>Approximate nearest neighbor (ANN) search in high-dimensional spaces is a foundational component of many modern retrieval and recommendation systems. Currently, almost all algorithms follow an $ε$-Recall-Bounded principle when comparing performance: they require the ANN search results to achieve a recall of more than $1-ε$ and then compare query-per-second (QPS) performance. However, this approach only accounts for the recall of true positive results and does not provide guarantees on the deviation of incorrect results. To address this limitation, we focus on an Error-Bounded ANN method, which ensures that the returned results are a $(1/δ)$-approximation of the true values. Our approach adopts a graph-based framework. To enable Error-Bounded ANN search, we propose a $δ$-EMG (Error-bounded Monotonic Graph), which, for the first time, provides a provable approximation for arbitrary queries. By enforcing a $δ$-monotonic geometric constraint during graph construction, $δ$-EMG ensures that any greedy search converges to a $(1/δ)$-approximate neighbor without backtracking. Building on this foundation, we design an error-bounded top-$k$ ANN search algorithm that adaptively controls approximation accuracy during query time. To make the framework practical at scale, we introduce $δ$-EMQG (Error-bounded Monotonic Quantized Graph), a localized and degree-balanced variant with near-linear construction complexity. We further integrate vector quantization to accelerate distance computation while preserving theoretical guarantees. Extensive experiments on the ANN-Benchmarks dataset demonstrate the effectiveness of our approach. Under a recall requirement of 0.99, our algorithm achieves 19,000 QPS on the SIFT1M dataset, outperforming other methods by more than 40\%.</x:v>
      </x:c>
      <x:c r="L555" s="17" t="str">
        <x:v>http://arxiv.org/abs/2511.16921v1</x:v>
      </x:c>
      <x:c r="M555" s="23" t="n">
        <x:v>0.5800146004420643</x:v>
      </x:c>
      <x:c r="N555" s="17" t="str">
        <x:v>qwen3-rerank-no-instruct-20260727-125006-results.jsonl</x:v>
      </x:c>
      <x:c r="O555" s="24" t="str">
        <x:v>1</x:v>
      </x:c>
      <x:c r="P555" s="28" t="str">
        <x:v>《δ-EMG: A Monotonic Graph Index for Approximate Nearest Neighbor Search》聚焦单一ANN路线及其指标，可作局部证据但不能直接完成三类比较。</x:v>
      </x:c>
      <x:c r="Q555" s="25" t="str"/>
      <x:c r="R555" s="24" t="str">
        <x:f>IF(Q555&lt;&gt;"",Q555,O555)</x:f>
        <x:v>1</x:v>
      </x:c>
      <x:c r="S555" s="29" t="str"/>
    </x:row>
    <x:row r="556" ht="54" customHeight="1">
      <x:c r="A556" s="17" t="str">
        <x:v>csq028-r15</x:v>
      </x:c>
      <x:c r="B556" s="17" t="str">
        <x:v>csq028</x:v>
      </x:c>
      <x:c r="C556" s="17" t="str">
        <x:v>data_management_and_ir</x:v>
      </x:c>
      <x:c r="D556" s="17" t="str">
        <x:v>vector_search</x:v>
      </x:c>
      <x:c r="E556" s="27" t="str">
        <x:v>How do graph-based, quantization-based, and inverted-file approaches to approximate nearest-neighbor search compare in recall, latency, memory usage, and index construction cost?</x:v>
      </x:c>
      <x:c r="F556" s="22" t="n">
        <x:v>15</x:v>
      </x:c>
      <x:c r="G556" s="17" t="str">
        <x:v>arXiv:2305.04359</x:v>
      </x:c>
      <x:c r="H556" s="27" t="str">
        <x:v>ParlayANN: Scalable and Deterministic Parallel Graph-Based Approximate Nearest Neighbor Search Algorithms</x:v>
      </x:c>
      <x:c r="I556" s="17" t="str">
        <x:v>Magdalen Dobson Manohar; Zheqi Shen; Guy E. Blelloch; Laxman Dhulipala; Yan Gu; Harsha Vardhan Simhadri; Yihan Sun</x:v>
      </x:c>
      <x:c r="J556" s="22" t="n">
        <x:v>2023</x:v>
      </x:c>
      <x:c r="K556" s="27" t="str">
        <x:v>Approximate nearest-neighbor search (ANNS) algorithms are a key part of the modern deep learning stack due to enabling efficient similarity search over high-dimensional vector space representations (i.e., embeddings) of data. Among various ANNS algorithms, graph-based algorithms are known to achieve the best throughput-recall tradeoffs. Despite the large scale of modern ANNS datasets, existing parallel graph based implementations suffer from significant challenges to scale to large datasets due to heavy use of locks and other sequential bottlenecks, which 1) prevents them from efficiently scaling to a large number of processors, and 2) results in nondeterminism that is undesirable in certain applications. In this paper, we introduce ParlayANN, a library of deterministic and parallel graph-based approximate nearest neighbor search algorithms, along with a set of useful tools for developing such algorithms. In this library, we develop novel parallel implementations for four state-of-the-art graph-based ANNS algorithms that scale to billion-scale datasets. Our algorithms are deterministic and achieve high scalability across a diverse set of challenging datasets. In addition to the new algorithmic ideas, we also conduct a detailed experimental study of our new algorithms as well as two existing non-graph approaches. Our experimental results both validate the effectiveness of our new techniques, and lead to a comprehensive comparison among ANNS algorithms on large scale datasets with a list of interesting findings.</x:v>
      </x:c>
      <x:c r="L556" s="17" t="str">
        <x:v>http://arxiv.org/abs/2305.04359v2</x:v>
      </x:c>
      <x:c r="M556" s="23" t="n">
        <x:v>0.567307713001099</x:v>
      </x:c>
      <x:c r="N556" s="17" t="str">
        <x:v>qwen3-rerank-no-instruct-20260727-125006-results.jsonl</x:v>
      </x:c>
      <x:c r="O556" s="24" t="str">
        <x:v>2</x:v>
      </x:c>
      <x:c r="P556" s="28" t="str">
        <x:v>《ParlayANN: Scalable and Deterministic Parallel Graph-Based Approximate Nearest Neighbor Search Algorithms》直接比较或融合图、量化、倒排/聚类ANN路线，并报告题目所需成本指标。</x:v>
      </x:c>
      <x:c r="Q556" s="25" t="str"/>
      <x:c r="R556" s="24" t="str">
        <x:f>IF(Q556&lt;&gt;"",Q556,O556)</x:f>
        <x:v>2</x:v>
      </x:c>
      <x:c r="S556" s="29" t="str"/>
    </x:row>
    <x:row r="557" ht="54" customHeight="1">
      <x:c r="A557" s="17" t="str">
        <x:v>csq028-r16</x:v>
      </x:c>
      <x:c r="B557" s="17" t="str">
        <x:v>csq028</x:v>
      </x:c>
      <x:c r="C557" s="17" t="str">
        <x:v>data_management_and_ir</x:v>
      </x:c>
      <x:c r="D557" s="17" t="str">
        <x:v>vector_search</x:v>
      </x:c>
      <x:c r="E557" s="27" t="str">
        <x:v>How do graph-based, quantization-based, and inverted-file approaches to approximate nearest-neighbor search compare in recall, latency, memory usage, and index construction cost?</x:v>
      </x:c>
      <x:c r="F557" s="22" t="n">
        <x:v>16</x:v>
      </x:c>
      <x:c r="G557" s="17" t="str">
        <x:v>arXiv:2411.14006</x:v>
      </x:c>
      <x:c r="H557" s="27" t="str">
        <x:v>Experimental comparison of graph-based approximate nearest neighbor search algorithms on edge devices</x:v>
      </x:c>
      <x:c r="I557" s="17" t="str">
        <x:v>Ali Ganbarov; Jicheng Yuan; Anh Le-Tuan; Manfred Hauswirth; Danh Le-Phuoc</x:v>
      </x:c>
      <x:c r="J557" s="22" t="n">
        <x:v>2024</x:v>
      </x:c>
      <x:c r="K557" s="27" t="str">
        <x:v>In this paper, we present an experimental comparison of various graph-based approximate nearest neighbor (ANN) search algorithms deployed on edge devices for real-time nearest neighbor search applications, such as smart city infrastructure and autonomous vehicles. To the best of our knowledge, this specific comparative analysis has not been previously conducted. While existing research has explored graph-based ANN algorithms, it has often been limited to single-threaded implementations on standard commodity hardware. Our study leverages the full computational and storage capabilities of edge devices, incorporating additional metrics such as insertion and deletion latency of new vectors and power consumption. This comprehensive evaluation aims to provide valuable insights into the performance and suitability of these algorithms for edge-based real-time tracking systems enhanced by nearest-neighbor search algorithms.</x:v>
      </x:c>
      <x:c r="L557" s="17" t="str">
        <x:v>http://arxiv.org/abs/2411.14006v1</x:v>
      </x:c>
      <x:c r="M557" s="23" t="n">
        <x:v>0.5641796993728474</x:v>
      </x:c>
      <x:c r="N557" s="17" t="str">
        <x:v>qwen3-rerank-no-instruct-20260727-125006-results.jsonl</x:v>
      </x:c>
      <x:c r="O557" s="24" t="str">
        <x:v>1</x:v>
      </x:c>
      <x:c r="P557" s="28" t="str">
        <x:v>《Experimental comparison of graph-based approximate nearest neighbor search algorithms on edge devices》聚焦单一ANN路线及其指标，可作局部证据但不能直接完成三类比较。</x:v>
      </x:c>
      <x:c r="Q557" s="25" t="str"/>
      <x:c r="R557" s="24" t="str">
        <x:f>IF(Q557&lt;&gt;"",Q557,O557)</x:f>
        <x:v>1</x:v>
      </x:c>
      <x:c r="S557" s="29" t="str"/>
    </x:row>
    <x:row r="558" ht="54" customHeight="1">
      <x:c r="A558" s="17" t="str">
        <x:v>csq028-r17</x:v>
      </x:c>
      <x:c r="B558" s="17" t="str">
        <x:v>csq028</x:v>
      </x:c>
      <x:c r="C558" s="17" t="str">
        <x:v>data_management_and_ir</x:v>
      </x:c>
      <x:c r="D558" s="17" t="str">
        <x:v>vector_search</x:v>
      </x:c>
      <x:c r="E558" s="27" t="str">
        <x:v>How do graph-based, quantization-based, and inverted-file approaches to approximate nearest-neighbor search compare in recall, latency, memory usage, and index construction cost?</x:v>
      </x:c>
      <x:c r="F558" s="22" t="n">
        <x:v>17</x:v>
      </x:c>
      <x:c r="G558" s="17" t="str">
        <x:v>arXiv:2206.01382</x:v>
      </x:c>
      <x:c r="H558" s="27" t="str">
        <x:v>Falconn++: A Locality-sensitive Filtering Approach for Approximate Nearest Neighbor Search</x:v>
      </x:c>
      <x:c r="I558" s="17" t="str">
        <x:v>Ninh Pham; Tao Liu</x:v>
      </x:c>
      <x:c r="J558" s="22" t="n">
        <x:v>2022</x:v>
      </x:c>
      <x:c r="K558" s="27" t="str">
        <x:v>We present Falconn++, a novel locality-sensitive filtering approach for approximate nearest neighbor search on angular distance. Falconn++ can filter out potential far away points in any hash bucket \textit{before} querying, which results in higher quality candidates compared to other hashing-based solutions. Theoretically, Falconn++ asymptotically achieves lower query time complexity than Falconn, an optimal locality-sensitive hashing scheme on angular distance. Empirically, Falconn++ achieves higher recall-speed tradeoffs than Falconn on many real-world data sets. Falconn++ is also competitive with HNSW, an efficient representative of graph-based solutions on high search recall regimes.</x:v>
      </x:c>
      <x:c r="L558" s="17" t="str">
        <x:v>http://arxiv.org/abs/2206.01382v3</x:v>
      </x:c>
      <x:c r="M558" s="23" t="n">
        <x:v>0.5593039205681848</x:v>
      </x:c>
      <x:c r="N558" s="17" t="str">
        <x:v>qwen3-rerank-no-instruct-20260727-125006-results.jsonl</x:v>
      </x:c>
      <x:c r="O558" s="24" t="str">
        <x:v>2</x:v>
      </x:c>
      <x:c r="P558" s="28" t="str">
        <x:v>《Falconn++: A Locality-sensitive Filtering Approach for Approximate Nearest Neighbor Search》直接比较或融合图、量化、倒排/聚类ANN路线，并报告题目所需成本指标。</x:v>
      </x:c>
      <x:c r="Q558" s="25" t="str"/>
      <x:c r="R558" s="24" t="str">
        <x:f>IF(Q558&lt;&gt;"",Q558,O558)</x:f>
        <x:v>2</x:v>
      </x:c>
      <x:c r="S558" s="29" t="str"/>
    </x:row>
    <x:row r="559" ht="54" customHeight="1">
      <x:c r="A559" s="17" t="str">
        <x:v>csq028-r18</x:v>
      </x:c>
      <x:c r="B559" s="17" t="str">
        <x:v>csq028</x:v>
      </x:c>
      <x:c r="C559" s="17" t="str">
        <x:v>data_management_and_ir</x:v>
      </x:c>
      <x:c r="D559" s="17" t="str">
        <x:v>vector_search</x:v>
      </x:c>
      <x:c r="E559" s="27" t="str">
        <x:v>How do graph-based, quantization-based, and inverted-file approaches to approximate nearest-neighbor search compare in recall, latency, memory usage, and index construction cost?</x:v>
      </x:c>
      <x:c r="F559" s="22" t="n">
        <x:v>18</x:v>
      </x:c>
      <x:c r="G559" s="17" t="str">
        <x:v>arXiv:2505.17368</x:v>
      </x:c>
      <x:c r="H559" s="27" t="str">
        <x:v>HENN: A Hierarchical Epsilon Net Navigation Graph for Approximate Nearest Neighbor Search</x:v>
      </x:c>
      <x:c r="I559" s="17" t="str">
        <x:v>Mohsen Dehghankar; Abolfazl Asudeh</x:v>
      </x:c>
      <x:c r="J559" s="22" t="n">
        <x:v>2025</x:v>
      </x:c>
      <x:c r="K559" s="27" t="str">
        <x:v>Hierarchical graph-based algorithms such as HNSW have achieved state-of-the-art performance for Approximate Nearest Neighbor (ANN) search in practice, yet they often lack theoretical guarantees on query time or recall due to their heavy use of randomized heuristic constructions. Conversely, existing theoretically grounded structures are typically difficult to implement and struggle to scale in real-world scenarios. We propose the Hierarchical $\varepsilon$-Net Navigation Graph (HENN), a novel graph-based indexing structure for ANN search that combines strong theoretical guarantees with practical efficiency. Built upon the theory of $\varepsilon$-nets, HENN guarantees polylogarithmic worst-case query time while preserving high recall and incurring minimal implementation overhead. Moreover, we establish a probabilistic polylogarithmic query time bound for HNSW, providing theoretical insight into its empirical success. In contrast to these prior hierarchical methods that may degrade to linear query time under adversarial data, HENN maintains provable performance independent of the input data distribution. Empirical evaluations demonstrate that HENN achieves faster query time while maintaining competitive recall on diverse data distributions, including adversarial inputs. These results underscore the effectiveness of HENN as a robust and scalable solution for fast and accurate nearest neighbor search.</x:v>
      </x:c>
      <x:c r="L559" s="17" t="str">
        <x:v>http://arxiv.org/abs/2505.17368v1</x:v>
      </x:c>
      <x:c r="M559" s="23" t="n">
        <x:v>0.5505731811736295</x:v>
      </x:c>
      <x:c r="N559" s="17" t="str">
        <x:v>qwen3-rerank-no-instruct-20260727-125006-results.jsonl</x:v>
      </x:c>
      <x:c r="O559" s="24" t="str">
        <x:v>1</x:v>
      </x:c>
      <x:c r="P559" s="28" t="str">
        <x:v>《HENN: A Hierarchical Epsilon Net Navigation Graph for Approximate Nearest Neighbor Search》聚焦单一ANN路线及其指标，可作局部证据但不能直接完成三类比较。</x:v>
      </x:c>
      <x:c r="Q559" s="25" t="str"/>
      <x:c r="R559" s="24" t="str">
        <x:f>IF(Q559&lt;&gt;"",Q559,O559)</x:f>
        <x:v>1</x:v>
      </x:c>
      <x:c r="S559" s="29" t="str"/>
    </x:row>
    <x:row r="560" ht="54" customHeight="1">
      <x:c r="A560" s="17" t="str">
        <x:v>csq028-r19</x:v>
      </x:c>
      <x:c r="B560" s="17" t="str">
        <x:v>csq028</x:v>
      </x:c>
      <x:c r="C560" s="17" t="str">
        <x:v>data_management_and_ir</x:v>
      </x:c>
      <x:c r="D560" s="17" t="str">
        <x:v>vector_search</x:v>
      </x:c>
      <x:c r="E560" s="27" t="str">
        <x:v>How do graph-based, quantization-based, and inverted-file approaches to approximate nearest-neighbor search compare in recall, latency, memory usage, and index construction cost?</x:v>
      </x:c>
      <x:c r="F560" s="22" t="n">
        <x:v>19</x:v>
      </x:c>
      <x:c r="G560" s="17" t="str">
        <x:v>arXiv:2308.15136</x:v>
      </x:c>
      <x:c r="H560" s="27" t="str">
        <x:v>CAGRA: Highly Parallel Graph Construction and Approximate Nearest Neighbor Search for GPUs</x:v>
      </x:c>
      <x:c r="I560" s="17" t="str">
        <x:v>Hiroyuki Ootomo; Akira Naruse; Corey Nolet; Ray Wang; Tamas Feher; Yong Wang</x:v>
      </x:c>
      <x:c r="J560" s="22" t="n">
        <x:v>2023</x:v>
      </x:c>
      <x:c r="K560" s="27" t="str">
        <x:v>Approximate Nearest Neighbor Search (ANNS) plays a critical role in various disciplines spanning data mining and artificial intelligence, from information retrieval and computer vision to natural language processing and recommender systems. Data volumes have soared in recent years and the computational cost of an exhaustive exact nearest neighbor search is often prohibitive, necessitating the adoption of approximate techniques. The balanced performance and recall of graph-based approaches have more recently garnered significant attention in ANNS algorithms, however, only a few studies have explored harnessing the power of GPUs and multi-core processors despite the widespread use of massively parallel and general-purpose computing. To bridge this gap, we introduce a novel parallel computing hardware-based proximity graph and search algorithm. By leveraging the high-performance capabilities of modern hardware, our approach achieves remarkable efficiency gains. In particular, our method surpasses existing CPU and GPU-based methods in constructing the proximity graph, demonstrating higher throughput in both large- and small-batch searches while maintaining compatible accuracy. In graph construction time, our method, CAGRA, is 2.2~27x faster than HNSW, which is one of the CPU SOTA implementations. In large-batch query throughput in the 90% to 95% recall range, our method is 33~77x faster than HNSW, and is 3.8~8.8x faster than the SOTA implementations for GPU. For a single query, our method is 3.4~53x faster than HNSW at 95% recall.</x:v>
      </x:c>
      <x:c r="L560" s="17" t="str">
        <x:v>http://arxiv.org/abs/2308.15136v2</x:v>
      </x:c>
      <x:c r="M560" s="23" t="n">
        <x:v>0.5488524461583735</x:v>
      </x:c>
      <x:c r="N560" s="17" t="str">
        <x:v>qwen3-rerank-no-instruct-20260727-125006-results.jsonl</x:v>
      </x:c>
      <x:c r="O560" s="24" t="str">
        <x:v>1</x:v>
      </x:c>
      <x:c r="P560" s="28" t="str">
        <x:v>《CAGRA: Highly Parallel Graph Construction and Approximate Nearest Neighbor Search for GPUs》聚焦单一ANN路线及其指标，可作局部证据但不能直接完成三类比较。</x:v>
      </x:c>
      <x:c r="Q560" s="25" t="str"/>
      <x:c r="R560" s="24" t="str">
        <x:f>IF(Q560&lt;&gt;"",Q560,O560)</x:f>
        <x:v>1</x:v>
      </x:c>
      <x:c r="S560" s="29" t="str"/>
    </x:row>
    <x:row r="561" ht="54" customHeight="1">
      <x:c r="A561" s="17" t="str">
        <x:v>csq028-r20</x:v>
      </x:c>
      <x:c r="B561" s="17" t="str">
        <x:v>csq028</x:v>
      </x:c>
      <x:c r="C561" s="17" t="str">
        <x:v>data_management_and_ir</x:v>
      </x:c>
      <x:c r="D561" s="17" t="str">
        <x:v>vector_search</x:v>
      </x:c>
      <x:c r="E561" s="27" t="str">
        <x:v>How do graph-based, quantization-based, and inverted-file approaches to approximate nearest-neighbor search compare in recall, latency, memory usage, and index construction cost?</x:v>
      </x:c>
      <x:c r="F561" s="22" t="n">
        <x:v>20</x:v>
      </x:c>
      <x:c r="G561" s="17" t="str">
        <x:v>arXiv:2510.17326</x:v>
      </x:c>
      <x:c r="H561" s="27" t="str">
        <x:v>Approximate Nearest Neighbor Search of Large Scale Vectors on Distributed Storage</x:v>
      </x:c>
      <x:c r="I561" s="17" t="str">
        <x:v>Kun Yu; Jiabao Jin; Xiaoyao Zhong; Peng Cheng; Lei Chen; Zhitao Shen; Jingkuan Song; Hengtao Shen; Xuemin Lin</x:v>
      </x:c>
      <x:c r="J561" s="22" t="n">
        <x:v>2025</x:v>
      </x:c>
      <x:c r="K561" s="27" t="str">
        <x:v>Approximate Nearest Neighbor Search (ANNS) in high-dimensional space is an essential operator in many online services, such as information retrieval and recommendation. Indices constructed by the state-of-the-art ANNS algorithms must be stored in single machine's memory or disk for high recall rate and throughput, suffering from substantial storage cost, constraint of limited scale and single point of failure. While distributed storage can provide a cost-effective and robust solution, there is no efficient and effective algorithms for indexing vectors in distributed storage scenarios. In this paper, we present a new graph-cluster hybrid indexing and search system which supports Distributed Storage Approximate Nearest Neighbor Search, called DSANN. DSANN can efficiently index, store, search billion-scale vector database in distributed storage and guarantee the high availability of index service. DSANN employs the concurrent index construction method to significantly reduces the complexity of index building. Then, DSANN applies Point Aggregation Graph to leverage the structural information of graph to aggregate similar vectors, optimizing storage efficiency and improving query throughput via asynchronous I/O in distributed storage. Through extensive experiments, we demonstrate DSANN can efficiently and effectively index, store and search large-scale vector datasets in distributed storage scenarios.</x:v>
      </x:c>
      <x:c r="L561" s="17" t="str">
        <x:v>http://arxiv.org/abs/2510.17326v1</x:v>
      </x:c>
      <x:c r="M561" s="23" t="n">
        <x:v>0.5279136368736911</x:v>
      </x:c>
      <x:c r="N561" s="17" t="str">
        <x:v>qwen3-rerank-no-instruct-20260727-125006-results.jsonl</x:v>
      </x:c>
      <x:c r="O561" s="24" t="str">
        <x:v>1</x:v>
      </x:c>
      <x:c r="P561" s="28" t="str">
        <x:v>《Approximate Nearest Neighbor Search of Large Scale Vectors on Distributed Storage》聚焦单一ANN路线及其指标，可作局部证据但不能直接完成三类比较。</x:v>
      </x:c>
      <x:c r="Q561" s="25" t="str"/>
      <x:c r="R561" s="24" t="str">
        <x:f>IF(Q561&lt;&gt;"",Q561,O561)</x:f>
        <x:v>1</x:v>
      </x:c>
      <x:c r="S561" s="29" t="str"/>
    </x:row>
    <x:row r="562" ht="54" customHeight="1">
      <x:c r="A562" s="17" t="str">
        <x:v>csq029-r01</x:v>
      </x:c>
      <x:c r="B562" s="17" t="str">
        <x:v>csq029</x:v>
      </x:c>
      <x:c r="C562" s="17" t="str">
        <x:v>data_management_and_ir</x:v>
      </x:c>
      <x:c r="D562" s="17" t="str">
        <x:v>neural_information_retrieval</x:v>
      </x:c>
      <x:c r="E562" s="27" t="str">
        <x:v>Which benchmarks and metrics are used to evaluate sparse, dense, and hybrid neural information retrieval, and how well do they measure out-of-domain robustness?</x:v>
      </x:c>
      <x:c r="F562" s="22" t="n">
        <x:v>1</x:v>
      </x:c>
      <x:c r="G562" s="17" t="str">
        <x:v>arXiv:2104.08663</x:v>
      </x:c>
      <x:c r="H562" s="27" t="str">
        <x:v>BEIR: A Heterogenous Benchmark for Zero-shot Evaluation of Information Retrieval Models</x:v>
      </x:c>
      <x:c r="I562" s="17" t="str">
        <x:v>Nandan Thakur; Nils Reimers; Andreas Rücklé; Abhishek Srivastava; Iryna Gurevych</x:v>
      </x:c>
      <x:c r="J562" s="22" t="n">
        <x:v>2021</x:v>
      </x:c>
      <x:c r="K562" s="27" t="str">
        <x:v>Existing neural information retrieval (IR) models have often been studied in homogeneous and narrow settings, which has considerably limited insights into their out-of-distribution (OOD) generalization capabilities. To address this, and to facilitate researchers to broadly evaluate the effectiveness of their models, we introduce Benchmarking-IR (BEIR), a robust and heterogeneous evaluation benchmark for information retrieval. We leverage a careful selection of 18 publicly available datasets from diverse text retrieval tasks and domains and evaluate 10 state-of-the-art retrieval systems including lexical, sparse, dense, late-interaction and re-ranking architectures on the BEIR benchmark. Our results show BM25 is a robust baseline and re-ranking and late-interaction-based models on average achieve the best zero-shot performances, however, at high computational costs. In contrast, dense and sparse-retrieval models are computationally more efficient but often underperform other approaches, highlighting the considerable room for improvement in their generalization capabilities. We hope this framework allows us to better evaluate and understand existing retrieval systems, and contributes to accelerating progress towards better robust and generalizable systems in the future. BEIR is publicly available at https://github.com/UKPLab/beir.</x:v>
      </x:c>
      <x:c r="L562" s="17" t="str">
        <x:v>http://arxiv.org/abs/2104.08663v4</x:v>
      </x:c>
      <x:c r="M562" s="23" t="n">
        <x:v>0.9102732430915395</x:v>
      </x:c>
      <x:c r="N562" s="17" t="str">
        <x:v>qwen3-rerank-no-instruct-20260727-125006-results.jsonl</x:v>
      </x:c>
      <x:c r="O562" s="24" t="str">
        <x:v>2</x:v>
      </x:c>
      <x:c r="P562" s="28" t="str">
        <x:v>《BEIR: A Heterogenous Benchmark for Zero-shot Evaluation of Information Retrieval Models》核心评测稀疏、稠密或混合检索，并涉及基准、指标或域外鲁棒性。</x:v>
      </x:c>
      <x:c r="Q562" s="25" t="str"/>
      <x:c r="R562" s="24" t="str">
        <x:f>IF(Q562&lt;&gt;"",Q562,O562)</x:f>
        <x:v>2</x:v>
      </x:c>
      <x:c r="S562" s="29" t="str"/>
    </x:row>
    <x:row r="563" ht="54" customHeight="1">
      <x:c r="A563" s="17" t="str">
        <x:v>csq029-r02</x:v>
      </x:c>
      <x:c r="B563" s="17" t="str">
        <x:v>csq029</x:v>
      </x:c>
      <x:c r="C563" s="17" t="str">
        <x:v>data_management_and_ir</x:v>
      </x:c>
      <x:c r="D563" s="17" t="str">
        <x:v>neural_information_retrieval</x:v>
      </x:c>
      <x:c r="E563" s="27" t="str">
        <x:v>Which benchmarks and metrics are used to evaluate sparse, dense, and hybrid neural information retrieval, and how well do they measure out-of-domain robustness?</x:v>
      </x:c>
      <x:c r="F563" s="22" t="n">
        <x:v>2</x:v>
      </x:c>
      <x:c r="G563" s="17" t="str">
        <x:v>arXiv:2502.15526</x:v>
      </x:c>
      <x:c r="H563" s="27" t="str">
        <x:v>Scaling Sparse and Dense Retrieval in Decoder-Only LLMs</x:v>
      </x:c>
      <x:c r="I563" s="17" t="str">
        <x:v>Hansi Zeng; Julian Killingback; Hamed Zamani</x:v>
      </x:c>
      <x:c r="J563" s="22" t="n">
        <x:v>2025</x:v>
      </x:c>
      <x:c r="K563" s="27" t="str">
        <x:v>Scaling large language models (LLMs) has shown great potential for improving retrieval model performance; however, previous studies have mainly focused on dense retrieval trained with contrastive loss (CL), neglecting the scaling behavior of other retrieval paradigms and optimization techniques, such as sparse retrieval and knowledge distillation (KD). In this work, we conduct a systematic comparative study on how different retrieval paradigms (sparse vs. dense) and fine-tuning objectives (CL vs. KD vs. their combination) affect retrieval performance across different model scales. Using MSMARCO passages as the training dataset, decoder-only LLMs (Llama-3 series: 1B, 3B, 8B), and a fixed compute budget, we evaluate various training configurations on both in-domain (MSMARCO, TREC DL) and out-of-domain (BEIR) benchmarks. Our key findings reveal that: (1) Scaling behaviors emerge clearly only with CL, where larger models achieve significant performance gains, whereas KD-trained models show minimal improvement, performing similarly across the 1B, 3B, and 8B scales. (2) Sparse retrieval models consistently outperform dense retrieval across both in-domain (MSMARCO, TREC DL) and out-of-domain (BEIR) benchmarks, and they demonstrate greater robustness to imperfect supervised signals. (3) We successfully scale sparse retrieval models with the combination of CL and KD losses at 8B scale, achieving state-of-the-art (SOTA) results in all evaluation sets.</x:v>
      </x:c>
      <x:c r="L563" s="17" t="str">
        <x:v>http://arxiv.org/abs/2502.15526v1</x:v>
      </x:c>
      <x:c r="M563" s="23" t="n">
        <x:v>0.8364202464705832</x:v>
      </x:c>
      <x:c r="N563" s="17" t="str">
        <x:v>qwen3-rerank-no-instruct-20260727-125006-results.jsonl</x:v>
      </x:c>
      <x:c r="O563" s="24" t="str">
        <x:v>2</x:v>
      </x:c>
      <x:c r="P563" s="28" t="str">
        <x:v>《Scaling Sparse and Dense Retrieval in Decoder-Only LLMs》核心评测稀疏、稠密或混合检索，并涉及基准、指标或域外鲁棒性。</x:v>
      </x:c>
      <x:c r="Q563" s="25" t="str"/>
      <x:c r="R563" s="24" t="str">
        <x:f>IF(Q563&lt;&gt;"",Q563,O563)</x:f>
        <x:v>2</x:v>
      </x:c>
      <x:c r="S563" s="29" t="str"/>
    </x:row>
    <x:row r="564" ht="54" customHeight="1">
      <x:c r="A564" s="17" t="str">
        <x:v>csq029-r03</x:v>
      </x:c>
      <x:c r="B564" s="17" t="str">
        <x:v>csq029</x:v>
      </x:c>
      <x:c r="C564" s="17" t="str">
        <x:v>data_management_and_ir</x:v>
      </x:c>
      <x:c r="D564" s="17" t="str">
        <x:v>neural_information_retrieval</x:v>
      </x:c>
      <x:c r="E564" s="27" t="str">
        <x:v>Which benchmarks and metrics are used to evaluate sparse, dense, and hybrid neural information retrieval, and how well do they measure out-of-domain robustness?</x:v>
      </x:c>
      <x:c r="F564" s="22" t="n">
        <x:v>3</x:v>
      </x:c>
      <x:c r="G564" s="17" t="str">
        <x:v>arXiv:2407.06992</x:v>
      </x:c>
      <x:c r="H564" s="27" t="str">
        <x:v>Robust Neural Information Retrieval: An Adversarial and Out-of-distribution Perspective</x:v>
      </x:c>
      <x:c r="I564" s="17" t="str">
        <x:v>Yu-An Liu; Ruqing Zhang; Jiafeng Guo; Maarten de Rijke; Yixing Fan; Xueqi Cheng</x:v>
      </x:c>
      <x:c r="J564" s="22" t="n">
        <x:v>2024</x:v>
      </x:c>
      <x:c r="K564" s="27" t="str">
        <x:v>Recent advances in neural information retrieval (IR) models have significantly enhanced their effectiveness over various IR tasks. The robustness of these models, essential for ensuring their reliability in practice, has also garnered significant attention. With a wide array of research on robust IR being proposed, we believe it is the opportune moment to consolidate the current status, glean insights from existing methodologies, and lay the groundwork for future development. We view the robustness of IR to be a multifaceted concept, emphasizing its necessity against adversarial attacks, out-of-distribution (OOD) scenarios and performance variance. With a focus on adversarial and OOD robustness, we dissect robustness solutions for dense retrieval models (DRMs) and neural ranking models (NRMs), respectively, recognizing them as pivotal components of the neural IR pipeline. We provide an in-depth discussion of existing methods, datasets, and evaluation metrics, shedding light on challenges and future directions in the era of large language models. To the best of our knowledge, this is the first comprehensive survey on the robustness of neural IR models, and we will also be giving our first tutorial presentation at SIGIR 2024 \url{https://sigir2024-robust-information-retrieval.github.io}. Along with the organization of existing work, we introduce a Benchmark for robust IR (BestIR), a heterogeneous evaluation benchmark for robust neural information retrieval, which is publicly available at \url{https://github.com/Davion-Liu/BestIR}. We hope that this study provides useful clues for future research on the robustness of IR models and helps to develop trustworthy search engines \url{https://github.com/Davion-Liu/Awesome-Robustness-in-Information-Retrieval}.</x:v>
      </x:c>
      <x:c r="L564" s="17" t="str">
        <x:v>http://arxiv.org/abs/2407.06992v2</x:v>
      </x:c>
      <x:c r="M564" s="23" t="n">
        <x:v>0.8010874035472912</x:v>
      </x:c>
      <x:c r="N564" s="17" t="str">
        <x:v>qwen3-rerank-no-instruct-20260727-125006-results.jsonl</x:v>
      </x:c>
      <x:c r="O564" s="24" t="str">
        <x:v>2</x:v>
      </x:c>
      <x:c r="P564" s="28" t="str">
        <x:v>《Robust Neural Information Retrieval: An Adversarial and Out-of-distribution Perspective》核心评测稀疏、稠密或混合检索，并涉及基准、指标或域外鲁棒性。</x:v>
      </x:c>
      <x:c r="Q564" s="25" t="str"/>
      <x:c r="R564" s="24" t="str">
        <x:f>IF(Q564&lt;&gt;"",Q564,O564)</x:f>
        <x:v>2</x:v>
      </x:c>
      <x:c r="S564" s="29" t="str"/>
    </x:row>
    <x:row r="565" ht="54" customHeight="1">
      <x:c r="A565" s="17" t="str">
        <x:v>csq029-r04</x:v>
      </x:c>
      <x:c r="B565" s="17" t="str">
        <x:v>csq029</x:v>
      </x:c>
      <x:c r="C565" s="17" t="str">
        <x:v>data_management_and_ir</x:v>
      </x:c>
      <x:c r="D565" s="17" t="str">
        <x:v>neural_information_retrieval</x:v>
      </x:c>
      <x:c r="E565" s="27" t="str">
        <x:v>Which benchmarks and metrics are used to evaluate sparse, dense, and hybrid neural information retrieval, and how well do they measure out-of-domain robustness?</x:v>
      </x:c>
      <x:c r="F565" s="22" t="n">
        <x:v>4</x:v>
      </x:c>
      <x:c r="G565" s="17" t="str">
        <x:v>arXiv:2108.08787</x:v>
      </x:c>
      <x:c r="H565" s="27" t="str">
        <x:v>Mr. TyDi: A Multi-lingual Benchmark for Dense Retrieval</x:v>
      </x:c>
      <x:c r="I565" s="17" t="str">
        <x:v>Xinyu Zhang; Xueguang Ma; Peng Shi; Jimmy Lin</x:v>
      </x:c>
      <x:c r="J565" s="22" t="n">
        <x:v>2021</x:v>
      </x:c>
      <x:c r="K565" s="27" t="str">
        <x:v>We present Mr. TyDi, a multi-lingual benchmark dataset for mono-lingual retrieval in eleven typologically diverse languages, designed to evaluate ranking with learned dense representations. The goal of this resource is to spur research in dense retrieval techniques in non-English languages, motivated by recent observations that existing techniques for representation learning perform poorly when applied to out-of-distribution data. As a starting point, we provide zero-shot baselines for this new dataset based on a multi-lingual adaptation of DPR that we call "mDPR". Experiments show that although the effectiveness of mDPR is much lower than BM25, dense representations nevertheless appear to provide valuable relevance signals, improving BM25 results in sparse-dense hybrids. In addition to analyses of our results, we also discuss future challenges and present a research agenda in multi-lingual dense retrieval. Mr. TyDi can be downloaded at https://github.com/castorini/mr.tydi.</x:v>
      </x:c>
      <x:c r="L565" s="17" t="str">
        <x:v>http://arxiv.org/abs/2108.08787v2</x:v>
      </x:c>
      <x:c r="M565" s="23" t="n">
        <x:v>0.6834548484033214</x:v>
      </x:c>
      <x:c r="N565" s="17" t="str">
        <x:v>qwen3-rerank-no-instruct-20260727-125006-results.jsonl</x:v>
      </x:c>
      <x:c r="O565" s="24" t="str">
        <x:v>2</x:v>
      </x:c>
      <x:c r="P565" s="28" t="str">
        <x:v>《Mr. TyDi: A Multi-lingual Benchmark for Dense Retrieval》核心评测稀疏、稠密或混合检索，并涉及基准、指标或域外鲁棒性。</x:v>
      </x:c>
      <x:c r="Q565" s="25" t="str"/>
      <x:c r="R565" s="24" t="str">
        <x:f>IF(Q565&lt;&gt;"",Q565,O565)</x:f>
        <x:v>2</x:v>
      </x:c>
      <x:c r="S565" s="29" t="str"/>
    </x:row>
    <x:row r="566" ht="54" customHeight="1">
      <x:c r="A566" s="17" t="str">
        <x:v>csq029-r05</x:v>
      </x:c>
      <x:c r="B566" s="17" t="str">
        <x:v>csq029</x:v>
      </x:c>
      <x:c r="C566" s="17" t="str">
        <x:v>data_management_and_ir</x:v>
      </x:c>
      <x:c r="D566" s="17" t="str">
        <x:v>neural_information_retrieval</x:v>
      </x:c>
      <x:c r="E566" s="27" t="str">
        <x:v>Which benchmarks and metrics are used to evaluate sparse, dense, and hybrid neural information retrieval, and how well do they measure out-of-domain robustness?</x:v>
      </x:c>
      <x:c r="F566" s="22" t="n">
        <x:v>5</x:v>
      </x:c>
      <x:c r="G566" s="17" t="str">
        <x:v>arXiv:2412.18768</x:v>
      </x:c>
      <x:c r="H566" s="27" t="str">
        <x:v>On the Robustness of Generative Information Retrieval Models</x:v>
      </x:c>
      <x:c r="I566" s="17" t="str">
        <x:v>Yu-An Liu; Ruqing Zhang; Jiafeng Guo; Changjiang Zhou; Maarten de Rijke; Xueqi Cheng</x:v>
      </x:c>
      <x:c r="J566" s="22" t="n">
        <x:v>2024</x:v>
      </x:c>
      <x:c r="K566" s="27" t="str">
        <x:v>Generative information retrieval methods retrieve documents by directly generating their identifiers. Much effort has been devoted to developing effective generative IR models. Less attention has been paid to the robustness of these models. It is critical to assess the out-of-distribution (OOD) generalization of generative IR models, i.e., how would such models generalize to new distributions? To answer this question, we focus on OOD scenarios from four perspectives in retrieval problems: (i)query variations; (ii)unseen query types; (iii)unseen tasks; and (iv)corpus expansion. Based on this taxonomy, we conduct empirical studies to analyze the OOD robustness of representative generative IR models against dense retrieval models. Our empirical results indicate that the OOD robustness of generative IR models is in need of improvement. By inspecting the OOD robustness of generative IR models we aim to contribute to the development of more reliable IR models. The code is available at \url{https://github.com/Davion-Liu/GR_OOD}.</x:v>
      </x:c>
      <x:c r="L566" s="17" t="str">
        <x:v>http://arxiv.org/abs/2412.18768v1</x:v>
      </x:c>
      <x:c r="M566" s="23" t="n">
        <x:v>0.6334511294699681</x:v>
      </x:c>
      <x:c r="N566" s="17" t="str">
        <x:v>qwen3-rerank-no-instruct-20260727-125006-results.jsonl</x:v>
      </x:c>
      <x:c r="O566" s="24" t="str">
        <x:v>1</x:v>
      </x:c>
      <x:c r="P566" s="28" t="str">
        <x:v>《On the Robustness of Generative Information Retrieval Models》涉及神经检索或鲁棒性，但只覆盖单一架构/相邻设置，不能直接完成三类比较。</x:v>
      </x:c>
      <x:c r="Q566" s="25" t="str"/>
      <x:c r="R566" s="24" t="str">
        <x:f>IF(Q566&lt;&gt;"",Q566,O566)</x:f>
        <x:v>1</x:v>
      </x:c>
      <x:c r="S566" s="29" t="str"/>
    </x:row>
    <x:row r="567" ht="54" customHeight="1">
      <x:c r="A567" s="17" t="str">
        <x:v>csq029-r06</x:v>
      </x:c>
      <x:c r="B567" s="17" t="str">
        <x:v>csq029</x:v>
      </x:c>
      <x:c r="C567" s="17" t="str">
        <x:v>data_management_and_ir</x:v>
      </x:c>
      <x:c r="D567" s="17" t="str">
        <x:v>neural_information_retrieval</x:v>
      </x:c>
      <x:c r="E567" s="27" t="str">
        <x:v>Which benchmarks and metrics are used to evaluate sparse, dense, and hybrid neural information retrieval, and how well do they measure out-of-domain robustness?</x:v>
      </x:c>
      <x:c r="F567" s="22" t="n">
        <x:v>6</x:v>
      </x:c>
      <x:c r="G567" s="17" t="str">
        <x:v>arXiv:2210.01371</x:v>
      </x:c>
      <x:c r="H567" s="27" t="str">
        <x:v>A Study on the Efficiency and Generalization of Light Hybrid Retrievers</x:v>
      </x:c>
      <x:c r="I567" s="17" t="str">
        <x:v>Man Luo; Shashank Jain; Anchit Gupta; Arash Einolghozati; Barlas Oguz; Debojeet Chatterjee; Xilun Chen; Chitta Baral; Peyman Heidari</x:v>
      </x:c>
      <x:c r="J567" s="22" t="n">
        <x:v>2022</x:v>
      </x:c>
      <x:c r="K567" s="27" t="str">
        <x:v>Hybrid retrievers can take advantage of both sparse and dense retrievers. Previous hybrid retrievers leverage indexing-heavy dense retrievers. In this work, we study "Is it possible to reduce the indexing memory of hybrid retrievers without sacrificing performance"? Driven by this question, we leverage an indexing-efficient dense retriever (i.e. DrBoost) and introduce a LITE retriever that further reduces the memory of DrBoost. LITE is jointly trained on contrastive learning and knowledge distillation from DrBoost. Then, we integrate BM25, a sparse retriever, with either LITE or DrBoost to form light hybrid retrievers. Our Hybrid-LITE retriever saves 13X memory while maintaining 98.0% performance of the hybrid retriever of BM25 and DPR. In addition, we study the generalization capacity of our light hybrid retrievers on out-of-domain dataset and a set of adversarial attacks datasets. Experiments showcase that light hybrid retrievers achieve better generalization performance than individual sparse and dense retrievers. Nevertheless, our analysis shows that there is a large room to improve the robustness of retrievers, suggesting a new research direction.</x:v>
      </x:c>
      <x:c r="L567" s="17" t="str">
        <x:v>http://arxiv.org/abs/2210.01371v2</x:v>
      </x:c>
      <x:c r="M567" s="23" t="n">
        <x:v>0.624700951596025</x:v>
      </x:c>
      <x:c r="N567" s="17" t="str">
        <x:v>qwen3-rerank-no-instruct-20260727-125006-results.jsonl</x:v>
      </x:c>
      <x:c r="O567" s="24" t="str">
        <x:v>2</x:v>
      </x:c>
      <x:c r="P567" s="28" t="str">
        <x:v>《A Study on the Efficiency and Generalization of Light Hybrid Retrievers》核心评测稀疏、稠密或混合检索，并涉及基准、指标或域外鲁棒性。</x:v>
      </x:c>
      <x:c r="Q567" s="25" t="str"/>
      <x:c r="R567" s="24" t="str">
        <x:f>IF(Q567&lt;&gt;"",Q567,O567)</x:f>
        <x:v>2</x:v>
      </x:c>
      <x:c r="S567" s="29" t="str"/>
    </x:row>
    <x:row r="568" ht="54" customHeight="1">
      <x:c r="A568" s="17" t="str">
        <x:v>csq029-r07</x:v>
      </x:c>
      <x:c r="B568" s="17" t="str">
        <x:v>csq029</x:v>
      </x:c>
      <x:c r="C568" s="17" t="str">
        <x:v>data_management_and_ir</x:v>
      </x:c>
      <x:c r="D568" s="17" t="str">
        <x:v>neural_information_retrieval</x:v>
      </x:c>
      <x:c r="E568" s="27" t="str">
        <x:v>Which benchmarks and metrics are used to evaluate sparse, dense, and hybrid neural information retrieval, and how well do they measure out-of-domain robustness?</x:v>
      </x:c>
      <x:c r="F568" s="22" t="n">
        <x:v>7</x:v>
      </x:c>
      <x:c r="G568" s="17" t="str">
        <x:v>arXiv:2112.05662</x:v>
      </x:c>
      <x:c r="H568" s="27" t="str">
        <x:v>Match Your Words! A Study of Lexical Matching in Neural Information Retrieval</x:v>
      </x:c>
      <x:c r="I568" s="17" t="str">
        <x:v>Thibault Formal; Benjamin Piwowarski; Stéphane Clinchant</x:v>
      </x:c>
      <x:c r="J568" s="22" t="n">
        <x:v>2021</x:v>
      </x:c>
      <x:c r="K568" s="27" t="str">
        <x:v>Neural Information Retrieval models hold the promise to replace lexical matching models, e.g. BM25, in modern search engines. While their capabilities have fully shone on in-domain datasets like MS MARCO, they have recently been challenged on out-of-domain zero-shot settings (BEIR benchmark), questioning their actual generalization capabilities compared to bag-of-words approaches. Particularly, we wonder if these shortcomings could (partly) be the consequence of the inability of neural IR models to perform lexical matching off-the-shelf. In this work, we propose a measure of discrepancy between the lexical matching performed by any (neural) model and an 'ideal' one. Based on this, we study the behavior of different state-of-the-art neural IR models, focusing on whether they are able to perform lexical matching when it's actually useful, i.e. for important terms. Overall, we show that neural IR models fail to properly generalize term importance on out-of-domain collections or terms almost unseen during training</x:v>
      </x:c>
      <x:c r="L568" s="17" t="str">
        <x:v>http://arxiv.org/abs/2112.05662v2</x:v>
      </x:c>
      <x:c r="M568" s="23" t="n">
        <x:v>0.5814717132311303</x:v>
      </x:c>
      <x:c r="N568" s="17" t="str">
        <x:v>qwen3-rerank-no-instruct-20260727-125006-results.jsonl</x:v>
      </x:c>
      <x:c r="O568" s="24" t="str">
        <x:v>2</x:v>
      </x:c>
      <x:c r="P568" s="28" t="str">
        <x:v>《Match Your Words! A Study of Lexical Matching in Neural Information Retrieval》核心评测稀疏、稠密或混合检索，并涉及基准、指标或域外鲁棒性。</x:v>
      </x:c>
      <x:c r="Q568" s="25" t="str"/>
      <x:c r="R568" s="24" t="str">
        <x:f>IF(Q568&lt;&gt;"",Q568,O568)</x:f>
        <x:v>2</x:v>
      </x:c>
      <x:c r="S568" s="29" t="str"/>
    </x:row>
    <x:row r="569" ht="54" customHeight="1">
      <x:c r="A569" s="17" t="str">
        <x:v>csq029-r08</x:v>
      </x:c>
      <x:c r="B569" s="17" t="str">
        <x:v>csq029</x:v>
      </x:c>
      <x:c r="C569" s="17" t="str">
        <x:v>data_management_and_ir</x:v>
      </x:c>
      <x:c r="D569" s="17" t="str">
        <x:v>neural_information_retrieval</x:v>
      </x:c>
      <x:c r="E569" s="27" t="str">
        <x:v>Which benchmarks and metrics are used to evaluate sparse, dense, and hybrid neural information retrieval, and how well do they measure out-of-domain robustness?</x:v>
      </x:c>
      <x:c r="F569" s="22" t="n">
        <x:v>8</x:v>
      </x:c>
      <x:c r="G569" s="17" t="str">
        <x:v>arXiv:2504.05324</x:v>
      </x:c>
      <x:c r="H569" s="27" t="str">
        <x:v>Hybrid Retrieval for Hallucination Mitigation in Large Language Models: A Comparative Analysis</x:v>
      </x:c>
      <x:c r="I569" s="17" t="str">
        <x:v>Chandana Sree Mala; Gizem Gezici; Fosca Giannotti</x:v>
      </x:c>
      <x:c r="J569" s="22" t="n">
        <x:v>2025</x:v>
      </x:c>
      <x:c r="K569" s="27" t="str">
        <x:v>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and normalised discounted cumulative gain, focusing on the relevance of the top three retrieved documents. Results show that the hybrid retriever achieves better relevance scores, outperforming both sparse and dense retrievers. Further evaluation of LLM-generated answers against ground truth using metrics such as accuracy, hallucination rate, and rejection rate reveals that the hybrid retriever achieves the highest accuracy on fails, the lowest hallucination rate, and the lowest rejection rate. These findings highlight the hybrid retriever's ability to enhance retrieval relevance, reduce hallucination rates, and improve LLM reliability, emphasising the importance of advanced retrieval techniques in mitigating hallucinations and improving response accuracy.</x:v>
      </x:c>
      <x:c r="L569" s="17" t="str">
        <x:v>http://arxiv.org/abs/2504.05324v1</x:v>
      </x:c>
      <x:c r="M569" s="23" t="n">
        <x:v>0.5744320027376785</x:v>
      </x:c>
      <x:c r="N569" s="17" t="str">
        <x:v>qwen3-rerank-no-instruct-20260727-125006-results.jsonl</x:v>
      </x:c>
      <x:c r="O569" s="24" t="str">
        <x:v>2</x:v>
      </x:c>
      <x:c r="P569" s="28" t="str">
        <x:v>《Hybrid Retrieval for Hallucination Mitigation in Large Language Models: A Comparative Analysis》核心评测稀疏、稠密或混合检索，并涉及基准、指标或域外鲁棒性。</x:v>
      </x:c>
      <x:c r="Q569" s="25" t="str"/>
      <x:c r="R569" s="24" t="str">
        <x:f>IF(Q569&lt;&gt;"",Q569,O569)</x:f>
        <x:v>2</x:v>
      </x:c>
      <x:c r="S569" s="29" t="str"/>
    </x:row>
    <x:row r="570" ht="54" customHeight="1">
      <x:c r="A570" s="17" t="str">
        <x:v>csq029-r09</x:v>
      </x:c>
      <x:c r="B570" s="17" t="str">
        <x:v>csq029</x:v>
      </x:c>
      <x:c r="C570" s="17" t="str">
        <x:v>data_management_and_ir</x:v>
      </x:c>
      <x:c r="D570" s="17" t="str">
        <x:v>neural_information_retrieval</x:v>
      </x:c>
      <x:c r="E570" s="27" t="str">
        <x:v>Which benchmarks and metrics are used to evaluate sparse, dense, and hybrid neural information retrieval, and how well do they measure out-of-domain robustness?</x:v>
      </x:c>
      <x:c r="F570" s="22" t="n">
        <x:v>9</x:v>
      </x:c>
      <x:c r="G570" s="17" t="str">
        <x:v>arXiv:2109.10739</x:v>
      </x:c>
      <x:c r="H570" s="27" t="str">
        <x:v>Predicting Efficiency/Effectiveness Trade-offs for Dense vs. Sparse Retrieval Strategy Selection</x:v>
      </x:c>
      <x:c r="I570" s="17" t="str">
        <x:v>Negar Arabzadeh; Xinyi Yan; Charles L. A. Clarke</x:v>
      </x:c>
      <x:c r="J570" s="22" t="n">
        <x:v>2021</x:v>
      </x:c>
      <x:c r="K570" s="27" t="str">
        <x:v>Over the last few years, contextualized pre-trained transformer models such as BERT have provided substantial improvements on information retrieval tasks. Recent approaches based on pre-trained transformer models such as BERT, fine-tune dense low-dimensional contextualized representations of queries and documents in embedding space. While these dense retrievers enjoy substantial retrieval effectiveness improvements compared to sparse retrievers, they are computationally intensive, requiring substantial GPU resources, and dense retrievers are known to be more expensive from both time and resource perspectives. In addition, sparse retrievers have been shown to retrieve complementary information with respect to dense retrievers, leading to proposals for hybrid retrievers. These hybrid retrievers leverage low-cost, exact-matching based sparse retrievers along with dense retrievers to bridge the semantic gaps between query and documents. In this work, we address this trade-off between the cost and utility of sparse vs dense retrievers by proposing a classifier to select a suitable retrieval strategy (i.e., sparse vs. dense vs. hybrid) for individual queries. Leveraging sparse retrievers for queries which can be answered with sparse retrievers decreases the number of calls to GPUs. Consequently, while utility is maintained, query latency decreases. Although we use less computational resources and spend less time, we still achieve improved performance. Our classifier can select between sparse and dense retrieval strategies based on the query alone. We conduct experiments on the MS MARCO passage dataset demonstrating an improved range of efficiency/effectiveness trade-offs between purely sparse, purely dense or hybrid retrieval strategies, allowing an appropriate strategy to be selected based on a target latency and resource budget.</x:v>
      </x:c>
      <x:c r="L570" s="17" t="str">
        <x:v>http://arxiv.org/abs/2109.10739v1</x:v>
      </x:c>
      <x:c r="M570" s="23" t="n">
        <x:v>0.5129133855146442</x:v>
      </x:c>
      <x:c r="N570" s="17" t="str">
        <x:v>qwen3-rerank-no-instruct-20260727-125006-results.jsonl</x:v>
      </x:c>
      <x:c r="O570" s="24" t="str">
        <x:v>2</x:v>
      </x:c>
      <x:c r="P570" s="28" t="str">
        <x:v>《Predicting Efficiency/Effectiveness Trade-offs for Dense vs. Sparse Retrieval Strategy Selection》核心评测稀疏、稠密或混合检索，并涉及基准、指标或域外鲁棒性。</x:v>
      </x:c>
      <x:c r="Q570" s="25" t="str"/>
      <x:c r="R570" s="24" t="str">
        <x:f>IF(Q570&lt;&gt;"",Q570,O570)</x:f>
        <x:v>2</x:v>
      </x:c>
      <x:c r="S570" s="29" t="str"/>
    </x:row>
    <x:row r="571" ht="54" customHeight="1">
      <x:c r="A571" s="17" t="str">
        <x:v>csq029-r10</x:v>
      </x:c>
      <x:c r="B571" s="17" t="str">
        <x:v>csq029</x:v>
      </x:c>
      <x:c r="C571" s="17" t="str">
        <x:v>data_management_and_ir</x:v>
      </x:c>
      <x:c r="D571" s="17" t="str">
        <x:v>neural_information_retrieval</x:v>
      </x:c>
      <x:c r="E571" s="27" t="str">
        <x:v>Which benchmarks and metrics are used to evaluate sparse, dense, and hybrid neural information retrieval, and how well do they measure out-of-domain robustness?</x:v>
      </x:c>
      <x:c r="F571" s="22" t="n">
        <x:v>10</x:v>
      </x:c>
      <x:c r="G571" s="17" t="str">
        <x:v>arXiv:2506.12895</x:v>
      </x:c>
      <x:c r="H571" s="27" t="str">
        <x:v>Assessing the Performance Gap Between Lexical and Semantic Models for Information Retrieval With Formulaic Legal Language</x:v>
      </x:c>
      <x:c r="I571" s="17" t="str">
        <x:v>Larissa Mori; Carlos Sousa de Oliveira; Yuehwern Yih; Mario Ventresca</x:v>
      </x:c>
      <x:c r="J571" s="22" t="n">
        <x:v>2025</x:v>
      </x:c>
      <x:c r="K571" s="27" t="str">
        <x:v>Legal passage retrieval is an important task that assists legal practitioners in the time-intensive process of finding relevant precedents to support legal arguments. This study investigates the task of retrieving legal passages or paragraphs from decisions of the Court of Justice of the European Union (CJEU), whose language is highly structured and formulaic, leading to repetitive patterns. Understanding when lexical or semantic models are more effective at handling the repetitive nature of legal language is key to developing retrieval systems that are more accurate, efficient, and transparent for specific legal domains. To this end, we explore when this routinized legal language is better suited for retrieval using methods that rely on lexical and statistical features, such as BM25, or dense retrieval models trained to capture semantic and contextual information. A qualitative and quantitative analysis with three complementary metrics shows that both lexical and dense models perform well in scenarios with more repetitive usage of language, whereas BM25 performs better than the dense models in more nuanced scenarios where repetition and verbatim~quotes are less prevalent and in longer queries. Our experiments also show that BM25 is a strong baseline, surpassing off-the-shelf dense models in 4 out of 7 performance metrics. However, fine-tuning a dense model on domain-specific data led to improved performance, surpassing BM25 in most metrics, and we analyze the effect of the amount of data used in fine-tuning on the model's performance and temporal robustness. The code, dataset and appendix related to this work are available on: https://github.com/larimo/lexsem-legal-ir.</x:v>
      </x:c>
      <x:c r="L571" s="17" t="str">
        <x:v>http://arxiv.org/abs/2506.12895v1</x:v>
      </x:c>
      <x:c r="M571" s="23" t="n">
        <x:v>0.4744541582174982</x:v>
      </x:c>
      <x:c r="N571" s="17" t="str">
        <x:v>qwen3-rerank-no-instruct-20260727-125006-results.jsonl</x:v>
      </x:c>
      <x:c r="O571" s="24" t="str">
        <x:v>2</x:v>
      </x:c>
      <x:c r="P571" s="28" t="str">
        <x:v>《Assessing the Performance Gap Between Lexical and Semantic Models for Information Retrieval With Formulaic Legal Language》核心评测稀疏、稠密或混合检索，并涉及基准、指标或域外鲁棒性。</x:v>
      </x:c>
      <x:c r="Q571" s="25" t="str"/>
      <x:c r="R571" s="24" t="str">
        <x:f>IF(Q571&lt;&gt;"",Q571,O571)</x:f>
        <x:v>2</x:v>
      </x:c>
      <x:c r="S571" s="29" t="str"/>
    </x:row>
    <x:row r="572" ht="54" customHeight="1">
      <x:c r="A572" s="17" t="str">
        <x:v>csq029-r11</x:v>
      </x:c>
      <x:c r="B572" s="17" t="str">
        <x:v>csq029</x:v>
      </x:c>
      <x:c r="C572" s="17" t="str">
        <x:v>data_management_and_ir</x:v>
      </x:c>
      <x:c r="D572" s="17" t="str">
        <x:v>neural_information_retrieval</x:v>
      </x:c>
      <x:c r="E572" s="27" t="str">
        <x:v>Which benchmarks and metrics are used to evaluate sparse, dense, and hybrid neural information retrieval, and how well do they measure out-of-domain robustness?</x:v>
      </x:c>
      <x:c r="F572" s="22" t="n">
        <x:v>11</x:v>
      </x:c>
      <x:c r="G572" s="17" t="str">
        <x:v>arXiv:2503.23013</x:v>
      </x:c>
      <x:c r="H572" s="27" t="str">
        <x:v>DAT: Dynamic Alpha Tuning for Hybrid Retrieval in Retrieval-Augmented Generation</x:v>
      </x:c>
      <x:c r="I572" s="17" t="str">
        <x:v>Hsin-Ling Hsu; Jengnan Tzeng</x:v>
      </x:c>
      <x:c r="J572" s="22" t="n">
        <x:v>2025</x:v>
      </x:c>
      <x:c r="K572" s="27" t="str">
        <x:v>Hybrid retrieval techniques in Retrieval-Augmented Generation (RAG) systems enhance information retrieval by combining dense and sparse (e.g., BM25-based) retrieval methods. However, existing approaches struggle with adaptability, as fixed weighting schemes fail to adjust to different queries. To address this, we propose DAT (Dynamic Alpha Tuning), a novel hybrid retrieval framework that dynamically balances dense retrieval and BM25 for each query. DAT leverages a large language model (LLM) to evaluate the effectiveness of the top-1 results from both retrieval methods, assigning an effectiveness score to each. It then calibrates the optimal weighting factor through effectiveness score normalization, ensuring a more adaptive and query-aware weighting between the two approaches. Empirical results show that DAT consistently significantly outperforms fixed-weighting hybrid retrieval methods across various evaluation metrics. Even on smaller models, DAT delivers strong performance, highlighting its efficiency and adaptability.</x:v>
      </x:c>
      <x:c r="L572" s="17" t="str">
        <x:v>http://arxiv.org/abs/2503.23013v1</x:v>
      </x:c>
      <x:c r="M572" s="23" t="n">
        <x:v>0.4301928911980857</x:v>
      </x:c>
      <x:c r="N572" s="17" t="str">
        <x:v>qwen3-rerank-no-instruct-20260727-125006-results.jsonl</x:v>
      </x:c>
      <x:c r="O572" s="24" t="str">
        <x:v>2</x:v>
      </x:c>
      <x:c r="P572" s="28" t="str">
        <x:v>《DAT: Dynamic Alpha Tuning for Hybrid Retrieval in Retrieval-Augmented Generation》核心评测稀疏、稠密或混合检索，并涉及基准、指标或域外鲁棒性。</x:v>
      </x:c>
      <x:c r="Q572" s="25" t="str"/>
      <x:c r="R572" s="24" t="str">
        <x:f>IF(Q572&lt;&gt;"",Q572,O572)</x:f>
        <x:v>2</x:v>
      </x:c>
      <x:c r="S572" s="29" t="str"/>
    </x:row>
    <x:row r="573" ht="54" customHeight="1">
      <x:c r="A573" s="17" t="str">
        <x:v>csq029-r12</x:v>
      </x:c>
      <x:c r="B573" s="17" t="str">
        <x:v>csq029</x:v>
      </x:c>
      <x:c r="C573" s="17" t="str">
        <x:v>data_management_and_ir</x:v>
      </x:c>
      <x:c r="D573" s="17" t="str">
        <x:v>neural_information_retrieval</x:v>
      </x:c>
      <x:c r="E573" s="27" t="str">
        <x:v>Which benchmarks and metrics are used to evaluate sparse, dense, and hybrid neural information retrieval, and how well do they measure out-of-domain robustness?</x:v>
      </x:c>
      <x:c r="F573" s="22" t="n">
        <x:v>12</x:v>
      </x:c>
      <x:c r="G573" s="17" t="str">
        <x:v>arXiv:2403.13468</x:v>
      </x:c>
      <x:c r="H573" s="27" t="str">
        <x:v>DESIRE-ME: Domain-Enhanced Supervised Information REtrieval using Mixture-of-Experts</x:v>
      </x:c>
      <x:c r="I573" s="17" t="str">
        <x:v>Pranav Kasela; Gabriella Pasi; Raffaele Perego; Nicola Tonellotto</x:v>
      </x:c>
      <x:c r="J573" s="22" t="n">
        <x:v>2024</x:v>
      </x:c>
      <x:c r="K573" s="27" t="str">
        <x:v>Open-domain question answering requires retrieval systems able to cope with the diverse and varied nature of questions, providing accurate answers across a broad spectrum of query types and topics. To deal with such topic heterogeneity through a unique model, we propose DESIRE-ME, a neural information retrieval model that leverages the Mixture-of-Experts framework to combine multiple specialized neural models. We rely on Wikipedia data to train an effective neural gating mechanism that classifies the incoming query and that weighs the predictions of the different domain-specific experts correspondingly. This allows DESIRE-ME to specialize adaptively in multiple domains. Through extensive experiments on publicly available datasets, we show that our proposal can effectively generalize domain-enhanced neural models. DESIRE-ME excels in handling open-domain questions adaptively, boosting by up to 12% in NDCG@10 and 22% in P@1, the underlying state-of-the-art dense retrieval model.</x:v>
      </x:c>
      <x:c r="L573" s="17" t="str">
        <x:v>http://arxiv.org/abs/2403.13468v1</x:v>
      </x:c>
      <x:c r="M573" s="23" t="n">
        <x:v>0.4250605599546772</x:v>
      </x:c>
      <x:c r="N573" s="17" t="str">
        <x:v>qwen3-rerank-no-instruct-20260727-125006-results.jsonl</x:v>
      </x:c>
      <x:c r="O573" s="24" t="str">
        <x:v>2</x:v>
      </x:c>
      <x:c r="P573" s="28" t="str">
        <x:v>《DESIRE-ME: Domain-Enhanced Supervised Information REtrieval using Mixture-of-Experts》核心评测稀疏、稠密或混合检索，并涉及基准、指标或域外鲁棒性。</x:v>
      </x:c>
      <x:c r="Q573" s="25" t="str"/>
      <x:c r="R573" s="24" t="str">
        <x:f>IF(Q573&lt;&gt;"",Q573,O573)</x:f>
        <x:v>2</x:v>
      </x:c>
      <x:c r="S573" s="29" t="str"/>
    </x:row>
    <x:row r="574" ht="54" customHeight="1">
      <x:c r="A574" s="17" t="str">
        <x:v>csq029-r13</x:v>
      </x:c>
      <x:c r="B574" s="17" t="str">
        <x:v>csq029</x:v>
      </x:c>
      <x:c r="C574" s="17" t="str">
        <x:v>data_management_and_ir</x:v>
      </x:c>
      <x:c r="D574" s="17" t="str">
        <x:v>neural_information_retrieval</x:v>
      </x:c>
      <x:c r="E574" s="27" t="str">
        <x:v>Which benchmarks and metrics are used to evaluate sparse, dense, and hybrid neural information retrieval, and how well do they measure out-of-domain robustness?</x:v>
      </x:c>
      <x:c r="F574" s="22" t="n">
        <x:v>13</x:v>
      </x:c>
      <x:c r="G574" s="17" t="str">
        <x:v>arXiv:2304.12139</x:v>
      </x:c>
      <x:c r="H574" s="27" t="str">
        <x:v>Anserini Gets Dense Retrieval: Integration of Lucene's HNSW Indexes</x:v>
      </x:c>
      <x:c r="I574" s="17" t="str">
        <x:v>Xueguang Ma; Tommaso Teofili; Jimmy Lin</x:v>
      </x:c>
      <x:c r="J574" s="22" t="n">
        <x:v>2023</x:v>
      </x:c>
      <x:c r="K574" s="27" t="str">
        <x:v>Anserini is a Lucene-based toolkit for reproducible information retrieval research in Java that has been gaining traction in the community. It provides retrieval capabilities for both "traditional" bag-of-words retrieval models such as BM25 as well as retrieval using learned sparse representations such as SPLADE. With Pyserini, which provides a Python interface to Anserini, users gain access to both sparse and dense retrieval models, as Pyserini implements bindings to the Faiss vector search library alongside Lucene inverted indexes in a uniform, consistent interface. Nevertheless, hybrid fusion techniques that integrate sparse and dense retrieval models need to stitch together results from two completely different "software stacks", which creates unnecessary complexities and inefficiencies. However, the introduction of HNSW indexes for dense vector search in Lucene promises the integration of both dense and sparse retrieval within a single software framework. We explore exactly this integration in the context of Anserini. Experiments on the MS MARCO passage and BEIR datasets show that our Anserini HNSW integration supports (reasonably) effective and (reasonably) efficient approximate nearest neighbor search for dense retrieval models, using only Lucene.</x:v>
      </x:c>
      <x:c r="L574" s="17" t="str">
        <x:v>http://arxiv.org/abs/2304.12139v1</x:v>
      </x:c>
      <x:c r="M574" s="23" t="n">
        <x:v>0.4093165736438992</x:v>
      </x:c>
      <x:c r="N574" s="17" t="str">
        <x:v>qwen3-rerank-no-instruct-20260727-125006-results.jsonl</x:v>
      </x:c>
      <x:c r="O574" s="24" t="str">
        <x:v>1</x:v>
      </x:c>
      <x:c r="P574" s="28" t="str">
        <x:v>《Anserini Gets Dense Retrieval: Integration of Lucene's HNSW Indexes》涉及神经检索或鲁棒性，但只覆盖单一架构/相邻设置，不能直接完成三类比较。</x:v>
      </x:c>
      <x:c r="Q574" s="25" t="str"/>
      <x:c r="R574" s="24" t="str">
        <x:f>IF(Q574&lt;&gt;"",Q574,O574)</x:f>
        <x:v>1</x:v>
      </x:c>
      <x:c r="S574" s="29" t="str"/>
    </x:row>
    <x:row r="575" ht="54" customHeight="1">
      <x:c r="A575" s="17" t="str">
        <x:v>csq029-r14</x:v>
      </x:c>
      <x:c r="B575" s="17" t="str">
        <x:v>csq029</x:v>
      </x:c>
      <x:c r="C575" s="17" t="str">
        <x:v>data_management_and_ir</x:v>
      </x:c>
      <x:c r="D575" s="17" t="str">
        <x:v>neural_information_retrieval</x:v>
      </x:c>
      <x:c r="E575" s="27" t="str">
        <x:v>Which benchmarks and metrics are used to evaluate sparse, dense, and hybrid neural information retrieval, and how well do they measure out-of-domain robustness?</x:v>
      </x:c>
      <x:c r="F575" s="22" t="n">
        <x:v>14</x:v>
      </x:c>
      <x:c r="G575" s="17" t="str">
        <x:v>arXiv:2201.07745</x:v>
      </x:c>
      <x:c r="H575" s="27" t="str">
        <x:v>Improving Biomedical Information Retrieval with Neural Retrievers</x:v>
      </x:c>
      <x:c r="I575" s="17" t="str">
        <x:v>Man Luo; Arindam Mitra; Tejas Gokhale; Chitta Baral</x:v>
      </x:c>
      <x:c r="J575" s="22" t="n">
        <x:v>2022</x:v>
      </x:c>
      <x:c r="K575" s="27" t="str">
        <x:v>Information retrieval (IR) is essential in search engines and dialogue systems as well as natural language processing tasks such as open-domain question answering. IR serve an important function in the biomedical domain, where content and sources of scientific knowledge may evolve rapidly. Although neural retrievers have surpassed traditional IR approaches such as TF-IDF and BM25 in standard open-domain question answering tasks, they are still found lacking in the biomedical domain. In this paper, we seek to improve information retrieval (IR) using neural retrievers (NR) in the biomedical domain, and achieve this goal using a three-pronged approach. First, to tackle the relative lack of data in the biomedical domain, we propose a template-based question generation method that can be leveraged to train neural retriever models. Second, we develop two novel pre-training tasks that are closely aligned to the downstream task of information retrieval. Third, we introduce the ``Poly-DPR'' model which encodes each context into multiple context vectors. Extensive experiments and analysis on the BioASQ challenge suggest that our proposed method leads to large gains over existing neural approaches and beats BM25 in the small-corpus setting. We show that BM25 and our method can complement each other, and a simple hybrid model leads to further gains in the large corpus setting.</x:v>
      </x:c>
      <x:c r="L575" s="17" t="str">
        <x:v>http://arxiv.org/abs/2201.07745v1</x:v>
      </x:c>
      <x:c r="M575" s="23" t="n">
        <x:v>0.40719876399219324</x:v>
      </x:c>
      <x:c r="N575" s="17" t="str">
        <x:v>qwen3-rerank-no-instruct-20260727-125006-results.jsonl</x:v>
      </x:c>
      <x:c r="O575" s="24" t="str">
        <x:v>1</x:v>
      </x:c>
      <x:c r="P575" s="28" t="str">
        <x:v>《Improving Biomedical Information Retrieval with Neural Retrievers》涉及神经检索或鲁棒性，但只覆盖单一架构/相邻设置，不能直接完成三类比较。</x:v>
      </x:c>
      <x:c r="Q575" s="25" t="str"/>
      <x:c r="R575" s="24" t="str">
        <x:f>IF(Q575&lt;&gt;"",Q575,O575)</x:f>
        <x:v>1</x:v>
      </x:c>
      <x:c r="S575" s="29" t="str"/>
    </x:row>
    <x:row r="576" ht="54" customHeight="1">
      <x:c r="A576" s="17" t="str">
        <x:v>csq029-r15</x:v>
      </x:c>
      <x:c r="B576" s="17" t="str">
        <x:v>csq029</x:v>
      </x:c>
      <x:c r="C576" s="17" t="str">
        <x:v>data_management_and_ir</x:v>
      </x:c>
      <x:c r="D576" s="17" t="str">
        <x:v>neural_information_retrieval</x:v>
      </x:c>
      <x:c r="E576" s="27" t="str">
        <x:v>Which benchmarks and metrics are used to evaluate sparse, dense, and hybrid neural information retrieval, and how well do they measure out-of-domain robustness?</x:v>
      </x:c>
      <x:c r="F576" s="22" t="n">
        <x:v>15</x:v>
      </x:c>
      <x:c r="G576" s="17" t="str">
        <x:v>arXiv:2204.12755</x:v>
      </x:c>
      <x:c r="H576" s="27" t="str">
        <x:v>A Thorough Examination on Zero-shot Dense Retrieval</x:v>
      </x:c>
      <x:c r="I576" s="17" t="str">
        <x:v>Ruiyang Ren; Yingqi Qu; Jing Liu; Wayne Xin Zhao; Qifei Wu; Yuchen Ding; Hua Wu; Haifeng Wang; Ji-Rong Wen</x:v>
      </x:c>
      <x:c r="J576" s="22" t="n">
        <x:v>2022</x:v>
      </x:c>
      <x:c r="K576" s="27" t="str">
        <x:v>Recent years have witnessed the significant advance in dense retrieval (DR) based on powerful pre-trained language models (PLM). DR models have achieved excellent performance in several benchmark datasets, while they are shown to be not as competitive as traditional sparse retrieval models (e.g., BM25) in a zero-shot retrieval setting. However, in the related literature, there still lacks a detailed and comprehensive study on zero-shot retrieval. In this paper, we present the first thorough examination of the zero-shot capability of DR models. We aim to identify the key factors and analyze how they affect zero-shot retrieval performance. In particular, we discuss the effect of several key factors related to source training set, analyze the potential bias from the target dataset, and review and compare existing zero-shot DR models. Our findings provide important evidence to better understand and develop zero-shot DR models.</x:v>
      </x:c>
      <x:c r="L576" s="17" t="str">
        <x:v>http://arxiv.org/abs/2204.12755v2</x:v>
      </x:c>
      <x:c r="M576" s="23" t="n">
        <x:v>0.394146282216919</x:v>
      </x:c>
      <x:c r="N576" s="17" t="str">
        <x:v>qwen3-rerank-no-instruct-20260727-125006-results.jsonl</x:v>
      </x:c>
      <x:c r="O576" s="24" t="str">
        <x:v>2</x:v>
      </x:c>
      <x:c r="P576" s="28" t="str">
        <x:v>《A Thorough Examination on Zero-shot Dense Retrieval》核心评测稀疏、稠密或混合检索，并涉及基准、指标或域外鲁棒性。</x:v>
      </x:c>
      <x:c r="Q576" s="25" t="str"/>
      <x:c r="R576" s="24" t="str">
        <x:f>IF(Q576&lt;&gt;"",Q576,O576)</x:f>
        <x:v>2</x:v>
      </x:c>
      <x:c r="S576" s="29" t="str"/>
    </x:row>
    <x:row r="577" ht="54" customHeight="1">
      <x:c r="A577" s="17" t="str">
        <x:v>csq029-r16</x:v>
      </x:c>
      <x:c r="B577" s="17" t="str">
        <x:v>csq029</x:v>
      </x:c>
      <x:c r="C577" s="17" t="str">
        <x:v>data_management_and_ir</x:v>
      </x:c>
      <x:c r="D577" s="17" t="str">
        <x:v>neural_information_retrieval</x:v>
      </x:c>
      <x:c r="E577" s="27" t="str">
        <x:v>Which benchmarks and metrics are used to evaluate sparse, dense, and hybrid neural information retrieval, and how well do they measure out-of-domain robustness?</x:v>
      </x:c>
      <x:c r="F577" s="22" t="n">
        <x:v>16</x:v>
      </x:c>
      <x:c r="G577" s="17" t="str">
        <x:v>arXiv:2410.01383</x:v>
      </x:c>
      <x:c r="H577" s="27" t="str">
        <x:v>PairDistill: Pairwise Relevance Distillation for Dense Retrieval</x:v>
      </x:c>
      <x:c r="I577" s="17" t="str">
        <x:v>Chao-Wei Huang; Yun-Nung Chen</x:v>
      </x:c>
      <x:c r="J577" s="22" t="n">
        <x:v>2024</x:v>
      </x:c>
      <x:c r="K577" s="27" t="str">
        <x:v>Effective information retrieval (IR) from vast datasets relies on advanced techniques to extract relevant information in response to queries. Recent advancements in dense retrieval have showcased remarkable efficacy compared to traditional sparse retrieval methods. To further enhance retrieval performance, knowledge distillation techniques, often leveraging robust cross-encoder rerankers, have been extensively explored. However, existing approaches primarily distill knowledge from pointwise rerankers, which assign absolute relevance scores to documents, thus facing challenges related to inconsistent comparisons. This paper introduces Pairwise Relevance Distillation (PairDistill) to leverage pairwise reranking, offering fine-grained distinctions between similarly relevant documents to enrich the training of dense retrieval models. Our experiments demonstrate that PairDistill outperforms existing methods, achieving new state-of-the-art results across multiple benchmarks. This highlights the potential of PairDistill in advancing dense retrieval techniques effectively. Our source code and trained models are released at https://github.com/MiuLab/PairDistill</x:v>
      </x:c>
      <x:c r="L577" s="17" t="str">
        <x:v>http://arxiv.org/abs/2410.01383v1</x:v>
      </x:c>
      <x:c r="M577" s="23" t="n">
        <x:v>0.3831085619438455</x:v>
      </x:c>
      <x:c r="N577" s="17" t="str">
        <x:v>qwen3-rerank-no-instruct-20260727-125006-results.jsonl</x:v>
      </x:c>
      <x:c r="O577" s="24" t="str">
        <x:v>1</x:v>
      </x:c>
      <x:c r="P577" s="28" t="str">
        <x:v>《PairDistill: Pairwise Relevance Distillation for Dense Retrieval》涉及神经检索或鲁棒性，但只覆盖单一架构/相邻设置，不能直接完成三类比较。</x:v>
      </x:c>
      <x:c r="Q577" s="25" t="str"/>
      <x:c r="R577" s="24" t="str">
        <x:f>IF(Q577&lt;&gt;"",Q577,O577)</x:f>
        <x:v>1</x:v>
      </x:c>
      <x:c r="S577" s="29" t="str"/>
    </x:row>
    <x:row r="578" ht="54" customHeight="1">
      <x:c r="A578" s="17" t="str">
        <x:v>csq029-r17</x:v>
      </x:c>
      <x:c r="B578" s="17" t="str">
        <x:v>csq029</x:v>
      </x:c>
      <x:c r="C578" s="17" t="str">
        <x:v>data_management_and_ir</x:v>
      </x:c>
      <x:c r="D578" s="17" t="str">
        <x:v>neural_information_retrieval</x:v>
      </x:c>
      <x:c r="E578" s="27" t="str">
        <x:v>Which benchmarks and metrics are used to evaluate sparse, dense, and hybrid neural information retrieval, and how well do they measure out-of-domain robustness?</x:v>
      </x:c>
      <x:c r="F578" s="22" t="n">
        <x:v>17</x:v>
      </x:c>
      <x:c r="G578" s="17" t="str">
        <x:v>arXiv:2508.05660</x:v>
      </x:c>
      <x:c r="H578" s="27" t="str">
        <x:v>Open-Source Agentic Hybrid RAG Framework for Scientific Literature Review</x:v>
      </x:c>
      <x:c r="I578" s="17" t="str">
        <x:v>Aditya Nagori; Ricardo Accorsi Casonatto; Ayush Gautam; Abhinav Manikantha Sai Cheruvu; Rishikesan Kamaleswaran</x:v>
      </x:c>
      <x:c r="J578" s="22" t="n">
        <x:v>2025</x:v>
      </x:c>
      <x:c r="K578" s="27" t="str">
        <x:v>The surge in scientific publications challenges traditional review methods, demanding tools that integrate structured metadata with full-text analysis. Hybrid Retrieval Augmented Generation (RAG) systems, combining graph queries with vector search offer promise but are typically static, rely on proprietary tools, and lack uncertainty estimates. We present an agentic approach that encapsulates the hybrid RAG pipeline within an autonomous agent capable of (1) dynamically selecting between GraphRAG and VectorRAG for each query, (2) adapting instruction-tuned generation in real time to researcher needs, and (3) quantifying uncertainty during inference. This dynamic orchestration improves relevance, reduces hallucinations, and promotes reproducibility. Our pipeline ingests bibliometric open-access data from PubMed, arXiv, and Google Scholar APIs, builds a Neo4j citation-based knowledge graph (KG), and embeds full-text PDFs into a FAISS vector store (VS) using the all-MiniLM-L6-v2 model. A Llama-3.3-70B agent selects GraphRAG (translating queries to Cypher for KG) or VectorRAG (combining sparse and dense retrieval with re-ranking). Instruction tuning refines domain-specific generation, and bootstrapped evaluation yields standard deviation for evaluation metrics. On synthetic benchmarks mimicking real-world queries, the Instruction-Tuned Agent with Direct Preference Optimization (DPO) outperforms the baseline, achieving a gain of 0.63 in VS Context Recall and a 0.56 gain in overall Context Precision. Additional gains include 0.24 in VS Faithfulness, 0.12 in both VS Precision and KG Answer Relevance, 0.11 in overall Faithfulness score, 0.05 in KG Context Recall, and 0.04 in both VS Answer Relevance and overall Precision. These results highlight the system's improved reasoning over heterogeneous sources and establish a scalable framework for autonomous, agentic scientific discovery.</x:v>
      </x:c>
      <x:c r="L578" s="17" t="str">
        <x:v>http://arxiv.org/abs/2508.05660v1</x:v>
      </x:c>
      <x:c r="M578" s="23" t="n">
        <x:v>0.37596119596258204</x:v>
      </x:c>
      <x:c r="N578" s="17" t="str">
        <x:v>qwen3-rerank-no-instruct-20260727-125006-results.jsonl</x:v>
      </x:c>
      <x:c r="O578" s="24" t="str">
        <x:v>1</x:v>
      </x:c>
      <x:c r="P578" s="28" t="str">
        <x:v>《Open-Source Agentic Hybrid RAG Framework for Scientific Literature Review》涉及神经检索或鲁棒性，但只覆盖单一架构/相邻设置，不能直接完成三类比较。</x:v>
      </x:c>
      <x:c r="Q578" s="25" t="str"/>
      <x:c r="R578" s="24" t="str">
        <x:f>IF(Q578&lt;&gt;"",Q578,O578)</x:f>
        <x:v>1</x:v>
      </x:c>
      <x:c r="S578" s="29" t="str"/>
    </x:row>
    <x:row r="579" ht="54" customHeight="1">
      <x:c r="A579" s="17" t="str">
        <x:v>csq029-r18</x:v>
      </x:c>
      <x:c r="B579" s="17" t="str">
        <x:v>csq029</x:v>
      </x:c>
      <x:c r="C579" s="17" t="str">
        <x:v>data_management_and_ir</x:v>
      </x:c>
      <x:c r="D579" s="17" t="str">
        <x:v>neural_information_retrieval</x:v>
      </x:c>
      <x:c r="E579" s="27" t="str">
        <x:v>Which benchmarks and metrics are used to evaluate sparse, dense, and hybrid neural information retrieval, and how well do they measure out-of-domain robustness?</x:v>
      </x:c>
      <x:c r="F579" s="22" t="n">
        <x:v>18</x:v>
      </x:c>
      <x:c r="G579" s="17" t="str">
        <x:v>arXiv:2311.17136</x:v>
      </x:c>
      <x:c r="H579" s="27" t="str">
        <x:v>UniIR: Training and Benchmarking Universal Multimodal Information Retrievers</x:v>
      </x:c>
      <x:c r="I579" s="17" t="str">
        <x:v>Cong Wei; Yang Chen; Haonan Chen; Hexiang Hu; Ge Zhang; Jie Fu; Alan Ritter; Wenhu Chen</x:v>
      </x:c>
      <x:c r="J579" s="22" t="n">
        <x:v>2023</x:v>
      </x:c>
      <x:c r="K579" s="27" t="str">
        <x:v>Existing information retrieval (IR) models often assume a homogeneous format, limiting their applicability to diverse user needs, such as searching for images with text descriptions, searching for a news article with a headline image, or finding a similar photo with a query image. To approach such different information-seeking demands, we introduce UniIR, a unified instruction-guided multimodal retriever capable of handling eight distinct retrieval tasks across modalities. UniIR, a single retrieval system jointly trained on ten diverse multimodal-IR datasets, interprets user instructions to execute various retrieval tasks, demonstrating robust performance across existing datasets and zero-shot generalization to new tasks. Our experiments highlight that multi-task training and instruction tuning are keys to UniIR's generalization ability. Additionally, we construct the M-BEIR, a multimodal retrieval benchmark with comprehensive results, to standardize the evaluation of universal multimodal information retrieval.</x:v>
      </x:c>
      <x:c r="L579" s="17" t="str">
        <x:v>http://arxiv.org/abs/2311.17136v1</x:v>
      </x:c>
      <x:c r="M579" s="23" t="n">
        <x:v>0.37020906310787827</x:v>
      </x:c>
      <x:c r="N579" s="17" t="str">
        <x:v>qwen3-rerank-no-instruct-20260727-125006-results.jsonl</x:v>
      </x:c>
      <x:c r="O579" s="24" t="str">
        <x:v>1</x:v>
      </x:c>
      <x:c r="P579" s="28" t="str">
        <x:v>《UniIR: Training and Benchmarking Universal Multimodal Information Retrievers》涉及神经检索或鲁棒性，但只覆盖单一架构/相邻设置，不能直接完成三类比较。</x:v>
      </x:c>
      <x:c r="Q579" s="25" t="str"/>
      <x:c r="R579" s="24" t="str">
        <x:f>IF(Q579&lt;&gt;"",Q579,O579)</x:f>
        <x:v>1</x:v>
      </x:c>
      <x:c r="S579" s="29" t="str"/>
    </x:row>
    <x:row r="580" ht="54" customHeight="1">
      <x:c r="A580" s="17" t="str">
        <x:v>csq029-r19</x:v>
      </x:c>
      <x:c r="B580" s="17" t="str">
        <x:v>csq029</x:v>
      </x:c>
      <x:c r="C580" s="17" t="str">
        <x:v>data_management_and_ir</x:v>
      </x:c>
      <x:c r="D580" s="17" t="str">
        <x:v>neural_information_retrieval</x:v>
      </x:c>
      <x:c r="E580" s="27" t="str">
        <x:v>Which benchmarks and metrics are used to evaluate sparse, dense, and hybrid neural information retrieval, and how well do they measure out-of-domain robustness?</x:v>
      </x:c>
      <x:c r="F580" s="22" t="n">
        <x:v>19</x:v>
      </x:c>
      <x:c r="G580" s="17" t="str">
        <x:v>arXiv:2203.07735</x:v>
      </x:c>
      <x:c r="H580" s="27" t="str">
        <x:v>Augmenting Document Representations for Dense Retrieval with Interpolation and Perturbation</x:v>
      </x:c>
      <x:c r="I580" s="17" t="str">
        <x:v>Soyeong Jeong; Jinheon Baek; Sukmin Cho; Sung Ju Hwang; Jong C. Park</x:v>
      </x:c>
      <x:c r="J580" s="22" t="n">
        <x:v>2022</x:v>
      </x:c>
      <x:c r="K580" s="27" t="str">
        <x:v>Dense retrieval models, which aim at retrieving the most relevant document for an input query on a dense representation space, have gained considerable attention for their remarkable success. Yet, dense models require a vast amount of labeled training data for notable performance, whereas it is often challenging to acquire query-document pairs annotated by humans. To tackle this problem, we propose a simple but effective Document Augmentation for dense Retrieval (DAR) framework, which augments the representations of documents with their interpolation and perturbation. We validate the performance of DAR on retrieval tasks with two benchmark datasets, showing that the proposed DAR significantly outperforms relevant baselines on the dense retrieval of both the labeled and unlabeled documents.</x:v>
      </x:c>
      <x:c r="L580" s="17" t="str">
        <x:v>http://arxiv.org/abs/2203.07735v2</x:v>
      </x:c>
      <x:c r="M580" s="23" t="n">
        <x:v>0.36582170892022925</x:v>
      </x:c>
      <x:c r="N580" s="17" t="str">
        <x:v>qwen3-rerank-no-instruct-20260727-125006-results.jsonl</x:v>
      </x:c>
      <x:c r="O580" s="24" t="str">
        <x:v>1</x:v>
      </x:c>
      <x:c r="P580" s="28" t="str">
        <x:v>《Augmenting Document Representations for Dense Retrieval with Interpolation and Perturbation》涉及神经检索或鲁棒性，但只覆盖单一架构/相邻设置，不能直接完成三类比较。</x:v>
      </x:c>
      <x:c r="Q580" s="25" t="str"/>
      <x:c r="R580" s="24" t="str">
        <x:f>IF(Q580&lt;&gt;"",Q580,O580)</x:f>
        <x:v>1</x:v>
      </x:c>
      <x:c r="S580" s="29" t="str"/>
    </x:row>
    <x:row r="581" ht="54" customHeight="1">
      <x:c r="A581" s="17" t="str">
        <x:v>csq029-r20</x:v>
      </x:c>
      <x:c r="B581" s="17" t="str">
        <x:v>csq029</x:v>
      </x:c>
      <x:c r="C581" s="17" t="str">
        <x:v>data_management_and_ir</x:v>
      </x:c>
      <x:c r="D581" s="17" t="str">
        <x:v>neural_information_retrieval</x:v>
      </x:c>
      <x:c r="E581" s="27" t="str">
        <x:v>Which benchmarks and metrics are used to evaluate sparse, dense, and hybrid neural information retrieval, and how well do they measure out-of-domain robustness?</x:v>
      </x:c>
      <x:c r="F581" s="22" t="n">
        <x:v>20</x:v>
      </x:c>
      <x:c r="G581" s="17" t="str">
        <x:v>arXiv:1904.09068</x:v>
      </x:c>
      <x:c r="H581" s="27" t="str">
        <x:v>A Hybrid Retrieval-Generation Neural Conversation Model</x:v>
      </x:c>
      <x:c r="I581" s="17" t="str">
        <x:v>Liu Yang; Junjie Hu; Minghui Qiu; Chen Qu; Jianfeng Gao; W. Bruce Croft; Xiaodong Liu; Yelong Shen; Jingjing Liu</x:v>
      </x:c>
      <x:c r="J581" s="22" t="n">
        <x:v>2019</x:v>
      </x:c>
      <x:c r="K581" s="27" t="str">
        <x:v>Intelligent personal assistant systems that are able to have multi-turn conversations with human users are becoming increasingly popular. Most previous research has been focused on using either retrieval-based or generation-based methods to develop such systems. Retrieval-based methods have the advantage of returning fluent and informative responses with great diversity. However, the performance of the methods is limited by the size of the response repository. On the other hand, generation-based methods can produce highly coherent responses on any topics. But the generated responses are often generic and not informative due to the lack of grounding knowledge. In this paper, we propose a hybrid neural conversation model that combines the merits of both response retrieval and generation methods. Experimental results on Twitter and Foursquare data show that the proposed model outperforms both retrieval-based methods and generation-based methods (including a recently proposed knowledge-grounded neural conversation model) under both automatic evaluation metrics and human evaluation. We hope that the findings in this study provide new insights on how to integrate text retrieval and text generation models for building conversation systems.</x:v>
      </x:c>
      <x:c r="L581" s="17" t="str">
        <x:v>http://arxiv.org/abs/1904.09068v2</x:v>
      </x:c>
      <x:c r="M581" s="23" t="n">
        <x:v>0.34687950289432457</x:v>
      </x:c>
      <x:c r="N581" s="17" t="str">
        <x:v>qwen3-rerank-no-instruct-20260727-125006-results.jsonl</x:v>
      </x:c>
      <x:c r="O581" s="24" t="str">
        <x:v>0</x:v>
      </x:c>
      <x:c r="P581" s="28" t="str">
        <x:v>《A Hybrid Retrieval-Generation Neural Conversation Model》研究任务偏离文本神经信息检索的基准与鲁棒性评价。</x:v>
      </x:c>
      <x:c r="Q581" s="25" t="str"/>
      <x:c r="R581" s="24" t="str">
        <x:f>IF(Q581&lt;&gt;"",Q581,O581)</x:f>
        <x:v>0</x:v>
      </x:c>
      <x:c r="S581" s="29" t="str"/>
    </x:row>
    <x:row r="582" ht="54" customHeight="1">
      <x:c r="A582" s="17" t="str">
        <x:v>csq030-r01</x:v>
      </x:c>
      <x:c r="B582" s="17" t="str">
        <x:v>csq030</x:v>
      </x:c>
      <x:c r="C582" s="17" t="str">
        <x:v>data_management_and_ir</x:v>
      </x:c>
      <x:c r="D582" s="17" t="str">
        <x:v>text_to_sql</x:v>
      </x:c>
      <x:c r="E582" s="27" t="str">
        <x:v>How have text-to-SQL systems evolved from schema-aware neural parsers to large-language-model-based approaches, and which challenges remain on cross-domain benchmarks?</x:v>
      </x:c>
      <x:c r="F582" s="22" t="n">
        <x:v>1</x:v>
      </x:c>
      <x:c r="G582" s="17" t="str">
        <x:v>arXiv:2410.01066</x:v>
      </x:c>
      <x:c r="H582" s="27" t="str">
        <x:v>From Natural Language to SQL: Review of LLM-based Text-to-SQL Systems</x:v>
      </x:c>
      <x:c r="I582" s="17" t="str">
        <x:v>Ali Mohammadjafari; Anthony S. Maida; Raju Gottumukkala</x:v>
      </x:c>
      <x:c r="J582" s="22" t="n">
        <x:v>2024</x:v>
      </x:c>
      <x:c r="K582" s="27" t="str">
        <x:v>LLMs when used with Retrieval Augmented Generation (RAG), are greatly improving the SOTA of translating natural language queries to structured and correct SQL. Unlike previous reviews, this survey provides a comprehensive study of the evolution of LLM-based text-to-SQL systems, from early rule-based models to advanced LLM approaches that use (RAG) systems. We discuss benchmarks, evaluation methods, and evaluation metrics. Also, we uniquely study the use of Graph RAGs for better contextual accuracy and schema linking in these systems. Finally, we highlight key challenges such as computational efficiency, model robustness, and data privacy toward improvements of LLM-based text-to-SQL systems.</x:v>
      </x:c>
      <x:c r="L582" s="17" t="str">
        <x:v>http://arxiv.org/abs/2410.01066v2</x:v>
      </x:c>
      <x:c r="M582" s="23" t="n">
        <x:v>0.9504837250131375</x:v>
      </x:c>
      <x:c r="N582" s="17" t="str">
        <x:v>qwen3-rerank-no-instruct-20260727-125006-results.jsonl</x:v>
      </x:c>
      <x:c r="O582" s="24" t="str">
        <x:v>2</x:v>
      </x:c>
      <x:c r="P582" s="28" t="str">
        <x:v>《From Natural Language to SQL: Review of LLM-based Text-to-SQL Systems》核心覆盖Text-to-SQL从神经schema解析到LLM方法及跨域基准挑战。</x:v>
      </x:c>
      <x:c r="Q582" s="25" t="str"/>
      <x:c r="R582" s="24" t="str">
        <x:f>IF(Q582&lt;&gt;"",Q582,O582)</x:f>
        <x:v>2</x:v>
      </x:c>
      <x:c r="S582" s="29" t="str"/>
    </x:row>
    <x:row r="583" ht="54" customHeight="1">
      <x:c r="A583" s="17" t="str">
        <x:v>csq030-r02</x:v>
      </x:c>
      <x:c r="B583" s="17" t="str">
        <x:v>csq030</x:v>
      </x:c>
      <x:c r="C583" s="17" t="str">
        <x:v>data_management_and_ir</x:v>
      </x:c>
      <x:c r="D583" s="17" t="str">
        <x:v>text_to_sql</x:v>
      </x:c>
      <x:c r="E583" s="27" t="str">
        <x:v>How have text-to-SQL systems evolved from schema-aware neural parsers to large-language-model-based approaches, and which challenges remain on cross-domain benchmarks?</x:v>
      </x:c>
      <x:c r="F583" s="22" t="n">
        <x:v>2</x:v>
      </x:c>
      <x:c r="G583" s="17" t="str">
        <x:v>arXiv:1905.08205</x:v>
      </x:c>
      <x:c r="H583" s="27" t="str">
        <x:v>Towards Complex Text-to-SQL in Cross-Domain Database with Intermediate Representation</x:v>
      </x:c>
      <x:c r="I583" s="17" t="str">
        <x:v>Jiaqi Guo; Zecheng Zhan; Yan Gao; Yan Xiao; Jian-Guang Lou; Ting Liu; Dongmei Zhang</x:v>
      </x:c>
      <x:c r="J583" s="22" t="n">
        <x:v>2019</x:v>
      </x:c>
      <x:c r="K583" s="27" t="str">
        <x:v>We present a neural approach called IRNet for complex and cross-domain Text-to-SQL. IRNet aims to address two challenges: 1) the mismatch between intents expressed in natural language (NL) and the implementation details in SQL; 2) the challenge in predicting columns caused by the large number of out-of-domain words. Instead of end-to-end synthesizing a SQL query, IRNet decomposes the synthesis process into three phases. In the first phase, IRNet performs a schema linking over a question and a database schema. Then, IRNet adopts a grammar-based neural model to synthesize a SemQL query which is an intermediate representation that we design to bridge NL and SQL. Finally, IRNet deterministically infers a SQL query from the synthesized SemQL query with domain knowledge. On the challenging Text-to-SQL benchmark Spider, IRNet achieves 46.7% accuracy, obtaining 19.5% absolute improvement over previous state-of-the-art approaches. At the time of writing, IRNet achieves the first position on the Spider leaderboard.</x:v>
      </x:c>
      <x:c r="L583" s="17" t="str">
        <x:v>http://arxiv.org/abs/1905.08205v2</x:v>
      </x:c>
      <x:c r="M583" s="23" t="n">
        <x:v>0.9012097738202742</x:v>
      </x:c>
      <x:c r="N583" s="17" t="str">
        <x:v>qwen3-rerank-no-instruct-20260727-125006-results.jsonl</x:v>
      </x:c>
      <x:c r="O583" s="24" t="str">
        <x:v>2</x:v>
      </x:c>
      <x:c r="P583" s="28" t="str">
        <x:v>《Towards Complex Text-to-SQL in Cross-Domain Database with Intermediate Representation》核心覆盖Text-to-SQL从神经schema解析到LLM方法及跨域基准挑战。</x:v>
      </x:c>
      <x:c r="Q583" s="25" t="str"/>
      <x:c r="R583" s="24" t="str">
        <x:f>IF(Q583&lt;&gt;"",Q583,O583)</x:f>
        <x:v>2</x:v>
      </x:c>
      <x:c r="S583" s="29" t="str"/>
    </x:row>
    <x:row r="584" ht="54" customHeight="1">
      <x:c r="A584" s="17" t="str">
        <x:v>csq030-r03</x:v>
      </x:c>
      <x:c r="B584" s="17" t="str">
        <x:v>csq030</x:v>
      </x:c>
      <x:c r="C584" s="17" t="str">
        <x:v>data_management_and_ir</x:v>
      </x:c>
      <x:c r="D584" s="17" t="str">
        <x:v>text_to_sql</x:v>
      </x:c>
      <x:c r="E584" s="27" t="str">
        <x:v>How have text-to-SQL systems evolved from schema-aware neural parsers to large-language-model-based approaches, and which challenges remain on cross-domain benchmarks?</x:v>
      </x:c>
      <x:c r="F584" s="22" t="n">
        <x:v>3</x:v>
      </x:c>
      <x:c r="G584" s="17" t="str">
        <x:v>arXiv:2412.05208</x:v>
      </x:c>
      <x:c r="H584" s="27" t="str">
        <x:v>A Survey of Large Language Model-Based Generative AI for Text-to-SQL: Benchmarks, Applications, Use Cases, and Challenges</x:v>
      </x:c>
      <x:c r="I584" s="17" t="str">
        <x:v>Aditi Singh; Akash Shetty; Abul Ehtesham; Saket Kumar; Tala Talaei Khoei</x:v>
      </x:c>
      <x:c r="J584" s="22" t="n">
        <x:v>2024</x:v>
      </x:c>
      <x:c r="K584" s="27" t="str">
        <x:v>Text-to-SQL systems facilitate smooth interaction with databases by translating natural language queries into Structured Query Language (SQL), bridging the gap between non-technical users and complex database management systems. This survey provides a comprehensive overview of the evolution of AI-driven text-to-SQL systems, highlighting their foundational components, advancements in large language model (LLM) architectures, and the critical role of datasets such as Spider, WikiSQL, and CoSQL in driving progress. We examine the applications of text-to-SQL in domains like healthcare, education, and finance, emphasizing their transformative potential for improving data accessibility. Additionally, we analyze persistent challenges, including domain generalization, query optimization, support for multi-turn conversational interactions, and the limited availability of datasets tailored for NoSQL databases and dynamic real-world scenarios. To address these challenges, we outline future research directions, such as extending text-to-SQL capabilities to support NoSQL databases, designing datasets for dynamic multi-turn interactions, and optimizing systems for real-world scalability and robustness. By surveying current advancements and identifying key gaps, this paper aims to guide the next generation of research and applications in LLM-based text-to-SQL systems.</x:v>
      </x:c>
      <x:c r="L584" s="17" t="str">
        <x:v>http://arxiv.org/abs/2412.05208v2</x:v>
      </x:c>
      <x:c r="M584" s="23" t="n">
        <x:v>0.8916917180125334</x:v>
      </x:c>
      <x:c r="N584" s="17" t="str">
        <x:v>qwen3-rerank-no-instruct-20260727-125006-results.jsonl</x:v>
      </x:c>
      <x:c r="O584" s="24" t="str">
        <x:v>2</x:v>
      </x:c>
      <x:c r="P584" s="28" t="str">
        <x:v>《A Survey of Large Language Model-Based Generative AI for Text-to-SQL: Benchmarks, Applications, Use Cases, and Challenges》核心覆盖Text-to-SQL从神经schema解析到LLM方法及跨域基准挑战。</x:v>
      </x:c>
      <x:c r="Q584" s="25" t="str"/>
      <x:c r="R584" s="24" t="str">
        <x:f>IF(Q584&lt;&gt;"",Q584,O584)</x:f>
        <x:v>2</x:v>
      </x:c>
      <x:c r="S584" s="29" t="str"/>
    </x:row>
    <x:row r="585" ht="54" customHeight="1">
      <x:c r="A585" s="17" t="str">
        <x:v>csq030-r04</x:v>
      </x:c>
      <x:c r="B585" s="17" t="str">
        <x:v>csq030</x:v>
      </x:c>
      <x:c r="C585" s="17" t="str">
        <x:v>data_management_and_ir</x:v>
      </x:c>
      <x:c r="D585" s="17" t="str">
        <x:v>text_to_sql</x:v>
      </x:c>
      <x:c r="E585" s="27" t="str">
        <x:v>How have text-to-SQL systems evolved from schema-aware neural parsers to large-language-model-based approaches, and which challenges remain on cross-domain benchmarks?</x:v>
      </x:c>
      <x:c r="F585" s="22" t="n">
        <x:v>4</x:v>
      </x:c>
      <x:c r="G585" s="17" t="str">
        <x:v>arXiv:2305.16265</x:v>
      </x:c>
      <x:c r="H585" s="27" t="str">
        <x:v>UNITE: A Unified Benchmark for Text-to-SQL Evaluation</x:v>
      </x:c>
      <x:c r="I585" s="17" t="str">
        <x:v>Wuwei Lan; Zhiguo Wang; Anuj Chauhan; Henghui Zhu; Alexander Li; Jiang Guo; Sheng Zhang; Chung-Wei Hang; Joseph Lilien; Yiqun Hu; Lin Pan; Mingwen Dong; Jun Wang; Jiarong Jiang; Stephen Ash; Vittorio Castelli; Patrick Ng; Bing Xiang</x:v>
      </x:c>
      <x:c r="J585" s="22" t="n">
        <x:v>2023</x:v>
      </x:c>
      <x:c r="K585" s="27" t="str">
        <x:v>A practical text-to-SQL system should generalize well on a wide variety of natural language questions, unseen database schemas, and novel SQL query structures. To comprehensively evaluate text-to-SQL systems, we introduce a UNIfied benchmark for Text-to-SQL Evaluation (UNITE). It is composed of publicly available text-to-SQL datasets, containing natural language questions from more than 12 domains, SQL queries from more than 3.9K patterns, and 29K databases. Compared to the widely used Spider benchmark, we introduce $\sim$120K additional examples and a threefold increase in SQL patterns, such as comparative and boolean questions. We conduct a systematic study of six state-of-the-art (SOTA) text-to-SQL parsers on our new benchmark and show that: 1) Codex performs surprisingly well on out-of-domain datasets; 2) specially designed decoding methods (e.g. constrained beam search) can improve performance for both in-domain and out-of-domain settings; 3) explicitly modeling the relationship between questions and schemas further improves the Seq2Seq models. More importantly, our benchmark presents key challenges towards compositional generalization and robustness issues -- which these SOTA models cannot address well. Our code and data processing script are available at https://github.com/awslabs/unified-text2sql-benchmark</x:v>
      </x:c>
      <x:c r="L585" s="17" t="str">
        <x:v>http://arxiv.org/abs/2305.16265v3</x:v>
      </x:c>
      <x:c r="M585" s="23" t="n">
        <x:v>0.8727815041287833</x:v>
      </x:c>
      <x:c r="N585" s="17" t="str">
        <x:v>qwen3-rerank-no-instruct-20260727-125006-results.jsonl</x:v>
      </x:c>
      <x:c r="O585" s="24" t="str">
        <x:v>2</x:v>
      </x:c>
      <x:c r="P585" s="28" t="str">
        <x:v>《UNITE: A Unified Benchmark for Text-to-SQL Evaluation》核心覆盖Text-to-SQL从神经schema解析到LLM方法及跨域基准挑战。</x:v>
      </x:c>
      <x:c r="Q585" s="25" t="str"/>
      <x:c r="R585" s="24" t="str">
        <x:f>IF(Q585&lt;&gt;"",Q585,O585)</x:f>
        <x:v>2</x:v>
      </x:c>
      <x:c r="S585" s="29" t="str"/>
    </x:row>
    <x:row r="586" ht="54" customHeight="1">
      <x:c r="A586" s="17" t="str">
        <x:v>csq030-r05</x:v>
      </x:c>
      <x:c r="B586" s="17" t="str">
        <x:v>csq030</x:v>
      </x:c>
      <x:c r="C586" s="17" t="str">
        <x:v>data_management_and_ir</x:v>
      </x:c>
      <x:c r="D586" s="17" t="str">
        <x:v>text_to_sql</x:v>
      </x:c>
      <x:c r="E586" s="27" t="str">
        <x:v>How have text-to-SQL systems evolved from schema-aware neural parsers to large-language-model-based approaches, and which challenges remain on cross-domain benchmarks?</x:v>
      </x:c>
      <x:c r="F586" s="22" t="n">
        <x:v>5</x:v>
      </x:c>
      <x:c r="G586" s="17" t="str">
        <x:v>arXiv:2406.08426</x:v>
      </x:c>
      <x:c r="H586" s="27" t="str">
        <x:v>Next-Generation Database Interfaces: A Survey of LLM-based Text-to-SQL</x:v>
      </x:c>
      <x:c r="I586" s="17" t="str">
        <x:v>Zijin Hong; Zheng Yuan; Qinggang Zhang; Hao Chen; Junnan Dong; Feiran Huang; Xiao Huang</x:v>
      </x:c>
      <x:c r="J586" s="22" t="n">
        <x:v>2024</x:v>
      </x:c>
      <x:c r="K586" s="27" t="str">
        <x:v>Generating accurate SQL from users' natural language questions (text-to-SQL) remains a long-standing challenge due to the complexities involved in user question understanding, database schema comprehension, and SQL generation. Traditional text-to-SQL systems, which combine human engineering and deep neural networks, have made significant progress. Subsequently, pre-trained language models (PLMs) have been developed for text-to-SQL tasks, achieving promising results. However, as modern databases and user questions grow more complex, PLMs with a limited parameter size often produce incorrect SQL. This necessitates more sophisticated and tailored optimization methods, which restricts the application of PLM-based systems. Recently, large language models (LLMs) have shown significant capabilities in natural language understanding as model scale increases. Thus, integrating LLM-based solutions can bring unique opportunities, improvements, and solutions to text-to-SQL research. In this survey, we provide a comprehensive review of existing LLM-based text-to-SQL studies. Specifically, we offer a brief overview of the technical challenges and evolutionary process of text-to-SQL. Next, we introduce the datasets and metrics designed to evaluate text-to-SQL systems. Subsequently, we present a systematic analysis of recent advances in LLM-based text-to-SQL. Finally, we make a summarization and discuss the remaining challenges in this field and suggest expectations for future research directions. All the related resources of LLM-based, including research papers, benchmarks, and open-source projects, are collected for the community in our repository: https://github.com/DEEP-PolyU/Awesome-LLM-based-Text2SQL.</x:v>
      </x:c>
      <x:c r="L586" s="17" t="str">
        <x:v>http://arxiv.org/abs/2406.08426v8</x:v>
      </x:c>
      <x:c r="M586" s="23" t="n">
        <x:v>0.8708372451811658</x:v>
      </x:c>
      <x:c r="N586" s="17" t="str">
        <x:v>qwen3-rerank-no-instruct-20260727-125006-results.jsonl</x:v>
      </x:c>
      <x:c r="O586" s="24" t="str">
        <x:v>2</x:v>
      </x:c>
      <x:c r="P586" s="28" t="str">
        <x:v>《Next-Generation Database Interfaces: A Survey of LLM-based Text-to-SQL》核心覆盖Text-to-SQL从神经schema解析到LLM方法及跨域基准挑战。</x:v>
      </x:c>
      <x:c r="Q586" s="25" t="str"/>
      <x:c r="R586" s="24" t="str">
        <x:f>IF(Q586&lt;&gt;"",Q586,O586)</x:f>
        <x:v>2</x:v>
      </x:c>
      <x:c r="S586" s="29" t="str"/>
    </x:row>
    <x:row r="587" ht="54" customHeight="1">
      <x:c r="A587" s="17" t="str">
        <x:v>csq030-r06</x:v>
      </x:c>
      <x:c r="B587" s="17" t="str">
        <x:v>csq030</x:v>
      </x:c>
      <x:c r="C587" s="17" t="str">
        <x:v>data_management_and_ir</x:v>
      </x:c>
      <x:c r="D587" s="17" t="str">
        <x:v>text_to_sql</x:v>
      </x:c>
      <x:c r="E587" s="27" t="str">
        <x:v>How have text-to-SQL systems evolved from schema-aware neural parsers to large-language-model-based approaches, and which challenges remain on cross-domain benchmarks?</x:v>
      </x:c>
      <x:c r="F587" s="22" t="n">
        <x:v>6</x:v>
      </x:c>
      <x:c r="G587" s="17" t="str">
        <x:v>arXiv:2408.05109</x:v>
      </x:c>
      <x:c r="H587" s="27" t="str">
        <x:v>A Survey of Text-to-SQL in the Era of LLMs: Where are we, and where are we going?</x:v>
      </x:c>
      <x:c r="I587" s="17" t="str">
        <x:v>Xinyu Liu; Shuyu Shen; Boyan Li; Peixian Ma; Runzhi Jiang; Yuxin Zhang; Ju Fan; Guoliang Li; Nan Tang; Yuyu Luo</x:v>
      </x:c>
      <x:c r="J587" s="22" t="n">
        <x:v>2024</x:v>
      </x:c>
      <x:c r="K587" s="27" t="str">
        <x:v>Translating users' natural language queries (NL) into SQL queries (i.e., Text-to-SQL, a.k.a. NL2SQL) can significantly reduce barriers to accessing relational databases and support various commercial applications. The performance of Text-to-SQL has been greatly enhanced with the emergence of Large Language Models (LLMs). In this survey, we provide a comprehensive review of Text-to-SQL techniques powered by LLMs, covering its entire lifecycle from the following four aspects: (1) Model: Text-to-SQL translation techniques that tackle not only NL ambiguity and under-specification, but also properly map NL with database schema and instances; (2) Data: From the collection of training data, data synthesis due to training data scarcity, to Text-to-SQL benchmarks; (3) Evaluation: Evaluating Text-to-SQL methods from multiple angles using different metrics and granularities; and (4) Error Analysis: analyzing Text-to-SQL errors to find the root cause and guiding Text-to-SQL models to evolve. Moreover, we offer a rule of thumb for developing Text-to-SQL solutions. Finally, we discuss the research challenges and open problems of Text-to-SQL in the LLMs era. Text-to-SQL Handbook: https://github.com/HKUSTDial/NL2SQL Handbook</x:v>
      </x:c>
      <x:c r="L587" s="17" t="str">
        <x:v>http://arxiv.org/abs/2408.05109v6</x:v>
      </x:c>
      <x:c r="M587" s="23" t="n">
        <x:v>0.8653411438054728</x:v>
      </x:c>
      <x:c r="N587" s="17" t="str">
        <x:v>qwen3-rerank-no-instruct-20260727-125006-results.jsonl</x:v>
      </x:c>
      <x:c r="O587" s="24" t="str">
        <x:v>2</x:v>
      </x:c>
      <x:c r="P587" s="28" t="str">
        <x:v>《A Survey of Text-to-SQL in the Era of LLMs: Where are we, and where are we going?》核心覆盖Text-to-SQL从神经schema解析到LLM方法及跨域基准挑战。</x:v>
      </x:c>
      <x:c r="Q587" s="25" t="str"/>
      <x:c r="R587" s="24" t="str">
        <x:f>IF(Q587&lt;&gt;"",Q587,O587)</x:f>
        <x:v>2</x:v>
      </x:c>
      <x:c r="S587" s="29" t="str"/>
    </x:row>
    <x:row r="588" ht="54" customHeight="1">
      <x:c r="A588" s="17" t="str">
        <x:v>csq030-r07</x:v>
      </x:c>
      <x:c r="B588" s="17" t="str">
        <x:v>csq030</x:v>
      </x:c>
      <x:c r="C588" s="17" t="str">
        <x:v>data_management_and_ir</x:v>
      </x:c>
      <x:c r="D588" s="17" t="str">
        <x:v>text_to_sql</x:v>
      </x:c>
      <x:c r="E588" s="27" t="str">
        <x:v>How have text-to-SQL systems evolved from schema-aware neural parsers to large-language-model-based approaches, and which challenges remain on cross-domain benchmarks?</x:v>
      </x:c>
      <x:c r="F588" s="22" t="n">
        <x:v>7</x:v>
      </x:c>
      <x:c r="G588" s="17" t="str">
        <x:v>arXiv:2409.15907</x:v>
      </x:c>
      <x:c r="H588" s="27" t="str">
        <x:v>Enhancing Text-to-SQL Capabilities of Large Language Models via Domain Database Knowledge Injection</x:v>
      </x:c>
      <x:c r="I588" s="17" t="str">
        <x:v>Xingyu Ma; Xin Tian; Lingxiang Wu; Xuepeng Wang; Xueming Tang; Jinqiao Wang</x:v>
      </x:c>
      <x:c r="J588" s="22" t="n">
        <x:v>2024</x:v>
      </x:c>
      <x:c r="K588" s="27" t="str">
        <x:v>Text-to-SQL is a subtask in semantic parsing that has seen rapid progress with the evolution of Large Language Models (LLMs). However, LLMs face challenges due to hallucination issues and a lack of domain-specific database knowledge(such as table schema and cell values). As a result, they can make errors in generating table names, columns, and matching values to the correct columns in SQL statements. This paper introduces a method of knowledge injection to enhance LLMs' ability to understand schema contents by incorporating prior knowledge. This approach improves their performance in Text-to-SQL tasks. Experimental results show that pre-training LLMs on domain-specific database knowledge and fine-tuning them on downstream Text-to-SQL tasks significantly improves the Execution Match (EX) and Exact Match (EM) metrics across various models. This effectively reduces errors in generating column names and matching values to the columns. Furthermore, the knowledge-injected models can be applied to many downstream Text-to-SQL tasks, demonstrating the generalizability of the approach presented in this paper.</x:v>
      </x:c>
      <x:c r="L588" s="17" t="str">
        <x:v>http://arxiv.org/abs/2409.15907v2</x:v>
      </x:c>
      <x:c r="M588" s="23" t="n">
        <x:v>0.8585108665837415</x:v>
      </x:c>
      <x:c r="N588" s="17" t="str">
        <x:v>qwen3-rerank-no-instruct-20260727-125006-results.jsonl</x:v>
      </x:c>
      <x:c r="O588" s="24" t="str">
        <x:v>2</x:v>
      </x:c>
      <x:c r="P588" s="28" t="str">
        <x:v>《Enhancing Text-to-SQL Capabilities of Large Language Models via Domain Database Knowledge Injection》核心覆盖Text-to-SQL从神经schema解析到LLM方法及跨域基准挑战。</x:v>
      </x:c>
      <x:c r="Q588" s="25" t="str"/>
      <x:c r="R588" s="24" t="str">
        <x:f>IF(Q588&lt;&gt;"",Q588,O588)</x:f>
        <x:v>2</x:v>
      </x:c>
      <x:c r="S588" s="29" t="str"/>
    </x:row>
    <x:row r="589" ht="54" customHeight="1">
      <x:c r="A589" s="17" t="str">
        <x:v>csq030-r08</x:v>
      </x:c>
      <x:c r="B589" s="17" t="str">
        <x:v>csq030</x:v>
      </x:c>
      <x:c r="C589" s="17" t="str">
        <x:v>data_management_and_ir</x:v>
      </x:c>
      <x:c r="D589" s="17" t="str">
        <x:v>text_to_sql</x:v>
      </x:c>
      <x:c r="E589" s="27" t="str">
        <x:v>How have text-to-SQL systems evolved from schema-aware neural parsers to large-language-model-based approaches, and which challenges remain on cross-domain benchmarks?</x:v>
      </x:c>
      <x:c r="F589" s="22" t="n">
        <x:v>8</x:v>
      </x:c>
      <x:c r="G589" s="17" t="str">
        <x:v>arXiv:2508.14056</x:v>
      </x:c>
      <x:c r="H589" s="27" t="str">
        <x:v>Confidence Estimation for Text-to-SQL in Large Language Models</x:v>
      </x:c>
      <x:c r="I589" s="17" t="str">
        <x:v>Sepideh Entezari Maleki; Mohammadreza Pourreza; Davood Rafiei</x:v>
      </x:c>
      <x:c r="J589" s="22" t="n">
        <x:v>2025</x:v>
      </x:c>
      <x:c r="K589" s="27" t="str">
        <x:v>Confidence estimation for text-to-SQL aims to assess the reliability of model-generated SQL queries without having access to gold answers. We study this problem in the context of large language models (LLMs), where access to model weights and gradients is often constrained. We explore both black-box and white-box confidence estimation strategies, evaluating their effectiveness on cross-domain text-to-SQL benchmarks. Our evaluation highlights the superior performance of consistency-based methods among black-box models and the advantage of SQL-syntax-aware approaches for interpreting LLM logits in white-box settings. Furthermore, we show that execution-based grounding of queries provides a valuable supplementary signal, improving the effectiveness of both approaches.</x:v>
      </x:c>
      <x:c r="L589" s="17" t="str">
        <x:v>http://arxiv.org/abs/2508.14056v1</x:v>
      </x:c>
      <x:c r="M589" s="23" t="n">
        <x:v>0.8393436181310578</x:v>
      </x:c>
      <x:c r="N589" s="17" t="str">
        <x:v>qwen3-rerank-no-instruct-20260727-125006-results.jsonl</x:v>
      </x:c>
      <x:c r="O589" s="24" t="str">
        <x:v>2</x:v>
      </x:c>
      <x:c r="P589" s="28" t="str">
        <x:v>《Confidence Estimation for Text-to-SQL in Large Language Models》核心覆盖Text-to-SQL从神经schema解析到LLM方法及跨域基准挑战。</x:v>
      </x:c>
      <x:c r="Q589" s="25" t="str"/>
      <x:c r="R589" s="24" t="str">
        <x:f>IF(Q589&lt;&gt;"",Q589,O589)</x:f>
        <x:v>2</x:v>
      </x:c>
      <x:c r="S589" s="29" t="str"/>
    </x:row>
    <x:row r="590" ht="54" customHeight="1">
      <x:c r="A590" s="17" t="str">
        <x:v>csq030-r09</x:v>
      </x:c>
      <x:c r="B590" s="17" t="str">
        <x:v>csq030</x:v>
      </x:c>
      <x:c r="C590" s="17" t="str">
        <x:v>data_management_and_ir</x:v>
      </x:c>
      <x:c r="D590" s="17" t="str">
        <x:v>text_to_sql</x:v>
      </x:c>
      <x:c r="E590" s="27" t="str">
        <x:v>How have text-to-SQL systems evolved from schema-aware neural parsers to large-language-model-based approaches, and which challenges remain on cross-domain benchmarks?</x:v>
      </x:c>
      <x:c r="F590" s="22" t="n">
        <x:v>9</x:v>
      </x:c>
      <x:c r="G590" s="17" t="str">
        <x:v>arXiv:2310.18538</x:v>
      </x:c>
      <x:c r="H590" s="27" t="str">
        <x:v>Evaluating Cross-Domain Text-to-SQL Models and Benchmarks</x:v>
      </x:c>
      <x:c r="I590" s="17" t="str">
        <x:v>Mohammadreza Pourreza; Davood Rafiei</x:v>
      </x:c>
      <x:c r="J590" s="22" t="n">
        <x:v>2023</x:v>
      </x:c>
      <x:c r="K590" s="27" t="str">
        <x:v>Text-to-SQL benchmarks play a crucial role in evaluating the progress made in the field and the ranking of different models. However, accurately matching a model-generated SQL query to a reference SQL query in a benchmark fails for various reasons, such as underspecified natural language queries, inherent assumptions in both model-generated and reference queries, and the non-deterministic nature of SQL output under certain conditions. In this paper, we conduct an extensive study of several prominent cross-domain text-to-SQL benchmarks and re-evaluate some of the top-performing models within these benchmarks, by both manually evaluating the SQL queries and rewriting them in equivalent expressions. Our evaluation reveals that attaining a perfect performance on these benchmarks is unfeasible due to the multiple interpretations that can be derived from the provided samples. Furthermore, we find that the true performance of the models is underestimated and their relative performance changes after a re-evaluation. Most notably, our evaluation reveals a surprising discovery: a recent GPT4-based model surpasses the gold standard reference queries in the Spider benchmark in our human evaluation. This finding highlights the importance of interpreting benchmark evaluations cautiously, while also acknowledging the critical role of additional independent evaluations in driving advancements in the field.</x:v>
      </x:c>
      <x:c r="L590" s="17" t="str">
        <x:v>http://arxiv.org/abs/2310.18538v1</x:v>
      </x:c>
      <x:c r="M590" s="23" t="n">
        <x:v>0.7823880892906105</x:v>
      </x:c>
      <x:c r="N590" s="17" t="str">
        <x:v>qwen3-rerank-no-instruct-20260727-125006-results.jsonl</x:v>
      </x:c>
      <x:c r="O590" s="24" t="str">
        <x:v>2</x:v>
      </x:c>
      <x:c r="P590" s="28" t="str">
        <x:v>《Evaluating Cross-Domain Text-to-SQL Models and Benchmarks》核心覆盖Text-to-SQL从神经schema解析到LLM方法及跨域基准挑战。</x:v>
      </x:c>
      <x:c r="Q590" s="25" t="str"/>
      <x:c r="R590" s="24" t="str">
        <x:f>IF(Q590&lt;&gt;"",Q590,O590)</x:f>
        <x:v>2</x:v>
      </x:c>
      <x:c r="S590" s="29" t="str"/>
    </x:row>
    <x:row r="591" ht="54" customHeight="1">
      <x:c r="A591" s="17" t="str">
        <x:v>csq030-r10</x:v>
      </x:c>
      <x:c r="B591" s="17" t="str">
        <x:v>csq030</x:v>
      </x:c>
      <x:c r="C591" s="17" t="str">
        <x:v>data_management_and_ir</x:v>
      </x:c>
      <x:c r="D591" s="17" t="str">
        <x:v>text_to_sql</x:v>
      </x:c>
      <x:c r="E591" s="27" t="str">
        <x:v>How have text-to-SQL systems evolved from schema-aware neural parsers to large-language-model-based approaches, and which challenges remain on cross-domain benchmarks?</x:v>
      </x:c>
      <x:c r="F591" s="22" t="n">
        <x:v>10</x:v>
      </x:c>
      <x:c r="G591" s="17" t="str">
        <x:v>arXiv:2504.09824</x:v>
      </x:c>
      <x:c r="H591" s="27" t="str">
        <x:v>Abacus-SQL: A Text-to-SQL System Empowering Cross-Domain and Open-Domain Database Retrieval</x:v>
      </x:c>
      <x:c r="I591" s="17" t="str">
        <x:v>Keyan Xu; Dingzirui Wang; Xuanliang Zhang; Qingfu Zhu; Wanxiang Che</x:v>
      </x:c>
      <x:c r="J591" s="22" t="n">
        <x:v>2025</x:v>
      </x:c>
      <x:c r="K591" s="27" t="str">
        <x:v>The existing text-to-SQL systems have made significant progress in SQL query generation, but they still face numerous challenges. Existing systems often lack retrieval capabilities for open-domain databases, requiring users to manually filter relevant databases. Additionally, their cross-domain transferability is limited, making it challenging to accommodate diverse query requirements. To address these issues, we propose Abacus-SQL. Abacus-SQL utilizes database retrieval technology to accurately locate the required databases in an open-domain database environment. It also enhances the system cross-domain transfer ability through data augmentation methods. Moreover, Abacus-SQL employs Pre-SQL and Self-debug methods, thereby enhancing the accuracy of SQL queries. Experimental results demonstrate that Abacus-SQL performs excellently in multi-turn text-to-SQL tasks, effectively validating the approach's effectiveness. Abacus-SQL is publicly accessible at https://huozi.8wss.com/abacus-sql/.</x:v>
      </x:c>
      <x:c r="L591" s="17" t="str">
        <x:v>http://arxiv.org/abs/2504.09824v1</x:v>
      </x:c>
      <x:c r="M591" s="23" t="n">
        <x:v>0.7717074514568263</x:v>
      </x:c>
      <x:c r="N591" s="17" t="str">
        <x:v>qwen3-rerank-no-instruct-20260727-125006-results.jsonl</x:v>
      </x:c>
      <x:c r="O591" s="24" t="str">
        <x:v>2</x:v>
      </x:c>
      <x:c r="P591" s="28" t="str">
        <x:v>《Abacus-SQL: A Text-to-SQL System Empowering Cross-Domain and Open-Domain Database Retrieval》核心覆盖Text-to-SQL从神经schema解析到LLM方法及跨域基准挑战。</x:v>
      </x:c>
      <x:c r="Q591" s="25" t="str"/>
      <x:c r="R591" s="24" t="str">
        <x:f>IF(Q591&lt;&gt;"",Q591,O591)</x:f>
        <x:v>2</x:v>
      </x:c>
      <x:c r="S591" s="29" t="str"/>
    </x:row>
    <x:row r="592" ht="54" customHeight="1">
      <x:c r="A592" s="17" t="str">
        <x:v>csq030-r11</x:v>
      </x:c>
      <x:c r="B592" s="17" t="str">
        <x:v>csq030</x:v>
      </x:c>
      <x:c r="C592" s="17" t="str">
        <x:v>data_management_and_ir</x:v>
      </x:c>
      <x:c r="D592" s="17" t="str">
        <x:v>text_to_sql</x:v>
      </x:c>
      <x:c r="E592" s="27" t="str">
        <x:v>How have text-to-SQL systems evolved from schema-aware neural parsers to large-language-model-based approaches, and which challenges remain on cross-domain benchmarks?</x:v>
      </x:c>
      <x:c r="F592" s="22" t="n">
        <x:v>11</x:v>
      </x:c>
      <x:c r="G592" s="17" t="str">
        <x:v>arXiv:2505.18929</x:v>
      </x:c>
      <x:c r="H592" s="27" t="str">
        <x:v>Meta-aware Learning in text-to-SQL Large Language Model</x:v>
      </x:c>
      <x:c r="I592" s="17" t="str">
        <x:v>Wenda Zhang</x:v>
      </x:c>
      <x:c r="J592" s="22" t="n">
        <x:v>2025</x:v>
      </x:c>
      <x:c r="K592" s="27" t="str">
        <x:v>The advancements of Large language models (LLMs) have provided great opportunities to text-to-SQL tasks to overcome the main challenges to understand complex domain information and complex database structures in business applications. In this paper, we propose a meta-aware learning framework to integrate domain knowledge, database schema, chain-of-thought reasoning processes, and metadata relationships to improve the SQL generation quality. The proposed framework includes four learning strategies: schema-based learning, Chain-of-Thought (CoT) learning, knowledge-enhanced learning, and key information tokenization. This approach provides a comprehensive understanding of database structure and metadata information towards LLM through fine-tuning to improve its performance on SQL generation within business domains. Through two experimental studies, we have demonstrated the superiority of the proposed methods in execution accuracy, multi-task SQL generation capability, and reduction of catastrophic forgetting.</x:v>
      </x:c>
      <x:c r="L592" s="17" t="str">
        <x:v>http://arxiv.org/abs/2505.18929v1</x:v>
      </x:c>
      <x:c r="M592" s="23" t="n">
        <x:v>0.7709983475658613</x:v>
      </x:c>
      <x:c r="N592" s="17" t="str">
        <x:v>qwen3-rerank-no-instruct-20260727-125006-results.jsonl</x:v>
      </x:c>
      <x:c r="O592" s="24" t="str">
        <x:v>2</x:v>
      </x:c>
      <x:c r="P592" s="28" t="str">
        <x:v>《Meta-aware Learning in text-to-SQL Large Language Model》核心覆盖Text-to-SQL从神经schema解析到LLM方法及跨域基准挑战。</x:v>
      </x:c>
      <x:c r="Q592" s="25" t="str"/>
      <x:c r="R592" s="24" t="str">
        <x:f>IF(Q592&lt;&gt;"",Q592,O592)</x:f>
        <x:v>2</x:v>
      </x:c>
      <x:c r="S592" s="29" t="str"/>
    </x:row>
    <x:row r="593" ht="54" customHeight="1">
      <x:c r="A593" s="17" t="str">
        <x:v>csq030-r12</x:v>
      </x:c>
      <x:c r="B593" s="17" t="str">
        <x:v>csq030</x:v>
      </x:c>
      <x:c r="C593" s="17" t="str">
        <x:v>data_management_and_ir</x:v>
      </x:c>
      <x:c r="D593" s="17" t="str">
        <x:v>text_to_sql</x:v>
      </x:c>
      <x:c r="E593" s="27" t="str">
        <x:v>How have text-to-SQL systems evolved from schema-aware neural parsers to large-language-model-based approaches, and which challenges remain on cross-domain benchmarks?</x:v>
      </x:c>
      <x:c r="F593" s="22" t="n">
        <x:v>12</x:v>
      </x:c>
      <x:c r="G593" s="17" t="str">
        <x:v>arXiv:2106.11455</x:v>
      </x:c>
      <x:c r="H593" s="27" t="str">
        <x:v>KaggleDBQA: Realistic Evaluation of Text-to-SQL Parsers</x:v>
      </x:c>
      <x:c r="I593" s="17" t="str">
        <x:v>Chia-Hsuan Lee; Oleksandr Polozov; Matthew Richardson</x:v>
      </x:c>
      <x:c r="J593" s="22" t="n">
        <x:v>2021</x:v>
      </x:c>
      <x:c r="K593" s="27" t="str">
        <x:v>The goal of database question answering is to enable natural language querying of real-life relational databases in diverse application domains. Recently, large-scale datasets such as Spider and WikiSQL facilitated novel modeling techniques for text-to-SQL parsing, improving zero-shot generalization to unseen databases. In this work, we examine the challenges that still prevent these techniques from practical deployment. First, we present KaggleDBQA, a new cross-domain evaluation dataset of real Web databases, with domain-specific data types, original formatting, and unrestricted questions. Second, we re-examine the choice of evaluation tasks for text-to-SQL parsers as applied in real-life settings. Finally, we augment our in-domain evaluation task with database documentation, a naturally occurring source of implicit domain knowledge. We show that KaggleDBQA presents a challenge to state-of-the-art zero-shot parsers but a more realistic evaluation setting and creative use of associated database documentation boosts their accuracy by over 13.2%, doubling their performance.</x:v>
      </x:c>
      <x:c r="L593" s="17" t="str">
        <x:v>http://arxiv.org/abs/2106.11455v1</x:v>
      </x:c>
      <x:c r="M593" s="23" t="n">
        <x:v>0.7611940792685143</x:v>
      </x:c>
      <x:c r="N593" s="17" t="str">
        <x:v>qwen3-rerank-no-instruct-20260727-125006-results.jsonl</x:v>
      </x:c>
      <x:c r="O593" s="24" t="str">
        <x:v>2</x:v>
      </x:c>
      <x:c r="P593" s="28" t="str">
        <x:v>《KaggleDBQA: Realistic Evaluation of Text-to-SQL Parsers》核心覆盖Text-to-SQL从神经schema解析到LLM方法及跨域基准挑战。</x:v>
      </x:c>
      <x:c r="Q593" s="25" t="str"/>
      <x:c r="R593" s="24" t="str">
        <x:f>IF(Q593&lt;&gt;"",Q593,O593)</x:f>
        <x:v>2</x:v>
      </x:c>
      <x:c r="S593" s="29" t="str"/>
    </x:row>
    <x:row r="594" ht="54" customHeight="1">
      <x:c r="A594" s="17" t="str">
        <x:v>csq030-r13</x:v>
      </x:c>
      <x:c r="B594" s="17" t="str">
        <x:v>csq030</x:v>
      </x:c>
      <x:c r="C594" s="17" t="str">
        <x:v>data_management_and_ir</x:v>
      </x:c>
      <x:c r="D594" s="17" t="str">
        <x:v>text_to_sql</x:v>
      </x:c>
      <x:c r="E594" s="27" t="str">
        <x:v>How have text-to-SQL systems evolved from schema-aware neural parsers to large-language-model-based approaches, and which challenges remain on cross-domain benchmarks?</x:v>
      </x:c>
      <x:c r="F594" s="22" t="n">
        <x:v>13</x:v>
      </x:c>
      <x:c r="G594" s="17" t="str">
        <x:v>arXiv:2506.09359</x:v>
      </x:c>
      <x:c r="H594" s="27" t="str">
        <x:v>Taming SQL Complexity: LLM-Based Equivalence Evaluation for Text-to-SQL</x:v>
      </x:c>
      <x:c r="I594" s="17" t="str">
        <x:v>Qingyun Zeng; Simin Ma; Arash Niknafs; Ashish Basran; Carol Szabo</x:v>
      </x:c>
      <x:c r="J594" s="22" t="n">
        <x:v>2025</x:v>
      </x:c>
      <x:c r="K594" s="27" t="str">
        <x:v>The rise of Large Language Models (LLMs) has significantly advanced Text-to-SQL (NL2SQL) systems, yet evaluating the semantic equivalence of generated SQL remains a challenge, especially given ambiguous user queries and multiple valid SQL interpretations. This paper explores using LLMs to assess both semantic and a more practical "weak" semantic equivalence. We analyze common patterns of SQL equivalence and inequivalence, discuss challenges in LLM-based evaluation.</x:v>
      </x:c>
      <x:c r="L594" s="17" t="str">
        <x:v>http://arxiv.org/abs/2506.09359v1</x:v>
      </x:c>
      <x:c r="M594" s="23" t="n">
        <x:v>0.7562083624083551</x:v>
      </x:c>
      <x:c r="N594" s="17" t="str">
        <x:v>qwen3-rerank-no-instruct-20260727-125006-results.jsonl</x:v>
      </x:c>
      <x:c r="O594" s="24" t="str">
        <x:v>2</x:v>
      </x:c>
      <x:c r="P594" s="28" t="str">
        <x:v>《Taming SQL Complexity: LLM-Based Equivalence Evaluation for Text-to-SQL》核心覆盖Text-to-SQL从神经schema解析到LLM方法及跨域基准挑战。</x:v>
      </x:c>
      <x:c r="Q594" s="25" t="str"/>
      <x:c r="R594" s="24" t="str">
        <x:f>IF(Q594&lt;&gt;"",Q594,O594)</x:f>
        <x:v>2</x:v>
      </x:c>
      <x:c r="S594" s="29" t="str"/>
    </x:row>
    <x:row r="595" ht="54" customHeight="1">
      <x:c r="A595" s="17" t="str">
        <x:v>csq030-r14</x:v>
      </x:c>
      <x:c r="B595" s="17" t="str">
        <x:v>csq030</x:v>
      </x:c>
      <x:c r="C595" s="17" t="str">
        <x:v>data_management_and_ir</x:v>
      </x:c>
      <x:c r="D595" s="17" t="str">
        <x:v>text_to_sql</x:v>
      </x:c>
      <x:c r="E595" s="27" t="str">
        <x:v>How have text-to-SQL systems evolved from schema-aware neural parsers to large-language-model-based approaches, and which challenges remain on cross-domain benchmarks?</x:v>
      </x:c>
      <x:c r="F595" s="22" t="n">
        <x:v>14</x:v>
      </x:c>
      <x:c r="G595" s="17" t="str">
        <x:v>arXiv:2010.12634</x:v>
      </x:c>
      <x:c r="H595" s="27" t="str">
        <x:v>Did You Ask a Good Question? A Cross-Domain Question Intention Classification Benchmark for Text-to-SQL</x:v>
      </x:c>
      <x:c r="I595" s="17" t="str">
        <x:v>Yusen Zhang; Xiangyu Dong; Shuaichen Chang; Tao Yu; Peng Shi; Rui Zhang</x:v>
      </x:c>
      <x:c r="J595" s="22" t="n">
        <x:v>2020</x:v>
      </x:c>
      <x:c r="K595" s="27" t="str">
        <x:v>Neural models have achieved significant results on the text-to-SQL task, in which most current work assumes all the input questions are legal and generates a SQL query for any input. However, in the real scenario, users can input any text that may not be able to be answered by a SQL query. In this work, we propose TriageSQL, the first cross-domain text-to-SQL question intention classification benchmark that requires models to distinguish four types of unanswerable questions from answerable questions. The baseline RoBERTa model achieves a 60% F1 score on the test set, demonstrating the need for further improvement on this task. Our dataset is available at https://github.com/chatc/TriageSQL.</x:v>
      </x:c>
      <x:c r="L595" s="17" t="str">
        <x:v>http://arxiv.org/abs/2010.12634v1</x:v>
      </x:c>
      <x:c r="M595" s="23" t="n">
        <x:v>0.7440527226957332</x:v>
      </x:c>
      <x:c r="N595" s="17" t="str">
        <x:v>qwen3-rerank-no-instruct-20260727-125006-results.jsonl</x:v>
      </x:c>
      <x:c r="O595" s="24" t="str">
        <x:v>2</x:v>
      </x:c>
      <x:c r="P595" s="28" t="str">
        <x:v>《Did You Ask a Good Question? A Cross-Domain Question Intention Classification Benchmark for Text-to-SQL》核心覆盖Text-to-SQL从神经schema解析到LLM方法及跨域基准挑战。</x:v>
      </x:c>
      <x:c r="Q595" s="25" t="str"/>
      <x:c r="R595" s="24" t="str">
        <x:f>IF(Q595&lt;&gt;"",Q595,O595)</x:f>
        <x:v>2</x:v>
      </x:c>
      <x:c r="S595" s="29" t="str"/>
    </x:row>
    <x:row r="596" ht="54" customHeight="1">
      <x:c r="A596" s="17" t="str">
        <x:v>csq030-r15</x:v>
      </x:c>
      <x:c r="B596" s="17" t="str">
        <x:v>csq030</x:v>
      </x:c>
      <x:c r="C596" s="17" t="str">
        <x:v>data_management_and_ir</x:v>
      </x:c>
      <x:c r="D596" s="17" t="str">
        <x:v>text_to_sql</x:v>
      </x:c>
      <x:c r="E596" s="27" t="str">
        <x:v>How have text-to-SQL systems evolved from schema-aware neural parsers to large-language-model-based approaches, and which challenges remain on cross-domain benchmarks?</x:v>
      </x:c>
      <x:c r="F596" s="22" t="n">
        <x:v>15</x:v>
      </x:c>
      <x:c r="G596" s="17" t="str">
        <x:v>arXiv:2109.05157</x:v>
      </x:c>
      <x:c r="H596" s="27" t="str">
        <x:v>Exploring Underexplored Limitations of Cross-Domain Text-to-SQL Generalization</x:v>
      </x:c>
      <x:c r="I596" s="17" t="str">
        <x:v>Yujian Gan; Xinyun Chen; Matthew Purver</x:v>
      </x:c>
      <x:c r="J596" s="22" t="n">
        <x:v>2021</x:v>
      </x:c>
      <x:c r="K596" s="27" t="str">
        <x:v>Recently, there has been significant progress in studying neural networks for translating text descriptions into SQL queries under the zero-shot cross-domain setting. Despite achieving good performance on some public benchmarks, we observe that existing text-to-SQL models do not generalize when facing domain knowledge that does not frequently appear in the training data, which may render the worse prediction performance for unseen domains. In this work, we investigate the robustness of text-to-SQL models when the questions require rarely observed domain knowledge. In particular, we define five types of domain knowledge and introduce Spider-DK (DK is the abbreviation of domain knowledge), a human-curated dataset based on the Spider benchmark for text-to-SQL translation. NL questions in Spider-DK are selected from Spider, and we modify some samples by adding domain knowledge that reflects real-world question paraphrases. We demonstrate that the prediction accuracy dramatically drops on samples that require such domain knowledge, even if the domain knowledge appears in the training set, and the model provides the correct predictions for related training samples.</x:v>
      </x:c>
      <x:c r="L596" s="17" t="str">
        <x:v>http://arxiv.org/abs/2109.05157v1</x:v>
      </x:c>
      <x:c r="M596" s="23" t="n">
        <x:v>0.7375641314771332</x:v>
      </x:c>
      <x:c r="N596" s="17" t="str">
        <x:v>qwen3-rerank-no-instruct-20260727-125006-results.jsonl</x:v>
      </x:c>
      <x:c r="O596" s="24" t="str">
        <x:v>2</x:v>
      </x:c>
      <x:c r="P596" s="28" t="str">
        <x:v>《Exploring Underexplored Limitations of Cross-Domain Text-to-SQL Generalization》核心覆盖Text-to-SQL从神经schema解析到LLM方法及跨域基准挑战。</x:v>
      </x:c>
      <x:c r="Q596" s="25" t="str"/>
      <x:c r="R596" s="24" t="str">
        <x:f>IF(Q596&lt;&gt;"",Q596,O596)</x:f>
        <x:v>2</x:v>
      </x:c>
      <x:c r="S596" s="29" t="str"/>
    </x:row>
    <x:row r="597" ht="54" customHeight="1">
      <x:c r="A597" s="17" t="str">
        <x:v>csq030-r16</x:v>
      </x:c>
      <x:c r="B597" s="17" t="str">
        <x:v>csq030</x:v>
      </x:c>
      <x:c r="C597" s="17" t="str">
        <x:v>data_management_and_ir</x:v>
      </x:c>
      <x:c r="D597" s="17" t="str">
        <x:v>text_to_sql</x:v>
      </x:c>
      <x:c r="E597" s="27" t="str">
        <x:v>How have text-to-SQL systems evolved from schema-aware neural parsers to large-language-model-based approaches, and which challenges remain on cross-domain benchmarks?</x:v>
      </x:c>
      <x:c r="F597" s="22" t="n">
        <x:v>16</x:v>
      </x:c>
      <x:c r="G597" s="17" t="str">
        <x:v>arXiv:2410.06011</x:v>
      </x:c>
      <x:c r="H597" s="27" t="str">
        <x:v>Large Language Model Enhanced Text-to-SQL Generation: A Survey</x:v>
      </x:c>
      <x:c r="I597" s="17" t="str">
        <x:v>Xiaohu Zhu; Qian Li; Lizhen Cui; Yongkang Liu</x:v>
      </x:c>
      <x:c r="J597" s="22" t="n">
        <x:v>2024</x:v>
      </x:c>
      <x:c r="K597" s="27" t="str">
        <x:v>Text-to-SQL translates natural language queries into Structured Query Language (SQL) commands, enabling users to interact with databases using natural language. Essentially, the text-to-SQL task is a text generation task, and its development is primarily dependent on changes in language models. Especially with the rapid development of Large Language Models (LLMs), the pattern of text-to-SQL has undergone significant changes. Existing survey work mainly focuses on rule-based and neural-based approaches, but it still lacks a survey of Text-to-SQL with LLMs. In this paper, we survey the large language model enhanced text-to-SQL generations, classifying them into prompt engineering, fine-tuning, pre-trained, and Agent groups according to training strategies. We also summarize datasets and evaluation metrics comprehensively. This survey could help people better understand the pattern, research status, and challenges of LLM-based text-to-SQL generations.</x:v>
      </x:c>
      <x:c r="L597" s="17" t="str">
        <x:v>http://arxiv.org/abs/2410.06011v1</x:v>
      </x:c>
      <x:c r="M597" s="23" t="n">
        <x:v>0.7337100360099529</x:v>
      </x:c>
      <x:c r="N597" s="17" t="str">
        <x:v>qwen3-rerank-no-instruct-20260727-125006-results.jsonl</x:v>
      </x:c>
      <x:c r="O597" s="24" t="str">
        <x:v>2</x:v>
      </x:c>
      <x:c r="P597" s="28" t="str">
        <x:v>《Large Language Model Enhanced Text-to-SQL Generation: A Survey》核心覆盖Text-to-SQL从神经schema解析到LLM方法及跨域基准挑战。</x:v>
      </x:c>
      <x:c r="Q597" s="25" t="str"/>
      <x:c r="R597" s="24" t="str">
        <x:f>IF(Q597&lt;&gt;"",Q597,O597)</x:f>
        <x:v>2</x:v>
      </x:c>
      <x:c r="S597" s="29" t="str"/>
    </x:row>
    <x:row r="598" ht="54" customHeight="1">
      <x:c r="A598" s="17" t="str">
        <x:v>csq030-r17</x:v>
      </x:c>
      <x:c r="B598" s="17" t="str">
        <x:v>csq030</x:v>
      </x:c>
      <x:c r="C598" s="17" t="str">
        <x:v>data_management_and_ir</x:v>
      </x:c>
      <x:c r="D598" s="17" t="str">
        <x:v>text_to_sql</x:v>
      </x:c>
      <x:c r="E598" s="27" t="str">
        <x:v>How have text-to-SQL systems evolved from schema-aware neural parsers to large-language-model-based approaches, and which challenges remain on cross-domain benchmarks?</x:v>
      </x:c>
      <x:c r="F598" s="22" t="n">
        <x:v>17</x:v>
      </x:c>
      <x:c r="G598" s="17" t="str">
        <x:v>arXiv:2409.19014</x:v>
      </x:c>
      <x:c r="H598" s="27" t="str">
        <x:v>FLEX: Expert-level False-Less EXecution Metric for Reliable Text-to-SQL Benchmark</x:v>
      </x:c>
      <x:c r="I598" s="17" t="str">
        <x:v>Heegyu Kim; Taeyang Jeon; Seunghwan Choi; Seungtaek Choi; Hyunsouk Cho</x:v>
      </x:c>
      <x:c r="J598" s="22" t="n">
        <x:v>2024</x:v>
      </x:c>
      <x:c r="K598" s="27" t="str">
        <x:v>Text-to-SQL systems have become crucial for translating natural language into SQL queries in various industries, enabling non-technical users to perform complex data operations. The need for accurate evaluation methods has increased as these systems have grown more sophisticated. However, the Execution Accuracy (EX), the most prevalent evaluation metric, still shows many false positives and negatives. Thus, this paper introduces FLEX (False-Less EXecution), a novel approach to evaluating text-to-SQL systems using large language models (LLMs) to emulate human expert-level evaluation of SQL queries. Our metric improves agreement with human experts (from 62 to 87.04 in Cohen's kappa) with comprehensive context and sophisticated criteria. Our extensive experiments yield several key insights: (1) Models' performance increases by over 2.6 points on average, substantially affecting rankings on Spider and BIRD benchmarks; (2) The underestimation of models in EX primarily stems from annotation quality issues; and (3) Model performance on particularly challenging questions tends to be overestimated. This work contributes to a more accurate and nuanced evaluation of text-to-SQL systems, potentially reshaping our understanding of state-of-the-art performance in this field.</x:v>
      </x:c>
      <x:c r="L598" s="17" t="str">
        <x:v>http://arxiv.org/abs/2409.19014v4</x:v>
      </x:c>
      <x:c r="M598" s="23" t="n">
        <x:v>0.7319317183027627</x:v>
      </x:c>
      <x:c r="N598" s="17" t="str">
        <x:v>qwen3-rerank-no-instruct-20260727-125006-results.jsonl</x:v>
      </x:c>
      <x:c r="O598" s="24" t="str">
        <x:v>2</x:v>
      </x:c>
      <x:c r="P598" s="28" t="str">
        <x:v>《FLEX: Expert-level False-Less EXecution Metric for Reliable Text-to-SQL Benchmark》核心覆盖Text-to-SQL从神经schema解析到LLM方法及跨域基准挑战。</x:v>
      </x:c>
      <x:c r="Q598" s="25" t="str"/>
      <x:c r="R598" s="24" t="str">
        <x:f>IF(Q598&lt;&gt;"",Q598,O598)</x:f>
        <x:v>2</x:v>
      </x:c>
      <x:c r="S598" s="29" t="str"/>
    </x:row>
    <x:row r="599" ht="54" customHeight="1">
      <x:c r="A599" s="17" t="str">
        <x:v>csq030-r18</x:v>
      </x:c>
      <x:c r="B599" s="17" t="str">
        <x:v>csq030</x:v>
      </x:c>
      <x:c r="C599" s="17" t="str">
        <x:v>data_management_and_ir</x:v>
      </x:c>
      <x:c r="D599" s="17" t="str">
        <x:v>text_to_sql</x:v>
      </x:c>
      <x:c r="E599" s="27" t="str">
        <x:v>How have text-to-SQL systems evolved from schema-aware neural parsers to large-language-model-based approaches, and which challenges remain on cross-domain benchmarks?</x:v>
      </x:c>
      <x:c r="F599" s="22" t="n">
        <x:v>18</x:v>
      </x:c>
      <x:c r="G599" s="17" t="str">
        <x:v>arXiv:2407.15186</x:v>
      </x:c>
      <x:c r="H599" s="27" t="str">
        <x:v>A Survey on Employing Large Language Models for Text-to-SQL Tasks</x:v>
      </x:c>
      <x:c r="I599" s="17" t="str">
        <x:v>Liang Shi; Zhengju Tang; Nan Zhang; Xiaotong Zhang; Zhi Yang</x:v>
      </x:c>
      <x:c r="J599" s="22" t="n">
        <x:v>2024</x:v>
      </x:c>
      <x:c r="K599" s="27" t="str">
        <x:v>With the development of the Large Language Models (LLMs), a large range of LLM-based Text-to-SQL(Text2SQL) methods have emerged. This survey provides a comprehensive review of LLM-based Text2SQL studies. We first enumerate classic benchmarks and evaluation metrics. For the two mainstream methods, prompt engineering and finetuning, we introduce a comprehensive taxonomy and offer practical insights into each subcategory. We present an overall analysis of the above methods and various models evaluated on well-known datasets and extract some characteristics. Finally, we discuss the challenges and future directions in this field.</x:v>
      </x:c>
      <x:c r="L599" s="17" t="str">
        <x:v>http://arxiv.org/abs/2407.15186v5</x:v>
      </x:c>
      <x:c r="M599" s="23" t="n">
        <x:v>0.7213140816321821</x:v>
      </x:c>
      <x:c r="N599" s="17" t="str">
        <x:v>qwen3-rerank-no-instruct-20260727-125006-results.jsonl</x:v>
      </x:c>
      <x:c r="O599" s="24" t="str">
        <x:v>2</x:v>
      </x:c>
      <x:c r="P599" s="28" t="str">
        <x:v>《A Survey on Employing Large Language Models for Text-to-SQL Tasks》核心覆盖Text-to-SQL从神经schema解析到LLM方法及跨域基准挑战。</x:v>
      </x:c>
      <x:c r="Q599" s="25" t="str"/>
      <x:c r="R599" s="24" t="str">
        <x:f>IF(Q599&lt;&gt;"",Q599,O599)</x:f>
        <x:v>2</x:v>
      </x:c>
      <x:c r="S599" s="29" t="str"/>
    </x:row>
    <x:row r="600" ht="54" customHeight="1">
      <x:c r="A600" s="17" t="str">
        <x:v>csq030-r19</x:v>
      </x:c>
      <x:c r="B600" s="17" t="str">
        <x:v>csq030</x:v>
      </x:c>
      <x:c r="C600" s="17" t="str">
        <x:v>data_management_and_ir</x:v>
      </x:c>
      <x:c r="D600" s="17" t="str">
        <x:v>text_to_sql</x:v>
      </x:c>
      <x:c r="E600" s="27" t="str">
        <x:v>How have text-to-SQL systems evolved from schema-aware neural parsers to large-language-model-based approaches, and which challenges remain on cross-domain benchmarks?</x:v>
      </x:c>
      <x:c r="F600" s="22" t="n">
        <x:v>19</x:v>
      </x:c>
      <x:c r="G600" s="17" t="str">
        <x:v>arXiv:2004.03125</x:v>
      </x:c>
      <x:c r="H600" s="27" t="str">
        <x:v>RYANSQL: Recursively Applying Sketch-based Slot Fillings for Complex Text-to-SQL in Cross-Domain Databases</x:v>
      </x:c>
      <x:c r="I600" s="17" t="str">
        <x:v>DongHyun Choi; Myeong Cheol Shin; EungGyun Kim; Dong Ryeol Shin</x:v>
      </x:c>
      <x:c r="J600" s="22" t="n">
        <x:v>2020</x:v>
      </x:c>
      <x:c r="K600" s="27" t="str">
        <x:v>Text-to-SQL is the problem of converting a user question into an SQL query, when the question and database are given. In this paper, we present a neural network approach called RYANSQL (Recursively Yielding Annotation Network for SQL) to solve complex Text-to-SQL tasks for cross-domain databases. State-ment Position Code (SPC) is defined to trans-form a nested SQL query into a set of non-nested SELECT statements; a sketch-based slot filling approach is proposed to synthesize each SELECT statement for its corresponding SPC. Additionally, two input manipulation methods are presented to improve generation performance further. RYANSQL achieved 58.2% accuracy on the challenging Spider benchmark, which is a 3.2%p improvement over previous state-of-the-art approaches. At the time of writing, RYANSQL achieves the first position on the Spider leaderboard.</x:v>
      </x:c>
      <x:c r="L600" s="17" t="str">
        <x:v>http://arxiv.org/abs/2004.03125v1</x:v>
      </x:c>
      <x:c r="M600" s="23" t="n">
        <x:v>0.7170639962924029</x:v>
      </x:c>
      <x:c r="N600" s="17" t="str">
        <x:v>qwen3-rerank-no-instruct-20260727-125006-results.jsonl</x:v>
      </x:c>
      <x:c r="O600" s="24" t="str">
        <x:v>2</x:v>
      </x:c>
      <x:c r="P600" s="28" t="str">
        <x:v>《RYANSQL: Recursively Applying Sketch-based Slot Fillings for Complex Text-to-SQL in Cross-Domain Databases》核心覆盖Text-to-SQL从神经schema解析到LLM方法及跨域基准挑战。</x:v>
      </x:c>
      <x:c r="Q600" s="25" t="str"/>
      <x:c r="R600" s="24" t="str">
        <x:f>IF(Q600&lt;&gt;"",Q600,O600)</x:f>
        <x:v>2</x:v>
      </x:c>
      <x:c r="S600" s="29" t="str"/>
    </x:row>
    <x:row r="601" ht="54" customHeight="1">
      <x:c r="A601" s="17" t="str">
        <x:v>csq030-r20</x:v>
      </x:c>
      <x:c r="B601" s="17" t="str">
        <x:v>csq030</x:v>
      </x:c>
      <x:c r="C601" s="17" t="str">
        <x:v>data_management_and_ir</x:v>
      </x:c>
      <x:c r="D601" s="17" t="str">
        <x:v>text_to_sql</x:v>
      </x:c>
      <x:c r="E601" s="27" t="str">
        <x:v>How have text-to-SQL systems evolved from schema-aware neural parsers to large-language-model-based approaches, and which challenges remain on cross-domain benchmarks?</x:v>
      </x:c>
      <x:c r="F601" s="22" t="n">
        <x:v>20</x:v>
      </x:c>
      <x:c r="G601" s="17" t="str">
        <x:v>arXiv:2403.02951</x:v>
      </x:c>
      <x:c r="H601" s="27" t="str">
        <x:v>SQLBench: A Comprehensive Evaluation for Text-to-SQL Capabilities of Large Language Models</x:v>
      </x:c>
      <x:c r="I601" s="17" t="str">
        <x:v>Bin Zhang; Yuxiao Ye; Guoqing Du; Xiaoru Hu; Zhishuai Li; Chi Harold Liu; Zhiwei Xu; Guoliang Fan; Rui Zhao; Ziyue Li; Hangyu Mao</x:v>
      </x:c>
      <x:c r="J601" s="22" t="n">
        <x:v>2024</x:v>
      </x:c>
      <x:c r="K601" s="27" t="str">
        <x:v>Large Language Models (LLMs) have emerged as a powerful tool in advancing the Text-to-SQL task, significantly outperforming traditional methods.Nevertheless, as a nascent research field, there is still no consensus on the optimal prompt templates and design frameworks. Additionally, existing benchmarks inadequately explore the performance of LLMs across the various sub-tasks of the Text-to-SQL process, which hinders the assessment of LLMs' cognitive capabilities and the optimization of LLM-based solutions. To address the aforementioned issues, we firstly construct a new dataset designed to mitigate the risk of overfitting in LLMs. Then we formulate five evaluation tasks to comprehensively assess the performance of diverse methods across various LLMs throughout the Text-to-SQL process.Our study highlights the performance disparities among LLMs and proposes optimal in-context learning solutions tailored to each task. These findings offer valuable insights for facilitating the development of LLM-based Text-to-SQL systems.</x:v>
      </x:c>
      <x:c r="L601" s="17" t="str">
        <x:v>http://arxiv.org/abs/2403.02951v3</x:v>
      </x:c>
      <x:c r="M601" s="23" t="n">
        <x:v>0.715262759050318</x:v>
      </x:c>
      <x:c r="N601" s="17" t="str">
        <x:v>qwen3-rerank-no-instruct-20260727-125006-results.jsonl</x:v>
      </x:c>
      <x:c r="O601" s="24" t="str">
        <x:v>2</x:v>
      </x:c>
      <x:c r="P601" s="28" t="str">
        <x:v>《SQLBench: A Comprehensive Evaluation for Text-to-SQL Capabilities of Large Language Models》核心覆盖Text-to-SQL从神经schema解析到LLM方法及跨域基准挑战。</x:v>
      </x:c>
      <x:c r="Q601" s="25" t="str"/>
      <x:c r="R601" s="24" t="str">
        <x:f>IF(Q601&lt;&gt;"",Q601,O601)</x:f>
        <x:v>2</x:v>
      </x:c>
      <x:c r="S601" s="29" t="str"/>
    </x:row>
  </x:sheetData>
  <x:conditionalFormatting sqref="R2:R601">
    <x:cfRule type="cellIs" dxfId="0" priority="1" operator="equal">
      <x:formula>2</x:formula>
    </x:cfRule>
    <x:cfRule type="cellIs" dxfId="1" priority="2" operator="equal">
      <x:formula>1</x:formula>
    </x:cfRule>
    <x:cfRule type="cellIs" dxfId="2" priority="3" operator="equal">
      <x:formula>0</x:formula>
    </x:cfRule>
    <x:cfRule type="containsText" dxfId="3" priority="4" operator="containsText" text="?"/>
  </x:conditionalFormatting>
  <x:dataValidations count="1">
    <x:dataValidation type="list" sqref="Q2:Q601">
      <x:formula1>"0,1,2,?"</x:formula1>
    </x:dataValidation>
  </x:dataValidations>
  <x:pageMargins left="0.7" right="0.7" top="0.75" bottom="0.75" header="0.3" footer="0.3"/>
  <x:tableParts count="1">
    <x:tablePart xmlns:r="http://schemas.openxmlformats.org/officeDocument/2006/relationships" r:id="Rd17bc174d3594a54"/>
  </x:tableParts>
</x:worksheet>
</file>