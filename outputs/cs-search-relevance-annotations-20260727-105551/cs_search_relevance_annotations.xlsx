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34f7ea003854f22" /></Relationships>
</file>

<file path=xl/workbook.xml><?xml version="1.0" encoding="utf-8"?>
<x:workbook xmlns:x="http://schemas.openxmlformats.org/spreadsheetml/2006/main">
  <x:sheets>
    <x:sheet xmlns:r="http://schemas.openxmlformats.org/officeDocument/2006/relationships" name="README" sheetId="1" r:id="Rae50ce6b76164f70"/>
    <x:sheet xmlns:r="http://schemas.openxmlformats.org/officeDocument/2006/relationships" name="Summary" sheetId="2" r:id="Rea3feda242c7492d"/>
    <x:sheet xmlns:r="http://schemas.openxmlformats.org/officeDocument/2006/relationships" name="Annotations" sheetId="3" r:id="R169ec230ac2847c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0"/>
    <x:numFmt numFmtId="202" formatCode="0.0%"/>
  </x:numFmts>
  <x:fonts count="6">
    <x:font>
      <x:sz val="11"/>
      <x:name val="Carlito"/>
    </x:font>
    <x:font>
      <x:b/>
      <x:sz val="16"/>
      <x:color rgb="FFFFFFFF"/>
      <x:name val="Carlito"/>
    </x:font>
    <x:font>
      <x:b/>
      <x:sz val="11"/>
      <x:color rgb="FFFFFFFF"/>
      <x:name val="Carlito"/>
    </x:font>
    <x:font>
      <x:b/>
      <x:sz val="11"/>
      <x:color rgb="FF17212B"/>
      <x:name val="Carlito"/>
    </x:font>
    <x:font>
      <x:sz val="10"/>
      <x:color rgb="FF17212B"/>
      <x:name val="Aptos"/>
    </x:font>
    <x:font>
      <x:b/>
      <x:sz val="10"/>
      <x:color rgb="FFFFFFFF"/>
      <x:name val="Aptos"/>
    </x:font>
  </x:fonts>
  <x:fills count="6">
    <x:fill>
      <x:patternFill patternType="none"/>
    </x:fill>
    <x:fill>
      <x:patternFill patternType="gray125"/>
    </x:fill>
    <x:fill>
      <x:patternFill patternType="solid">
        <x:fgColor rgb="FF17324D"/>
      </x:patternFill>
    </x:fill>
    <x:fill>
      <x:patternFill patternType="solid">
        <x:fgColor rgb="FF236B8E"/>
      </x:patternFill>
    </x:fill>
    <x:fill>
      <x:patternFill patternType="solid">
        <x:fgColor rgb="FFEAF3F8"/>
      </x:patternFill>
    </x:fill>
    <x:fill>
      <x:patternFill patternType="solid">
        <x:fgColor rgb="FFFFFBE6"/>
      </x:patternFill>
    </x:fill>
  </x:fills>
  <x:borders count="10">
    <x:border/>
    <x:border>
      <x:right style="thin">
        <x:color rgb="FFD9E1E8"/>
      </x:right>
      <x:bottom style="thin">
        <x:color rgb="FFD9E1E8"/>
      </x:bottom>
    </x:border>
    <x:border>
      <x:left style="thin">
        <x:color rgb="FFD9E1E8"/>
      </x:left>
      <x:bottom style="thin">
        <x:color rgb="FFD9E1E8"/>
      </x:bottom>
    </x:border>
    <x:border>
      <x:right style="thin">
        <x:color rgb="FFD9E1E8"/>
      </x:right>
      <x:top style="thin">
        <x:color rgb="FFD9E1E8"/>
      </x:top>
      <x:bottom style="thin">
        <x:color rgb="FFD9E1E8"/>
      </x:bottom>
    </x:border>
    <x:border>
      <x:left style="thin">
        <x:color rgb="FFD9E1E8"/>
      </x:left>
      <x:top style="thin">
        <x:color rgb="FFD9E1E8"/>
      </x:top>
      <x:bottom style="thin">
        <x:color rgb="FFD9E1E8"/>
      </x:bottom>
    </x:border>
    <x:border>
      <x:right style="thin">
        <x:color rgb="FFD9E1E8"/>
      </x:right>
      <x:top style="thin">
        <x:color rgb="FFD9E1E8"/>
      </x:top>
    </x:border>
    <x:border>
      <x:left style="thin">
        <x:color rgb="FFD9E1E8"/>
      </x:left>
      <x:top style="thin">
        <x:color rgb="FFD9E1E8"/>
      </x:top>
    </x:border>
    <x:border>
      <x:left style="thin">
        <x:color rgb="FFD9E1E8"/>
      </x:left>
      <x:right style="thin">
        <x:color rgb="FFD9E1E8"/>
      </x:right>
      <x:bottom style="thin">
        <x:color rgb="FFD9E1E8"/>
      </x:bottom>
    </x:border>
    <x:border>
      <x:left style="thin">
        <x:color rgb="FFD9E1E8"/>
      </x:left>
      <x:right style="thin">
        <x:color rgb="FFD9E1E8"/>
      </x:right>
      <x:top style="thin">
        <x:color rgb="FFD9E1E8"/>
      </x:top>
      <x:bottom style="thin">
        <x:color rgb="FFD9E1E8"/>
      </x:bottom>
    </x:border>
    <x:border>
      <x:left style="thin">
        <x:color rgb="FFD9E1E8"/>
      </x:left>
      <x:right style="thin">
        <x:color rgb="FFD9E1E8"/>
      </x:right>
      <x:top style="thin">
        <x:color rgb="FFD9E1E8"/>
      </x:top>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3" fillId="4" borderId="3" xfId="0" applyNumberFormat="1" applyFont="1" applyFill="1" applyBorder="1" applyAlignment="1">
      <x:alignment wrapText="1"/>
    </x:xf>
    <x:xf numFmtId="0" fontId="0" fillId="0" borderId="4" xfId="0" applyNumberFormat="1" applyFont="1" applyFill="1" applyBorder="1" applyAlignment="1">
      <x:alignment wrapText="1"/>
    </x:xf>
    <x:xf numFmtId="0" fontId="3" fillId="4"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0" borderId="0" xfId="0" applyNumberFormat="1" applyFont="1" applyFill="1" applyBorder="1"/>
    <x:xf numFmtId="0" fontId="4"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200" fontId="4" fillId="0" borderId="0" xfId="0" applyNumberFormat="1" applyFont="1" applyFill="1" applyBorder="1"/>
    <x:xf numFmtId="201" fontId="4" fillId="0" borderId="0" xfId="0" applyNumberFormat="1" applyFont="1" applyFill="1" applyBorder="1"/>
    <x:xf numFmtId="0" fontId="4" fillId="0" borderId="0" xfId="0" applyNumberFormat="1" applyFont="1" applyFill="1" applyBorder="1" applyAlignment="1">
      <x:alignment horizontal="center"/>
    </x:xf>
    <x:xf numFmtId="0" fontId="4" fillId="5" borderId="0" xfId="0" applyNumberFormat="1" applyFont="1" applyFill="1" applyBorder="1" applyAlignment="1">
      <x:alignment horizontal="center"/>
    </x:xf>
    <x:xf numFmtId="0" fontId="4" fillId="5"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horizontal="center" wrapText="1"/>
    </x:xf>
    <x:xf numFmtId="0" fontId="4" fillId="5" borderId="0" xfId="0" applyNumberFormat="1" applyFont="1" applyFill="1" applyBorder="1" applyAlignment="1">
      <x:alignment wrapText="1"/>
    </x:xf>
    <x:xf numFmtId="200" fontId="0" fillId="0" borderId="0" xfId="0" applyNumberFormat="1" applyFont="1" applyFill="1" applyBorder="1"/>
    <x:xf numFmtId="200" fontId="3" fillId="4" borderId="0" xfId="0" applyNumberFormat="1" applyFont="1" applyFill="1" applyBorder="1"/>
    <x:xf numFmtId="202" fontId="0" fillId="0" borderId="0" xfId="0" applyNumberFormat="1" applyFont="1" applyFill="1" applyBorder="1"/>
    <x:xf numFmtId="202" fontId="3" fillId="4" borderId="0" xfId="0" applyNumberFormat="1" applyFont="1" applyFill="1" applyBorder="1"/>
    <x:xf numFmtId="0" fontId="2" fillId="3" borderId="7" xfId="0" applyNumberFormat="1" applyFont="1" applyFill="1" applyBorder="1" applyAlignment="1">
      <x:alignment wrapText="1"/>
    </x:xf>
    <x:xf numFmtId="0" fontId="0" fillId="0" borderId="3" xfId="0" applyNumberFormat="1" applyFont="1" applyFill="1" applyBorder="1"/>
    <x:xf numFmtId="0" fontId="0" fillId="0" borderId="8" xfId="0" applyNumberFormat="1" applyFont="1" applyFill="1" applyBorder="1"/>
    <x:xf numFmtId="200" fontId="0" fillId="0" borderId="8" xfId="0" applyNumberFormat="1" applyFont="1" applyFill="1" applyBorder="1"/>
    <x:xf numFmtId="202" fontId="0" fillId="0" borderId="8" xfId="0" applyNumberFormat="1" applyFont="1" applyFill="1" applyBorder="1"/>
    <x:xf numFmtId="202" fontId="0" fillId="0" borderId="4" xfId="0" applyNumberFormat="1" applyFont="1" applyFill="1" applyBorder="1"/>
    <x:xf numFmtId="0" fontId="3" fillId="4" borderId="5" xfId="0" applyNumberFormat="1" applyFont="1" applyFill="1" applyBorder="1"/>
    <x:xf numFmtId="0" fontId="3" fillId="4" borderId="9" xfId="0" applyNumberFormat="1" applyFont="1" applyFill="1" applyBorder="1"/>
    <x:xf numFmtId="200" fontId="3" fillId="4" borderId="9" xfId="0" applyNumberFormat="1" applyFont="1" applyFill="1" applyBorder="1"/>
    <x:xf numFmtId="202" fontId="3" fillId="4" borderId="9" xfId="0" applyNumberFormat="1" applyFont="1" applyFill="1" applyBorder="1"/>
    <x:xf numFmtId="202" fontId="3" fillId="4" borderId="6" xfId="0" applyNumberFormat="1" applyFont="1" applyFill="1" applyBorder="1"/>
    <x:xf numFmtId="0" fontId="0" fillId="0" borderId="8" xfId="0" applyNumberFormat="1" applyFont="1" applyFill="1" applyBorder="1" applyAlignment="1">
      <x:alignment wrapText="1"/>
    </x:xf>
  </x:cellXfs>
  <x:cellStyles count="1">
    <x:cellStyle name="Normal" xfId="0"/>
  </x:cellStyles>
  <x:dxfs count="4">
    <x:dxf>
      <x:font>
        <x:b/>
        <x:color rgb="FF274E13"/>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
      <x:font>
        <x:color rgb="FF595959"/>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e226d445a04956" /><Relationship Type="http://schemas.openxmlformats.org/officeDocument/2006/relationships/theme" Target="/xl/theme/theme1.xml" Id="R23f3003a4f764e31" /><Relationship Type="http://schemas.openxmlformats.org/officeDocument/2006/relationships/sharedStrings" Target="/xl/sharedStrings.xml" Id="Rfa2566a282fa4d54" /><Relationship Type="http://schemas.openxmlformats.org/officeDocument/2006/relationships/worksheet" Target="/xl/worksheets/sheet1.xml" Id="Rae50ce6b76164f70" /><Relationship Type="http://schemas.openxmlformats.org/officeDocument/2006/relationships/worksheet" Target="/xl/worksheets/sheet2.xml" Id="Rea3feda242c7492d" /><Relationship Type="http://schemas.openxmlformats.org/officeDocument/2006/relationships/worksheet" Target="/xl/worksheets/sheet3.xml" Id="R169ec230ac2847c3" /></Relationships>
</file>

<file path=xl/tables/table1.xml><?xml version="1.0" encoding="utf-8"?>
<x:table xmlns:x="http://schemas.openxmlformats.org/spreadsheetml/2006/main" id="1" name="AnnotationsTable" displayName="AnnotationsTable" ref="A1:S601" headerRowCount="1" totalsRowCount="0" totalsRowShown="0">
  <x:tableColumns count="19">
    <x:tableColumn id="1" name="item_id"/>
    <x:tableColumn id="2" name="question_id"/>
    <x:tableColumn id="3" name="domain"/>
    <x:tableColumn id="4" name="topic"/>
    <x:tableColumn id="5" name="question"/>
    <x:tableColumn id="6" name="rank"/>
    <x:tableColumn id="7" name="source_id"/>
    <x:tableColumn id="8" name="title"/>
    <x:tableColumn id="9" name="authors"/>
    <x:tableColumn id="10" name="year"/>
    <x:tableColumn id="11" name="abstract"/>
    <x:tableColumn id="12" name="url"/>
    <x:tableColumn id="13" name="RRF score"/>
    <x:tableColumn id="14" name="source run"/>
    <x:tableColumn id="15" name="Codex 初标"/>
    <x:tableColumn id="16" name="初标理由"/>
    <x:tableColumn id="17" name="人工修正"/>
    <x:tableColumn id="18" name="最终标签"/>
    <x:tableColumn id="19" name="人工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37ab4a90d5344c4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s>
  <x:sheetData>
    <x:row r="1" ht="34" customHeight="1">
      <x:c r="A1" s="3" t="str">
        <x:v>CS 论文搜索结果相关性标注</x:v>
      </x:c>
      <x:c r="B1" s="3"/>
    </x:row>
    <x:row r="3" ht="15" hidden="0" customHeight="1">
      <x:c r="A3" s="11" t="str">
        <x:v>字段</x:v>
      </x:c>
      <x:c r="B3" s="12" t="str">
        <x:v>说明</x:v>
      </x:c>
    </x:row>
    <x:row r="4" ht="15" hidden="0" customHeight="1">
      <x:c r="A4" s="13" t="str">
        <x:v>用途</x:v>
      </x:c>
      <x:c r="B4" s="14" t="str">
        <x:v>评估 research agent 在 30 个计算机科学问题上的论文搜索结果相关性。</x:v>
      </x:c>
    </x:row>
    <x:row r="5" ht="15" hidden="0" customHeight="1">
      <x:c r="A5" s="13" t="str">
        <x:v>候选规模</x:v>
      </x:c>
      <x:c r="B5" s="14" t="str">
        <x:v>600 篇；30 题每题 20 篇。</x:v>
      </x:c>
    </x:row>
    <x:row r="6" ht="15" hidden="0" customHeight="1">
      <x:c r="A6" s="13" t="str">
        <x:v>初标性质</x:v>
      </x:c>
      <x:c r="B6" s="14" t="str">
        <x:v>Codex 基于研究问题、论文标题和摘要进行的模型辅助初标，不等同于经过领域专家复核的人类金标准。</x:v>
      </x:c>
    </x:row>
    <x:row r="7" ht="15" hidden="0" customHeight="1">
      <x:c r="A7" s="13" t="str">
        <x:v>2 — Directly relevant</x:v>
      </x:c>
      <x:c r="B7" s="14" t="str">
        <x:v>论文主要贡献直接覆盖问题至少一个明确且实质性的子方向，可作为最终综述的核心证据。</x:v>
      </x:c>
    </x:row>
    <x:row r="8" ht="15" hidden="0" customHeight="1">
      <x:c r="A8" s="13" t="str">
        <x:v>1 — Partially relevant</x:v>
      </x:c>
      <x:c r="B8" s="14" t="str">
        <x:v>与问题有实质关联，可提供背景、应用、支持技术或侧面证据，但主要贡献不直接回答问题焦点。</x:v>
      </x:c>
    </x:row>
    <x:row r="9" ht="15" hidden="0" customHeight="1">
      <x:c r="A9" s="13" t="str">
        <x:v>0 — Irrelevant</x:v>
      </x:c>
      <x:c r="B9" s="14" t="str">
        <x:v>关键词碰撞、任务或领域不符，不能实质帮助回答问题。</x:v>
      </x:c>
    </x:row>
    <x:row r="10" ht="15" hidden="0" customHeight="1">
      <x:c r="A10" s="13" t="str">
        <x:v>? — Unclear</x:v>
      </x:c>
      <x:c r="B10" s="14" t="str">
        <x:v>仅凭标题和摘要不足以判断；应查看全文。该标签从严使用。</x:v>
      </x:c>
    </x:row>
    <x:row r="11" ht="15" hidden="0" customHeight="1">
      <x:c r="A11" s="13" t="str">
        <x:v>人工复核</x:v>
      </x:c>
      <x:c r="B11" s="14" t="str">
        <x:v>在 Annotations 的“人工修正”列选择 0、1、2 或 ?；“最终标签”会自动采用人工值，否则沿用 Codex 初标。</x:v>
      </x:c>
    </x:row>
    <x:row r="12" ht="15" hidden="0" customHeight="1">
      <x:c r="A12" s="13" t="str">
        <x:v>相关论文定义</x:v>
      </x:c>
      <x:c r="B12" s="14" t="str">
        <x:v>Summary 中的相关率和 Precision@K 将标签 1 与 2 都视为 relevant；标签 2 单独代表核心相关。</x:v>
      </x:c>
    </x:row>
    <x:row r="13" ht="15" hidden="0" customHeight="1">
      <x:c r="A13" s="13" t="str">
        <x:v>时间口径</x:v>
      </x:c>
      <x:c r="B13" s="14" t="str">
        <x:v>年份为 arXiv 上传年份；候选由各题配置的上传年份范围过滤。</x:v>
      </x:c>
    </x:row>
    <x:row r="14" ht="15" hidden="0" customHeight="1">
      <x:c r="A14" s="15" t="str">
        <x:v>结果来源</x:v>
      </x:c>
      <x:c r="B14" s="16" t="str">
        <x:v>候选来自：arxiv-paper-eval-20260727-105551-results.jsonl。</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72" hidden="0" customWidth="1"/>
    <x:col min="3" max="3" width="13" hidden="0" customWidth="1"/>
    <x:col min="4" max="4" width="13" hidden="0" customWidth="1"/>
    <x:col min="5" max="5" width="13" hidden="0" customWidth="1"/>
    <x:col min="6" max="6" width="13" hidden="0" customWidth="1"/>
    <x:col min="7" max="7" width="13" hidden="0" customWidth="1"/>
    <x:col min="8" max="8" width="16" hidden="0" customWidth="1"/>
    <x:col min="9" max="9" width="16" hidden="0" customWidth="1"/>
    <x:col min="10" max="10" width="16" hidden="0" customWidth="1"/>
    <x:col min="11" max="11" width="16" hidden="0" customWidth="1"/>
    <x:col min="12" max="12" width="16" hidden="0" customWidth="1"/>
  </x:cols>
  <x:sheetData>
    <x:row r="1" ht="34" customHeight="1">
      <x:c r="A1" s="3" t="str">
        <x:v>30 题论文搜索相关性汇总</x:v>
      </x:c>
      <x:c r="B1" s="3"/>
      <x:c r="C1" s="3"/>
      <x:c r="D1" s="3"/>
      <x:c r="E1" s="3"/>
      <x:c r="F1" s="3"/>
      <x:c r="G1" s="3"/>
      <x:c r="H1" s="3"/>
      <x:c r="I1" s="3"/>
      <x:c r="J1" s="3"/>
      <x:c r="K1" s="3"/>
      <x:c r="L1" s="3"/>
    </x:row>
    <x:row r="3">
      <x:c r="A3" s="11" t="str">
        <x:v>question_id</x:v>
      </x:c>
      <x:c r="B3" s="34" t="str">
        <x:v>question</x:v>
      </x:c>
      <x:c r="C3" s="34" t="str">
        <x:v>候选数</x:v>
      </x:c>
      <x:c r="D3" s="34" t="str">
        <x:v>2 直接相关</x:v>
      </x:c>
      <x:c r="E3" s="34" t="str">
        <x:v>1 部分相关</x:v>
      </x:c>
      <x:c r="F3" s="34" t="str">
        <x:v>0 无关</x:v>
      </x:c>
      <x:c r="G3" s="34" t="str">
        <x:v>? 不确定</x:v>
      </x:c>
      <x:c r="H3" s="34" t="str">
        <x:v>相关率</x:v>
      </x:c>
      <x:c r="I3" s="34" t="str">
        <x:v>Precision@5</x:v>
      </x:c>
      <x:c r="J3" s="34" t="str">
        <x:v>Precision@10</x:v>
      </x:c>
      <x:c r="K3" s="34" t="str">
        <x:v>Precision@20</x:v>
      </x:c>
      <x:c r="L3" s="12" t="str">
        <x:v>直接相关率</x:v>
      </x:c>
    </x:row>
    <x:row r="4" ht="42" customHeight="1">
      <x:c r="A4" s="35" t="str">
        <x:v>csq001</x:v>
      </x:c>
      <x:c r="B4" s="45" t="str">
        <x:v>What are the main methods for evaluating retrieval-augmented generation systems, and which retrieval and generation dimensions do they measure?</x:v>
      </x:c>
      <x:c r="C4" s="37" t="n">
        <x:f>COUNTIF('Annotations'!$B$2:$B$601,A4)</x:f>
        <x:v>20</x:v>
      </x:c>
      <x:c r="D4" s="37" t="n">
        <x:f>COUNTIFS('Annotations'!$B$2:$B$601,A4,'Annotations'!$R$2:$R$601,"2")</x:f>
        <x:v>10</x:v>
      </x:c>
      <x:c r="E4" s="37" t="n">
        <x:f>COUNTIFS('Annotations'!$B$2:$B$601,A4,'Annotations'!$R$2:$R$601,"1")</x:f>
        <x:v>10</x:v>
      </x:c>
      <x:c r="F4" s="37" t="n">
        <x:f>COUNTIFS('Annotations'!$B$2:$B$601,A4,'Annotations'!$R$2:$R$601,"0")</x:f>
        <x:v>0</x:v>
      </x:c>
      <x:c r="G4" s="37" t="n">
        <x:f>COUNTIFS('Annotations'!$B$2:$B$601,A4,'Annotations'!$R$2:$R$601,"~?")</x:f>
        <x:v>0</x:v>
      </x:c>
      <x:c r="H4" s="38" t="n">
        <x:f>IF(C4=0,0,(D4+E4)/C4)</x:f>
        <x:v>1</x:v>
      </x:c>
      <x:c r="I4" s="38" t="n">
        <x:f>IF(COUNTIFS('Annotations'!$B$2:$B$601,A4,'Annotations'!$F$2:$F$601,"&lt;=5")=0,0,(COUNTIFS('Annotations'!$B$2:$B$601,A4,'Annotations'!$F$2:$F$601,"&lt;=5",'Annotations'!$R$2:$R$601,"2")+COUNTIFS('Annotations'!$B$2:$B$601,A4,'Annotations'!$F$2:$F$601,"&lt;=5",'Annotations'!$R$2:$R$601,"1"))/COUNTIFS('Annotations'!$B$2:$B$601,A4,'Annotations'!$F$2:$F$601,"&lt;=5"))</x:f>
        <x:v>1</x:v>
      </x:c>
      <x:c r="J4" s="38" t="n">
        <x:f>IF(COUNTIFS('Annotations'!$B$2:$B$601,A4,'Annotations'!$F$2:$F$601,"&lt;=10")=0,0,(COUNTIFS('Annotations'!$B$2:$B$601,A4,'Annotations'!$F$2:$F$601,"&lt;=10",'Annotations'!$R$2:$R$601,"2")+COUNTIFS('Annotations'!$B$2:$B$601,A4,'Annotations'!$F$2:$F$601,"&lt;=10",'Annotations'!$R$2:$R$601,"1"))/COUNTIFS('Annotations'!$B$2:$B$601,A4,'Annotations'!$F$2:$F$601,"&lt;=10"))</x:f>
        <x:v>1</x:v>
      </x:c>
      <x:c r="K4" s="38" t="n">
        <x:f>IF(COUNTIF('Annotations'!$B$2:$B$601,A4)=0,0,(COUNTIFS('Annotations'!$B$2:$B$601,A4,'Annotations'!$R$2:$R$601,"2")+COUNTIFS('Annotations'!$B$2:$B$601,A4,'Annotations'!$R$2:$R$601,"1"))/COUNTIF('Annotations'!$B$2:$B$601,A4))</x:f>
        <x:v>1</x:v>
      </x:c>
      <x:c r="L4" s="39" t="n">
        <x:f>IF(C4=0,0,D4/C4)</x:f>
        <x:v>0.5</x:v>
      </x:c>
    </x:row>
    <x:row r="5" ht="42" customHeight="1">
      <x:c r="A5" s="35" t="str">
        <x:v>csq002</x:v>
      </x:c>
      <x:c r="B5" s="45" t="str">
        <x:v>How do speculative decoding, model quantization, and KV-cache optimization differ as methods for accelerating large language model inference?</x:v>
      </x:c>
      <x:c r="C5" s="37" t="n">
        <x:f>COUNTIF('Annotations'!$B$2:$B$601,A5)</x:f>
        <x:v>20</x:v>
      </x:c>
      <x:c r="D5" s="37" t="n">
        <x:f>COUNTIFS('Annotations'!$B$2:$B$601,A5,'Annotations'!$R$2:$R$601,"2")</x:f>
        <x:v>19</x:v>
      </x:c>
      <x:c r="E5" s="37" t="n">
        <x:f>COUNTIFS('Annotations'!$B$2:$B$601,A5,'Annotations'!$R$2:$R$601,"1")</x:f>
        <x:v>1</x:v>
      </x:c>
      <x:c r="F5" s="37" t="n">
        <x:f>COUNTIFS('Annotations'!$B$2:$B$601,A5,'Annotations'!$R$2:$R$601,"0")</x:f>
        <x:v>0</x:v>
      </x:c>
      <x:c r="G5" s="37" t="n">
        <x:f>COUNTIFS('Annotations'!$B$2:$B$601,A5,'Annotations'!$R$2:$R$601,"~?")</x:f>
        <x:v>0</x:v>
      </x:c>
      <x:c r="H5" s="38" t="n">
        <x:f>IF(C5=0,0,(D5+E5)/C5)</x:f>
        <x:v>1</x:v>
      </x:c>
      <x:c r="I5" s="38" t="n">
        <x:f>IF(COUNTIFS('Annotations'!$B$2:$B$601,A5,'Annotations'!$F$2:$F$601,"&lt;=5")=0,0,(COUNTIFS('Annotations'!$B$2:$B$601,A5,'Annotations'!$F$2:$F$601,"&lt;=5",'Annotations'!$R$2:$R$601,"2")+COUNTIFS('Annotations'!$B$2:$B$601,A5,'Annotations'!$F$2:$F$601,"&lt;=5",'Annotations'!$R$2:$R$601,"1"))/COUNTIFS('Annotations'!$B$2:$B$601,A5,'Annotations'!$F$2:$F$601,"&lt;=5"))</x:f>
        <x:v>1</x:v>
      </x:c>
      <x:c r="J5" s="38" t="n">
        <x:f>IF(COUNTIFS('Annotations'!$B$2:$B$601,A5,'Annotations'!$F$2:$F$601,"&lt;=10")=0,0,(COUNTIFS('Annotations'!$B$2:$B$601,A5,'Annotations'!$F$2:$F$601,"&lt;=10",'Annotations'!$R$2:$R$601,"2")+COUNTIFS('Annotations'!$B$2:$B$601,A5,'Annotations'!$F$2:$F$601,"&lt;=10",'Annotations'!$R$2:$R$601,"1"))/COUNTIFS('Annotations'!$B$2:$B$601,A5,'Annotations'!$F$2:$F$601,"&lt;=10"))</x:f>
        <x:v>1</x:v>
      </x:c>
      <x:c r="K5" s="38" t="n">
        <x:f>IF(COUNTIF('Annotations'!$B$2:$B$601,A5)=0,0,(COUNTIFS('Annotations'!$B$2:$B$601,A5,'Annotations'!$R$2:$R$601,"2")+COUNTIFS('Annotations'!$B$2:$B$601,A5,'Annotations'!$R$2:$R$601,"1"))/COUNTIF('Annotations'!$B$2:$B$601,A5))</x:f>
        <x:v>1</x:v>
      </x:c>
      <x:c r="L5" s="39" t="n">
        <x:f>IF(C5=0,0,D5/C5)</x:f>
        <x:v>0.95</x:v>
      </x:c>
    </x:row>
    <x:row r="6" ht="42" customHeight="1">
      <x:c r="A6" s="35" t="str">
        <x:v>csq003</x:v>
      </x:c>
      <x:c r="B6" s="45" t="str">
        <x:v>Which automatic and human evaluation methods are used to measure hallucination and factual consistency in large language models, and what evidence exists about their reliability?</x:v>
      </x:c>
      <x:c r="C6" s="37" t="n">
        <x:f>COUNTIF('Annotations'!$B$2:$B$601,A6)</x:f>
        <x:v>20</x:v>
      </x:c>
      <x:c r="D6" s="37" t="n">
        <x:f>COUNTIFS('Annotations'!$B$2:$B$601,A6,'Annotations'!$R$2:$R$601,"2")</x:f>
        <x:v>10</x:v>
      </x:c>
      <x:c r="E6" s="37" t="n">
        <x:f>COUNTIFS('Annotations'!$B$2:$B$601,A6,'Annotations'!$R$2:$R$601,"1")</x:f>
        <x:v>9</x:v>
      </x:c>
      <x:c r="F6" s="37" t="n">
        <x:f>COUNTIFS('Annotations'!$B$2:$B$601,A6,'Annotations'!$R$2:$R$601,"0")</x:f>
        <x:v>1</x:v>
      </x:c>
      <x:c r="G6" s="37" t="n">
        <x:f>COUNTIFS('Annotations'!$B$2:$B$601,A6,'Annotations'!$R$2:$R$601,"~?")</x:f>
        <x:v>0</x:v>
      </x:c>
      <x:c r="H6" s="38" t="n">
        <x:f>IF(C6=0,0,(D6+E6)/C6)</x:f>
        <x:v>0.95</x:v>
      </x:c>
      <x:c r="I6" s="38" t="n">
        <x:f>IF(COUNTIFS('Annotations'!$B$2:$B$601,A6,'Annotations'!$F$2:$F$601,"&lt;=5")=0,0,(COUNTIFS('Annotations'!$B$2:$B$601,A6,'Annotations'!$F$2:$F$601,"&lt;=5",'Annotations'!$R$2:$R$601,"2")+COUNTIFS('Annotations'!$B$2:$B$601,A6,'Annotations'!$F$2:$F$601,"&lt;=5",'Annotations'!$R$2:$R$601,"1"))/COUNTIFS('Annotations'!$B$2:$B$601,A6,'Annotations'!$F$2:$F$601,"&lt;=5"))</x:f>
        <x:v>1</x:v>
      </x:c>
      <x:c r="J6" s="38" t="n">
        <x:f>IF(COUNTIFS('Annotations'!$B$2:$B$601,A6,'Annotations'!$F$2:$F$601,"&lt;=10")=0,0,(COUNTIFS('Annotations'!$B$2:$B$601,A6,'Annotations'!$F$2:$F$601,"&lt;=10",'Annotations'!$R$2:$R$601,"2")+COUNTIFS('Annotations'!$B$2:$B$601,A6,'Annotations'!$F$2:$F$601,"&lt;=10",'Annotations'!$R$2:$R$601,"1"))/COUNTIFS('Annotations'!$B$2:$B$601,A6,'Annotations'!$F$2:$F$601,"&lt;=10"))</x:f>
        <x:v>1</x:v>
      </x:c>
      <x:c r="K6" s="38" t="n">
        <x:f>IF(COUNTIF('Annotations'!$B$2:$B$601,A6)=0,0,(COUNTIFS('Annotations'!$B$2:$B$601,A6,'Annotations'!$R$2:$R$601,"2")+COUNTIFS('Annotations'!$B$2:$B$601,A6,'Annotations'!$R$2:$R$601,"1"))/COUNTIF('Annotations'!$B$2:$B$601,A6))</x:f>
        <x:v>0.95</x:v>
      </x:c>
      <x:c r="L6" s="39" t="n">
        <x:f>IF(C6=0,0,D6/C6)</x:f>
        <x:v>0.5</x:v>
      </x:c>
    </x:row>
    <x:row r="7" ht="42" customHeight="1">
      <x:c r="A7" s="35" t="str">
        <x:v>csq004</x:v>
      </x:c>
      <x:c r="B7" s="45" t="str">
        <x:v>What limitations and biases have been identified in LLM-as-a-judge evaluation, and which mitigation strategies have been proposed?</x:v>
      </x:c>
      <x:c r="C7" s="37" t="n">
        <x:f>COUNTIF('Annotations'!$B$2:$B$601,A7)</x:f>
        <x:v>20</x:v>
      </x:c>
      <x:c r="D7" s="37" t="n">
        <x:f>COUNTIFS('Annotations'!$B$2:$B$601,A7,'Annotations'!$R$2:$R$601,"2")</x:f>
        <x:v>19</x:v>
      </x:c>
      <x:c r="E7" s="37" t="n">
        <x:f>COUNTIFS('Annotations'!$B$2:$B$601,A7,'Annotations'!$R$2:$R$601,"1")</x:f>
        <x:v>1</x:v>
      </x:c>
      <x:c r="F7" s="37" t="n">
        <x:f>COUNTIFS('Annotations'!$B$2:$B$601,A7,'Annotations'!$R$2:$R$601,"0")</x:f>
        <x:v>0</x:v>
      </x:c>
      <x:c r="G7" s="37" t="n">
        <x:f>COUNTIFS('Annotations'!$B$2:$B$601,A7,'Annotations'!$R$2:$R$601,"~?")</x:f>
        <x:v>0</x:v>
      </x:c>
      <x:c r="H7" s="38" t="n">
        <x:f>IF(C7=0,0,(D7+E7)/C7)</x:f>
        <x:v>1</x:v>
      </x:c>
      <x:c r="I7" s="38" t="n">
        <x:f>IF(COUNTIFS('Annotations'!$B$2:$B$601,A7,'Annotations'!$F$2:$F$601,"&lt;=5")=0,0,(COUNTIFS('Annotations'!$B$2:$B$601,A7,'Annotations'!$F$2:$F$601,"&lt;=5",'Annotations'!$R$2:$R$601,"2")+COUNTIFS('Annotations'!$B$2:$B$601,A7,'Annotations'!$F$2:$F$601,"&lt;=5",'Annotations'!$R$2:$R$601,"1"))/COUNTIFS('Annotations'!$B$2:$B$601,A7,'Annotations'!$F$2:$F$601,"&lt;=5"))</x:f>
        <x:v>1</x:v>
      </x:c>
      <x:c r="J7" s="38" t="n">
        <x:f>IF(COUNTIFS('Annotations'!$B$2:$B$601,A7,'Annotations'!$F$2:$F$601,"&lt;=10")=0,0,(COUNTIFS('Annotations'!$B$2:$B$601,A7,'Annotations'!$F$2:$F$601,"&lt;=10",'Annotations'!$R$2:$R$601,"2")+COUNTIFS('Annotations'!$B$2:$B$601,A7,'Annotations'!$F$2:$F$601,"&lt;=10",'Annotations'!$R$2:$R$601,"1"))/COUNTIFS('Annotations'!$B$2:$B$601,A7,'Annotations'!$F$2:$F$601,"&lt;=10"))</x:f>
        <x:v>1</x:v>
      </x:c>
      <x:c r="K7" s="38" t="n">
        <x:f>IF(COUNTIF('Annotations'!$B$2:$B$601,A7)=0,0,(COUNTIFS('Annotations'!$B$2:$B$601,A7,'Annotations'!$R$2:$R$601,"2")+COUNTIFS('Annotations'!$B$2:$B$601,A7,'Annotations'!$R$2:$R$601,"1"))/COUNTIF('Annotations'!$B$2:$B$601,A7))</x:f>
        <x:v>1</x:v>
      </x:c>
      <x:c r="L7" s="39" t="n">
        <x:f>IF(C7=0,0,D7/C7)</x:f>
        <x:v>0.95</x:v>
      </x:c>
    </x:row>
    <x:row r="8" ht="42" customHeight="1">
      <x:c r="A8" s="35" t="str">
        <x:v>csq005</x:v>
      </x:c>
      <x:c r="B8" s="45" t="str">
        <x:v>How have methods for extending the effective context length of transformer language models evolved, and what trade-offs do they make in memory, latency, and retrieval quality?</x:v>
      </x:c>
      <x:c r="C8" s="37" t="n">
        <x:f>COUNTIF('Annotations'!$B$2:$B$601,A8)</x:f>
        <x:v>20</x:v>
      </x:c>
      <x:c r="D8" s="37" t="n">
        <x:f>COUNTIFS('Annotations'!$B$2:$B$601,A8,'Annotations'!$R$2:$R$601,"2")</x:f>
        <x:v>17</x:v>
      </x:c>
      <x:c r="E8" s="37" t="n">
        <x:f>COUNTIFS('Annotations'!$B$2:$B$601,A8,'Annotations'!$R$2:$R$601,"1")</x:f>
        <x:v>3</x:v>
      </x:c>
      <x:c r="F8" s="37" t="n">
        <x:f>COUNTIFS('Annotations'!$B$2:$B$601,A8,'Annotations'!$R$2:$R$601,"0")</x:f>
        <x:v>0</x:v>
      </x:c>
      <x:c r="G8" s="37" t="n">
        <x:f>COUNTIFS('Annotations'!$B$2:$B$601,A8,'Annotations'!$R$2:$R$601,"~?")</x:f>
        <x:v>0</x:v>
      </x:c>
      <x:c r="H8" s="38" t="n">
        <x:f>IF(C8=0,0,(D8+E8)/C8)</x:f>
        <x:v>1</x:v>
      </x:c>
      <x:c r="I8" s="38" t="n">
        <x:f>IF(COUNTIFS('Annotations'!$B$2:$B$601,A8,'Annotations'!$F$2:$F$601,"&lt;=5")=0,0,(COUNTIFS('Annotations'!$B$2:$B$601,A8,'Annotations'!$F$2:$F$601,"&lt;=5",'Annotations'!$R$2:$R$601,"2")+COUNTIFS('Annotations'!$B$2:$B$601,A8,'Annotations'!$F$2:$F$601,"&lt;=5",'Annotations'!$R$2:$R$601,"1"))/COUNTIFS('Annotations'!$B$2:$B$601,A8,'Annotations'!$F$2:$F$601,"&lt;=5"))</x:f>
        <x:v>1</x:v>
      </x:c>
      <x:c r="J8" s="38" t="n">
        <x:f>IF(COUNTIFS('Annotations'!$B$2:$B$601,A8,'Annotations'!$F$2:$F$601,"&lt;=10")=0,0,(COUNTIFS('Annotations'!$B$2:$B$601,A8,'Annotations'!$F$2:$F$601,"&lt;=10",'Annotations'!$R$2:$R$601,"2")+COUNTIFS('Annotations'!$B$2:$B$601,A8,'Annotations'!$F$2:$F$601,"&lt;=10",'Annotations'!$R$2:$R$601,"1"))/COUNTIFS('Annotations'!$B$2:$B$601,A8,'Annotations'!$F$2:$F$601,"&lt;=10"))</x:f>
        <x:v>1</x:v>
      </x:c>
      <x:c r="K8" s="38" t="n">
        <x:f>IF(COUNTIF('Annotations'!$B$2:$B$601,A8)=0,0,(COUNTIFS('Annotations'!$B$2:$B$601,A8,'Annotations'!$R$2:$R$601,"2")+COUNTIFS('Annotations'!$B$2:$B$601,A8,'Annotations'!$R$2:$R$601,"1"))/COUNTIF('Annotations'!$B$2:$B$601,A8))</x:f>
        <x:v>1</x:v>
      </x:c>
      <x:c r="L8" s="39" t="n">
        <x:f>IF(C8=0,0,D8/C8)</x:f>
        <x:v>0.85</x:v>
      </x:c>
    </x:row>
    <x:row r="9" ht="42" customHeight="1">
      <x:c r="A9" s="35" t="str">
        <x:v>csq006</x:v>
      </x:c>
      <x:c r="B9" s="45" t="str">
        <x:v>What are the main parameter-efficient fine-tuning methods, and how do they reduce trainable parameters while preserving downstream performance?</x:v>
      </x:c>
      <x:c r="C9" s="37" t="n">
        <x:f>COUNTIF('Annotations'!$B$2:$B$601,A9)</x:f>
        <x:v>20</x:v>
      </x:c>
      <x:c r="D9" s="37" t="n">
        <x:f>COUNTIFS('Annotations'!$B$2:$B$601,A9,'Annotations'!$R$2:$R$601,"2")</x:f>
        <x:v>18</x:v>
      </x:c>
      <x:c r="E9" s="37" t="n">
        <x:f>COUNTIFS('Annotations'!$B$2:$B$601,A9,'Annotations'!$R$2:$R$601,"1")</x:f>
        <x:v>2</x:v>
      </x:c>
      <x:c r="F9" s="37" t="n">
        <x:f>COUNTIFS('Annotations'!$B$2:$B$601,A9,'Annotations'!$R$2:$R$601,"0")</x:f>
        <x:v>0</x:v>
      </x:c>
      <x:c r="G9" s="37" t="n">
        <x:f>COUNTIFS('Annotations'!$B$2:$B$601,A9,'Annotations'!$R$2:$R$601,"~?")</x:f>
        <x:v>0</x:v>
      </x:c>
      <x:c r="H9" s="38" t="n">
        <x:f>IF(C9=0,0,(D9+E9)/C9)</x:f>
        <x:v>1</x:v>
      </x:c>
      <x:c r="I9" s="38" t="n">
        <x:f>IF(COUNTIFS('Annotations'!$B$2:$B$601,A9,'Annotations'!$F$2:$F$601,"&lt;=5")=0,0,(COUNTIFS('Annotations'!$B$2:$B$601,A9,'Annotations'!$F$2:$F$601,"&lt;=5",'Annotations'!$R$2:$R$601,"2")+COUNTIFS('Annotations'!$B$2:$B$601,A9,'Annotations'!$F$2:$F$601,"&lt;=5",'Annotations'!$R$2:$R$601,"1"))/COUNTIFS('Annotations'!$B$2:$B$601,A9,'Annotations'!$F$2:$F$601,"&lt;=5"))</x:f>
        <x:v>1</x:v>
      </x:c>
      <x:c r="J9" s="38" t="n">
        <x:f>IF(COUNTIFS('Annotations'!$B$2:$B$601,A9,'Annotations'!$F$2:$F$601,"&lt;=10")=0,0,(COUNTIFS('Annotations'!$B$2:$B$601,A9,'Annotations'!$F$2:$F$601,"&lt;=10",'Annotations'!$R$2:$R$601,"2")+COUNTIFS('Annotations'!$B$2:$B$601,A9,'Annotations'!$F$2:$F$601,"&lt;=10",'Annotations'!$R$2:$R$601,"1"))/COUNTIFS('Annotations'!$B$2:$B$601,A9,'Annotations'!$F$2:$F$601,"&lt;=10"))</x:f>
        <x:v>1</x:v>
      </x:c>
      <x:c r="K9" s="38" t="n">
        <x:f>IF(COUNTIF('Annotations'!$B$2:$B$601,A9)=0,0,(COUNTIFS('Annotations'!$B$2:$B$601,A9,'Annotations'!$R$2:$R$601,"2")+COUNTIFS('Annotations'!$B$2:$B$601,A9,'Annotations'!$R$2:$R$601,"1"))/COUNTIF('Annotations'!$B$2:$B$601,A9))</x:f>
        <x:v>1</x:v>
      </x:c>
      <x:c r="L9" s="39" t="n">
        <x:f>IF(C9=0,0,D9/C9)</x:f>
        <x:v>0.9</x:v>
      </x:c>
    </x:row>
    <x:row r="10" ht="42" customHeight="1">
      <x:c r="A10" s="35" t="str">
        <x:v>csq007</x:v>
      </x:c>
      <x:c r="B10" s="45" t="str">
        <x:v>How do major federated learning optimization methods address client heterogeneity and non-IID data, and how do their assumptions differ?</x:v>
      </x:c>
      <x:c r="C10" s="37" t="n">
        <x:f>COUNTIF('Annotations'!$B$2:$B$601,A10)</x:f>
        <x:v>20</x:v>
      </x:c>
      <x:c r="D10" s="37" t="n">
        <x:f>COUNTIFS('Annotations'!$B$2:$B$601,A10,'Annotations'!$R$2:$R$601,"2")</x:f>
        <x:v>17</x:v>
      </x:c>
      <x:c r="E10" s="37" t="n">
        <x:f>COUNTIFS('Annotations'!$B$2:$B$601,A10,'Annotations'!$R$2:$R$601,"1")</x:f>
        <x:v>3</x:v>
      </x:c>
      <x:c r="F10" s="37" t="n">
        <x:f>COUNTIFS('Annotations'!$B$2:$B$601,A10,'Annotations'!$R$2:$R$601,"0")</x:f>
        <x:v>0</x:v>
      </x:c>
      <x:c r="G10" s="37" t="n">
        <x:f>COUNTIFS('Annotations'!$B$2:$B$601,A10,'Annotations'!$R$2:$R$601,"~?")</x:f>
        <x:v>0</x:v>
      </x:c>
      <x:c r="H10" s="38" t="n">
        <x:f>IF(C10=0,0,(D10+E10)/C10)</x:f>
        <x:v>1</x:v>
      </x:c>
      <x:c r="I10" s="38" t="n">
        <x:f>IF(COUNTIFS('Annotations'!$B$2:$B$601,A10,'Annotations'!$F$2:$F$601,"&lt;=5")=0,0,(COUNTIFS('Annotations'!$B$2:$B$601,A10,'Annotations'!$F$2:$F$601,"&lt;=5",'Annotations'!$R$2:$R$601,"2")+COUNTIFS('Annotations'!$B$2:$B$601,A10,'Annotations'!$F$2:$F$601,"&lt;=5",'Annotations'!$R$2:$R$601,"1"))/COUNTIFS('Annotations'!$B$2:$B$601,A10,'Annotations'!$F$2:$F$601,"&lt;=5"))</x:f>
        <x:v>1</x:v>
      </x:c>
      <x:c r="J10" s="38" t="n">
        <x:f>IF(COUNTIFS('Annotations'!$B$2:$B$601,A10,'Annotations'!$F$2:$F$601,"&lt;=10")=0,0,(COUNTIFS('Annotations'!$B$2:$B$601,A10,'Annotations'!$F$2:$F$601,"&lt;=10",'Annotations'!$R$2:$R$601,"2")+COUNTIFS('Annotations'!$B$2:$B$601,A10,'Annotations'!$F$2:$F$601,"&lt;=10",'Annotations'!$R$2:$R$601,"1"))/COUNTIFS('Annotations'!$B$2:$B$601,A10,'Annotations'!$F$2:$F$601,"&lt;=10"))</x:f>
        <x:v>1</x:v>
      </x:c>
      <x:c r="K10" s="38" t="n">
        <x:f>IF(COUNTIF('Annotations'!$B$2:$B$601,A10)=0,0,(COUNTIFS('Annotations'!$B$2:$B$601,A10,'Annotations'!$R$2:$R$601,"2")+COUNTIFS('Annotations'!$B$2:$B$601,A10,'Annotations'!$R$2:$R$601,"1"))/COUNTIF('Annotations'!$B$2:$B$601,A10))</x:f>
        <x:v>1</x:v>
      </x:c>
      <x:c r="L10" s="39" t="n">
        <x:f>IF(C10=0,0,D10/C10)</x:f>
        <x:v>0.85</x:v>
      </x:c>
    </x:row>
    <x:row r="11" ht="42" customHeight="1">
      <x:c r="A11" s="35" t="str">
        <x:v>csq008</x:v>
      </x:c>
      <x:c r="B11" s="45" t="str">
        <x:v>Which metrics and benchmark protocols are used to evaluate uncertainty calibration in deep neural networks, and what failure modes do these metrics miss?</x:v>
      </x:c>
      <x:c r="C11" s="37" t="n">
        <x:f>COUNTIF('Annotations'!$B$2:$B$601,A11)</x:f>
        <x:v>20</x:v>
      </x:c>
      <x:c r="D11" s="37" t="n">
        <x:f>COUNTIFS('Annotations'!$B$2:$B$601,A11,'Annotations'!$R$2:$R$601,"2")</x:f>
        <x:v>9</x:v>
      </x:c>
      <x:c r="E11" s="37" t="n">
        <x:f>COUNTIFS('Annotations'!$B$2:$B$601,A11,'Annotations'!$R$2:$R$601,"1")</x:f>
        <x:v>11</x:v>
      </x:c>
      <x:c r="F11" s="37" t="n">
        <x:f>COUNTIFS('Annotations'!$B$2:$B$601,A11,'Annotations'!$R$2:$R$601,"0")</x:f>
        <x:v>0</x:v>
      </x:c>
      <x:c r="G11" s="37" t="n">
        <x:f>COUNTIFS('Annotations'!$B$2:$B$601,A11,'Annotations'!$R$2:$R$601,"~?")</x:f>
        <x:v>0</x:v>
      </x:c>
      <x:c r="H11" s="38" t="n">
        <x:f>IF(C11=0,0,(D11+E11)/C11)</x:f>
        <x:v>1</x:v>
      </x:c>
      <x:c r="I11" s="38" t="n">
        <x:f>IF(COUNTIFS('Annotations'!$B$2:$B$601,A11,'Annotations'!$F$2:$F$601,"&lt;=5")=0,0,(COUNTIFS('Annotations'!$B$2:$B$601,A11,'Annotations'!$F$2:$F$601,"&lt;=5",'Annotations'!$R$2:$R$601,"2")+COUNTIFS('Annotations'!$B$2:$B$601,A11,'Annotations'!$F$2:$F$601,"&lt;=5",'Annotations'!$R$2:$R$601,"1"))/COUNTIFS('Annotations'!$B$2:$B$601,A11,'Annotations'!$F$2:$F$601,"&lt;=5"))</x:f>
        <x:v>1</x:v>
      </x:c>
      <x:c r="J11" s="38" t="n">
        <x:f>IF(COUNTIFS('Annotations'!$B$2:$B$601,A11,'Annotations'!$F$2:$F$601,"&lt;=10")=0,0,(COUNTIFS('Annotations'!$B$2:$B$601,A11,'Annotations'!$F$2:$F$601,"&lt;=10",'Annotations'!$R$2:$R$601,"2")+COUNTIFS('Annotations'!$B$2:$B$601,A11,'Annotations'!$F$2:$F$601,"&lt;=10",'Annotations'!$R$2:$R$601,"1"))/COUNTIFS('Annotations'!$B$2:$B$601,A11,'Annotations'!$F$2:$F$601,"&lt;=10"))</x:f>
        <x:v>1</x:v>
      </x:c>
      <x:c r="K11" s="38" t="n">
        <x:f>IF(COUNTIF('Annotations'!$B$2:$B$601,A11)=0,0,(COUNTIFS('Annotations'!$B$2:$B$601,A11,'Annotations'!$R$2:$R$601,"2")+COUNTIFS('Annotations'!$B$2:$B$601,A11,'Annotations'!$R$2:$R$601,"1"))/COUNTIF('Annotations'!$B$2:$B$601,A11))</x:f>
        <x:v>1</x:v>
      </x:c>
      <x:c r="L11" s="39" t="n">
        <x:f>IF(C11=0,0,D11/C11)</x:f>
        <x:v>0.45</x:v>
      </x:c>
    </x:row>
    <x:row r="12" ht="42" customHeight="1">
      <x:c r="A12" s="35" t="str">
        <x:v>csq009</x:v>
      </x:c>
      <x:c r="B12" s="45" t="str">
        <x:v>What causes over-smoothing and over-squashing in graph neural networks, and which mitigation methods are supported by empirical and theoretical research?</x:v>
      </x:c>
      <x:c r="C12" s="37" t="n">
        <x:f>COUNTIF('Annotations'!$B$2:$B$601,A12)</x:f>
        <x:v>20</x:v>
      </x:c>
      <x:c r="D12" s="37" t="n">
        <x:f>COUNTIFS('Annotations'!$B$2:$B$601,A12,'Annotations'!$R$2:$R$601,"2")</x:f>
        <x:v>20</x:v>
      </x:c>
      <x:c r="E12" s="37" t="n">
        <x:f>COUNTIFS('Annotations'!$B$2:$B$601,A12,'Annotations'!$R$2:$R$601,"1")</x:f>
        <x:v>0</x:v>
      </x:c>
      <x:c r="F12" s="37" t="n">
        <x:f>COUNTIFS('Annotations'!$B$2:$B$601,A12,'Annotations'!$R$2:$R$601,"0")</x:f>
        <x:v>0</x:v>
      </x:c>
      <x:c r="G12" s="37" t="n">
        <x:f>COUNTIFS('Annotations'!$B$2:$B$601,A12,'Annotations'!$R$2:$R$601,"~?")</x:f>
        <x:v>0</x:v>
      </x:c>
      <x:c r="H12" s="38" t="n">
        <x:f>IF(C12=0,0,(D12+E12)/C12)</x:f>
        <x:v>1</x:v>
      </x:c>
      <x:c r="I12" s="38" t="n">
        <x:f>IF(COUNTIFS('Annotations'!$B$2:$B$601,A12,'Annotations'!$F$2:$F$601,"&lt;=5")=0,0,(COUNTIFS('Annotations'!$B$2:$B$601,A12,'Annotations'!$F$2:$F$601,"&lt;=5",'Annotations'!$R$2:$R$601,"2")+COUNTIFS('Annotations'!$B$2:$B$601,A12,'Annotations'!$F$2:$F$601,"&lt;=5",'Annotations'!$R$2:$R$601,"1"))/COUNTIFS('Annotations'!$B$2:$B$601,A12,'Annotations'!$F$2:$F$601,"&lt;=5"))</x:f>
        <x:v>1</x:v>
      </x:c>
      <x:c r="J12" s="38" t="n">
        <x:f>IF(COUNTIFS('Annotations'!$B$2:$B$601,A12,'Annotations'!$F$2:$F$601,"&lt;=10")=0,0,(COUNTIFS('Annotations'!$B$2:$B$601,A12,'Annotations'!$F$2:$F$601,"&lt;=10",'Annotations'!$R$2:$R$601,"2")+COUNTIFS('Annotations'!$B$2:$B$601,A12,'Annotations'!$F$2:$F$601,"&lt;=10",'Annotations'!$R$2:$R$601,"1"))/COUNTIFS('Annotations'!$B$2:$B$601,A12,'Annotations'!$F$2:$F$601,"&lt;=10"))</x:f>
        <x:v>1</x:v>
      </x:c>
      <x:c r="K12" s="38" t="n">
        <x:f>IF(COUNTIF('Annotations'!$B$2:$B$601,A12)=0,0,(COUNTIFS('Annotations'!$B$2:$B$601,A12,'Annotations'!$R$2:$R$601,"2")+COUNTIFS('Annotations'!$B$2:$B$601,A12,'Annotations'!$R$2:$R$601,"1"))/COUNTIF('Annotations'!$B$2:$B$601,A12))</x:f>
        <x:v>1</x:v>
      </x:c>
      <x:c r="L12" s="39" t="n">
        <x:f>IF(C12=0,0,D12/C12)</x:f>
        <x:v>1</x:v>
      </x:c>
    </x:row>
    <x:row r="13" ht="42" customHeight="1">
      <x:c r="A13" s="35" t="str">
        <x:v>csq010</x:v>
      </x:c>
      <x:c r="B13" s="45" t="str">
        <x:v>How have self-supervised representation learning objectives evolved from contrastive learning to non-contrastive and masked-prediction approaches?</x:v>
      </x:c>
      <x:c r="C13" s="37" t="n">
        <x:f>COUNTIF('Annotations'!$B$2:$B$601,A13)</x:f>
        <x:v>20</x:v>
      </x:c>
      <x:c r="D13" s="37" t="n">
        <x:f>COUNTIFS('Annotations'!$B$2:$B$601,A13,'Annotations'!$R$2:$R$601,"2")</x:f>
        <x:v>19</x:v>
      </x:c>
      <x:c r="E13" s="37" t="n">
        <x:f>COUNTIFS('Annotations'!$B$2:$B$601,A13,'Annotations'!$R$2:$R$601,"1")</x:f>
        <x:v>1</x:v>
      </x:c>
      <x:c r="F13" s="37" t="n">
        <x:f>COUNTIFS('Annotations'!$B$2:$B$601,A13,'Annotations'!$R$2:$R$601,"0")</x:f>
        <x:v>0</x:v>
      </x:c>
      <x:c r="G13" s="37" t="n">
        <x:f>COUNTIFS('Annotations'!$B$2:$B$601,A13,'Annotations'!$R$2:$R$601,"~?")</x:f>
        <x:v>0</x:v>
      </x:c>
      <x:c r="H13" s="38" t="n">
        <x:f>IF(C13=0,0,(D13+E13)/C13)</x:f>
        <x:v>1</x:v>
      </x:c>
      <x:c r="I13" s="38" t="n">
        <x:f>IF(COUNTIFS('Annotations'!$B$2:$B$601,A13,'Annotations'!$F$2:$F$601,"&lt;=5")=0,0,(COUNTIFS('Annotations'!$B$2:$B$601,A13,'Annotations'!$F$2:$F$601,"&lt;=5",'Annotations'!$R$2:$R$601,"2")+COUNTIFS('Annotations'!$B$2:$B$601,A13,'Annotations'!$F$2:$F$601,"&lt;=5",'Annotations'!$R$2:$R$601,"1"))/COUNTIFS('Annotations'!$B$2:$B$601,A13,'Annotations'!$F$2:$F$601,"&lt;=5"))</x:f>
        <x:v>1</x:v>
      </x:c>
      <x:c r="J13" s="38" t="n">
        <x:f>IF(COUNTIFS('Annotations'!$B$2:$B$601,A13,'Annotations'!$F$2:$F$601,"&lt;=10")=0,0,(COUNTIFS('Annotations'!$B$2:$B$601,A13,'Annotations'!$F$2:$F$601,"&lt;=10",'Annotations'!$R$2:$R$601,"2")+COUNTIFS('Annotations'!$B$2:$B$601,A13,'Annotations'!$F$2:$F$601,"&lt;=10",'Annotations'!$R$2:$R$601,"1"))/COUNTIFS('Annotations'!$B$2:$B$601,A13,'Annotations'!$F$2:$F$601,"&lt;=10"))</x:f>
        <x:v>1</x:v>
      </x:c>
      <x:c r="K13" s="38" t="n">
        <x:f>IF(COUNTIF('Annotations'!$B$2:$B$601,A13)=0,0,(COUNTIFS('Annotations'!$B$2:$B$601,A13,'Annotations'!$R$2:$R$601,"2")+COUNTIFS('Annotations'!$B$2:$B$601,A13,'Annotations'!$R$2:$R$601,"1"))/COUNTIF('Annotations'!$B$2:$B$601,A13))</x:f>
        <x:v>1</x:v>
      </x:c>
      <x:c r="L13" s="39" t="n">
        <x:f>IF(C13=0,0,D13/C13)</x:f>
        <x:v>0.95</x:v>
      </x:c>
    </x:row>
    <x:row r="14" ht="42" customHeight="1">
      <x:c r="A14" s="35" t="str">
        <x:v>csq011</x:v>
      </x:c>
      <x:c r="B14" s="45" t="str">
        <x:v>What are the main neural representations for novel-view synthesis, including neural radiance fields and 3D Gaussian splatting, and what are their computational trade-offs?</x:v>
      </x:c>
      <x:c r="C14" s="37" t="n">
        <x:f>COUNTIF('Annotations'!$B$2:$B$601,A14)</x:f>
        <x:v>20</x:v>
      </x:c>
      <x:c r="D14" s="37" t="n">
        <x:f>COUNTIFS('Annotations'!$B$2:$B$601,A14,'Annotations'!$R$2:$R$601,"2")</x:f>
        <x:v>19</x:v>
      </x:c>
      <x:c r="E14" s="37" t="n">
        <x:f>COUNTIFS('Annotations'!$B$2:$B$601,A14,'Annotations'!$R$2:$R$601,"1")</x:f>
        <x:v>1</x:v>
      </x:c>
      <x:c r="F14" s="37" t="n">
        <x:f>COUNTIFS('Annotations'!$B$2:$B$601,A14,'Annotations'!$R$2:$R$601,"0")</x:f>
        <x:v>0</x:v>
      </x:c>
      <x:c r="G14" s="37" t="n">
        <x:f>COUNTIFS('Annotations'!$B$2:$B$601,A14,'Annotations'!$R$2:$R$601,"~?")</x:f>
        <x:v>0</x:v>
      </x:c>
      <x:c r="H14" s="38" t="n">
        <x:f>IF(C14=0,0,(D14+E14)/C14)</x:f>
        <x:v>1</x:v>
      </x:c>
      <x:c r="I14" s="38" t="n">
        <x:f>IF(COUNTIFS('Annotations'!$B$2:$B$601,A14,'Annotations'!$F$2:$F$601,"&lt;=5")=0,0,(COUNTIFS('Annotations'!$B$2:$B$601,A14,'Annotations'!$F$2:$F$601,"&lt;=5",'Annotations'!$R$2:$R$601,"2")+COUNTIFS('Annotations'!$B$2:$B$601,A14,'Annotations'!$F$2:$F$601,"&lt;=5",'Annotations'!$R$2:$R$601,"1"))/COUNTIFS('Annotations'!$B$2:$B$601,A14,'Annotations'!$F$2:$F$601,"&lt;=5"))</x:f>
        <x:v>1</x:v>
      </x:c>
      <x:c r="J14" s="38" t="n">
        <x:f>IF(COUNTIFS('Annotations'!$B$2:$B$601,A14,'Annotations'!$F$2:$F$601,"&lt;=10")=0,0,(COUNTIFS('Annotations'!$B$2:$B$601,A14,'Annotations'!$F$2:$F$601,"&lt;=10",'Annotations'!$R$2:$R$601,"2")+COUNTIFS('Annotations'!$B$2:$B$601,A14,'Annotations'!$F$2:$F$601,"&lt;=10",'Annotations'!$R$2:$R$601,"1"))/COUNTIFS('Annotations'!$B$2:$B$601,A14,'Annotations'!$F$2:$F$601,"&lt;=10"))</x:f>
        <x:v>1</x:v>
      </x:c>
      <x:c r="K14" s="38" t="n">
        <x:f>IF(COUNTIF('Annotations'!$B$2:$B$601,A14)=0,0,(COUNTIFS('Annotations'!$B$2:$B$601,A14,'Annotations'!$R$2:$R$601,"2")+COUNTIFS('Annotations'!$B$2:$B$601,A14,'Annotations'!$R$2:$R$601,"1"))/COUNTIF('Annotations'!$B$2:$B$601,A14))</x:f>
        <x:v>1</x:v>
      </x:c>
      <x:c r="L14" s="39" t="n">
        <x:f>IF(C14=0,0,D14/C14)</x:f>
        <x:v>0.95</x:v>
      </x:c>
    </x:row>
    <x:row r="15" ht="42" customHeight="1">
      <x:c r="A15" s="35" t="str">
        <x:v>csq012</x:v>
      </x:c>
      <x:c r="B15" s="45" t="str">
        <x:v>How do diffusion-based and autoregressive image generation models compare in training objectives, sampling cost, controllability, and output quality?</x:v>
      </x:c>
      <x:c r="C15" s="37" t="n">
        <x:f>COUNTIF('Annotations'!$B$2:$B$601,A15)</x:f>
        <x:v>20</x:v>
      </x:c>
      <x:c r="D15" s="37" t="n">
        <x:f>COUNTIFS('Annotations'!$B$2:$B$601,A15,'Annotations'!$R$2:$R$601,"2")</x:f>
        <x:v>13</x:v>
      </x:c>
      <x:c r="E15" s="37" t="n">
        <x:f>COUNTIFS('Annotations'!$B$2:$B$601,A15,'Annotations'!$R$2:$R$601,"1")</x:f>
        <x:v>2</x:v>
      </x:c>
      <x:c r="F15" s="37" t="n">
        <x:f>COUNTIFS('Annotations'!$B$2:$B$601,A15,'Annotations'!$R$2:$R$601,"0")</x:f>
        <x:v>5</x:v>
      </x:c>
      <x:c r="G15" s="37" t="n">
        <x:f>COUNTIFS('Annotations'!$B$2:$B$601,A15,'Annotations'!$R$2:$R$601,"~?")</x:f>
        <x:v>0</x:v>
      </x:c>
      <x:c r="H15" s="38" t="n">
        <x:f>IF(C15=0,0,(D15+E15)/C15)</x:f>
        <x:v>0.75</x:v>
      </x:c>
      <x:c r="I15" s="38" t="n">
        <x:f>IF(COUNTIFS('Annotations'!$B$2:$B$601,A15,'Annotations'!$F$2:$F$601,"&lt;=5")=0,0,(COUNTIFS('Annotations'!$B$2:$B$601,A15,'Annotations'!$F$2:$F$601,"&lt;=5",'Annotations'!$R$2:$R$601,"2")+COUNTIFS('Annotations'!$B$2:$B$601,A15,'Annotations'!$F$2:$F$601,"&lt;=5",'Annotations'!$R$2:$R$601,"1"))/COUNTIFS('Annotations'!$B$2:$B$601,A15,'Annotations'!$F$2:$F$601,"&lt;=5"))</x:f>
        <x:v>1</x:v>
      </x:c>
      <x:c r="J15" s="38" t="n">
        <x:f>IF(COUNTIFS('Annotations'!$B$2:$B$601,A15,'Annotations'!$F$2:$F$601,"&lt;=10")=0,0,(COUNTIFS('Annotations'!$B$2:$B$601,A15,'Annotations'!$F$2:$F$601,"&lt;=10",'Annotations'!$R$2:$R$601,"2")+COUNTIFS('Annotations'!$B$2:$B$601,A15,'Annotations'!$F$2:$F$601,"&lt;=10",'Annotations'!$R$2:$R$601,"1"))/COUNTIFS('Annotations'!$B$2:$B$601,A15,'Annotations'!$F$2:$F$601,"&lt;=10"))</x:f>
        <x:v>0.9</x:v>
      </x:c>
      <x:c r="K15" s="38" t="n">
        <x:f>IF(COUNTIF('Annotations'!$B$2:$B$601,A15)=0,0,(COUNTIFS('Annotations'!$B$2:$B$601,A15,'Annotations'!$R$2:$R$601,"2")+COUNTIFS('Annotations'!$B$2:$B$601,A15,'Annotations'!$R$2:$R$601,"1"))/COUNTIF('Annotations'!$B$2:$B$601,A15))</x:f>
        <x:v>0.75</x:v>
      </x:c>
      <x:c r="L15" s="39" t="n">
        <x:f>IF(C15=0,0,D15/C15)</x:f>
        <x:v>0.65</x:v>
      </x:c>
    </x:row>
    <x:row r="16" ht="42" customHeight="1">
      <x:c r="A16" s="35" t="str">
        <x:v>csq013</x:v>
      </x:c>
      <x:c r="B16" s="45" t="str">
        <x:v>Which benchmarks and metrics have been proposed to evaluate hallucination in vision-language models, and what aspects of model behavior does each benchmark test?</x:v>
      </x:c>
      <x:c r="C16" s="37" t="n">
        <x:f>COUNTIF('Annotations'!$B$2:$B$601,A16)</x:f>
        <x:v>20</x:v>
      </x:c>
      <x:c r="D16" s="37" t="n">
        <x:f>COUNTIFS('Annotations'!$B$2:$B$601,A16,'Annotations'!$R$2:$R$601,"2")</x:f>
        <x:v>12</x:v>
      </x:c>
      <x:c r="E16" s="37" t="n">
        <x:f>COUNTIFS('Annotations'!$B$2:$B$601,A16,'Annotations'!$R$2:$R$601,"1")</x:f>
        <x:v>8</x:v>
      </x:c>
      <x:c r="F16" s="37" t="n">
        <x:f>COUNTIFS('Annotations'!$B$2:$B$601,A16,'Annotations'!$R$2:$R$601,"0")</x:f>
        <x:v>0</x:v>
      </x:c>
      <x:c r="G16" s="37" t="n">
        <x:f>COUNTIFS('Annotations'!$B$2:$B$601,A16,'Annotations'!$R$2:$R$601,"~?")</x:f>
        <x:v>0</x:v>
      </x:c>
      <x:c r="H16" s="38" t="n">
        <x:f>IF(C16=0,0,(D16+E16)/C16)</x:f>
        <x:v>1</x:v>
      </x:c>
      <x:c r="I16" s="38" t="n">
        <x:f>IF(COUNTIFS('Annotations'!$B$2:$B$601,A16,'Annotations'!$F$2:$F$601,"&lt;=5")=0,0,(COUNTIFS('Annotations'!$B$2:$B$601,A16,'Annotations'!$F$2:$F$601,"&lt;=5",'Annotations'!$R$2:$R$601,"2")+COUNTIFS('Annotations'!$B$2:$B$601,A16,'Annotations'!$F$2:$F$601,"&lt;=5",'Annotations'!$R$2:$R$601,"1"))/COUNTIFS('Annotations'!$B$2:$B$601,A16,'Annotations'!$F$2:$F$601,"&lt;=5"))</x:f>
        <x:v>1</x:v>
      </x:c>
      <x:c r="J16" s="38" t="n">
        <x:f>IF(COUNTIFS('Annotations'!$B$2:$B$601,A16,'Annotations'!$F$2:$F$601,"&lt;=10")=0,0,(COUNTIFS('Annotations'!$B$2:$B$601,A16,'Annotations'!$F$2:$F$601,"&lt;=10",'Annotations'!$R$2:$R$601,"2")+COUNTIFS('Annotations'!$B$2:$B$601,A16,'Annotations'!$F$2:$F$601,"&lt;=10",'Annotations'!$R$2:$R$601,"1"))/COUNTIFS('Annotations'!$B$2:$B$601,A16,'Annotations'!$F$2:$F$601,"&lt;=10"))</x:f>
        <x:v>1</x:v>
      </x:c>
      <x:c r="K16" s="38" t="n">
        <x:f>IF(COUNTIF('Annotations'!$B$2:$B$601,A16)=0,0,(COUNTIFS('Annotations'!$B$2:$B$601,A16,'Annotations'!$R$2:$R$601,"2")+COUNTIFS('Annotations'!$B$2:$B$601,A16,'Annotations'!$R$2:$R$601,"1"))/COUNTIF('Annotations'!$B$2:$B$601,A16))</x:f>
        <x:v>1</x:v>
      </x:c>
      <x:c r="L16" s="39" t="n">
        <x:f>IF(C16=0,0,D16/C16)</x:f>
        <x:v>0.6</x:v>
      </x:c>
    </x:row>
    <x:row r="17" ht="42" customHeight="1">
      <x:c r="A17" s="35" t="str">
        <x:v>csq014</x:v>
      </x:c>
      <x:c r="B17" s="45" t="str">
        <x:v>What limitations of adversarial training as a defense for image classifiers have been established, particularly regarding accuracy, computational cost, and generalization to unseen attacks?</x:v>
      </x:c>
      <x:c r="C17" s="37" t="n">
        <x:f>COUNTIF('Annotations'!$B$2:$B$601,A17)</x:f>
        <x:v>20</x:v>
      </x:c>
      <x:c r="D17" s="37" t="n">
        <x:f>COUNTIFS('Annotations'!$B$2:$B$601,A17,'Annotations'!$R$2:$R$601,"2")</x:f>
        <x:v>9</x:v>
      </x:c>
      <x:c r="E17" s="37" t="n">
        <x:f>COUNTIFS('Annotations'!$B$2:$B$601,A17,'Annotations'!$R$2:$R$601,"1")</x:f>
        <x:v>8</x:v>
      </x:c>
      <x:c r="F17" s="37" t="n">
        <x:f>COUNTIFS('Annotations'!$B$2:$B$601,A17,'Annotations'!$R$2:$R$601,"0")</x:f>
        <x:v>3</x:v>
      </x:c>
      <x:c r="G17" s="37" t="n">
        <x:f>COUNTIFS('Annotations'!$B$2:$B$601,A17,'Annotations'!$R$2:$R$601,"~?")</x:f>
        <x:v>0</x:v>
      </x:c>
      <x:c r="H17" s="38" t="n">
        <x:f>IF(C17=0,0,(D17+E17)/C17)</x:f>
        <x:v>0.85</x:v>
      </x:c>
      <x:c r="I17" s="38" t="n">
        <x:f>IF(COUNTIFS('Annotations'!$B$2:$B$601,A17,'Annotations'!$F$2:$F$601,"&lt;=5")=0,0,(COUNTIFS('Annotations'!$B$2:$B$601,A17,'Annotations'!$F$2:$F$601,"&lt;=5",'Annotations'!$R$2:$R$601,"2")+COUNTIFS('Annotations'!$B$2:$B$601,A17,'Annotations'!$F$2:$F$601,"&lt;=5",'Annotations'!$R$2:$R$601,"1"))/COUNTIFS('Annotations'!$B$2:$B$601,A17,'Annotations'!$F$2:$F$601,"&lt;=5"))</x:f>
        <x:v>1</x:v>
      </x:c>
      <x:c r="J17" s="38" t="n">
        <x:f>IF(COUNTIFS('Annotations'!$B$2:$B$601,A17,'Annotations'!$F$2:$F$601,"&lt;=10")=0,0,(COUNTIFS('Annotations'!$B$2:$B$601,A17,'Annotations'!$F$2:$F$601,"&lt;=10",'Annotations'!$R$2:$R$601,"2")+COUNTIFS('Annotations'!$B$2:$B$601,A17,'Annotations'!$F$2:$F$601,"&lt;=10",'Annotations'!$R$2:$R$601,"1"))/COUNTIFS('Annotations'!$B$2:$B$601,A17,'Annotations'!$F$2:$F$601,"&lt;=10"))</x:f>
        <x:v>0.8</x:v>
      </x:c>
      <x:c r="K17" s="38" t="n">
        <x:f>IF(COUNTIF('Annotations'!$B$2:$B$601,A17)=0,0,(COUNTIFS('Annotations'!$B$2:$B$601,A17,'Annotations'!$R$2:$R$601,"2")+COUNTIFS('Annotations'!$B$2:$B$601,A17,'Annotations'!$R$2:$R$601,"1"))/COUNTIF('Annotations'!$B$2:$B$601,A17))</x:f>
        <x:v>0.85</x:v>
      </x:c>
      <x:c r="L17" s="39" t="n">
        <x:f>IF(C17=0,0,D17/C17)</x:f>
        <x:v>0.45</x:v>
      </x:c>
    </x:row>
    <x:row r="18" ht="42" customHeight="1">
      <x:c r="A18" s="35" t="str">
        <x:v>csq015</x:v>
      </x:c>
      <x:c r="B18" s="45" t="str">
        <x:v>What are the main approaches for reducing communication and latency costs in Byzantine fault-tolerant consensus protocols?</x:v>
      </x:c>
      <x:c r="C18" s="37" t="n">
        <x:f>COUNTIF('Annotations'!$B$2:$B$601,A18)</x:f>
        <x:v>20</x:v>
      </x:c>
      <x:c r="D18" s="37" t="n">
        <x:f>COUNTIFS('Annotations'!$B$2:$B$601,A18,'Annotations'!$R$2:$R$601,"2")</x:f>
        <x:v>17</x:v>
      </x:c>
      <x:c r="E18" s="37" t="n">
        <x:f>COUNTIFS('Annotations'!$B$2:$B$601,A18,'Annotations'!$R$2:$R$601,"1")</x:f>
        <x:v>3</x:v>
      </x:c>
      <x:c r="F18" s="37" t="n">
        <x:f>COUNTIFS('Annotations'!$B$2:$B$601,A18,'Annotations'!$R$2:$R$601,"0")</x:f>
        <x:v>0</x:v>
      </x:c>
      <x:c r="G18" s="37" t="n">
        <x:f>COUNTIFS('Annotations'!$B$2:$B$601,A18,'Annotations'!$R$2:$R$601,"~?")</x:f>
        <x:v>0</x:v>
      </x:c>
      <x:c r="H18" s="38" t="n">
        <x:f>IF(C18=0,0,(D18+E18)/C18)</x:f>
        <x:v>1</x:v>
      </x:c>
      <x:c r="I18" s="38" t="n">
        <x:f>IF(COUNTIFS('Annotations'!$B$2:$B$601,A18,'Annotations'!$F$2:$F$601,"&lt;=5")=0,0,(COUNTIFS('Annotations'!$B$2:$B$601,A18,'Annotations'!$F$2:$F$601,"&lt;=5",'Annotations'!$R$2:$R$601,"2")+COUNTIFS('Annotations'!$B$2:$B$601,A18,'Annotations'!$F$2:$F$601,"&lt;=5",'Annotations'!$R$2:$R$601,"1"))/COUNTIFS('Annotations'!$B$2:$B$601,A18,'Annotations'!$F$2:$F$601,"&lt;=5"))</x:f>
        <x:v>1</x:v>
      </x:c>
      <x:c r="J18" s="38" t="n">
        <x:f>IF(COUNTIFS('Annotations'!$B$2:$B$601,A18,'Annotations'!$F$2:$F$601,"&lt;=10")=0,0,(COUNTIFS('Annotations'!$B$2:$B$601,A18,'Annotations'!$F$2:$F$601,"&lt;=10",'Annotations'!$R$2:$R$601,"2")+COUNTIFS('Annotations'!$B$2:$B$601,A18,'Annotations'!$F$2:$F$601,"&lt;=10",'Annotations'!$R$2:$R$601,"1"))/COUNTIFS('Annotations'!$B$2:$B$601,A18,'Annotations'!$F$2:$F$601,"&lt;=10"))</x:f>
        <x:v>1</x:v>
      </x:c>
      <x:c r="K18" s="38" t="n">
        <x:f>IF(COUNTIF('Annotations'!$B$2:$B$601,A18)=0,0,(COUNTIFS('Annotations'!$B$2:$B$601,A18,'Annotations'!$R$2:$R$601,"2")+COUNTIFS('Annotations'!$B$2:$B$601,A18,'Annotations'!$R$2:$R$601,"1"))/COUNTIF('Annotations'!$B$2:$B$601,A18))</x:f>
        <x:v>1</x:v>
      </x:c>
      <x:c r="L18" s="39" t="n">
        <x:f>IF(C18=0,0,D18/C18)</x:f>
        <x:v>0.85</x:v>
      </x:c>
    </x:row>
    <x:row r="19" ht="42" customHeight="1">
      <x:c r="A19" s="35" t="str">
        <x:v>csq016</x:v>
      </x:c>
      <x:c r="B19" s="45" t="str">
        <x:v>How do research systems mitigate cold starts in serverless computing, and how do prewarming, snapshotting, and prediction-based approaches compare?</x:v>
      </x:c>
      <x:c r="C19" s="37" t="n">
        <x:f>COUNTIF('Annotations'!$B$2:$B$601,A19)</x:f>
        <x:v>20</x:v>
      </x:c>
      <x:c r="D19" s="37" t="n">
        <x:f>COUNTIFS('Annotations'!$B$2:$B$601,A19,'Annotations'!$R$2:$R$601,"2")</x:f>
        <x:v>18</x:v>
      </x:c>
      <x:c r="E19" s="37" t="n">
        <x:f>COUNTIFS('Annotations'!$B$2:$B$601,A19,'Annotations'!$R$2:$R$601,"1")</x:f>
        <x:v>2</x:v>
      </x:c>
      <x:c r="F19" s="37" t="n">
        <x:f>COUNTIFS('Annotations'!$B$2:$B$601,A19,'Annotations'!$R$2:$R$601,"0")</x:f>
        <x:v>0</x:v>
      </x:c>
      <x:c r="G19" s="37" t="n">
        <x:f>COUNTIFS('Annotations'!$B$2:$B$601,A19,'Annotations'!$R$2:$R$601,"~?")</x:f>
        <x:v>0</x:v>
      </x:c>
      <x:c r="H19" s="38" t="n">
        <x:f>IF(C19=0,0,(D19+E19)/C19)</x:f>
        <x:v>1</x:v>
      </x:c>
      <x:c r="I19" s="38" t="n">
        <x:f>IF(COUNTIFS('Annotations'!$B$2:$B$601,A19,'Annotations'!$F$2:$F$601,"&lt;=5")=0,0,(COUNTIFS('Annotations'!$B$2:$B$601,A19,'Annotations'!$F$2:$F$601,"&lt;=5",'Annotations'!$R$2:$R$601,"2")+COUNTIFS('Annotations'!$B$2:$B$601,A19,'Annotations'!$F$2:$F$601,"&lt;=5",'Annotations'!$R$2:$R$601,"1"))/COUNTIFS('Annotations'!$B$2:$B$601,A19,'Annotations'!$F$2:$F$601,"&lt;=5"))</x:f>
        <x:v>1</x:v>
      </x:c>
      <x:c r="J19" s="38" t="n">
        <x:f>IF(COUNTIFS('Annotations'!$B$2:$B$601,A19,'Annotations'!$F$2:$F$601,"&lt;=10")=0,0,(COUNTIFS('Annotations'!$B$2:$B$601,A19,'Annotations'!$F$2:$F$601,"&lt;=10",'Annotations'!$R$2:$R$601,"2")+COUNTIFS('Annotations'!$B$2:$B$601,A19,'Annotations'!$F$2:$F$601,"&lt;=10",'Annotations'!$R$2:$R$601,"1"))/COUNTIFS('Annotations'!$B$2:$B$601,A19,'Annotations'!$F$2:$F$601,"&lt;=10"))</x:f>
        <x:v>1</x:v>
      </x:c>
      <x:c r="K19" s="38" t="n">
        <x:f>IF(COUNTIF('Annotations'!$B$2:$B$601,A19)=0,0,(COUNTIFS('Annotations'!$B$2:$B$601,A19,'Annotations'!$R$2:$R$601,"2")+COUNTIFS('Annotations'!$B$2:$B$601,A19,'Annotations'!$R$2:$R$601,"1"))/COUNTIF('Annotations'!$B$2:$B$601,A19))</x:f>
        <x:v>1</x:v>
      </x:c>
      <x:c r="L19" s="39" t="n">
        <x:f>IF(C19=0,0,D19/C19)</x:f>
        <x:v>0.9</x:v>
      </x:c>
    </x:row>
    <x:row r="20" ht="42" customHeight="1">
      <x:c r="A20" s="35" t="str">
        <x:v>csq017</x:v>
      </x:c>
      <x:c r="B20" s="45" t="str">
        <x:v>Which workloads, metrics, and experimental methodologies are used to evaluate datacenter cluster schedulers?</x:v>
      </x:c>
      <x:c r="C20" s="37" t="n">
        <x:f>COUNTIF('Annotations'!$B$2:$B$601,A20)</x:f>
        <x:v>20</x:v>
      </x:c>
      <x:c r="D20" s="37" t="n">
        <x:f>COUNTIFS('Annotations'!$B$2:$B$601,A20,'Annotations'!$R$2:$R$601,"2")</x:f>
        <x:v>13</x:v>
      </x:c>
      <x:c r="E20" s="37" t="n">
        <x:f>COUNTIFS('Annotations'!$B$2:$B$601,A20,'Annotations'!$R$2:$R$601,"1")</x:f>
        <x:v>4</x:v>
      </x:c>
      <x:c r="F20" s="37" t="n">
        <x:f>COUNTIFS('Annotations'!$B$2:$B$601,A20,'Annotations'!$R$2:$R$601,"0")</x:f>
        <x:v>3</x:v>
      </x:c>
      <x:c r="G20" s="37" t="n">
        <x:f>COUNTIFS('Annotations'!$B$2:$B$601,A20,'Annotations'!$R$2:$R$601,"~?")</x:f>
        <x:v>0</x:v>
      </x:c>
      <x:c r="H20" s="38" t="n">
        <x:f>IF(C20=0,0,(D20+E20)/C20)</x:f>
        <x:v>0.85</x:v>
      </x:c>
      <x:c r="I20" s="38" t="n">
        <x:f>IF(COUNTIFS('Annotations'!$B$2:$B$601,A20,'Annotations'!$F$2:$F$601,"&lt;=5")=0,0,(COUNTIFS('Annotations'!$B$2:$B$601,A20,'Annotations'!$F$2:$F$601,"&lt;=5",'Annotations'!$R$2:$R$601,"2")+COUNTIFS('Annotations'!$B$2:$B$601,A20,'Annotations'!$F$2:$F$601,"&lt;=5",'Annotations'!$R$2:$R$601,"1"))/COUNTIFS('Annotations'!$B$2:$B$601,A20,'Annotations'!$F$2:$F$601,"&lt;=5"))</x:f>
        <x:v>1</x:v>
      </x:c>
      <x:c r="J20" s="38" t="n">
        <x:f>IF(COUNTIFS('Annotations'!$B$2:$B$601,A20,'Annotations'!$F$2:$F$601,"&lt;=10")=0,0,(COUNTIFS('Annotations'!$B$2:$B$601,A20,'Annotations'!$F$2:$F$601,"&lt;=10",'Annotations'!$R$2:$R$601,"2")+COUNTIFS('Annotations'!$B$2:$B$601,A20,'Annotations'!$F$2:$F$601,"&lt;=10",'Annotations'!$R$2:$R$601,"1"))/COUNTIFS('Annotations'!$B$2:$B$601,A20,'Annotations'!$F$2:$F$601,"&lt;=10"))</x:f>
        <x:v>1</x:v>
      </x:c>
      <x:c r="K20" s="38" t="n">
        <x:f>IF(COUNTIF('Annotations'!$B$2:$B$601,A20)=0,0,(COUNTIFS('Annotations'!$B$2:$B$601,A20,'Annotations'!$R$2:$R$601,"2")+COUNTIFS('Annotations'!$B$2:$B$601,A20,'Annotations'!$R$2:$R$601,"1"))/COUNTIF('Annotations'!$B$2:$B$601,A20))</x:f>
        <x:v>0.85</x:v>
      </x:c>
      <x:c r="L20" s="39" t="n">
        <x:f>IF(C20=0,0,D20/C20)</x:f>
        <x:v>0.65</x:v>
      </x:c>
    </x:row>
    <x:row r="21" ht="42" customHeight="1">
      <x:c r="A21" s="35" t="str">
        <x:v>csq018</x:v>
      </x:c>
      <x:c r="B21" s="45" t="str">
        <x:v>How have programmable data planes and in-network computing evolved, and which classes of distributed applications have benefited from them?</x:v>
      </x:c>
      <x:c r="C21" s="37" t="n">
        <x:f>COUNTIF('Annotations'!$B$2:$B$601,A21)</x:f>
        <x:v>20</x:v>
      </x:c>
      <x:c r="D21" s="37" t="n">
        <x:f>COUNTIFS('Annotations'!$B$2:$B$601,A21,'Annotations'!$R$2:$R$601,"2")</x:f>
        <x:v>13</x:v>
      </x:c>
      <x:c r="E21" s="37" t="n">
        <x:f>COUNTIFS('Annotations'!$B$2:$B$601,A21,'Annotations'!$R$2:$R$601,"1")</x:f>
        <x:v>1</x:v>
      </x:c>
      <x:c r="F21" s="37" t="n">
        <x:f>COUNTIFS('Annotations'!$B$2:$B$601,A21,'Annotations'!$R$2:$R$601,"0")</x:f>
        <x:v>6</x:v>
      </x:c>
      <x:c r="G21" s="37" t="n">
        <x:f>COUNTIFS('Annotations'!$B$2:$B$601,A21,'Annotations'!$R$2:$R$601,"~?")</x:f>
        <x:v>0</x:v>
      </x:c>
      <x:c r="H21" s="38" t="n">
        <x:f>IF(C21=0,0,(D21+E21)/C21)</x:f>
        <x:v>0.7</x:v>
      </x:c>
      <x:c r="I21" s="38" t="n">
        <x:f>IF(COUNTIFS('Annotations'!$B$2:$B$601,A21,'Annotations'!$F$2:$F$601,"&lt;=5")=0,0,(COUNTIFS('Annotations'!$B$2:$B$601,A21,'Annotations'!$F$2:$F$601,"&lt;=5",'Annotations'!$R$2:$R$601,"2")+COUNTIFS('Annotations'!$B$2:$B$601,A21,'Annotations'!$F$2:$F$601,"&lt;=5",'Annotations'!$R$2:$R$601,"1"))/COUNTIFS('Annotations'!$B$2:$B$601,A21,'Annotations'!$F$2:$F$601,"&lt;=5"))</x:f>
        <x:v>0.6</x:v>
      </x:c>
      <x:c r="J21" s="38" t="n">
        <x:f>IF(COUNTIFS('Annotations'!$B$2:$B$601,A21,'Annotations'!$F$2:$F$601,"&lt;=10")=0,0,(COUNTIFS('Annotations'!$B$2:$B$601,A21,'Annotations'!$F$2:$F$601,"&lt;=10",'Annotations'!$R$2:$R$601,"2")+COUNTIFS('Annotations'!$B$2:$B$601,A21,'Annotations'!$F$2:$F$601,"&lt;=10",'Annotations'!$R$2:$R$601,"1"))/COUNTIFS('Annotations'!$B$2:$B$601,A21,'Annotations'!$F$2:$F$601,"&lt;=10"))</x:f>
        <x:v>0.7</x:v>
      </x:c>
      <x:c r="K21" s="38" t="n">
        <x:f>IF(COUNTIF('Annotations'!$B$2:$B$601,A21)=0,0,(COUNTIFS('Annotations'!$B$2:$B$601,A21,'Annotations'!$R$2:$R$601,"2")+COUNTIFS('Annotations'!$B$2:$B$601,A21,'Annotations'!$R$2:$R$601,"1"))/COUNTIF('Annotations'!$B$2:$B$601,A21))</x:f>
        <x:v>0.7</x:v>
      </x:c>
      <x:c r="L21" s="39" t="n">
        <x:f>IF(C21=0,0,D21/C21)</x:f>
        <x:v>0.65</x:v>
      </x:c>
    </x:row>
    <x:row r="22" ht="42" customHeight="1">
      <x:c r="A22" s="35" t="str">
        <x:v>csq019</x:v>
      </x:c>
      <x:c r="B22" s="45" t="str">
        <x:v>What methods are used for training deep learning models with differential privacy, and how do they manage the privacy-utility-computation trade-off?</x:v>
      </x:c>
      <x:c r="C22" s="37" t="n">
        <x:f>COUNTIF('Annotations'!$B$2:$B$601,A22)</x:f>
        <x:v>20</x:v>
      </x:c>
      <x:c r="D22" s="37" t="n">
        <x:f>COUNTIFS('Annotations'!$B$2:$B$601,A22,'Annotations'!$R$2:$R$601,"2")</x:f>
        <x:v>19</x:v>
      </x:c>
      <x:c r="E22" s="37" t="n">
        <x:f>COUNTIFS('Annotations'!$B$2:$B$601,A22,'Annotations'!$R$2:$R$601,"1")</x:f>
        <x:v>1</x:v>
      </x:c>
      <x:c r="F22" s="37" t="n">
        <x:f>COUNTIFS('Annotations'!$B$2:$B$601,A22,'Annotations'!$R$2:$R$601,"0")</x:f>
        <x:v>0</x:v>
      </x:c>
      <x:c r="G22" s="37" t="n">
        <x:f>COUNTIFS('Annotations'!$B$2:$B$601,A22,'Annotations'!$R$2:$R$601,"~?")</x:f>
        <x:v>0</x:v>
      </x:c>
      <x:c r="H22" s="38" t="n">
        <x:f>IF(C22=0,0,(D22+E22)/C22)</x:f>
        <x:v>1</x:v>
      </x:c>
      <x:c r="I22" s="38" t="n">
        <x:f>IF(COUNTIFS('Annotations'!$B$2:$B$601,A22,'Annotations'!$F$2:$F$601,"&lt;=5")=0,0,(COUNTIFS('Annotations'!$B$2:$B$601,A22,'Annotations'!$F$2:$F$601,"&lt;=5",'Annotations'!$R$2:$R$601,"2")+COUNTIFS('Annotations'!$B$2:$B$601,A22,'Annotations'!$F$2:$F$601,"&lt;=5",'Annotations'!$R$2:$R$601,"1"))/COUNTIFS('Annotations'!$B$2:$B$601,A22,'Annotations'!$F$2:$F$601,"&lt;=5"))</x:f>
        <x:v>1</x:v>
      </x:c>
      <x:c r="J22" s="38" t="n">
        <x:f>IF(COUNTIFS('Annotations'!$B$2:$B$601,A22,'Annotations'!$F$2:$F$601,"&lt;=10")=0,0,(COUNTIFS('Annotations'!$B$2:$B$601,A22,'Annotations'!$F$2:$F$601,"&lt;=10",'Annotations'!$R$2:$R$601,"2")+COUNTIFS('Annotations'!$B$2:$B$601,A22,'Annotations'!$F$2:$F$601,"&lt;=10",'Annotations'!$R$2:$R$601,"1"))/COUNTIFS('Annotations'!$B$2:$B$601,A22,'Annotations'!$F$2:$F$601,"&lt;=10"))</x:f>
        <x:v>1</x:v>
      </x:c>
      <x:c r="K22" s="38" t="n">
        <x:f>IF(COUNTIF('Annotations'!$B$2:$B$601,A22)=0,0,(COUNTIFS('Annotations'!$B$2:$B$601,A22,'Annotations'!$R$2:$R$601,"2")+COUNTIFS('Annotations'!$B$2:$B$601,A22,'Annotations'!$R$2:$R$601,"1"))/COUNTIF('Annotations'!$B$2:$B$601,A22))</x:f>
        <x:v>1</x:v>
      </x:c>
      <x:c r="L22" s="39" t="n">
        <x:f>IF(C22=0,0,D22/C22)</x:f>
        <x:v>0.95</x:v>
      </x:c>
    </x:row>
    <x:row r="23" ht="42" customHeight="1">
      <x:c r="A23" s="35" t="str">
        <x:v>csq020</x:v>
      </x:c>
      <x:c r="B23" s="45" t="str">
        <x:v>How do black-box and white-box membership inference attacks against machine learning models compare in their assumptions, methods, and evaluations?</x:v>
      </x:c>
      <x:c r="C23" s="37" t="n">
        <x:f>COUNTIF('Annotations'!$B$2:$B$601,A23)</x:f>
        <x:v>20</x:v>
      </x:c>
      <x:c r="D23" s="37" t="n">
        <x:f>COUNTIFS('Annotations'!$B$2:$B$601,A23,'Annotations'!$R$2:$R$601,"2")</x:f>
        <x:v>16</x:v>
      </x:c>
      <x:c r="E23" s="37" t="n">
        <x:f>COUNTIFS('Annotations'!$B$2:$B$601,A23,'Annotations'!$R$2:$R$601,"1")</x:f>
        <x:v>1</x:v>
      </x:c>
      <x:c r="F23" s="37" t="n">
        <x:f>COUNTIFS('Annotations'!$B$2:$B$601,A23,'Annotations'!$R$2:$R$601,"0")</x:f>
        <x:v>3</x:v>
      </x:c>
      <x:c r="G23" s="37" t="n">
        <x:f>COUNTIFS('Annotations'!$B$2:$B$601,A23,'Annotations'!$R$2:$R$601,"~?")</x:f>
        <x:v>0</x:v>
      </x:c>
      <x:c r="H23" s="38" t="n">
        <x:f>IF(C23=0,0,(D23+E23)/C23)</x:f>
        <x:v>0.85</x:v>
      </x:c>
      <x:c r="I23" s="38" t="n">
        <x:f>IF(COUNTIFS('Annotations'!$B$2:$B$601,A23,'Annotations'!$F$2:$F$601,"&lt;=5")=0,0,(COUNTIFS('Annotations'!$B$2:$B$601,A23,'Annotations'!$F$2:$F$601,"&lt;=5",'Annotations'!$R$2:$R$601,"2")+COUNTIFS('Annotations'!$B$2:$B$601,A23,'Annotations'!$F$2:$F$601,"&lt;=5",'Annotations'!$R$2:$R$601,"1"))/COUNTIFS('Annotations'!$B$2:$B$601,A23,'Annotations'!$F$2:$F$601,"&lt;=5"))</x:f>
        <x:v>0.8</x:v>
      </x:c>
      <x:c r="J23" s="38" t="n">
        <x:f>IF(COUNTIFS('Annotations'!$B$2:$B$601,A23,'Annotations'!$F$2:$F$601,"&lt;=10")=0,0,(COUNTIFS('Annotations'!$B$2:$B$601,A23,'Annotations'!$F$2:$F$601,"&lt;=10",'Annotations'!$R$2:$R$601,"2")+COUNTIFS('Annotations'!$B$2:$B$601,A23,'Annotations'!$F$2:$F$601,"&lt;=10",'Annotations'!$R$2:$R$601,"1"))/COUNTIFS('Annotations'!$B$2:$B$601,A23,'Annotations'!$F$2:$F$601,"&lt;=10"))</x:f>
        <x:v>0.8</x:v>
      </x:c>
      <x:c r="K23" s="38" t="n">
        <x:f>IF(COUNTIF('Annotations'!$B$2:$B$601,A23)=0,0,(COUNTIFS('Annotations'!$B$2:$B$601,A23,'Annotations'!$R$2:$R$601,"2")+COUNTIFS('Annotations'!$B$2:$B$601,A23,'Annotations'!$R$2:$R$601,"1"))/COUNTIF('Annotations'!$B$2:$B$601,A23))</x:f>
        <x:v>0.85</x:v>
      </x:c>
      <x:c r="L23" s="39" t="n">
        <x:f>IF(C23=0,0,D23/C23)</x:f>
        <x:v>0.8</x:v>
      </x:c>
    </x:row>
    <x:row r="24" ht="42" customHeight="1">
      <x:c r="A24" s="35" t="str">
        <x:v>csq021</x:v>
      </x:c>
      <x:c r="B24" s="45" t="str">
        <x:v>Which datasets, benchmarks, and metrics are used to evaluate software supply-chain vulnerability and malicious-package detection methods?</x:v>
      </x:c>
      <x:c r="C24" s="37" t="n">
        <x:f>COUNTIF('Annotations'!$B$2:$B$601,A24)</x:f>
        <x:v>20</x:v>
      </x:c>
      <x:c r="D24" s="37" t="n">
        <x:f>COUNTIFS('Annotations'!$B$2:$B$601,A24,'Annotations'!$R$2:$R$601,"2")</x:f>
        <x:v>9</x:v>
      </x:c>
      <x:c r="E24" s="37" t="n">
        <x:f>COUNTIFS('Annotations'!$B$2:$B$601,A24,'Annotations'!$R$2:$R$601,"1")</x:f>
        <x:v>5</x:v>
      </x:c>
      <x:c r="F24" s="37" t="n">
        <x:f>COUNTIFS('Annotations'!$B$2:$B$601,A24,'Annotations'!$R$2:$R$601,"0")</x:f>
        <x:v>6</x:v>
      </x:c>
      <x:c r="G24" s="37" t="n">
        <x:f>COUNTIFS('Annotations'!$B$2:$B$601,A24,'Annotations'!$R$2:$R$601,"~?")</x:f>
        <x:v>0</x:v>
      </x:c>
      <x:c r="H24" s="38" t="n">
        <x:f>IF(C24=0,0,(D24+E24)/C24)</x:f>
        <x:v>0.7</x:v>
      </x:c>
      <x:c r="I24" s="38" t="n">
        <x:f>IF(COUNTIFS('Annotations'!$B$2:$B$601,A24,'Annotations'!$F$2:$F$601,"&lt;=5")=0,0,(COUNTIFS('Annotations'!$B$2:$B$601,A24,'Annotations'!$F$2:$F$601,"&lt;=5",'Annotations'!$R$2:$R$601,"2")+COUNTIFS('Annotations'!$B$2:$B$601,A24,'Annotations'!$F$2:$F$601,"&lt;=5",'Annotations'!$R$2:$R$601,"1"))/COUNTIFS('Annotations'!$B$2:$B$601,A24,'Annotations'!$F$2:$F$601,"&lt;=5"))</x:f>
        <x:v>0.8</x:v>
      </x:c>
      <x:c r="J24" s="38" t="n">
        <x:f>IF(COUNTIFS('Annotations'!$B$2:$B$601,A24,'Annotations'!$F$2:$F$601,"&lt;=10")=0,0,(COUNTIFS('Annotations'!$B$2:$B$601,A24,'Annotations'!$F$2:$F$601,"&lt;=10",'Annotations'!$R$2:$R$601,"2")+COUNTIFS('Annotations'!$B$2:$B$601,A24,'Annotations'!$F$2:$F$601,"&lt;=10",'Annotations'!$R$2:$R$601,"1"))/COUNTIFS('Annotations'!$B$2:$B$601,A24,'Annotations'!$F$2:$F$601,"&lt;=10"))</x:f>
        <x:v>0.8</x:v>
      </x:c>
      <x:c r="K24" s="38" t="n">
        <x:f>IF(COUNTIF('Annotations'!$B$2:$B$601,A24)=0,0,(COUNTIFS('Annotations'!$B$2:$B$601,A24,'Annotations'!$R$2:$R$601,"2")+COUNTIFS('Annotations'!$B$2:$B$601,A24,'Annotations'!$R$2:$R$601,"1"))/COUNTIF('Annotations'!$B$2:$B$601,A24))</x:f>
        <x:v>0.7</x:v>
      </x:c>
      <x:c r="L24" s="39" t="n">
        <x:f>IF(C24=0,0,D24/C24)</x:f>
        <x:v>0.45</x:v>
      </x:c>
    </x:row>
    <x:row r="25" ht="42" customHeight="1">
      <x:c r="A25" s="35" t="str">
        <x:v>csq022</x:v>
      </x:c>
      <x:c r="B25" s="45" t="str">
        <x:v>What security and privacy attacks against federated learning have been demonstrated, and which proposed defenses remain limited under adaptive attackers?</x:v>
      </x:c>
      <x:c r="C25" s="37" t="n">
        <x:f>COUNTIF('Annotations'!$B$2:$B$601,A25)</x:f>
        <x:v>20</x:v>
      </x:c>
      <x:c r="D25" s="37" t="n">
        <x:f>COUNTIFS('Annotations'!$B$2:$B$601,A25,'Annotations'!$R$2:$R$601,"2")</x:f>
        <x:v>19</x:v>
      </x:c>
      <x:c r="E25" s="37" t="n">
        <x:f>COUNTIFS('Annotations'!$B$2:$B$601,A25,'Annotations'!$R$2:$R$601,"1")</x:f>
        <x:v>1</x:v>
      </x:c>
      <x:c r="F25" s="37" t="n">
        <x:f>COUNTIFS('Annotations'!$B$2:$B$601,A25,'Annotations'!$R$2:$R$601,"0")</x:f>
        <x:v>0</x:v>
      </x:c>
      <x:c r="G25" s="37" t="n">
        <x:f>COUNTIFS('Annotations'!$B$2:$B$601,A25,'Annotations'!$R$2:$R$601,"~?")</x:f>
        <x:v>0</x:v>
      </x:c>
      <x:c r="H25" s="38" t="n">
        <x:f>IF(C25=0,0,(D25+E25)/C25)</x:f>
        <x:v>1</x:v>
      </x:c>
      <x:c r="I25" s="38" t="n">
        <x:f>IF(COUNTIFS('Annotations'!$B$2:$B$601,A25,'Annotations'!$F$2:$F$601,"&lt;=5")=0,0,(COUNTIFS('Annotations'!$B$2:$B$601,A25,'Annotations'!$F$2:$F$601,"&lt;=5",'Annotations'!$R$2:$R$601,"2")+COUNTIFS('Annotations'!$B$2:$B$601,A25,'Annotations'!$F$2:$F$601,"&lt;=5",'Annotations'!$R$2:$R$601,"1"))/COUNTIFS('Annotations'!$B$2:$B$601,A25,'Annotations'!$F$2:$F$601,"&lt;=5"))</x:f>
        <x:v>1</x:v>
      </x:c>
      <x:c r="J25" s="38" t="n">
        <x:f>IF(COUNTIFS('Annotations'!$B$2:$B$601,A25,'Annotations'!$F$2:$F$601,"&lt;=10")=0,0,(COUNTIFS('Annotations'!$B$2:$B$601,A25,'Annotations'!$F$2:$F$601,"&lt;=10",'Annotations'!$R$2:$R$601,"2")+COUNTIFS('Annotations'!$B$2:$B$601,A25,'Annotations'!$F$2:$F$601,"&lt;=10",'Annotations'!$R$2:$R$601,"1"))/COUNTIFS('Annotations'!$B$2:$B$601,A25,'Annotations'!$F$2:$F$601,"&lt;=10"))</x:f>
        <x:v>1</x:v>
      </x:c>
      <x:c r="K25" s="38" t="n">
        <x:f>IF(COUNTIF('Annotations'!$B$2:$B$601,A25)=0,0,(COUNTIFS('Annotations'!$B$2:$B$601,A25,'Annotations'!$R$2:$R$601,"2")+COUNTIFS('Annotations'!$B$2:$B$601,A25,'Annotations'!$R$2:$R$601,"1"))/COUNTIF('Annotations'!$B$2:$B$601,A25))</x:f>
        <x:v>1</x:v>
      </x:c>
      <x:c r="L25" s="39" t="n">
        <x:f>IF(C25=0,0,D25/C25)</x:f>
        <x:v>0.95</x:v>
      </x:c>
    </x:row>
    <x:row r="26" ht="42" customHeight="1">
      <x:c r="A26" s="35" t="str">
        <x:v>csq023</x:v>
      </x:c>
      <x:c r="B26" s="45" t="str">
        <x:v>What are the main neural and large-language-model-based approaches to automated program repair, and how do they generate and validate patches?</x:v>
      </x:c>
      <x:c r="C26" s="37" t="n">
        <x:f>COUNTIF('Annotations'!$B$2:$B$601,A26)</x:f>
        <x:v>20</x:v>
      </x:c>
      <x:c r="D26" s="37" t="n">
        <x:f>COUNTIFS('Annotations'!$B$2:$B$601,A26,'Annotations'!$R$2:$R$601,"2")</x:f>
        <x:v>20</x:v>
      </x:c>
      <x:c r="E26" s="37" t="n">
        <x:f>COUNTIFS('Annotations'!$B$2:$B$601,A26,'Annotations'!$R$2:$R$601,"1")</x:f>
        <x:v>0</x:v>
      </x:c>
      <x:c r="F26" s="37" t="n">
        <x:f>COUNTIFS('Annotations'!$B$2:$B$601,A26,'Annotations'!$R$2:$R$601,"0")</x:f>
        <x:v>0</x:v>
      </x:c>
      <x:c r="G26" s="37" t="n">
        <x:f>COUNTIFS('Annotations'!$B$2:$B$601,A26,'Annotations'!$R$2:$R$601,"~?")</x:f>
        <x:v>0</x:v>
      </x:c>
      <x:c r="H26" s="38" t="n">
        <x:f>IF(C26=0,0,(D26+E26)/C26)</x:f>
        <x:v>1</x:v>
      </x:c>
      <x:c r="I26" s="38" t="n">
        <x:f>IF(COUNTIFS('Annotations'!$B$2:$B$601,A26,'Annotations'!$F$2:$F$601,"&lt;=5")=0,0,(COUNTIFS('Annotations'!$B$2:$B$601,A26,'Annotations'!$F$2:$F$601,"&lt;=5",'Annotations'!$R$2:$R$601,"2")+COUNTIFS('Annotations'!$B$2:$B$601,A26,'Annotations'!$F$2:$F$601,"&lt;=5",'Annotations'!$R$2:$R$601,"1"))/COUNTIFS('Annotations'!$B$2:$B$601,A26,'Annotations'!$F$2:$F$601,"&lt;=5"))</x:f>
        <x:v>1</x:v>
      </x:c>
      <x:c r="J26" s="38" t="n">
        <x:f>IF(COUNTIFS('Annotations'!$B$2:$B$601,A26,'Annotations'!$F$2:$F$601,"&lt;=10")=0,0,(COUNTIFS('Annotations'!$B$2:$B$601,A26,'Annotations'!$F$2:$F$601,"&lt;=10",'Annotations'!$R$2:$R$601,"2")+COUNTIFS('Annotations'!$B$2:$B$601,A26,'Annotations'!$F$2:$F$601,"&lt;=10",'Annotations'!$R$2:$R$601,"1"))/COUNTIFS('Annotations'!$B$2:$B$601,A26,'Annotations'!$F$2:$F$601,"&lt;=10"))</x:f>
        <x:v>1</x:v>
      </x:c>
      <x:c r="K26" s="38" t="n">
        <x:f>IF(COUNTIF('Annotations'!$B$2:$B$601,A26)=0,0,(COUNTIFS('Annotations'!$B$2:$B$601,A26,'Annotations'!$R$2:$R$601,"2")+COUNTIFS('Annotations'!$B$2:$B$601,A26,'Annotations'!$R$2:$R$601,"1"))/COUNTIF('Annotations'!$B$2:$B$601,A26))</x:f>
        <x:v>1</x:v>
      </x:c>
      <x:c r="L26" s="39" t="n">
        <x:f>IF(C26=0,0,D26/C26)</x:f>
        <x:v>1</x:v>
      </x:c>
    </x:row>
    <x:row r="27" ht="42" customHeight="1">
      <x:c r="A27" s="35" t="str">
        <x:v>csq024</x:v>
      </x:c>
      <x:c r="B27" s="45" t="str">
        <x:v>How do execution-based, test-based, and model-based evaluation approaches for code generation compare?</x:v>
      </x:c>
      <x:c r="C27" s="37" t="n">
        <x:f>COUNTIF('Annotations'!$B$2:$B$601,A27)</x:f>
        <x:v>20</x:v>
      </x:c>
      <x:c r="D27" s="37" t="n">
        <x:f>COUNTIFS('Annotations'!$B$2:$B$601,A27,'Annotations'!$R$2:$R$601,"2")</x:f>
        <x:v>7</x:v>
      </x:c>
      <x:c r="E27" s="37" t="n">
        <x:f>COUNTIFS('Annotations'!$B$2:$B$601,A27,'Annotations'!$R$2:$R$601,"1")</x:f>
        <x:v>11</x:v>
      </x:c>
      <x:c r="F27" s="37" t="n">
        <x:f>COUNTIFS('Annotations'!$B$2:$B$601,A27,'Annotations'!$R$2:$R$601,"0")</x:f>
        <x:v>2</x:v>
      </x:c>
      <x:c r="G27" s="37" t="n">
        <x:f>COUNTIFS('Annotations'!$B$2:$B$601,A27,'Annotations'!$R$2:$R$601,"~?")</x:f>
        <x:v>0</x:v>
      </x:c>
      <x:c r="H27" s="38" t="n">
        <x:f>IF(C27=0,0,(D27+E27)/C27)</x:f>
        <x:v>0.9</x:v>
      </x:c>
      <x:c r="I27" s="38" t="n">
        <x:f>IF(COUNTIFS('Annotations'!$B$2:$B$601,A27,'Annotations'!$F$2:$F$601,"&lt;=5")=0,0,(COUNTIFS('Annotations'!$B$2:$B$601,A27,'Annotations'!$F$2:$F$601,"&lt;=5",'Annotations'!$R$2:$R$601,"2")+COUNTIFS('Annotations'!$B$2:$B$601,A27,'Annotations'!$F$2:$F$601,"&lt;=5",'Annotations'!$R$2:$R$601,"1"))/COUNTIFS('Annotations'!$B$2:$B$601,A27,'Annotations'!$F$2:$F$601,"&lt;=5"))</x:f>
        <x:v>1</x:v>
      </x:c>
      <x:c r="J27" s="38" t="n">
        <x:f>IF(COUNTIFS('Annotations'!$B$2:$B$601,A27,'Annotations'!$F$2:$F$601,"&lt;=10")=0,0,(COUNTIFS('Annotations'!$B$2:$B$601,A27,'Annotations'!$F$2:$F$601,"&lt;=10",'Annotations'!$R$2:$R$601,"2")+COUNTIFS('Annotations'!$B$2:$B$601,A27,'Annotations'!$F$2:$F$601,"&lt;=10",'Annotations'!$R$2:$R$601,"1"))/COUNTIFS('Annotations'!$B$2:$B$601,A27,'Annotations'!$F$2:$F$601,"&lt;=10"))</x:f>
        <x:v>0.9</x:v>
      </x:c>
      <x:c r="K27" s="38" t="n">
        <x:f>IF(COUNTIF('Annotations'!$B$2:$B$601,A27)=0,0,(COUNTIFS('Annotations'!$B$2:$B$601,A27,'Annotations'!$R$2:$R$601,"2")+COUNTIFS('Annotations'!$B$2:$B$601,A27,'Annotations'!$R$2:$R$601,"1"))/COUNTIF('Annotations'!$B$2:$B$601,A27))</x:f>
        <x:v>0.9</x:v>
      </x:c>
      <x:c r="L27" s="39" t="n">
        <x:f>IF(C27=0,0,D27/C27)</x:f>
        <x:v>0.35</x:v>
      </x:c>
    </x:row>
    <x:row r="28" ht="42" customHeight="1">
      <x:c r="A28" s="35" t="str">
        <x:v>csq025</x:v>
      </x:c>
      <x:c r="B28" s="45" t="str">
        <x:v>Which datasets and evaluation protocols are used for machine-learning-based source-code vulnerability detection, and which forms of data leakage can inflate reported performance?</x:v>
      </x:c>
      <x:c r="C28" s="37" t="n">
        <x:f>COUNTIF('Annotations'!$B$2:$B$601,A28)</x:f>
        <x:v>20</x:v>
      </x:c>
      <x:c r="D28" s="37" t="n">
        <x:f>COUNTIFS('Annotations'!$B$2:$B$601,A28,'Annotations'!$R$2:$R$601,"2")</x:f>
        <x:v>18</x:v>
      </x:c>
      <x:c r="E28" s="37" t="n">
        <x:f>COUNTIFS('Annotations'!$B$2:$B$601,A28,'Annotations'!$R$2:$R$601,"1")</x:f>
        <x:v>0</x:v>
      </x:c>
      <x:c r="F28" s="37" t="n">
        <x:f>COUNTIFS('Annotations'!$B$2:$B$601,A28,'Annotations'!$R$2:$R$601,"0")</x:f>
        <x:v>2</x:v>
      </x:c>
      <x:c r="G28" s="37" t="n">
        <x:f>COUNTIFS('Annotations'!$B$2:$B$601,A28,'Annotations'!$R$2:$R$601,"~?")</x:f>
        <x:v>0</x:v>
      </x:c>
      <x:c r="H28" s="38" t="n">
        <x:f>IF(C28=0,0,(D28+E28)/C28)</x:f>
        <x:v>0.9</x:v>
      </x:c>
      <x:c r="I28" s="38" t="n">
        <x:f>IF(COUNTIFS('Annotations'!$B$2:$B$601,A28,'Annotations'!$F$2:$F$601,"&lt;=5")=0,0,(COUNTIFS('Annotations'!$B$2:$B$601,A28,'Annotations'!$F$2:$F$601,"&lt;=5",'Annotations'!$R$2:$R$601,"2")+COUNTIFS('Annotations'!$B$2:$B$601,A28,'Annotations'!$F$2:$F$601,"&lt;=5",'Annotations'!$R$2:$R$601,"1"))/COUNTIFS('Annotations'!$B$2:$B$601,A28,'Annotations'!$F$2:$F$601,"&lt;=5"))</x:f>
        <x:v>1</x:v>
      </x:c>
      <x:c r="J28" s="38" t="n">
        <x:f>IF(COUNTIFS('Annotations'!$B$2:$B$601,A28,'Annotations'!$F$2:$F$601,"&lt;=10")=0,0,(COUNTIFS('Annotations'!$B$2:$B$601,A28,'Annotations'!$F$2:$F$601,"&lt;=10",'Annotations'!$R$2:$R$601,"2")+COUNTIFS('Annotations'!$B$2:$B$601,A28,'Annotations'!$F$2:$F$601,"&lt;=10",'Annotations'!$R$2:$R$601,"1"))/COUNTIFS('Annotations'!$B$2:$B$601,A28,'Annotations'!$F$2:$F$601,"&lt;=10"))</x:f>
        <x:v>1</x:v>
      </x:c>
      <x:c r="K28" s="38" t="n">
        <x:f>IF(COUNTIF('Annotations'!$B$2:$B$601,A28)=0,0,(COUNTIFS('Annotations'!$B$2:$B$601,A28,'Annotations'!$R$2:$R$601,"2")+COUNTIFS('Annotations'!$B$2:$B$601,A28,'Annotations'!$R$2:$R$601,"1"))/COUNTIF('Annotations'!$B$2:$B$601,A28))</x:f>
        <x:v>0.9</x:v>
      </x:c>
      <x:c r="L28" s="39" t="n">
        <x:f>IF(C28=0,0,D28/C28)</x:f>
        <x:v>0.9</x:v>
      </x:c>
    </x:row>
    <x:row r="29" ht="42" customHeight="1">
      <x:c r="A29" s="35" t="str">
        <x:v>csq026</x:v>
      </x:c>
      <x:c r="B29" s="45" t="str">
        <x:v>What limitations have been reported for large-language-model agents on repository-level software engineering tasks, especially in localization, long-context reasoning, testing, and reproducibility?</x:v>
      </x:c>
      <x:c r="C29" s="37" t="n">
        <x:f>COUNTIF('Annotations'!$B$2:$B$601,A29)</x:f>
        <x:v>20</x:v>
      </x:c>
      <x:c r="D29" s="37" t="n">
        <x:f>COUNTIFS('Annotations'!$B$2:$B$601,A29,'Annotations'!$R$2:$R$601,"2")</x:f>
        <x:v>10</x:v>
      </x:c>
      <x:c r="E29" s="37" t="n">
        <x:f>COUNTIFS('Annotations'!$B$2:$B$601,A29,'Annotations'!$R$2:$R$601,"1")</x:f>
        <x:v>8</x:v>
      </x:c>
      <x:c r="F29" s="37" t="n">
        <x:f>COUNTIFS('Annotations'!$B$2:$B$601,A29,'Annotations'!$R$2:$R$601,"0")</x:f>
        <x:v>2</x:v>
      </x:c>
      <x:c r="G29" s="37" t="n">
        <x:f>COUNTIFS('Annotations'!$B$2:$B$601,A29,'Annotations'!$R$2:$R$601,"~?")</x:f>
        <x:v>0</x:v>
      </x:c>
      <x:c r="H29" s="38" t="n">
        <x:f>IF(C29=0,0,(D29+E29)/C29)</x:f>
        <x:v>0.9</x:v>
      </x:c>
      <x:c r="I29" s="38" t="n">
        <x:f>IF(COUNTIFS('Annotations'!$B$2:$B$601,A29,'Annotations'!$F$2:$F$601,"&lt;=5")=0,0,(COUNTIFS('Annotations'!$B$2:$B$601,A29,'Annotations'!$F$2:$F$601,"&lt;=5",'Annotations'!$R$2:$R$601,"2")+COUNTIFS('Annotations'!$B$2:$B$601,A29,'Annotations'!$F$2:$F$601,"&lt;=5",'Annotations'!$R$2:$R$601,"1"))/COUNTIFS('Annotations'!$B$2:$B$601,A29,'Annotations'!$F$2:$F$601,"&lt;=5"))</x:f>
        <x:v>0.8</x:v>
      </x:c>
      <x:c r="J29" s="38" t="n">
        <x:f>IF(COUNTIFS('Annotations'!$B$2:$B$601,A29,'Annotations'!$F$2:$F$601,"&lt;=10")=0,0,(COUNTIFS('Annotations'!$B$2:$B$601,A29,'Annotations'!$F$2:$F$601,"&lt;=10",'Annotations'!$R$2:$R$601,"2")+COUNTIFS('Annotations'!$B$2:$B$601,A29,'Annotations'!$F$2:$F$601,"&lt;=10",'Annotations'!$R$2:$R$601,"1"))/COUNTIFS('Annotations'!$B$2:$B$601,A29,'Annotations'!$F$2:$F$601,"&lt;=10"))</x:f>
        <x:v>0.9</x:v>
      </x:c>
      <x:c r="K29" s="38" t="n">
        <x:f>IF(COUNTIF('Annotations'!$B$2:$B$601,A29)=0,0,(COUNTIFS('Annotations'!$B$2:$B$601,A29,'Annotations'!$R$2:$R$601,"2")+COUNTIFS('Annotations'!$B$2:$B$601,A29,'Annotations'!$R$2:$R$601,"1"))/COUNTIF('Annotations'!$B$2:$B$601,A29))</x:f>
        <x:v>0.9</x:v>
      </x:c>
      <x:c r="L29" s="39" t="n">
        <x:f>IF(C29=0,0,D29/C29)</x:f>
        <x:v>0.5</x:v>
      </x:c>
    </x:row>
    <x:row r="30" ht="42" customHeight="1">
      <x:c r="A30" s="35" t="str">
        <x:v>csq027</x:v>
      </x:c>
      <x:c r="B30" s="45" t="str">
        <x:v>What learned index structures have been proposed, and under which data distributions and update workloads do they outperform or underperform traditional indexes?</x:v>
      </x:c>
      <x:c r="C30" s="37" t="n">
        <x:f>COUNTIF('Annotations'!$B$2:$B$601,A30)</x:f>
        <x:v>20</x:v>
      </x:c>
      <x:c r="D30" s="37" t="n">
        <x:f>COUNTIFS('Annotations'!$B$2:$B$601,A30,'Annotations'!$R$2:$R$601,"2")</x:f>
        <x:v>20</x:v>
      </x:c>
      <x:c r="E30" s="37" t="n">
        <x:f>COUNTIFS('Annotations'!$B$2:$B$601,A30,'Annotations'!$R$2:$R$601,"1")</x:f>
        <x:v>0</x:v>
      </x:c>
      <x:c r="F30" s="37" t="n">
        <x:f>COUNTIFS('Annotations'!$B$2:$B$601,A30,'Annotations'!$R$2:$R$601,"0")</x:f>
        <x:v>0</x:v>
      </x:c>
      <x:c r="G30" s="37" t="n">
        <x:f>COUNTIFS('Annotations'!$B$2:$B$601,A30,'Annotations'!$R$2:$R$601,"~?")</x:f>
        <x:v>0</x:v>
      </x:c>
      <x:c r="H30" s="38" t="n">
        <x:f>IF(C30=0,0,(D30+E30)/C30)</x:f>
        <x:v>1</x:v>
      </x:c>
      <x:c r="I30" s="38" t="n">
        <x:f>IF(COUNTIFS('Annotations'!$B$2:$B$601,A30,'Annotations'!$F$2:$F$601,"&lt;=5")=0,0,(COUNTIFS('Annotations'!$B$2:$B$601,A30,'Annotations'!$F$2:$F$601,"&lt;=5",'Annotations'!$R$2:$R$601,"2")+COUNTIFS('Annotations'!$B$2:$B$601,A30,'Annotations'!$F$2:$F$601,"&lt;=5",'Annotations'!$R$2:$R$601,"1"))/COUNTIFS('Annotations'!$B$2:$B$601,A30,'Annotations'!$F$2:$F$601,"&lt;=5"))</x:f>
        <x:v>1</x:v>
      </x:c>
      <x:c r="J30" s="38" t="n">
        <x:f>IF(COUNTIFS('Annotations'!$B$2:$B$601,A30,'Annotations'!$F$2:$F$601,"&lt;=10")=0,0,(COUNTIFS('Annotations'!$B$2:$B$601,A30,'Annotations'!$F$2:$F$601,"&lt;=10",'Annotations'!$R$2:$R$601,"2")+COUNTIFS('Annotations'!$B$2:$B$601,A30,'Annotations'!$F$2:$F$601,"&lt;=10",'Annotations'!$R$2:$R$601,"1"))/COUNTIFS('Annotations'!$B$2:$B$601,A30,'Annotations'!$F$2:$F$601,"&lt;=10"))</x:f>
        <x:v>1</x:v>
      </x:c>
      <x:c r="K30" s="38" t="n">
        <x:f>IF(COUNTIF('Annotations'!$B$2:$B$601,A30)=0,0,(COUNTIFS('Annotations'!$B$2:$B$601,A30,'Annotations'!$R$2:$R$601,"2")+COUNTIFS('Annotations'!$B$2:$B$601,A30,'Annotations'!$R$2:$R$601,"1"))/COUNTIF('Annotations'!$B$2:$B$601,A30))</x:f>
        <x:v>1</x:v>
      </x:c>
      <x:c r="L30" s="39" t="n">
        <x:f>IF(C30=0,0,D30/C30)</x:f>
        <x:v>1</x:v>
      </x:c>
    </x:row>
    <x:row r="31" ht="42" customHeight="1">
      <x:c r="A31" s="35" t="str">
        <x:v>csq028</x:v>
      </x:c>
      <x:c r="B31" s="45" t="str">
        <x:v>How do graph-based, quantization-based, and inverted-file approaches to approximate nearest-neighbor search compare in recall, latency, memory usage, and index construction cost?</x:v>
      </x:c>
      <x:c r="C31" s="37" t="n">
        <x:f>COUNTIF('Annotations'!$B$2:$B$601,A31)</x:f>
        <x:v>20</x:v>
      </x:c>
      <x:c r="D31" s="37" t="n">
        <x:f>COUNTIFS('Annotations'!$B$2:$B$601,A31,'Annotations'!$R$2:$R$601,"2")</x:f>
        <x:v>5</x:v>
      </x:c>
      <x:c r="E31" s="37" t="n">
        <x:f>COUNTIFS('Annotations'!$B$2:$B$601,A31,'Annotations'!$R$2:$R$601,"1")</x:f>
        <x:v>15</x:v>
      </x:c>
      <x:c r="F31" s="37" t="n">
        <x:f>COUNTIFS('Annotations'!$B$2:$B$601,A31,'Annotations'!$R$2:$R$601,"0")</x:f>
        <x:v>0</x:v>
      </x:c>
      <x:c r="G31" s="37" t="n">
        <x:f>COUNTIFS('Annotations'!$B$2:$B$601,A31,'Annotations'!$R$2:$R$601,"~?")</x:f>
        <x:v>0</x:v>
      </x:c>
      <x:c r="H31" s="38" t="n">
        <x:f>IF(C31=0,0,(D31+E31)/C31)</x:f>
        <x:v>1</x:v>
      </x:c>
      <x:c r="I31" s="38" t="n">
        <x:f>IF(COUNTIFS('Annotations'!$B$2:$B$601,A31,'Annotations'!$F$2:$F$601,"&lt;=5")=0,0,(COUNTIFS('Annotations'!$B$2:$B$601,A31,'Annotations'!$F$2:$F$601,"&lt;=5",'Annotations'!$R$2:$R$601,"2")+COUNTIFS('Annotations'!$B$2:$B$601,A31,'Annotations'!$F$2:$F$601,"&lt;=5",'Annotations'!$R$2:$R$601,"1"))/COUNTIFS('Annotations'!$B$2:$B$601,A31,'Annotations'!$F$2:$F$601,"&lt;=5"))</x:f>
        <x:v>1</x:v>
      </x:c>
      <x:c r="J31" s="38" t="n">
        <x:f>IF(COUNTIFS('Annotations'!$B$2:$B$601,A31,'Annotations'!$F$2:$F$601,"&lt;=10")=0,0,(COUNTIFS('Annotations'!$B$2:$B$601,A31,'Annotations'!$F$2:$F$601,"&lt;=10",'Annotations'!$R$2:$R$601,"2")+COUNTIFS('Annotations'!$B$2:$B$601,A31,'Annotations'!$F$2:$F$601,"&lt;=10",'Annotations'!$R$2:$R$601,"1"))/COUNTIFS('Annotations'!$B$2:$B$601,A31,'Annotations'!$F$2:$F$601,"&lt;=10"))</x:f>
        <x:v>1</x:v>
      </x:c>
      <x:c r="K31" s="38" t="n">
        <x:f>IF(COUNTIF('Annotations'!$B$2:$B$601,A31)=0,0,(COUNTIFS('Annotations'!$B$2:$B$601,A31,'Annotations'!$R$2:$R$601,"2")+COUNTIFS('Annotations'!$B$2:$B$601,A31,'Annotations'!$R$2:$R$601,"1"))/COUNTIF('Annotations'!$B$2:$B$601,A31))</x:f>
        <x:v>1</x:v>
      </x:c>
      <x:c r="L31" s="39" t="n">
        <x:f>IF(C31=0,0,D31/C31)</x:f>
        <x:v>0.25</x:v>
      </x:c>
    </x:row>
    <x:row r="32" ht="42" customHeight="1">
      <x:c r="A32" s="35" t="str">
        <x:v>csq029</x:v>
      </x:c>
      <x:c r="B32" s="45" t="str">
        <x:v>Which benchmarks and metrics are used to evaluate sparse, dense, and hybrid neural information retrieval, and how well do they measure out-of-domain robustness?</x:v>
      </x:c>
      <x:c r="C32" s="37" t="n">
        <x:f>COUNTIF('Annotations'!$B$2:$B$601,A32)</x:f>
        <x:v>20</x:v>
      </x:c>
      <x:c r="D32" s="37" t="n">
        <x:f>COUNTIFS('Annotations'!$B$2:$B$601,A32,'Annotations'!$R$2:$R$601,"2")</x:f>
        <x:v>6</x:v>
      </x:c>
      <x:c r="E32" s="37" t="n">
        <x:f>COUNTIFS('Annotations'!$B$2:$B$601,A32,'Annotations'!$R$2:$R$601,"1")</x:f>
        <x:v>10</x:v>
      </x:c>
      <x:c r="F32" s="37" t="n">
        <x:f>COUNTIFS('Annotations'!$B$2:$B$601,A32,'Annotations'!$R$2:$R$601,"0")</x:f>
        <x:v>4</x:v>
      </x:c>
      <x:c r="G32" s="37" t="n">
        <x:f>COUNTIFS('Annotations'!$B$2:$B$601,A32,'Annotations'!$R$2:$R$601,"~?")</x:f>
        <x:v>0</x:v>
      </x:c>
      <x:c r="H32" s="38" t="n">
        <x:f>IF(C32=0,0,(D32+E32)/C32)</x:f>
        <x:v>0.8</x:v>
      </x:c>
      <x:c r="I32" s="38" t="n">
        <x:f>IF(COUNTIFS('Annotations'!$B$2:$B$601,A32,'Annotations'!$F$2:$F$601,"&lt;=5")=0,0,(COUNTIFS('Annotations'!$B$2:$B$601,A32,'Annotations'!$F$2:$F$601,"&lt;=5",'Annotations'!$R$2:$R$601,"2")+COUNTIFS('Annotations'!$B$2:$B$601,A32,'Annotations'!$F$2:$F$601,"&lt;=5",'Annotations'!$R$2:$R$601,"1"))/COUNTIFS('Annotations'!$B$2:$B$601,A32,'Annotations'!$F$2:$F$601,"&lt;=5"))</x:f>
        <x:v>0.8</x:v>
      </x:c>
      <x:c r="J32" s="38" t="n">
        <x:f>IF(COUNTIFS('Annotations'!$B$2:$B$601,A32,'Annotations'!$F$2:$F$601,"&lt;=10")=0,0,(COUNTIFS('Annotations'!$B$2:$B$601,A32,'Annotations'!$F$2:$F$601,"&lt;=10",'Annotations'!$R$2:$R$601,"2")+COUNTIFS('Annotations'!$B$2:$B$601,A32,'Annotations'!$F$2:$F$601,"&lt;=10",'Annotations'!$R$2:$R$601,"1"))/COUNTIFS('Annotations'!$B$2:$B$601,A32,'Annotations'!$F$2:$F$601,"&lt;=10"))</x:f>
        <x:v>0.8</x:v>
      </x:c>
      <x:c r="K32" s="38" t="n">
        <x:f>IF(COUNTIF('Annotations'!$B$2:$B$601,A32)=0,0,(COUNTIFS('Annotations'!$B$2:$B$601,A32,'Annotations'!$R$2:$R$601,"2")+COUNTIFS('Annotations'!$B$2:$B$601,A32,'Annotations'!$R$2:$R$601,"1"))/COUNTIF('Annotations'!$B$2:$B$601,A32))</x:f>
        <x:v>0.8</x:v>
      </x:c>
      <x:c r="L32" s="39" t="n">
        <x:f>IF(C32=0,0,D32/C32)</x:f>
        <x:v>0.3</x:v>
      </x:c>
    </x:row>
    <x:row r="33" ht="42" customHeight="1">
      <x:c r="A33" s="35" t="str">
        <x:v>csq030</x:v>
      </x:c>
      <x:c r="B33" s="45" t="str">
        <x:v>How have text-to-SQL systems evolved from schema-aware neural parsers to large-language-model-based approaches, and which challenges remain on cross-domain benchmarks?</x:v>
      </x:c>
      <x:c r="C33" s="37" t="n">
        <x:f>COUNTIF('Annotations'!$B$2:$B$601,A33)</x:f>
        <x:v>20</x:v>
      </x:c>
      <x:c r="D33" s="37" t="n">
        <x:f>COUNTIFS('Annotations'!$B$2:$B$601,A33,'Annotations'!$R$2:$R$601,"2")</x:f>
        <x:v>20</x:v>
      </x:c>
      <x:c r="E33" s="37" t="n">
        <x:f>COUNTIFS('Annotations'!$B$2:$B$601,A33,'Annotations'!$R$2:$R$601,"1")</x:f>
        <x:v>0</x:v>
      </x:c>
      <x:c r="F33" s="37" t="n">
        <x:f>COUNTIFS('Annotations'!$B$2:$B$601,A33,'Annotations'!$R$2:$R$601,"0")</x:f>
        <x:v>0</x:v>
      </x:c>
      <x:c r="G33" s="37" t="n">
        <x:f>COUNTIFS('Annotations'!$B$2:$B$601,A33,'Annotations'!$R$2:$R$601,"~?")</x:f>
        <x:v>0</x:v>
      </x:c>
      <x:c r="H33" s="38" t="n">
        <x:f>IF(C33=0,0,(D33+E33)/C33)</x:f>
        <x:v>1</x:v>
      </x:c>
      <x:c r="I33" s="38" t="n">
        <x:f>IF(COUNTIFS('Annotations'!$B$2:$B$601,A33,'Annotations'!$F$2:$F$601,"&lt;=5")=0,0,(COUNTIFS('Annotations'!$B$2:$B$601,A33,'Annotations'!$F$2:$F$601,"&lt;=5",'Annotations'!$R$2:$R$601,"2")+COUNTIFS('Annotations'!$B$2:$B$601,A33,'Annotations'!$F$2:$F$601,"&lt;=5",'Annotations'!$R$2:$R$601,"1"))/COUNTIFS('Annotations'!$B$2:$B$601,A33,'Annotations'!$F$2:$F$601,"&lt;=5"))</x:f>
        <x:v>1</x:v>
      </x:c>
      <x:c r="J33" s="38" t="n">
        <x:f>IF(COUNTIFS('Annotations'!$B$2:$B$601,A33,'Annotations'!$F$2:$F$601,"&lt;=10")=0,0,(COUNTIFS('Annotations'!$B$2:$B$601,A33,'Annotations'!$F$2:$F$601,"&lt;=10",'Annotations'!$R$2:$R$601,"2")+COUNTIFS('Annotations'!$B$2:$B$601,A33,'Annotations'!$F$2:$F$601,"&lt;=10",'Annotations'!$R$2:$R$601,"1"))/COUNTIFS('Annotations'!$B$2:$B$601,A33,'Annotations'!$F$2:$F$601,"&lt;=10"))</x:f>
        <x:v>1</x:v>
      </x:c>
      <x:c r="K33" s="38" t="n">
        <x:f>IF(COUNTIF('Annotations'!$B$2:$B$601,A33)=0,0,(COUNTIFS('Annotations'!$B$2:$B$601,A33,'Annotations'!$R$2:$R$601,"2")+COUNTIFS('Annotations'!$B$2:$B$601,A33,'Annotations'!$R$2:$R$601,"1"))/COUNTIF('Annotations'!$B$2:$B$601,A33))</x:f>
        <x:v>1</x:v>
      </x:c>
      <x:c r="L33" s="39" t="n">
        <x:f>IF(C33=0,0,D33/C33)</x:f>
        <x:v>1</x:v>
      </x:c>
    </x:row>
    <x:row r="34">
      <x:c r="A34" s="35"/>
      <x:c r="B34" s="36"/>
      <x:c r="C34" s="37"/>
      <x:c r="D34" s="37"/>
      <x:c r="E34" s="37"/>
      <x:c r="F34" s="37"/>
      <x:c r="G34" s="37"/>
      <x:c r="H34" s="38"/>
      <x:c r="I34" s="38"/>
      <x:c r="J34" s="38"/>
      <x:c r="K34" s="38"/>
      <x:c r="L34" s="39"/>
    </x:row>
    <x:row r="35">
      <x:c r="A35" s="40" t="str">
        <x:v>总体</x:v>
      </x:c>
      <x:c r="B35" s="41"/>
      <x:c r="C35" s="42" t="n">
        <x:f>SUM(C4:C33)</x:f>
        <x:v>600</x:v>
      </x:c>
      <x:c r="D35" s="42" t="n">
        <x:f>SUM(D4:D33)</x:f>
        <x:v>441</x:v>
      </x:c>
      <x:c r="E35" s="42" t="n">
        <x:f>SUM(E4:E33)</x:f>
        <x:v>122</x:v>
      </x:c>
      <x:c r="F35" s="42" t="n">
        <x:f>SUM(F4:F33)</x:f>
        <x:v>37</x:v>
      </x:c>
      <x:c r="G35" s="42" t="n">
        <x:f>SUM(G4:G33)</x:f>
        <x:v>0</x:v>
      </x:c>
      <x:c r="H35" s="43" t="n">
        <x:f>IF(C35=0,0,(D35+E35)/C35)</x:f>
        <x:v>0.9383333333333334</x:v>
      </x:c>
      <x:c r="I35" s="43"/>
      <x:c r="J35" s="43"/>
      <x:c r="K35" s="43"/>
      <x:c r="L35" s="44" t="n">
        <x:f>IF(C35=0,0,D35/C35)</x:f>
        <x:v>0.735</x:v>
      </x:c>
    </x:row>
  </x:sheetData>
  <x:mergeCells>
    <x:mergeCell ref="A1:L1"/>
    <x:mergeCell ref="A35:B3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12" hidden="0" customWidth="1"/>
    <x:col min="3" max="3" width="24" hidden="0" customWidth="1"/>
    <x:col min="4" max="4" width="24" hidden="0" customWidth="1"/>
    <x:col min="5" max="5" width="52" hidden="0" customWidth="1"/>
    <x:col min="6" max="6" width="8" hidden="0" customWidth="1"/>
    <x:col min="7" max="7" width="18" hidden="0" customWidth="1"/>
    <x:col min="8" max="8" width="55" hidden="0" customWidth="1"/>
    <x:col min="9" max="9" width="36" hidden="0" customWidth="1"/>
    <x:col min="10" max="10" width="9" hidden="0" customWidth="1"/>
    <x:col min="11" max="11" width="78" hidden="0" customWidth="1"/>
    <x:col min="12" max="12" width="34" hidden="0" customWidth="1"/>
    <x:col min="13" max="13" width="12" hidden="0" customWidth="1"/>
    <x:col min="14" max="14" width="48" hidden="0" customWidth="1"/>
    <x:col min="15" max="15" width="12" hidden="0" customWidth="1"/>
    <x:col min="16" max="16" width="36" hidden="0" customWidth="1"/>
    <x:col min="17" max="17" width="12" hidden="0" customWidth="1"/>
    <x:col min="18" max="18" width="12" hidden="0" customWidth="1"/>
    <x:col min="19" max="19" width="30" hidden="0" customWidth="1"/>
  </x:cols>
  <x:sheetData>
    <x:row r="1" ht="30" customHeight="1">
      <x:c r="A1" s="21" t="str">
        <x:v>item_id</x:v>
      </x:c>
      <x:c r="B1" s="21" t="str">
        <x:v>question_id</x:v>
      </x:c>
      <x:c r="C1" s="21" t="str">
        <x:v>domain</x:v>
      </x:c>
      <x:c r="D1" s="21" t="str">
        <x:v>topic</x:v>
      </x:c>
      <x:c r="E1" s="21" t="str">
        <x:v>question</x:v>
      </x:c>
      <x:c r="F1" s="21" t="str">
        <x:v>rank</x:v>
      </x:c>
      <x:c r="G1" s="21" t="str">
        <x:v>source_id</x:v>
      </x:c>
      <x:c r="H1" s="21" t="str">
        <x:v>title</x:v>
      </x:c>
      <x:c r="I1" s="21" t="str">
        <x:v>authors</x:v>
      </x:c>
      <x:c r="J1" s="21" t="str">
        <x:v>year</x:v>
      </x:c>
      <x:c r="K1" s="21" t="str">
        <x:v>abstract</x:v>
      </x:c>
      <x:c r="L1" s="21" t="str">
        <x:v>url</x:v>
      </x:c>
      <x:c r="M1" s="21" t="str">
        <x:v>RRF score</x:v>
      </x:c>
      <x:c r="N1" s="21" t="str">
        <x:v>source run</x:v>
      </x:c>
      <x:c r="O1" s="21" t="str">
        <x:v>Codex 初标</x:v>
      </x:c>
      <x:c r="P1" s="21" t="str">
        <x:v>初标理由</x:v>
      </x:c>
      <x:c r="Q1" s="21" t="str">
        <x:v>人工修正</x:v>
      </x:c>
      <x:c r="R1" s="21" t="str">
        <x:v>最终标签</x:v>
      </x:c>
      <x:c r="S1" s="21" t="str">
        <x:v>人工备注</x:v>
      </x:c>
    </x:row>
    <x:row r="2" ht="54" customHeight="1">
      <x:c r="A2" s="17" t="str">
        <x:v>csq001-r01</x:v>
      </x:c>
      <x:c r="B2" s="17" t="str">
        <x:v>csq001</x:v>
      </x:c>
      <x:c r="C2" s="17" t="str">
        <x:v>natural_language_processing</x:v>
      </x:c>
      <x:c r="D2" s="17" t="str">
        <x:v>rag_evaluation</x:v>
      </x:c>
      <x:c r="E2" s="27" t="str">
        <x:v>What are the main methods for evaluating retrieval-augmented generation systems, and which retrieval and generation dimensions do they measure?</x:v>
      </x:c>
      <x:c r="F2" s="22" t="n">
        <x:v>1</x:v>
      </x:c>
      <x:c r="G2" s="17" t="str">
        <x:v>arXiv:2601.05264</x:v>
      </x:c>
      <x:c r="H2" s="27" t="str">
        <x:v>Engineering the RAG Stack: A Comprehensive Review of the Architecture and Trust Frameworks for Retrieval-Augmented Generation Systems</x:v>
      </x:c>
      <x:c r="I2" s="17" t="str">
        <x:v>Dean Wampler; Dave Nielson; Alireza Seddighi</x:v>
      </x:c>
      <x:c r="J2" s="22" t="n">
        <x:v>2025</x:v>
      </x:c>
      <x:c r="K2" s="27" t="str">
        <x:v>This article provides a comprehensive systematic literature review of academic studies, industrial applications, and real-world deployments from 2018 to 2025, providing a practical guide and detailed overview of modern Retrieval-Augmented Generation (RAG) architectures. RAG offers a modular approach for integrating external knowledge without increasing the capacity of the model as LLM systems expand. Research and engineering practices have been fragmented as a result of the increasing diversity of RAG methodologies, which encompasses a variety of fusion mechanisms, retrieval strategies, and orchestration approaches. We provide quantitative assessment frameworks, analyze the implications for trust and alignment, and systematically consolidate existing RAG techniques into a unified taxonomy. This document is a practical framework for the deployment of resilient, secure, and domain-adaptable RAG systems, synthesizing insights from academic literature, industry reports, and technical implementation guides. It also functions as a technical reference.</x:v>
      </x:c>
      <x:c r="L2" s="17" t="str">
        <x:v>http://arxiv.org/abs/2601.05264v1</x:v>
      </x:c>
      <x:c r="M2" s="23" t="n">
        <x:v>0.06530936012691699</x:v>
      </x:c>
      <x:c r="N2" s="17" t="str">
        <x:v>arxiv-paper-eval-20260727-105551-results.jsonl</x:v>
      </x:c>
      <x:c r="O2" s="24" t="str">
        <x:v>2</x:v>
      </x:c>
      <x:c r="P2" s="28" t="str">
        <x:v>系统综述RAG架构并明确提供量化评估框架，可支持评估方法梳理。</x:v>
      </x:c>
      <x:c r="Q2" s="25" t="str"/>
      <x:c r="R2" s="24" t="str">
        <x:f>IF(Q2&lt;&gt;"",Q2,O2)</x:f>
        <x:v>2</x:v>
      </x:c>
      <x:c r="S2" s="29" t="str"/>
    </x:row>
    <x:row r="3" ht="54" customHeight="1">
      <x:c r="A3" s="17" t="str">
        <x:v>csq001-r02</x:v>
      </x:c>
      <x:c r="B3" s="17" t="str">
        <x:v>csq001</x:v>
      </x:c>
      <x:c r="C3" s="17" t="str">
        <x:v>natural_language_processing</x:v>
      </x:c>
      <x:c r="D3" s="17" t="str">
        <x:v>rag_evaluation</x:v>
      </x:c>
      <x:c r="E3" s="27" t="str">
        <x:v>What are the main methods for evaluating retrieval-augmented generation systems, and which retrieval and generation dimensions do they measure?</x:v>
      </x:c>
      <x:c r="F3" s="22" t="n">
        <x:v>2</x:v>
      </x:c>
      <x:c r="G3" s="17" t="str">
        <x:v>arXiv:2309.15217</x:v>
      </x:c>
      <x:c r="H3" s="27" t="str">
        <x:v>Ragas: Automated Evaluation of Retrieval Augmented Generation</x:v>
      </x:c>
      <x:c r="I3" s="17" t="str">
        <x:v>Shahul Es; Jithin James; Luis Espinosa-Anke; Steven Schockaert</x:v>
      </x:c>
      <x:c r="J3" s="22" t="n">
        <x:v>2023</x:v>
      </x:c>
      <x:c r="K3" s="27" t="str">
        <x:v>We introduce Ragas (Retrieval Augmented Generation Assessment), a framework for reference-free evaluation of Retrieval Augmented Generation (RAG) pipelines. RAG systems are composed of a retrieval and an LLM based generation module, and provide LLMs with knowledge from a reference textual database, which enables them to act as a natural language layer between a user and textual databases, reducing the risk of hallucinations. Evaluating RAG architectures is, however, challenging because there are several dimensions to consider: the ability of the retrieval system to identify relevant and focused context passages, the ability of the LLM to exploit such passages in a faithful way, or the quality of the generation itself. With Ragas, we put forward a suite of metrics which can be used to evaluate these different dimensions \textit{without having to rely on ground truth human annotations}. We posit that such a framework can crucially contribute to faster evaluation cycles of RAG architectures, which is especially important given the fast adoption of LLMs.</x:v>
      </x:c>
      <x:c r="L3" s="17" t="str">
        <x:v>http://arxiv.org/abs/2309.15217v2</x:v>
      </x:c>
      <x:c r="M3" s="23" t="n">
        <x:v>0.06258094635703744</x:v>
      </x:c>
      <x:c r="N3" s="17" t="str">
        <x:v>arxiv-paper-eval-20260727-105551-results.jsonl</x:v>
      </x:c>
      <x:c r="O3" s="24" t="str">
        <x:v>2</x:v>
      </x:c>
      <x:c r="P3" s="28" t="str">
        <x:v>Ragas专门评估检索相关性、上下文利用忠实性及生成质量。</x:v>
      </x:c>
      <x:c r="Q3" s="25" t="str"/>
      <x:c r="R3" s="24" t="str">
        <x:f>IF(Q3&lt;&gt;"",Q3,O3)</x:f>
        <x:v>2</x:v>
      </x:c>
      <x:c r="S3" s="29" t="str"/>
    </x:row>
    <x:row r="4" ht="54" customHeight="1">
      <x:c r="A4" s="17" t="str">
        <x:v>csq001-r03</x:v>
      </x:c>
      <x:c r="B4" s="17" t="str">
        <x:v>csq001</x:v>
      </x:c>
      <x:c r="C4" s="17" t="str">
        <x:v>natural_language_processing</x:v>
      </x:c>
      <x:c r="D4" s="17" t="str">
        <x:v>rag_evaluation</x:v>
      </x:c>
      <x:c r="E4" s="27" t="str">
        <x:v>What are the main methods for evaluating retrieval-augmented generation systems, and which retrieval and generation dimensions do they measure?</x:v>
      </x:c>
      <x:c r="F4" s="22" t="n">
        <x:v>3</x:v>
      </x:c>
      <x:c r="G4" s="17" t="str">
        <x:v>arXiv:2411.18583</x:v>
      </x:c>
      <x:c r="H4" s="27" t="str">
        <x:v>Automated Literature Review Using NLP Techniques and LLM-Based Retrieval-Augmented Generation</x:v>
      </x:c>
      <x:c r="I4" s="17" t="str">
        <x:v>Nurshat Fateh Ali; Md. Mahdi Mohtasim; Shakil Mosharrof; T. Gopi Krishna</x:v>
      </x:c>
      <x:c r="J4" s="22" t="n">
        <x:v>2024</x:v>
      </x:c>
      <x:c r="K4" s="27" t="str">
        <x:v>This research presents and compares multiple approaches to automate the generation of literature reviews using several Natural Language Processing (NLP) techniques and retrieval-augmented generation (RAG) with a Large Language Model (LLM). The ever-increasing number of research articles provides a huge challenge for manual literature review. It has resulted in an increased demand for automation. Developing a system capable of automatically generating the literature reviews from only the PDF files as input is the primary objective of this research work. The effectiveness of several Natural Language Processing (NLP) strategies, such as the frequency-based method (spaCy), the transformer model (Simple T5), and retrieval-augmented generation (RAG) with Large Language Model (GPT-3.5-turbo), is evaluated to meet the primary objective. The SciTLDR dataset is chosen for this research experiment and three distinct techniques are utilized to implement three different systems for auto-generating the literature reviews. The ROUGE scores are used for the evaluation of all three systems. Based on the evaluation, the Large Language Model GPT-3.5-turbo achieved the highest ROUGE-1 score, 0.364. The transformer model comes in second place and spaCy is at the last position. Finally, a graphical user interface is created for the best system based on the large language model.</x:v>
      </x:c>
      <x:c r="L4" s="17" t="str">
        <x:v>http://arxiv.org/abs/2411.18583v1</x:v>
      </x:c>
      <x:c r="M4" s="23" t="n">
        <x:v>0.06206402077700826</x:v>
      </x:c>
      <x:c r="N4" s="17" t="str">
        <x:v>arxiv-paper-eval-20260727-105551-results.jsonl</x:v>
      </x:c>
      <x:c r="O4" s="24" t="str">
        <x:v>1</x:v>
      </x:c>
      <x:c r="P4" s="28" t="str">
        <x:v>以ROUGE比较文献综述生成系统，涉及RAG应用评测但未分解检索与生成维度。</x:v>
      </x:c>
      <x:c r="Q4" s="25" t="str"/>
      <x:c r="R4" s="24" t="str">
        <x:f>IF(Q4&lt;&gt;"",Q4,O4)</x:f>
        <x:v>1</x:v>
      </x:c>
      <x:c r="S4" s="29" t="str"/>
    </x:row>
    <x:row r="5" ht="54" customHeight="1">
      <x:c r="A5" s="17" t="str">
        <x:v>csq001-r04</x:v>
      </x:c>
      <x:c r="B5" s="17" t="str">
        <x:v>csq001</x:v>
      </x:c>
      <x:c r="C5" s="17" t="str">
        <x:v>natural_language_processing</x:v>
      </x:c>
      <x:c r="D5" s="17" t="str">
        <x:v>rag_evaluation</x:v>
      </x:c>
      <x:c r="E5" s="27" t="str">
        <x:v>What are the main methods for evaluating retrieval-augmented generation systems, and which retrieval and generation dimensions do they measure?</x:v>
      </x:c>
      <x:c r="F5" s="22" t="n">
        <x:v>4</x:v>
      </x:c>
      <x:c r="G5" s="17" t="str">
        <x:v>arXiv:2510.25518</x:v>
      </x:c>
      <x:c r="H5" s="27" t="str">
        <x:v>Retrieval Augmented Generation (RAG) for Fintech: Agentic Design and Evaluation</x:v>
      </x:c>
      <x:c r="I5" s="17" t="str">
        <x:v>Thomas Cook; Richard Osuagwu; Liman Tsatiashvili; Vrynsia Vrynsia; Koustav Ghosal; Maraim Masoud; Riccardo Mattivi</x:v>
      </x:c>
      <x:c r="J5" s="22" t="n">
        <x:v>2025</x:v>
      </x:c>
      <x:c r="K5" s="27" t="str">
        <x:v>Retrieval-Augmented Generation (RAG) systems often face limitations in specialized domains such as fintech, where domain-specific ontologies, dense terminology, and acronyms complicate effective retrieval and synthesis. This paper introduces an agentic RAG architecture designed to address these challenges through a modular pipeline of specialized agents. The proposed system supports intelligent query reformulation, iterative sub-query decomposition guided by keyphrase extraction, contextual acronym resolution, and cross-encoder-based context re-ranking. We evaluate our approach against a standard RAG baseline using a curated dataset of 85 question--answer--reference triples derived from an enterprise fintech knowledge base. Experimental results demonstrate that the agentic RAG system outperforms the baseline in retrieval precision and relevance, albeit with increased latency. These findings suggest that structured, multi-agent methodologies offer a promising direction for enhancing retrieval robustness in complex, domain-specific settings.</x:v>
      </x:c>
      <x:c r="L5" s="17" t="str">
        <x:v>http://arxiv.org/abs/2510.25518v1</x:v>
      </x:c>
      <x:c r="M5" s="23" t="n">
        <x:v>0.06203414640914641</x:v>
      </x:c>
      <x:c r="N5" s="17" t="str">
        <x:v>arxiv-paper-eval-20260727-105551-results.jsonl</x:v>
      </x:c>
      <x:c r="O5" s="24" t="str">
        <x:v>1</x:v>
      </x:c>
      <x:c r="P5" s="28" t="str">
        <x:v>主要提出金融领域agentic RAG，仅以检索精度和相关性验证系统。</x:v>
      </x:c>
      <x:c r="Q5" s="25" t="str"/>
      <x:c r="R5" s="24" t="str">
        <x:f>IF(Q5&lt;&gt;"",Q5,O5)</x:f>
        <x:v>1</x:v>
      </x:c>
      <x:c r="S5" s="29" t="str"/>
    </x:row>
    <x:row r="6" ht="54" customHeight="1">
      <x:c r="A6" s="17" t="str">
        <x:v>csq001-r05</x:v>
      </x:c>
      <x:c r="B6" s="17" t="str">
        <x:v>csq001</x:v>
      </x:c>
      <x:c r="C6" s="17" t="str">
        <x:v>natural_language_processing</x:v>
      </x:c>
      <x:c r="D6" s="17" t="str">
        <x:v>rag_evaluation</x:v>
      </x:c>
      <x:c r="E6" s="27" t="str">
        <x:v>What are the main methods for evaluating retrieval-augmented generation systems, and which retrieval and generation dimensions do they measure?</x:v>
      </x:c>
      <x:c r="F6" s="22" t="n">
        <x:v>5</x:v>
      </x:c>
      <x:c r="G6" s="17" t="str">
        <x:v>arXiv:2511.22858</x:v>
      </x:c>
      <x:c r="H6" s="27" t="str">
        <x:v>RAG System for Supporting Japanese Litigation Procedures: Faithful Response Generation Complying with Legal Norms</x:v>
      </x:c>
      <x:c r="I6" s="17" t="str">
        <x:v>Yuya Ishihara; Atsushi Keyaki; Hiroaki Yamada; Ryutaro Ohara; Mihoko Sumida</x:v>
      </x:c>
      <x:c r="J6" s="22" t="n">
        <x:v>2025</x:v>
      </x:c>
      <x:c r="K6" s="27" t="str">
        <x:v>This study discusses the essential components that a Retrieval-Augmented Generation (RAG)-based LLM system should possess in order to support Japanese medical litigation procedures complying with legal norms. In litigation, expert commissioners, such as physicians, architects, accountants, and engineers, provide specialized knowledge to help judges clarify points of dispute. When considering the substitution of these expert roles with a RAG-based LLM system, the constraint of strict adherence to legal norms is imposed. Specifically, three requirements arise: (1) the retrieval module must retrieve appropriate external knowledge relevant to the disputed issues in accordance with the principle prohibiting the use of private knowledge, (2) the responses generated must originate from the context provided by the RAG and remain faithful to that context, and (3) the retrieval module must reference external knowledge with appropriate timestamps corresponding to the issues at hand. This paper discusses the design of a RAG-based LLM system that satisfies these requirements.</x:v>
      </x:c>
      <x:c r="L6" s="17" t="str">
        <x:v>http://arxiv.org/abs/2511.22858v1</x:v>
      </x:c>
      <x:c r="M6" s="23" t="n">
        <x:v>0.06022316700066061</x:v>
      </x:c>
      <x:c r="N6" s="17" t="str">
        <x:v>arxiv-paper-eval-20260727-105551-results.jsonl</x:v>
      </x:c>
      <x:c r="O6" s="24" t="str">
        <x:v>1</x:v>
      </x:c>
      <x:c r="P6" s="28" t="str">
        <x:v>讨论检索适切性与回答忠实性要求，但未提出或比较评估方法。</x:v>
      </x:c>
      <x:c r="Q6" s="25" t="str"/>
      <x:c r="R6" s="24" t="str">
        <x:f>IF(Q6&lt;&gt;"",Q6,O6)</x:f>
        <x:v>1</x:v>
      </x:c>
      <x:c r="S6" s="29" t="str"/>
    </x:row>
    <x:row r="7" ht="54" customHeight="1">
      <x:c r="A7" s="17" t="str">
        <x:v>csq001-r06</x:v>
      </x:c>
      <x:c r="B7" s="17" t="str">
        <x:v>csq001</x:v>
      </x:c>
      <x:c r="C7" s="17" t="str">
        <x:v>natural_language_processing</x:v>
      </x:c>
      <x:c r="D7" s="17" t="str">
        <x:v>rag_evaluation</x:v>
      </x:c>
      <x:c r="E7" s="27" t="str">
        <x:v>What are the main methods for evaluating retrieval-augmented generation systems, and which retrieval and generation dimensions do they measure?</x:v>
      </x:c>
      <x:c r="F7" s="22" t="n">
        <x:v>6</x:v>
      </x:c>
      <x:c r="G7" s="17" t="str">
        <x:v>arXiv:2501.03995</x:v>
      </x:c>
      <x:c r="H7" s="27" t="str">
        <x:v>RAG-Check: Evaluating Multimodal Retrieval Augmented Generation Performance</x:v>
      </x:c>
      <x:c r="I7" s="17" t="str">
        <x:v>Matin Mortaheb; Mohammad A. Amir Khojastepour; Srimat T. Chakradhar; Sennur Ulukus</x:v>
      </x:c>
      <x:c r="J7" s="22" t="n">
        <x:v>2025</x:v>
      </x:c>
      <x:c r="K7" s="27" t="str">
        <x:v>Retrieval-augmented generation (RAG) improves large language models (LLMs) by using external knowledge to guide response generation, reducing hallucinations. However, RAG, particularly multi-modal RAG, can introduce new hallucination sources: (i) the retrieval process may select irrelevant pieces (e.g., documents, images) as raw context from the database, and (ii) retrieved images are processed into text-based context via vision-language models (VLMs) or directly used by multi-modal language models (MLLMs) like GPT-4o, which may hallucinate. To address this, we propose a novel framework to evaluate the reliability of multi-modal RAG using two performance measures: (i) the relevancy score (RS), assessing the relevance of retrieved entries to the query, and (ii) the correctness score (CS), evaluating the accuracy of the generated response. We train RS and CS models using a ChatGPT-derived database and human evaluator samples. Results show that both models achieve ~88% accuracy on test data. Additionally, we construct a 5000-sample human-annotated database evaluating the relevancy of retrieved pieces and the correctness of response statements. Our RS model aligns with human preferences 20% more often than CLIP in retrieval, and our CS model matches human preferences ~91% of the time. Finally, we assess various RAG systems' selection and generation performances using RS and CS.</x:v>
      </x:c>
      <x:c r="L7" s="17" t="str">
        <x:v>http://arxiv.org/abs/2501.03995v1</x:v>
      </x:c>
      <x:c r="M7" s="23" t="n">
        <x:v>0.058208516152711456</x:v>
      </x:c>
      <x:c r="N7" s="17" t="str">
        <x:v>arxiv-paper-eval-20260727-105551-results.jsonl</x:v>
      </x:c>
      <x:c r="O7" s="24" t="str">
        <x:v>2</x:v>
      </x:c>
      <x:c r="P7" s="28" t="str">
        <x:v>提出多模态RAG评估框架，分别测量检索相关性与生成正确性。</x:v>
      </x:c>
      <x:c r="Q7" s="25" t="str"/>
      <x:c r="R7" s="24" t="str">
        <x:f>IF(Q7&lt;&gt;"",Q7,O7)</x:f>
        <x:v>2</x:v>
      </x:c>
      <x:c r="S7" s="29" t="str"/>
    </x:row>
    <x:row r="8" ht="54" customHeight="1">
      <x:c r="A8" s="17" t="str">
        <x:v>csq001-r07</x:v>
      </x:c>
      <x:c r="B8" s="17" t="str">
        <x:v>csq001</x:v>
      </x:c>
      <x:c r="C8" s="17" t="str">
        <x:v>natural_language_processing</x:v>
      </x:c>
      <x:c r="D8" s="17" t="str">
        <x:v>rag_evaluation</x:v>
      </x:c>
      <x:c r="E8" s="27" t="str">
        <x:v>What are the main methods for evaluating retrieval-augmented generation systems, and which retrieval and generation dimensions do they measure?</x:v>
      </x:c>
      <x:c r="F8" s="22" t="n">
        <x:v>7</x:v>
      </x:c>
      <x:c r="G8" s="17" t="str">
        <x:v>arXiv:2508.05650</x:v>
      </x:c>
      <x:c r="H8" s="27" t="str">
        <x:v>OmniBench-RAG: A Multi-Domain Evaluation Platform for Retrieval-Augmented Generation Tools</x:v>
      </x:c>
      <x:c r="I8" s="17" t="str">
        <x:v>Jiaxuan Liang; Shide Zhou; Kailong Wang</x:v>
      </x:c>
      <x:c r="J8" s="22" t="n">
        <x:v>2025</x:v>
      </x:c>
      <x:c r="K8" s="27" t="str">
        <x:v>While Retrieval Augmented Generation (RAG) is now widely adopted to enhance LLMs, evaluating its true performance benefits in a reproducible and interpretable way remains a major hurdle. Existing methods often fall short: they lack domain coverage, employ coarse metrics that miss sub document precision, and fail to capture computational trade offs. Most critically, they provide no standardized framework for comparing RAG effectiveness across different models and domains. We introduce OmniBench RAG, a novel automated platform for multi domain evaluation of RAG systems. The platform quantifies performance gains across accuracy and efficiency dimensions, spanning nine knowledge fields including culture, geography, and health. We introduce two standardized metrics: Improvements (accuracy gains) and Transformation (efficiency differences between pre RAG and post RAG models), enabling reproducible comparisons across models and tasks. The platform features dynamic test generation, modular evaluation pipelines, and automated knowledge base construction. Our evaluation reveals striking variability in RAG effectiveness, from significant gains in culture to declines in mathematics, highlighting the critical importance of systematic, domain aware assessment. A demonstration video is available at: https://www.youtube.com/watch?v=BZx83QFcTCI. Code and datasets: https://github.com/Garnett-Liang/Omnibench-RAG.</x:v>
      </x:c>
      <x:c r="L8" s="17" t="str">
        <x:v>http://arxiv.org/abs/2508.05650v1</x:v>
      </x:c>
      <x:c r="M8" s="23" t="n">
        <x:v>0.057154521330883855</x:v>
      </x:c>
      <x:c r="N8" s="17" t="str">
        <x:v>arxiv-paper-eval-20260727-105551-results.jsonl</x:v>
      </x:c>
      <x:c r="O8" s="24" t="str">
        <x:v>2</x:v>
      </x:c>
      <x:c r="P8" s="28" t="str">
        <x:v>提出跨领域RAG评估平台及准确性提升和效率变化指标。</x:v>
      </x:c>
      <x:c r="Q8" s="25" t="str"/>
      <x:c r="R8" s="24" t="str">
        <x:f>IF(Q8&lt;&gt;"",Q8,O8)</x:f>
        <x:v>2</x:v>
      </x:c>
      <x:c r="S8" s="29" t="str"/>
    </x:row>
    <x:row r="9" ht="54" customHeight="1">
      <x:c r="A9" s="17" t="str">
        <x:v>csq001-r08</x:v>
      </x:c>
      <x:c r="B9" s="17" t="str">
        <x:v>csq001</x:v>
      </x:c>
      <x:c r="C9" s="17" t="str">
        <x:v>natural_language_processing</x:v>
      </x:c>
      <x:c r="D9" s="17" t="str">
        <x:v>rag_evaluation</x:v>
      </x:c>
      <x:c r="E9" s="27" t="str">
        <x:v>What are the main methods for evaluating retrieval-augmented generation systems, and which retrieval and generation dimensions do they measure?</x:v>
      </x:c>
      <x:c r="F9" s="22" t="n">
        <x:v>8</x:v>
      </x:c>
      <x:c r="G9" s="17" t="str">
        <x:v>arXiv:2502.11228</x:v>
      </x:c>
      <x:c r="H9" s="27" t="str">
        <x:v>Vendi-RAG: Adaptively Trading-Off Diversity And Quality Significantly Improves Retrieval Augmented Generation With LLMs</x:v>
      </x:c>
      <x:c r="I9" s="17" t="str">
        <x:v>Mohammad Reza Rezaei; Adji Bousso Dieng</x:v>
      </x:c>
      <x:c r="J9" s="22" t="n">
        <x:v>2025</x:v>
      </x:c>
      <x:c r="K9" s="27" t="str">
        <x:v>Retrieval-augmented generation (RAG) enhances large language models (LLMs) for domain-specific question-answering (QA) tasks by leveraging external knowledge sources. However, traditional RAG systems primarily focus on relevance-based retrieval and often struggle with redundancy, especially when reasoning requires connecting information from multiple sources. This paper introduces Vendi-RAG, a framework based on an iterative process that jointly optimizes retrieval diversity and answer quality. This joint optimization leads to significantly higher accuracy for multi-hop QA tasks. Vendi-RAG leverages the Vendi Score (VS), a flexible similarity-based diversity metric, to promote semantic diversity in document retrieval. It then uses an LLM judge that evaluates candidate answers, generated after a reasoning step, and outputs a score that the retriever uses to balance relevance and diversity among the retrieved documents during each iteration. Experiments on three challenging datasets -- HotpotQA, MuSiQue, and 2WikiMultiHopQA -- demonstrate Vendi-RAG's effectiveness in multi-hop reasoning tasks. The framework achieves significant accuracy improvements over traditional single-step and multi-step RAG approaches, with accuracy increases reaching up to +4.2% on HotpotQA, +4.1% on 2WikiMultiHopQA, and +1.3% on MuSiQue compared to Adaptive-RAG, the current best baseline. The benefits of Vendi-RAG are even more pronounced as the number of retrieved documents increases. Finally, we evaluated Vendi-RAG across different LLM backbones, including GPT-3.5, GPT-4, and GPT-4o-mini, and observed consistent improvements, demonstrating that the framework's advantages are model-agnostic.</x:v>
      </x:c>
      <x:c r="L9" s="17" t="str">
        <x:v>http://arxiv.org/abs/2502.11228v2</x:v>
      </x:c>
      <x:c r="M9" s="23" t="n">
        <x:v>0.04250511015216897</x:v>
      </x:c>
      <x:c r="N9" s="17" t="str">
        <x:v>arxiv-paper-eval-20260727-105551-results.jsonl</x:v>
      </x:c>
      <x:c r="O9" s="24" t="str">
        <x:v>1</x:v>
      </x:c>
      <x:c r="P9" s="28" t="str">
        <x:v>用LLM裁判分数优化检索多样性与答案质量，评估只是方法内部信号。</x:v>
      </x:c>
      <x:c r="Q9" s="25" t="str"/>
      <x:c r="R9" s="24" t="str">
        <x:f>IF(Q9&lt;&gt;"",Q9,O9)</x:f>
        <x:v>1</x:v>
      </x:c>
      <x:c r="S9" s="29" t="str"/>
    </x:row>
    <x:row r="10" ht="54" customHeight="1">
      <x:c r="A10" s="17" t="str">
        <x:v>csq001-r09</x:v>
      </x:c>
      <x:c r="B10" s="17" t="str">
        <x:v>csq001</x:v>
      </x:c>
      <x:c r="C10" s="17" t="str">
        <x:v>natural_language_processing</x:v>
      </x:c>
      <x:c r="D10" s="17" t="str">
        <x:v>rag_evaluation</x:v>
      </x:c>
      <x:c r="E10" s="27" t="str">
        <x:v>What are the main methods for evaluating retrieval-augmented generation systems, and which retrieval and generation dimensions do they measure?</x:v>
      </x:c>
      <x:c r="F10" s="22" t="n">
        <x:v>9</x:v>
      </x:c>
      <x:c r="G10" s="17" t="str">
        <x:v>arXiv:2210.02627</x:v>
      </x:c>
      <x:c r="H10" s="27" t="str">
        <x:v>Improving the Domain Adaptation of Retrieval Augmented Generation (RAG) Models for Open Domain Question Answering</x:v>
      </x:c>
      <x:c r="I10" s="17" t="str">
        <x:v>Shamane Siriwardhana; Rivindu Weerasekera; Elliott Wen; Tharindu Kaluarachchi; Rajib Rana; Suranga Nanayakkara</x:v>
      </x:c>
      <x:c r="J10" s="22" t="n">
        <x:v>2022</x:v>
      </x:c>
      <x:c r="K10" s="27" t="str">
        <x:v>Retrieval Augment Generation (RAG) is a recent advancement in Open-Domain Question Answering (ODQA). RAG has only been trained and explored with a Wikipedia-based external knowledge base and is not optimized for use in other specialized domains such as healthcare and news. In this paper, we evaluate the impact of joint training of the retriever and generator components of RAG for the task of domain adaptation in ODQA. We propose \textit{RAG-end2end}, an extension to RAG, that can adapt to a domain-specific knowledge base by updating all components of the external knowledge base during training. In addition, we introduce an auxiliary training signal to inject more domain-specific knowledge. This auxiliary signal forces \textit{RAG-end2end} to reconstruct a given sentence by accessing the relevant information from the external knowledge base. Our novel contribution is unlike RAG, RAG-end2end does joint training of the retriever and generator for the end QA task and domain adaptation. We evaluate our approach with datasets from three domains: COVID-19, News, and Conversations, and achieve significant performance improvements compared to the original RAG model. Our work has been open-sourced through the Huggingface Transformers library, attesting to our work's credibility and technical consistency.</x:v>
      </x:c>
      <x:c r="L10" s="17" t="str">
        <x:v>http://arxiv.org/abs/2210.02627v1</x:v>
      </x:c>
      <x:c r="M10" s="23" t="n">
        <x:v>0.04150793650793651</x:v>
      </x:c>
      <x:c r="N10" s="17" t="str">
        <x:v>arxiv-paper-eval-20260727-105551-results.jsonl</x:v>
      </x:c>
      <x:c r="O10" s="24" t="str">
        <x:v>1</x:v>
      </x:c>
      <x:c r="P10" s="28" t="str">
        <x:v>评测联合训练的领域适应效果，但不研究RAG评估方法或维度。</x:v>
      </x:c>
      <x:c r="Q10" s="25" t="str"/>
      <x:c r="R10" s="24" t="str">
        <x:f>IF(Q10&lt;&gt;"",Q10,O10)</x:f>
        <x:v>1</x:v>
      </x:c>
      <x:c r="S10" s="29" t="str"/>
    </x:row>
    <x:row r="11" ht="54" customHeight="1">
      <x:c r="A11" s="17" t="str">
        <x:v>csq001-r10</x:v>
      </x:c>
      <x:c r="B11" s="17" t="str">
        <x:v>csq001</x:v>
      </x:c>
      <x:c r="C11" s="17" t="str">
        <x:v>natural_language_processing</x:v>
      </x:c>
      <x:c r="D11" s="17" t="str">
        <x:v>rag_evaluation</x:v>
      </x:c>
      <x:c r="E11" s="27" t="str">
        <x:v>What are the main methods for evaluating retrieval-augmented generation systems, and which retrieval and generation dimensions do they measure?</x:v>
      </x:c>
      <x:c r="F11" s="22" t="n">
        <x:v>10</x:v>
      </x:c>
      <x:c r="G11" s="17" t="str">
        <x:v>arXiv:2504.04915</x:v>
      </x:c>
      <x:c r="H11" s="27" t="str">
        <x:v>Collab-RAG: Boosting Retrieval-Augmented Generation for Complex Question Answering via White-Box and Black-Box LLM Collaboration</x:v>
      </x:c>
      <x:c r="I11" s="17" t="str">
        <x:v>Ran Xu; Wenqi Shi; Yuchen Zhuang; Yue Yu; Joyce C. Ho; Haoyu Wang; Carl Yang</x:v>
      </x:c>
      <x:c r="J11" s="22" t="n">
        <x:v>2025</x:v>
      </x:c>
      <x:c r="K11" s="27" t="str">
        <x:v>Retrieval-Augmented Generation (RAG) systems often struggle to handle multi-hop question-answering tasks accurately due to irrelevant context retrieval and limited complex reasoning capabilities. We introduce Collab-RAG, a collaborative training framework that leverages mutual enhancement between a white-box small language model (SLM) and a blackbox large language model (LLM) for RAG. Specifically, the SLM decomposes complex queries into simpler sub-questions, thus enhancing the accuracy of the retrieval and facilitating more effective reasoning by the black-box LLM. Concurrently, the black-box LLM provides feedback signals to improve the SLM's decomposition capability. We observe that Collab-RAG relies solely on supervision from an affordable black-box LLM without additional distillation from frontier LLMs, yet demonstrates strong generalization across multiple black-box LLMs. Experimental evaluations across five multi-hop QA datasets demonstrate that Collab-RAG substantially outperforms existing black-box-only and SLM fine-tuning baselines by 1.8%-14.2% on average. In particular, our fine-tuned 3B SLM surpasses a frozen 32B LLM in question decomposition, highlighting the efficiency of Collab-RAG in improving reasoning and retrieval for complex questions. The code of Collab-RAG is available on https://github.com/ritaranx/Collab-RAG/.</x:v>
      </x:c>
      <x:c r="L11" s="17" t="str">
        <x:v>http://arxiv.org/abs/2504.04915v1</x:v>
      </x:c>
      <x:c r="M11" s="23" t="n">
        <x:v>0.04147640791476408</x:v>
      </x:c>
      <x:c r="N11" s="17" t="str">
        <x:v>arxiv-paper-eval-20260727-105551-results.jsonl</x:v>
      </x:c>
      <x:c r="O11" s="24" t="str">
        <x:v>1</x:v>
      </x:c>
      <x:c r="P11" s="28" t="str">
        <x:v>核心是协作式RAG训练，实验仅用任务表现验证改进。</x:v>
      </x:c>
      <x:c r="Q11" s="25" t="str"/>
      <x:c r="R11" s="24" t="str">
        <x:f>IF(Q11&lt;&gt;"",Q11,O11)</x:f>
        <x:v>1</x:v>
      </x:c>
      <x:c r="S11" s="29" t="str"/>
    </x:row>
    <x:row r="12" ht="54" customHeight="1">
      <x:c r="A12" s="17" t="str">
        <x:v>csq001-r11</x:v>
      </x:c>
      <x:c r="B12" s="17" t="str">
        <x:v>csq001</x:v>
      </x:c>
      <x:c r="C12" s="17" t="str">
        <x:v>natural_language_processing</x:v>
      </x:c>
      <x:c r="D12" s="17" t="str">
        <x:v>rag_evaluation</x:v>
      </x:c>
      <x:c r="E12" s="27" t="str">
        <x:v>What are the main methods for evaluating retrieval-augmented generation systems, and which retrieval and generation dimensions do they measure?</x:v>
      </x:c>
      <x:c r="F12" s="22" t="n">
        <x:v>11</x:v>
      </x:c>
      <x:c r="G12" s="17" t="str">
        <x:v>arXiv:2510.22344</x:v>
      </x:c>
      <x:c r="H12" s="27" t="str">
        <x:v>FAIR-RAG: Faithful Adaptive Iterative Refinement for Retrieval-Augmented Generation</x:v>
      </x:c>
      <x:c r="I12" s="17" t="str">
        <x:v>Mohammad Aghajani Asl; Majid Asgari-Bidhendi; Behrooz Minaei-Bidgoli</x:v>
      </x:c>
      <x:c r="J12" s="22" t="n">
        <x:v>2025</x:v>
      </x:c>
      <x:c r="K12" s="27" t="str">
        <x:v>While Retrieval-Augmented Generation (RAG) mitigates hallucination and knowledge staleness in Large Language Models (LLMs), existing frameworks often falter on complex, multi-hop queries that require synthesizing information from disparate sources. Current advanced RAG methods, employing iterative or adaptive strategies, lack a robust mechanism to systematically identify and fill evidence gaps, often propagating noise or failing to gather a comprehensive context. We introduce FAIR-RAG, a novel agentic framework that transforms the standard RAG pipeline into a dynamic, evidence-driven reasoning process. At its core is an Iterative Refinement Cycle governed by a module we term Structured Evidence Assessment (SEA). The SEA acts as an analytical gating mechanism: it deconstructs the initial query into a checklist of required findings and audits the aggregated evidence to identify confirmed facts and, critically, explicit informational gaps. These gaps provide a precise signal to an Adaptive Query Refinement agent, which generates new, targeted sub-queries to retrieve missing information. This cycle repeats until the evidence is verified as sufficient, ensuring a comprehensive context for a final, strictly faithful generation. We conducted experiments on challenging multi-hop QA benchmarks, including HotpotQA, 2WikiMultiHopQA, and MusiQue. In a unified experimental setup, FAIR-RAG significantly outperforms strong baselines. On HotpotQA, it achieves an F1-score of 0.453 -- an absolute improvement of 8.3 points over the strongest iterative baseline -- establishing a new state-of-the-art for this class of methods on these benchmarks. Our work demonstrates that a structured, evidence-driven refinement process with explicit gap analysis is crucial for unlocking reliable and accurate reasoning in advanced RAG systems for complex, knowledge-intensive tasks.</x:v>
      </x:c>
      <x:c r="L12" s="17" t="str">
        <x:v>http://arxiv.org/abs/2510.22344v1</x:v>
      </x:c>
      <x:c r="M12" s="23" t="n">
        <x:v>0.03252247488101534</x:v>
      </x:c>
      <x:c r="N12" s="17" t="str">
        <x:v>arxiv-paper-eval-20260727-105551-results.jsonl</x:v>
      </x:c>
      <x:c r="O12" s="24" t="str">
        <x:v>1</x:v>
      </x:c>
      <x:c r="P12" s="28" t="str">
        <x:v>结构化证据评估用于迭代检索控制，并非面向RAG系统的评价框架。</x:v>
      </x:c>
      <x:c r="Q12" s="25" t="str"/>
      <x:c r="R12" s="24" t="str">
        <x:f>IF(Q12&lt;&gt;"",Q12,O12)</x:f>
        <x:v>1</x:v>
      </x:c>
      <x:c r="S12" s="29" t="str"/>
    </x:row>
    <x:row r="13" ht="54" customHeight="1">
      <x:c r="A13" s="17" t="str">
        <x:v>csq001-r12</x:v>
      </x:c>
      <x:c r="B13" s="17" t="str">
        <x:v>csq001</x:v>
      </x:c>
      <x:c r="C13" s="17" t="str">
        <x:v>natural_language_processing</x:v>
      </x:c>
      <x:c r="D13" s="17" t="str">
        <x:v>rag_evaluation</x:v>
      </x:c>
      <x:c r="E13" s="27" t="str">
        <x:v>What are the main methods for evaluating retrieval-augmented generation systems, and which retrieval and generation dimensions do they measure?</x:v>
      </x:c>
      <x:c r="F13" s="22" t="n">
        <x:v>12</x:v>
      </x:c>
      <x:c r="G13" s="17" t="str">
        <x:v>arXiv:2504.19754</x:v>
      </x:c>
      <x:c r="H13" s="27" t="str">
        <x:v>Reconstructing Context: Evaluating Advanced Chunking Strategies for Retrieval-Augmented Generation</x:v>
      </x:c>
      <x:c r="I13" s="17" t="str">
        <x:v>Carlo Merola; Jaspinder Singh</x:v>
      </x:c>
      <x:c r="J13" s="22" t="n">
        <x:v>2025</x:v>
      </x:c>
      <x:c r="K13" s="27" t="str">
        <x:v>Retrieval-augmented generation (RAG) has become a transformative approach for enhancing large language models (LLMs) by grounding their outputs in external knowledge sources. Yet, a critical question persists: how can vast volumes of external knowledge be managed effectively within the input constraints of LLMs? Traditional methods address this by chunking external documents into smaller, fixed-size segments. While this approach alleviates input limitations, it often fragments context, resulting in incomplete retrieval and diminished coherence in generation. To overcome these shortcomings, two advanced techniques, late chunking and contextual retrieval, have been introduced, both aiming to preserve global context. Despite their potential, their comparative strengths and limitations remain unclear. This study presents a rigorous analysis of late chunking and contextual retrieval, evaluating their effectiveness and efficiency in optimizing RAG systems. Our results indicate that contextual retrieval preserves semantic coherence more effectively but requires greater computational resources. In contrast, late chunking offers higher efficiency but tends to sacrifice relevance and completeness.</x:v>
      </x:c>
      <x:c r="L13" s="17" t="str">
        <x:v>http://arxiv.org/abs/2504.19754v1</x:v>
      </x:c>
      <x:c r="M13" s="23" t="n">
        <x:v>0.028850145288501453</x:v>
      </x:c>
      <x:c r="N13" s="17" t="str">
        <x:v>arxiv-paper-eval-20260727-105551-results.jsonl</x:v>
      </x:c>
      <x:c r="O13" s="24" t="str">
        <x:v>2</x:v>
      </x:c>
      <x:c r="P13" s="28" t="str">
        <x:v>直接比较两种分块策略的相关性、完整性、连贯性与效率权衡。</x:v>
      </x:c>
      <x:c r="Q13" s="25" t="str"/>
      <x:c r="R13" s="24" t="str">
        <x:f>IF(Q13&lt;&gt;"",Q13,O13)</x:f>
        <x:v>2</x:v>
      </x:c>
      <x:c r="S13" s="29" t="str"/>
    </x:row>
    <x:row r="14" ht="54" customHeight="1">
      <x:c r="A14" s="17" t="str">
        <x:v>csq001-r13</x:v>
      </x:c>
      <x:c r="B14" s="17" t="str">
        <x:v>csq001</x:v>
      </x:c>
      <x:c r="C14" s="17" t="str">
        <x:v>natural_language_processing</x:v>
      </x:c>
      <x:c r="D14" s="17" t="str">
        <x:v>rag_evaluation</x:v>
      </x:c>
      <x:c r="E14" s="27" t="str">
        <x:v>What are the main methods for evaluating retrieval-augmented generation systems, and which retrieval and generation dimensions do they measure?</x:v>
      </x:c>
      <x:c r="F14" s="22" t="n">
        <x:v>13</x:v>
      </x:c>
      <x:c r="G14" s="17" t="str">
        <x:v>arXiv:2503.16581</x:v>
      </x:c>
      <x:c r="H14" s="27" t="str">
        <x:v>Investigating Retrieval-Augmented Generation in Quranic Studies: A Study of 13 Open-Source Large Language Models</x:v>
      </x:c>
      <x:c r="I14" s="17" t="str">
        <x:v>Zahra Khalila; Arbi Haza Nasution; Winda Monika; Aytug Onan; Yohei Murakami; Yasir Bin Ismail Radi; Noor Mohammad Osmani</x:v>
      </x:c>
      <x:c r="J14" s="22" t="n">
        <x:v>2025</x:v>
      </x:c>
      <x:c r="K14" s="27" t="str">
        <x:v>Accurate and contextually faithful responses are critical when applying large language models (LLMs) to sensitive and domain-specific tasks, such as answering queries related to quranic studies. General-purpose LLMs often struggle with hallucinations, where generated responses deviate from authoritative sources, raising concerns about their reliability in religious contexts. This challenge highlights the need for systems that can integrate domain-specific knowledge while maintaining response accuracy, relevance, and faithfulness. In this study, we investigate 13 open-source LLMs categorized into large (e.g., Llama3:70b, Gemma2:27b, QwQ:32b), medium (e.g., Gemma2:9b, Llama3:8b), and small (e.g., Llama3.2:3b, Phi3:3.8b). A Retrieval-Augmented Generation (RAG) is used to make up for the problems that come with using separate models. This research utilizes a descriptive dataset of Quranic surahs including the meanings, historical context, and qualities of the 114 surahs, allowing the model to gather relevant knowledge before responding. The models are evaluated using three key metrics set by human evaluators: context relevance, answer faithfulness, and answer relevance. The findings reveal that large models consistently outperform smaller models in capturing query semantics and producing accurate, contextually grounded responses. The Llama3.2:3b model, even though it is considered small, does very well on faithfulness (4.619) and relevance (4.857), showing the promise of smaller architectures that have been well optimized. This article examines the trade-offs between model size, computational efficiency, and response quality while using LLMs in domain-specific applications.</x:v>
      </x:c>
      <x:c r="L14" s="17" t="str">
        <x:v>http://arxiv.org/abs/2503.16581v1</x:v>
      </x:c>
      <x:c r="M14" s="23" t="n">
        <x:v>0.028258706467661692</x:v>
      </x:c>
      <x:c r="N14" s="17" t="str">
        <x:v>arxiv-paper-eval-20260727-105551-results.jsonl</x:v>
      </x:c>
      <x:c r="O14" s="24" t="str">
        <x:v>2</x:v>
      </x:c>
      <x:c r="P14" s="28" t="str">
        <x:v>使用人工上下文相关性、答案忠实性和答案相关性评估RAG模型。</x:v>
      </x:c>
      <x:c r="Q14" s="25" t="str"/>
      <x:c r="R14" s="24" t="str">
        <x:f>IF(Q14&lt;&gt;"",Q14,O14)</x:f>
        <x:v>2</x:v>
      </x:c>
      <x:c r="S14" s="29" t="str"/>
    </x:row>
    <x:row r="15" ht="54" customHeight="1">
      <x:c r="A15" s="17" t="str">
        <x:v>csq001-r14</x:v>
      </x:c>
      <x:c r="B15" s="17" t="str">
        <x:v>csq001</x:v>
      </x:c>
      <x:c r="C15" s="17" t="str">
        <x:v>natural_language_processing</x:v>
      </x:c>
      <x:c r="D15" s="17" t="str">
        <x:v>rag_evaluation</x:v>
      </x:c>
      <x:c r="E15" s="27" t="str">
        <x:v>What are the main methods for evaluating retrieval-augmented generation systems, and which retrieval and generation dimensions do they measure?</x:v>
      </x:c>
      <x:c r="F15" s="22" t="n">
        <x:v>14</x:v>
      </x:c>
      <x:c r="G15" s="17" t="str">
        <x:v>arXiv:2410.12812</x:v>
      </x:c>
      <x:c r="H15" s="27" t="str">
        <x:v>Optimizing and Evaluating Enterprise Retrieval-Augmented Generation (RAG): A Content Design Perspective</x:v>
      </x:c>
      <x:c r="I15" s="17" t="str">
        <x:v>Sarah Packowski; Inge Halilovic; Jenifer Schlotfeldt; Trish Smith</x:v>
      </x:c>
      <x:c r="J15" s="22" t="n">
        <x:v>2024</x:v>
      </x:c>
      <x:c r="K15" s="27" t="str">
        <x:v>Retrieval-augmented generation (RAG) is a popular technique for using large language models (LLMs) to build customer-support, question-answering solutions. In this paper, we share our team's practical experience building and maintaining enterprise-scale RAG solutions that answer users' questions about our software based on product documentation. Our experience has not always matched the most common patterns in the RAG literature. This paper focuses on solution strategies that are modular and model-agnostic. For example, our experience over the past few years - using different search methods and LLMs, and many knowledge base collections - has been that simple changes to the way we create knowledge base content can have a huge impact on our RAG solutions' success. In this paper, we also discuss how we monitor and evaluate results. Common RAG benchmark evaluation techniques have not been useful for evaluating responses to novel user questions, so we have found a flexible, "human in the lead" approach is required.</x:v>
      </x:c>
      <x:c r="L15" s="17" t="str">
        <x:v>http://arxiv.org/abs/2410.12812v1</x:v>
      </x:c>
      <x:c r="M15" s="23" t="n">
        <x:v>0.02684684684684685</x:v>
      </x:c>
      <x:c r="N15" s="17" t="str">
        <x:v>arxiv-paper-eval-20260727-105551-results.jsonl</x:v>
      </x:c>
      <x:c r="O15" s="24" t="str">
        <x:v>2</x:v>
      </x:c>
      <x:c r="P15" s="28" t="str">
        <x:v>专门讨论企业RAG监控评估及基准方法失效时的人主导方案。</x:v>
      </x:c>
      <x:c r="Q15" s="25" t="str"/>
      <x:c r="R15" s="24" t="str">
        <x:f>IF(Q15&lt;&gt;"",Q15,O15)</x:f>
        <x:v>2</x:v>
      </x:c>
      <x:c r="S15" s="29" t="str"/>
    </x:row>
    <x:row r="16" ht="54" customHeight="1">
      <x:c r="A16" s="17" t="str">
        <x:v>csq001-r15</x:v>
      </x:c>
      <x:c r="B16" s="17" t="str">
        <x:v>csq001</x:v>
      </x:c>
      <x:c r="C16" s="17" t="str">
        <x:v>natural_language_processing</x:v>
      </x:c>
      <x:c r="D16" s="17" t="str">
        <x:v>rag_evaluation</x:v>
      </x:c>
      <x:c r="E16" s="27" t="str">
        <x:v>What are the main methods for evaluating retrieval-augmented generation systems, and which retrieval and generation dimensions do they measure?</x:v>
      </x:c>
      <x:c r="F16" s="22" t="n">
        <x:v>15</x:v>
      </x:c>
      <x:c r="G16" s="17" t="str">
        <x:v>arXiv:2510.25621</x:v>
      </x:c>
      <x:c r="H16" s="27" t="str">
        <x:v>FARSIQA: Faithful and Advanced RAG System for Islamic Question Answering</x:v>
      </x:c>
      <x:c r="I16" s="17" t="str">
        <x:v>Mohammad Aghajani Asl; Behrooz Minaei Bidgoli</x:v>
      </x:c>
      <x:c r="J16" s="22" t="n">
        <x:v>2025</x:v>
      </x:c>
      <x:c r="K16" s="27" t="str">
        <x:v>The advent of Large Language Models (LLMs) has revolutionized Natural Language Processing, yet their application in high-stakes, specialized domains like religious question answering is hindered by challenges like hallucination and unfaithfulness to authoritative sources. This issue is particularly critical for the Persian-speaking Muslim community, where accuracy and trustworthiness are paramount. Existing Retrieval-Augmented Generation (RAG) systems, relying on simplistic single-pass pipelines, fall short on complex, multi-hop queries requiring multi-step reasoning and evidence aggregation. To address this gap, we introduce FARSIQA, a novel, end-to-end system for Faithful Advanced Question Answering in the Persian Islamic domain. FARSIQA is built upon our innovative FAIR-RAG architecture: a Faithful, Adaptive, Iterative Refinement framework for RAG. FAIR-RAG employs a dynamic, self-correcting process: it adaptively decomposes complex queries, assesses evidence sufficiency, and enters an iterative loop to generate sub-queries, progressively filling information gaps. Operating on a curated knowledge base of over one million authoritative Islamic documents, FARSIQA demonstrates superior performance. Rigorous evaluation on the challenging IslamicPCQA benchmark shows state-of-the-art performance: the system achieves a remarkable 97.0% in Negative Rejection - a 40-point improvement over baselines - and a high Answer Correctness score of 74.3%. Our work establishes a new standard for Persian Islamic QA and validates that our iterative, adaptive architecture is crucial for building faithful, reliable AI systems in sensitive domains.</x:v>
      </x:c>
      <x:c r="L16" s="17" t="str">
        <x:v>http://arxiv.org/abs/2510.25621v1</x:v>
      </x:c>
      <x:c r="M16" s="23" t="n">
        <x:v>0.015625</x:v>
      </x:c>
      <x:c r="N16" s="17" t="str">
        <x:v>arxiv-paper-eval-20260727-105551-results.jsonl</x:v>
      </x:c>
      <x:c r="O16" s="24" t="str">
        <x:v>1</x:v>
      </x:c>
      <x:c r="P16" s="28" t="str">
        <x:v>主要贡献是宗教问答RAG架构，评估仅报告正确性和拒答结果。</x:v>
      </x:c>
      <x:c r="Q16" s="25" t="str"/>
      <x:c r="R16" s="24" t="str">
        <x:f>IF(Q16&lt;&gt;"",Q16,O16)</x:f>
        <x:v>1</x:v>
      </x:c>
      <x:c r="S16" s="29" t="str"/>
    </x:row>
    <x:row r="17" ht="54" customHeight="1">
      <x:c r="A17" s="17" t="str">
        <x:v>csq001-r16</x:v>
      </x:c>
      <x:c r="B17" s="17" t="str">
        <x:v>csq001</x:v>
      </x:c>
      <x:c r="C17" s="17" t="str">
        <x:v>natural_language_processing</x:v>
      </x:c>
      <x:c r="D17" s="17" t="str">
        <x:v>rag_evaluation</x:v>
      </x:c>
      <x:c r="E17" s="27" t="str">
        <x:v>What are the main methods for evaluating retrieval-augmented generation systems, and which retrieval and generation dimensions do they measure?</x:v>
      </x:c>
      <x:c r="F17" s="22" t="n">
        <x:v>16</x:v>
      </x:c>
      <x:c r="G17" s="17" t="str">
        <x:v>arXiv:2402.13178</x:v>
      </x:c>
      <x:c r="H17" s="27" t="str">
        <x:v>Benchmarking Retrieval-Augmented Generation for Medicine</x:v>
      </x:c>
      <x:c r="I17" s="17" t="str">
        <x:v>Guangzhi Xiong; Qiao Jin; Zhiyong Lu; Aidong Zhang</x:v>
      </x:c>
      <x:c r="J17" s="22" t="n">
        <x:v>2024</x:v>
      </x:c>
      <x:c r="K17" s="27" t="str">
        <x:v>While large language models (LLMs) have achieved state-of-the-art performance on a wide range of medical question answering (QA) tasks, they still face challenges with hallucinations and outdated knowledge. Retrieval-augmented generation (RAG) is a promising solution and has been widely adopted. However, a RAG system can involve multiple flexible components, and there is a lack of best practices regarding the optimal RAG setting for various medical purposes. To systematically evaluate such systems, we propose the Medical Information Retrieval-Augmented Generation Evaluation (MIRAGE), a first-of-its-kind benchmark including 7,663 questions from five medical QA datasets. Using MIRAGE, we conducted large-scale experiments with over 1.8 trillion prompt tokens on 41 combinations of different corpora, retrievers, and backbone LLMs through the MedRAG toolkit introduced in this work. Overall, MedRAG improves the accuracy of six different LLMs by up to 18% over chain-of-thought prompting, elevating the performance of GPT-3.5 and Mixtral to GPT-4-level. Our results show that the combination of various medical corpora and retrievers achieves the best performance. In addition, we discovered a log-linear scaling property and the "lost-in-the-middle" effects in medical RAG. We believe our comprehensive evaluations can serve as practical guidelines for implementing RAG systems for medicine.</x:v>
      </x:c>
      <x:c r="L17" s="17" t="str">
        <x:v>http://arxiv.org/abs/2402.13178v2</x:v>
      </x:c>
      <x:c r="M17" s="23" t="n">
        <x:v>0.015625</x:v>
      </x:c>
      <x:c r="N17" s="17" t="str">
        <x:v>arxiv-paper-eval-20260727-105551-results.jsonl</x:v>
      </x:c>
      <x:c r="O17" s="24" t="str">
        <x:v>2</x:v>
      </x:c>
      <x:c r="P17" s="28" t="str">
        <x:v>提出医疗RAG基准并系统比较语料、检索器和生成模型组合。</x:v>
      </x:c>
      <x:c r="Q17" s="25" t="str"/>
      <x:c r="R17" s="24" t="str">
        <x:f>IF(Q17&lt;&gt;"",Q17,O17)</x:f>
        <x:v>2</x:v>
      </x:c>
      <x:c r="S17" s="29" t="str"/>
    </x:row>
    <x:row r="18" ht="54" customHeight="1">
      <x:c r="A18" s="17" t="str">
        <x:v>csq001-r17</x:v>
      </x:c>
      <x:c r="B18" s="17" t="str">
        <x:v>csq001</x:v>
      </x:c>
      <x:c r="C18" s="17" t="str">
        <x:v>natural_language_processing</x:v>
      </x:c>
      <x:c r="D18" s="17" t="str">
        <x:v>rag_evaluation</x:v>
      </x:c>
      <x:c r="E18" s="27" t="str">
        <x:v>What are the main methods for evaluating retrieval-augmented generation systems, and which retrieval and generation dimensions do they measure?</x:v>
      </x:c>
      <x:c r="F18" s="22" t="n">
        <x:v>17</x:v>
      </x:c>
      <x:c r="G18" s="17" t="str">
        <x:v>arXiv:2505.04680</x:v>
      </x:c>
      <x:c r="H18" s="27" t="str">
        <x:v>Retrieval Augmented Generation Evaluation for Health Documents</x:v>
      </x:c>
      <x:c r="I18" s="17" t="str">
        <x:v>Mario Ceresa; Lorenzo Bertolini; Valentin Comte; Nicholas Spadaro; Barbara Raffael; Brigitte Toussaint; Sergio Consoli; Amalia Muñoz Piñeiro; Alex Patak; Maddalena Querci; Tobias Wiesenthal</x:v>
      </x:c>
      <x:c r="J18" s="22" t="n">
        <x:v>2025</x:v>
      </x:c>
      <x:c r="K18" s="27" t="str">
        <x:v>Safe and trustworthy use of Large Language Models (LLM) in the processing of healthcare documents and scientific papers could substantially help clinicians, scientists and policymakers in overcoming information overload and focusing on the most relevant information at a given moment. Retrieval Augmented Generation (RAG) is a promising method to leverage the potential of LLMs while enhancing the accuracy of their outcomes. This report assesses the potentials and shortcomings of such approaches in the automatic knowledge synthesis of different types of documents in the health domain. To this end, it describes: (1) an internally developed proof of concept pipeline that employs state-of-the-art practices to deliver safe and trustable analysis for healthcare documents and scientific papers called RAGEv (Retrieval Augmented Generation Evaluation); (2) a set of evaluation tools for LLM-based document retrieval and generation; (3) a benchmark dataset to verify the accuracy and veracity of the results called RAGEv-Bench. It concludes that careful implementations of RAG techniques could minimize most of the common problems in the use of LLMs for document processing in the health domain, obtaining very high scores both on short yes/no answers and long answers. There is a high potential for incorporating it into the day-to-day work of policy support tasks, but additional efforts are required to obtain a consistent and trustworthy tool.</x:v>
      </x:c>
      <x:c r="L18" s="17" t="str">
        <x:v>http://arxiv.org/abs/2505.04680v1</x:v>
      </x:c>
      <x:c r="M18" s="23" t="n">
        <x:v>0.015384615384615385</x:v>
      </x:c>
      <x:c r="N18" s="17" t="str">
        <x:v>arxiv-paper-eval-20260727-105551-results.jsonl</x:v>
      </x:c>
      <x:c r="O18" s="24" t="str">
        <x:v>2</x:v>
      </x:c>
      <x:c r="P18" s="28" t="str">
        <x:v>提供面向文档检索与生成的评估工具及配套基准数据。</x:v>
      </x:c>
      <x:c r="Q18" s="25" t="str"/>
      <x:c r="R18" s="24" t="str">
        <x:f>IF(Q18&lt;&gt;"",Q18,O18)</x:f>
        <x:v>2</x:v>
      </x:c>
      <x:c r="S18" s="29" t="str"/>
    </x:row>
    <x:row r="19" ht="54" customHeight="1">
      <x:c r="A19" s="17" t="str">
        <x:v>csq001-r18</x:v>
      </x:c>
      <x:c r="B19" s="17" t="str">
        <x:v>csq001</x:v>
      </x:c>
      <x:c r="C19" s="17" t="str">
        <x:v>natural_language_processing</x:v>
      </x:c>
      <x:c r="D19" s="17" t="str">
        <x:v>rag_evaluation</x:v>
      </x:c>
      <x:c r="E19" s="27" t="str">
        <x:v>What are the main methods for evaluating retrieval-augmented generation systems, and which retrieval and generation dimensions do they measure?</x:v>
      </x:c>
      <x:c r="F19" s="22" t="n">
        <x:v>18</x:v>
      </x:c>
      <x:c r="G19" s="17" t="str">
        <x:v>arXiv:2401.15391</x:v>
      </x:c>
      <x:c r="H19" s="27" t="str">
        <x:v>MultiHop-RAG: Benchmarking Retrieval-Augmented Generation for Multi-Hop Queries</x:v>
      </x:c>
      <x:c r="I19" s="17" t="str">
        <x:v>Yixuan Tang; Yi Yang</x:v>
      </x:c>
      <x:c r="J19" s="22" t="n">
        <x:v>2024</x:v>
      </x:c>
      <x:c r="K19" s="27" t="str">
        <x:v>Retrieval-augmented generation (RAG) augments large language models (LLM) by retrieving relevant knowledge, showing promising potential in mitigating LLM hallucinations and enhancing response quality, thereby facilitating the great adoption of LLMs in practice. However, we find that existing RAG systems are inadequate in answering multi-hop queries, which require retrieving and reasoning over multiple pieces of supporting evidence. Furthermore, to our knowledge, no existing RAG benchmarking dataset focuses on multi-hop queries. In this paper, we develop a novel dataset, MultiHop-RAG, which consists of a knowledge base, a large collection of multi-hop queries, their ground-truth answers, and the associated supporting evidence. We detail the procedure of building the dataset, utilizing an English news article dataset as the underlying RAG knowledge base. We demonstrate the benchmarking utility of MultiHop-RAG in two experiments. The first experiment compares different embedding models for retrieving evidence for multi-hop queries. In the second experiment, we examine the capabilities of various state-of-the-art LLMs, including GPT-4, PaLM, and Llama2-70B, in reasoning and answering multi-hop queries given the evidence. Both experiments reveal that existing RAG methods perform unsatisfactorily in retrieving and answering multi-hop queries. We hope MultiHop-RAG will be a valuable resource for the community in developing effective RAG systems, thereby facilitating greater adoption of LLMs in practice. The MultiHop-RAG and implemented RAG system is publicly available at https://github.com/yixuantt/MultiHop-RAG/.</x:v>
      </x:c>
      <x:c r="L19" s="17" t="str">
        <x:v>http://arxiv.org/abs/2401.15391v1</x:v>
      </x:c>
      <x:c r="M19" s="23" t="n">
        <x:v>0.015384615384615385</x:v>
      </x:c>
      <x:c r="N19" s="17" t="str">
        <x:v>arxiv-paper-eval-20260727-105551-results.jsonl</x:v>
      </x:c>
      <x:c r="O19" s="24" t="str">
        <x:v>2</x:v>
      </x:c>
      <x:c r="P19" s="28" t="str">
        <x:v>构建多跳RAG基准，并分别评估证据检索和基于证据的回答。</x:v>
      </x:c>
      <x:c r="Q19" s="25" t="str"/>
      <x:c r="R19" s="24" t="str">
        <x:f>IF(Q19&lt;&gt;"",Q19,O19)</x:f>
        <x:v>2</x:v>
      </x:c>
      <x:c r="S19" s="29" t="str"/>
    </x:row>
    <x:row r="20" ht="54" customHeight="1">
      <x:c r="A20" s="17" t="str">
        <x:v>csq001-r19</x:v>
      </x:c>
      <x:c r="B20" s="17" t="str">
        <x:v>csq001</x:v>
      </x:c>
      <x:c r="C20" s="17" t="str">
        <x:v>natural_language_processing</x:v>
      </x:c>
      <x:c r="D20" s="17" t="str">
        <x:v>rag_evaluation</x:v>
      </x:c>
      <x:c r="E20" s="27" t="str">
        <x:v>What are the main methods for evaluating retrieval-augmented generation systems, and which retrieval and generation dimensions do they measure?</x:v>
      </x:c>
      <x:c r="F20" s="22" t="n">
        <x:v>19</x:v>
      </x:c>
      <x:c r="G20" s="17" t="str">
        <x:v>arXiv:2412.05838</x:v>
      </x:c>
      <x:c r="H20" s="27" t="str">
        <x:v>A Collaborative Multi-Agent Approach to Retrieval-Augmented Generation Across Diverse Data</x:v>
      </x:c>
      <x:c r="I20" s="17" t="str">
        <x:v>Aniruddha Salve; Saba Attar; Mahesh Deshmukh; Sayali Shivpuje; Arnab Mitra Utsab</x:v>
      </x:c>
      <x:c r="J20" s="22" t="n">
        <x:v>2024</x:v>
      </x:c>
      <x:c r="K20" s="27" t="str">
        <x:v>Retrieval-Augmented Generation (RAG) enhances Large Language Models (LLMs) by incorporating external, domain-specific data into the generative process. While LLMs are highly capable, they often rely on static, pre-trained datasets, limiting their ability to integrate dynamic or private data. Traditional RAG systems typically use a single-agent architecture to handle query generation, data retrieval, and response synthesis. However, this approach becomes inefficient when dealing with diverse data sources, such as relational databases, document stores, and graph databases, often leading to performance bottlenecks and reduced accuracy. This paper proposes a multi-agent RAG system to address these limitations. Specialized agents, each optimized for a specific data source, handle query generation for relational, NoSQL, and document-based systems. These agents collaborate within a modular framework, with query execution delegated to an environment designed for compatibility across various database types. This distributed approach enhances query efficiency, reduces token overhead, and improves response accuracy by ensuring that each agent focuses on its specialized task. The proposed system is scalable and adaptable, making it ideal for generative AI workflows that require integration with diverse, dynamic, or private data sources. By leveraging specialized agents and a modular execution environment, the system provides an efficient and robust solution for handling complex, heterogeneous data environments in generative AI applications.</x:v>
      </x:c>
      <x:c r="L20" s="17" t="str">
        <x:v>http://arxiv.org/abs/2412.05838v1</x:v>
      </x:c>
      <x:c r="M20" s="23" t="n">
        <x:v>0.015151515151515152</x:v>
      </x:c>
      <x:c r="N20" s="17" t="str">
        <x:v>arxiv-paper-eval-20260727-105551-results.jsonl</x:v>
      </x:c>
      <x:c r="O20" s="24" t="str">
        <x:v>1</x:v>
      </x:c>
      <x:c r="P20" s="28" t="str">
        <x:v>核心为异构数据多代理RAG架构，没有研究评估方法与指标维度。</x:v>
      </x:c>
      <x:c r="Q20" s="25" t="str"/>
      <x:c r="R20" s="24" t="str">
        <x:f>IF(Q20&lt;&gt;"",Q20,O20)</x:f>
        <x:v>1</x:v>
      </x:c>
      <x:c r="S20" s="29" t="str"/>
    </x:row>
    <x:row r="21" ht="54" customHeight="1">
      <x:c r="A21" s="17" t="str">
        <x:v>csq001-r20</x:v>
      </x:c>
      <x:c r="B21" s="17" t="str">
        <x:v>csq001</x:v>
      </x:c>
      <x:c r="C21" s="17" t="str">
        <x:v>natural_language_processing</x:v>
      </x:c>
      <x:c r="D21" s="17" t="str">
        <x:v>rag_evaluation</x:v>
      </x:c>
      <x:c r="E21" s="27" t="str">
        <x:v>What are the main methods for evaluating retrieval-augmented generation systems, and which retrieval and generation dimensions do they measure?</x:v>
      </x:c>
      <x:c r="F21" s="22" t="n">
        <x:v>20</x:v>
      </x:c>
      <x:c r="G21" s="17" t="str">
        <x:v>arXiv:2507.23334</x:v>
      </x:c>
      <x:c r="H21" s="27" t="str">
        <x:v>MUST-RAG: MUSical Text Question Answering with Retrieval Augmented Generation</x:v>
      </x:c>
      <x:c r="I21" s="17" t="str">
        <x:v>Daeyong Kwon; SeungHeon Doh; Juhan Nam</x:v>
      </x:c>
      <x:c r="J21" s="22" t="n">
        <x:v>2025</x:v>
      </x:c>
      <x:c r="K21" s="27" t="str">
        <x:v>Recent advancements in Large language models (LLMs) have demonstrated remarkable capabilities across diverse domains. While they exhibit strong zero-shot performance on various tasks, LLMs' effectiveness in music-related applications remains limited due to the relatively small proportion of music-specific knowledge in their training data. To address this limitation, we propose MusT-RAG, a comprehensive framework based on Retrieval Augmented Generation (RAG) to adapt general-purpose LLMs for text-only music question answering (MQA) tasks. RAG is a technique that provides external knowledge to LLMs by retrieving relevant context information when generating answers to questions. To optimize RAG for the music domain, we (1) propose MusWikiDB, a music-specialized vector database for the retrieval stage, and (2) utilizes context information during both inference and fine-tuning processes to effectively transform general-purpose LLMs into music-specific models. Our experiment demonstrates that MusT-RAG significantly outperforms traditional fine-tuning approaches in enhancing LLMs' music domain adaptation capabilities, showing consistent improvements across both in-domain and out-of-domain MQA benchmarks. Additionally, our MusWikiDB proves substantially more effective than general Wikipedia corpora, delivering superior performance and computational efficiency.</x:v>
      </x:c>
      <x:c r="L21" s="17" t="str">
        <x:v>http://arxiv.org/abs/2507.23334v2</x:v>
      </x:c>
      <x:c r="M21" s="23" t="n">
        <x:v>0.014925373134328358</x:v>
      </x:c>
      <x:c r="N21" s="17" t="str">
        <x:v>arxiv-paper-eval-20260727-105551-results.jsonl</x:v>
      </x:c>
      <x:c r="O21" s="24" t="str">
        <x:v>1</x:v>
      </x:c>
      <x:c r="P21" s="28" t="str">
        <x:v>聚焦音乐问答RAG及领域适配效果，未提出RAG组件评估方法。</x:v>
      </x:c>
      <x:c r="Q21" s="25" t="str"/>
      <x:c r="R21" s="24" t="str">
        <x:f>IF(Q21&lt;&gt;"",Q21,O21)</x:f>
        <x:v>1</x:v>
      </x:c>
      <x:c r="S21" s="29" t="str"/>
    </x:row>
    <x:row r="22" ht="54" customHeight="1">
      <x:c r="A22" s="17" t="str">
        <x:v>csq002-r01</x:v>
      </x:c>
      <x:c r="B22" s="17" t="str">
        <x:v>csq002</x:v>
      </x:c>
      <x:c r="C22" s="17" t="str">
        <x:v>natural_language_processing</x:v>
      </x:c>
      <x:c r="D22" s="17" t="str">
        <x:v>llm_inference</x:v>
      </x:c>
      <x:c r="E22" s="27" t="str">
        <x:v>How do speculative decoding, model quantization, and KV-cache optimization differ as methods for accelerating large language model inference?</x:v>
      </x:c>
      <x:c r="F22" s="22" t="n">
        <x:v>1</x:v>
      </x:c>
      <x:c r="G22" s="17" t="str">
        <x:v>arXiv:2508.06297</x:v>
      </x:c>
      <x:c r="H22" s="27" t="str">
        <x:v>KV Cache Compression for Inference Efficiency in LLMs: A Review</x:v>
      </x:c>
      <x:c r="I22" s="17" t="str">
        <x:v>Yanyu Liu; Jingying Fu; Sixiang Liu; Yitian Zou; You Fu; Jiehan Zhou; Shouhua Zhang</x:v>
      </x:c>
      <x:c r="J22" s="22" t="n">
        <x:v>2025</x:v>
      </x:c>
      <x:c r="K22" s="27" t="str">
        <x:v>Withtherapid advancement of large language models (LLMs), the context length for inference has been continuously increasing, leading to an exponential growth in the demand for Key-Value (KV) caching. This has resulted in a significant memory bottleneck, limiting the inference efficiency and scalability of the models. Therefore, optimizing the KV cache during inference is crucial for enhancing performance and efficiency. This review systematically examines current KV cache optimization techniques, including compression strategies such as selective token strategies, quantization, and attention compression. We evaluate the effectiveness, trade-offs, and application scenarios of these methods, providing a comprehensive analysis of their impact on memory usage and inference speed. We focus on identifying the limitations and challenges of existing methods, such as compatibility issues with different models and tasks. Additionally, this review highlights future research directions, including hybrid optimization techniques, adaptive dynamic strategies, and software-hardware co-design. These approaches aim to improve inference efficiency and promote the practical application of large language models.</x:v>
      </x:c>
      <x:c r="L22" s="17" t="str">
        <x:v>http://arxiv.org/abs/2508.06297v1</x:v>
      </x:c>
      <x:c r="M22" s="23" t="n">
        <x:v>0.01639344262295082</x:v>
      </x:c>
      <x:c r="N22" s="17" t="str">
        <x:v>arxiv-paper-eval-20260727-105551-results.jsonl</x:v>
      </x:c>
      <x:c r="O22" s="24" t="str">
        <x:v>2</x:v>
      </x:c>
      <x:c r="P22" s="28" t="str">
        <x:v>综述KV缓存选择、量化和注意力压缩及其内存与速度权衡。</x:v>
      </x:c>
      <x:c r="Q22" s="25" t="str"/>
      <x:c r="R22" s="24" t="str">
        <x:f>IF(Q22&lt;&gt;"",Q22,O22)</x:f>
        <x:v>2</x:v>
      </x:c>
      <x:c r="S22" s="29" t="str"/>
    </x:row>
    <x:row r="23" ht="54" customHeight="1">
      <x:c r="A23" s="17" t="str">
        <x:v>csq002-r02</x:v>
      </x:c>
      <x:c r="B23" s="17" t="str">
        <x:v>csq002</x:v>
      </x:c>
      <x:c r="C23" s="17" t="str">
        <x:v>natural_language_processing</x:v>
      </x:c>
      <x:c r="D23" s="17" t="str">
        <x:v>llm_inference</x:v>
      </x:c>
      <x:c r="E23" s="27" t="str">
        <x:v>How do speculative decoding, model quantization, and KV-cache optimization differ as methods for accelerating large language model inference?</x:v>
      </x:c>
      <x:c r="F23" s="22" t="n">
        <x:v>2</x:v>
      </x:c>
      <x:c r="G23" s="17" t="str">
        <x:v>arXiv:2512.14946</x:v>
      </x:c>
      <x:c r="H23" s="27" t="str">
        <x:v>EVICPRESS: Joint KV-Cache Compression and Eviction for Efficient LLM Serving</x:v>
      </x:c>
      <x:c r="I23" s="17" t="str">
        <x:v>Shaoting Feng; Yuhan Liu; Hanchen Li; Xiaokun Chen; Samuel Shen; Kuntai Du; Zhuohan Gu; Rui Zhang; Yuyang Huang; Yihua Cheng; Jiayi Yao; Qizheng Zhang; Ganesh Ananthanarayanan; Junchen Jiang</x:v>
      </x:c>
      <x:c r="J23" s="22" t="n">
        <x:v>2025</x:v>
      </x:c>
      <x:c r="K23" s="27" t="str">
        <x:v>Reusing KV cache is essential for high efficiency of Large Language Model (LLM) inference systems. With more LLM users, the KV cache footprint can easily exceed GPU memory capacity, so prior work has proposed to either evict KV cache to lower-tier storage devices, or compress KV cache so that more KV cache can be fit in the fast memory. However, prior work misses an important opportunity: jointly optimizing the eviction and compression decisions across all KV caches to minimize average generation latency without hurting quality. We propose EVICPRESS, a KV-cache management system that applies lossy compression and adaptive eviction to KV cache across multiple storage tiers. Specifically, for each KV cache of a context, EVICPRESS considers the effect of compression and eviction of the KV cache on the average generation quality and delay across all contexts as a whole. To achieve this, EVICPRESS proposes a unified utility function that quantifies the effect of quality and delay of the lossy compression or eviction. To this end, EVICPRESS's profiling module periodically updates the utility function scores on all possible eviction-compression configurations for all contexts and places KV caches using a fast heuristic to rearrange KV caches on all storage tiers, with the goal of maximizing the utility function scores on each storage tier. Compared to the baselines that evict KV cache or compress KV cache, EVICPRESS achieves higher KV-cache hit rates on fast devices, i.e., lower delay, while preserving high generation quality by applying conservative compression to contexts that are sensitive to compression errors. Evaluation on 12 datasets and 5 models demonstrates that EVICPRESS achieves up to 2.19x faster time-to-first-token (TTFT) at equivalent generation quality.</x:v>
      </x:c>
      <x:c r="L23" s="17" t="str">
        <x:v>http://arxiv.org/abs/2512.14946v1</x:v>
      </x:c>
      <x:c r="M23" s="23" t="n">
        <x:v>0.01639344262295082</x:v>
      </x:c>
      <x:c r="N23" s="17" t="str">
        <x:v>arxiv-paper-eval-20260727-105551-results.jsonl</x:v>
      </x:c>
      <x:c r="O23" s="24" t="str">
        <x:v>2</x:v>
      </x:c>
      <x:c r="P23" s="28" t="str">
        <x:v>联合KV缓存有损压缩和分层存储驱逐，并分析延迟与质量。</x:v>
      </x:c>
      <x:c r="Q23" s="25" t="str"/>
      <x:c r="R23" s="24" t="str">
        <x:f>IF(Q23&lt;&gt;"",Q23,O23)</x:f>
        <x:v>2</x:v>
      </x:c>
      <x:c r="S23" s="29" t="str"/>
    </x:row>
    <x:row r="24" ht="54" customHeight="1">
      <x:c r="A24" s="17" t="str">
        <x:v>csq002-r03</x:v>
      </x:c>
      <x:c r="B24" s="17" t="str">
        <x:v>csq002</x:v>
      </x:c>
      <x:c r="C24" s="17" t="str">
        <x:v>natural_language_processing</x:v>
      </x:c>
      <x:c r="D24" s="17" t="str">
        <x:v>llm_inference</x:v>
      </x:c>
      <x:c r="E24" s="27" t="str">
        <x:v>How do speculative decoding, model quantization, and KV-cache optimization differ as methods for accelerating large language model inference?</x:v>
      </x:c>
      <x:c r="F24" s="22" t="n">
        <x:v>3</x:v>
      </x:c>
      <x:c r="G24" s="17" t="str">
        <x:v>arXiv:2502.10424</x:v>
      </x:c>
      <x:c r="H24" s="27" t="str">
        <x:v>QuantSpec: Self-Speculative Decoding with Hierarchical Quantized KV Cache</x:v>
      </x:c>
      <x:c r="I24" s="17" t="str">
        <x:v>Rishabh Tiwari; Haocheng Xi; Aditya Tomar; Coleman Hooper; Sehoon Kim; Maxwell Horton; Mahyar Najibi; Michael W. Mahoney; Kurt Keutzer; Amir Gholami</x:v>
      </x:c>
      <x:c r="J24" s="22" t="n">
        <x:v>2025</x:v>
      </x:c>
      <x:c r="K24" s="27" t="str">
        <x:v>Large Language Models (LLMs) are increasingly being deployed on edge devices for long-context settings, creating a growing need for fast and efficient long-context inference. In these scenarios, the Key-Value (KV) cache is the primary bottleneck in terms of both GPU memory and latency, as the full KV cache must be loaded for each decoding step. While speculative decoding is a widely accepted technique to accelerate autoregressive decoding, existing methods often struggle to achieve significant speedups due to inefficient KV cache optimization strategies and result in low acceptance rates. To address these challenges, we propose a novel self-speculative decoding framework, QuantSpec, where the draft model shares the architecture of the target model but employs a hierarchical 4-bit quantized KV cache and 4-bit quantized weights for acceleration. QuantSpec maintains high acceptance rates ($&gt;$90%) and reliably provides consistent end-to-end speedups upto $\sim2.5\times$, outperforming other self-speculative decoding methods that use sparse KV cache for long-context LLM inference. QuantSpec also reduces the memory requirements by $\sim 1.3\times$ compared to these alternatives.</x:v>
      </x:c>
      <x:c r="L24" s="17" t="str">
        <x:v>http://arxiv.org/abs/2502.10424v1</x:v>
      </x:c>
      <x:c r="M24" s="23" t="n">
        <x:v>0.01639344262295082</x:v>
      </x:c>
      <x:c r="N24" s="17" t="str">
        <x:v>arxiv-paper-eval-20260727-105551-results.jsonl</x:v>
      </x:c>
      <x:c r="O24" s="24" t="str">
        <x:v>2</x:v>
      </x:c>
      <x:c r="P24" s="28" t="str">
        <x:v>把层次量化KV缓存用于自推测解码，直接结合两类加速机制。</x:v>
      </x:c>
      <x:c r="Q24" s="25" t="str"/>
      <x:c r="R24" s="24" t="str">
        <x:f>IF(Q24&lt;&gt;"",Q24,O24)</x:f>
        <x:v>2</x:v>
      </x:c>
      <x:c r="S24" s="29" t="str"/>
    </x:row>
    <x:row r="25" ht="54" customHeight="1">
      <x:c r="A25" s="17" t="str">
        <x:v>csq002-r04</x:v>
      </x:c>
      <x:c r="B25" s="17" t="str">
        <x:v>csq002</x:v>
      </x:c>
      <x:c r="C25" s="17" t="str">
        <x:v>natural_language_processing</x:v>
      </x:c>
      <x:c r="D25" s="17" t="str">
        <x:v>llm_inference</x:v>
      </x:c>
      <x:c r="E25" s="27" t="str">
        <x:v>How do speculative decoding, model quantization, and KV-cache optimization differ as methods for accelerating large language model inference?</x:v>
      </x:c>
      <x:c r="F25" s="22" t="n">
        <x:v>4</x:v>
      </x:c>
      <x:c r="G25" s="17" t="str">
        <x:v>arXiv:2412.00061</x:v>
      </x:c>
      <x:c r="H25" s="27" t="str">
        <x:v>Speculative Decoding with CTC-based Draft Model for LLM Inference Acceleration</x:v>
      </x:c>
      <x:c r="I25" s="17" t="str">
        <x:v>Zhuofan Wen; Shangtong Gui; Yang Feng</x:v>
      </x:c>
      <x:c r="J25" s="22" t="n">
        <x:v>2024</x:v>
      </x:c>
      <x:c r="K25" s="27" t="str">
        <x:v>Inference acceleration of large language models (LLMs) has been put forward in many application scenarios and speculative decoding has shown its advantage in addressing inference acceleration. Speculative decoding usually introduces a draft model to assist the base LLM where the draft model produces drafts and the base LLM verifies the draft for acceptance or rejection. In this framework, the final inference speed is decided by the decoding speed of the draft model and the acceptance rate of the draft provided by the draft model. Currently the widely used draft models usually generate draft tokens for the next several positions in a non-autoregressive way without considering the correlations between draft tokens. Therefore, it has a high decoding speed but an unsatisfactory acceptance rate. In this paper, we focus on how to improve the performance of the draft model and aim to accelerate inference via a high acceptance rate. To this end, we propose a CTC-based draft model which strengthens the correlations between draft tokens during the draft phase, thereby generating higher-quality draft candidate sequences. Experiment results show that compared to strong baselines, the proposed method can achieve a higher acceptance rate and hence a faster inference speed.</x:v>
      </x:c>
      <x:c r="L25" s="17" t="str">
        <x:v>http://arxiv.org/abs/2412.00061v1</x:v>
      </x:c>
      <x:c r="M25" s="23" t="n">
        <x:v>0.01639344262295082</x:v>
      </x:c>
      <x:c r="N25" s="17" t="str">
        <x:v>arxiv-paper-eval-20260727-105551-results.jsonl</x:v>
      </x:c>
      <x:c r="O25" s="24" t="str">
        <x:v>2</x:v>
      </x:c>
      <x:c r="P25" s="28" t="str">
        <x:v>提出CTC草稿模型的推测解码，以接受率换取生成加速。</x:v>
      </x:c>
      <x:c r="Q25" s="25" t="str"/>
      <x:c r="R25" s="24" t="str">
        <x:f>IF(Q25&lt;&gt;"",Q25,O25)</x:f>
        <x:v>2</x:v>
      </x:c>
      <x:c r="S25" s="29" t="str"/>
    </x:row>
    <x:row r="26" ht="54" customHeight="1">
      <x:c r="A26" s="17" t="str">
        <x:v>csq002-r05</x:v>
      </x:c>
      <x:c r="B26" s="17" t="str">
        <x:v>csq002</x:v>
      </x:c>
      <x:c r="C26" s="17" t="str">
        <x:v>natural_language_processing</x:v>
      </x:c>
      <x:c r="D26" s="17" t="str">
        <x:v>llm_inference</x:v>
      </x:c>
      <x:c r="E26" s="27" t="str">
        <x:v>How do speculative decoding, model quantization, and KV-cache optimization differ as methods for accelerating large language model inference?</x:v>
      </x:c>
      <x:c r="F26" s="22" t="n">
        <x:v>5</x:v>
      </x:c>
      <x:c r="G26" s="17" t="str">
        <x:v>arXiv:2306.00978</x:v>
      </x:c>
      <x:c r="H26" s="27" t="str">
        <x:v>AWQ: Activation-aware Weight Quantization for LLM Compression and Acceleration</x:v>
      </x:c>
      <x:c r="I26" s="17" t="str">
        <x:v>Ji Lin; Jiaming Tang; Haotian Tang; Shang Yang; Wei-Ming Chen; Wei-Chen Wang; Guangxuan Xiao; Xingyu Dang; Chuang Gan; Song Han</x:v>
      </x:c>
      <x:c r="J26" s="22" t="n">
        <x:v>2023</x:v>
      </x:c>
      <x:c r="K26" s="27" t="str">
        <x:v>Large language models (LLMs) have transformed numerous AI applications. On-device LLM is becoming increasingly important: running LLMs locally on edge devices can reduce the cloud computing cost and protect users' privacy. However, the astronomical model size and the limited hardware resource pose significant deployment challenges. We propose Activation-aware Weight Quantization (AWQ), a hardware-friendly approach for LLM low-bit weight-only quantization. AWQ finds that not all weights in an LLM are equally important. Protecting only 1% salient weights can greatly reduce quantization error. To identify salient weight channels, we should refer to the activation distribution, not weights. To avoid the hardware-inefficient mix-precision quantization, we mathematically derive that scaling up the salient channels can reduce the quantization error. AWQ employs an equivalent transformation to scale the salient weight channels to protect them. The scale is determined by collecting the activation statistics offline. AWQ does not rely on any backpropagation or reconstruction, so it generalizes to different domains and modalities without overfitting the calibration set. AWQ outperforms existing work on various language modeling and domain-specific benchmarks (coding and math). Thanks to better generalization, it achieves excellent quantization performance for instruction-tuned LMs and, for the first time, multi-modal LMs. Alongside AWQ, we implement TinyChat, an efficient and flexible inference framework tailored for 4-bit on-device LLM/VLMs. With kernel fusion and platform-aware weight packing, TinyChat offers more than 3x speedup over the Huggingface FP16 implementation on both desktop and mobile GPUs. It also democratizes the deployment of the 70B Llama-2 model on mobile GPUs.</x:v>
      </x:c>
      <x:c r="L26" s="17" t="str">
        <x:v>http://arxiv.org/abs/2306.00978v6</x:v>
      </x:c>
      <x:c r="M26" s="23" t="n">
        <x:v>0.01639344262295082</x:v>
      </x:c>
      <x:c r="N26" s="17" t="str">
        <x:v>arxiv-paper-eval-20260727-105551-results.jsonl</x:v>
      </x:c>
      <x:c r="O26" s="24" t="str">
        <x:v>2</x:v>
      </x:c>
      <x:c r="P26" s="28" t="str">
        <x:v>AWQ是典型权重量化方法，并报告内存和硬件推理加速收益。</x:v>
      </x:c>
      <x:c r="Q26" s="25" t="str"/>
      <x:c r="R26" s="24" t="str">
        <x:f>IF(Q26&lt;&gt;"",Q26,O26)</x:f>
        <x:v>2</x:v>
      </x:c>
      <x:c r="S26" s="29" t="str"/>
    </x:row>
    <x:row r="27" ht="54" customHeight="1">
      <x:c r="A27" s="17" t="str">
        <x:v>csq002-r06</x:v>
      </x:c>
      <x:c r="B27" s="17" t="str">
        <x:v>csq002</x:v>
      </x:c>
      <x:c r="C27" s="17" t="str">
        <x:v>natural_language_processing</x:v>
      </x:c>
      <x:c r="D27" s="17" t="str">
        <x:v>llm_inference</x:v>
      </x:c>
      <x:c r="E27" s="27" t="str">
        <x:v>How do speculative decoding, model quantization, and KV-cache optimization differ as methods for accelerating large language model inference?</x:v>
      </x:c>
      <x:c r="F27" s="22" t="n">
        <x:v>6</x:v>
      </x:c>
      <x:c r="G27" s="17" t="str">
        <x:v>arXiv:2501.06807</x:v>
      </x:c>
      <x:c r="H27" s="27" t="str">
        <x:v>MPCache: MPC-Friendly KV Cache Eviction for Efficient Private LLM Inference</x:v>
      </x:c>
      <x:c r="I27" s="17" t="str">
        <x:v>Wenxuan Zeng; Ye Dong; Jinjin Zhou; Jin Tan; Lei Wang; Tao Wei; Runsheng Wang; Meng Li</x:v>
      </x:c>
      <x:c r="J27" s="22" t="n">
        <x:v>2025</x:v>
      </x:c>
      <x:c r="K27" s="27" t="str">
        <x:v>Private large language model (LLM) inference based on secure multi-party computation (MPC) achieves formal data privacy protection but suffers from significant latency overhead, especially for long input sequences. While key-value (KV) cache eviction and sparse attention algorithms have been proposed for efficient LLM inference in plaintext, they are not designed for MPC and cannot benefit private LLM inference directly. In this paper, we propose an accurate and MPC-friendly KV cache eviction framework, dubbed MPCache, building on the observation that historical tokens in a long sequence may have different effects on the downstream decoding. Hence, MPCache combines a look-once static eviction algorithm to discard unimportant KV cache and a query-aware dynamic selection algorithm to activate only a small subset of KV cache for attention computation. MPCache further incorporates a series of optimizations for efficient dynamic KV cache selection, including MPC-friendly similarity approximation, hierarchical KV cache clustering, and cross-layer index-sharing strategy. Extensive experiments demonstrate that MPCache consistently outperforms prior-art KV cache eviction baselines across different generation tasks and achieves 1.8 ~ 2.01x and 3.39 ~ 8.37x decoding latency and communication reduction on different sequence lengths, respectively.</x:v>
      </x:c>
      <x:c r="L27" s="17" t="str">
        <x:v>http://arxiv.org/abs/2501.06807v2</x:v>
      </x:c>
      <x:c r="M27" s="23" t="n">
        <x:v>0.016129032258064516</x:v>
      </x:c>
      <x:c r="N27" s="17" t="str">
        <x:v>arxiv-paper-eval-20260727-105551-results.jsonl</x:v>
      </x:c>
      <x:c r="O27" s="24" t="str">
        <x:v>2</x:v>
      </x:c>
      <x:c r="P27" s="28" t="str">
        <x:v>提出面向私有推理的静态驱逐与动态KV缓存选择优化。</x:v>
      </x:c>
      <x:c r="Q27" s="25" t="str"/>
      <x:c r="R27" s="24" t="str">
        <x:f>IF(Q27&lt;&gt;"",Q27,O27)</x:f>
        <x:v>2</x:v>
      </x:c>
      <x:c r="S27" s="29" t="str"/>
    </x:row>
    <x:row r="28" ht="54" customHeight="1">
      <x:c r="A28" s="17" t="str">
        <x:v>csq002-r07</x:v>
      </x:c>
      <x:c r="B28" s="17" t="str">
        <x:v>csq002</x:v>
      </x:c>
      <x:c r="C28" s="17" t="str">
        <x:v>natural_language_processing</x:v>
      </x:c>
      <x:c r="D28" s="17" t="str">
        <x:v>llm_inference</x:v>
      </x:c>
      <x:c r="E28" s="27" t="str">
        <x:v>How do speculative decoding, model quantization, and KV-cache optimization differ as methods for accelerating large language model inference?</x:v>
      </x:c>
      <x:c r="F28" s="22" t="n">
        <x:v>7</x:v>
      </x:c>
      <x:c r="G28" s="17" t="str">
        <x:v>arXiv:2410.22118</x:v>
      </x:c>
      <x:c r="H28" s="27" t="str">
        <x:v>The Impact of Inference Acceleration on Bias of LLMs</x:v>
      </x:c>
      <x:c r="I28" s="17" t="str">
        <x:v>Elisabeth Kirsten; Ivan Habernal; Vedant Nanda; Muhammad Bilal Zafar</x:v>
      </x:c>
      <x:c r="J28" s="22" t="n">
        <x:v>2024</x:v>
      </x:c>
      <x:c r="K28" s="27" t="str">
        <x:v>Last few years have seen unprecedented advances in capabilities of Large Language Models (LLMs). These advancements promise to benefit a vast array of application domains. However, due to their immense size, performing inference with LLMs is both costly and slow. Consequently, a plethora of recent work has proposed strategies to enhance inference efficiency, e.g., quantization, pruning, and caching. These acceleration strategies reduce the inference cost and latency, often by several factors, while maintaining much of the predictive performance measured via common benchmarks. In this work, we explore another critical aspect of LLM performance: demographic bias in model generations due to inference acceleration optimizations. Using a wide range of metrics, we probe bias in model outputs from a number of angles. Analysis of outputs before and after inference acceleration shows significant change in bias. Worryingly, these bias effects are complex and unpredictable. A combination of an acceleration strategy and bias type may show little bias change in one model but may lead to a large effect in another. Our results highlight a need for in-depth and case-by-case evaluation of model bias after it has been modified to accelerate inference.</x:v>
      </x:c>
      <x:c r="L28" s="17" t="str">
        <x:v>http://arxiv.org/abs/2410.22118v3</x:v>
      </x:c>
      <x:c r="M28" s="23" t="n">
        <x:v>0.016129032258064516</x:v>
      </x:c>
      <x:c r="N28" s="17" t="str">
        <x:v>arxiv-paper-eval-20260727-105551-results.jsonl</x:v>
      </x:c>
      <x:c r="O28" s="24" t="str">
        <x:v>1</x:v>
      </x:c>
      <x:c r="P28" s="28" t="str">
        <x:v>研究量化、剪枝和缓存加速后的偏差变化，而非三类方法机制比较。</x:v>
      </x:c>
      <x:c r="Q28" s="25" t="str"/>
      <x:c r="R28" s="24" t="str">
        <x:f>IF(Q28&lt;&gt;"",Q28,O28)</x:f>
        <x:v>1</x:v>
      </x:c>
      <x:c r="S28" s="29" t="str"/>
    </x:row>
    <x:row r="29" ht="54" customHeight="1">
      <x:c r="A29" s="17" t="str">
        <x:v>csq002-r08</x:v>
      </x:c>
      <x:c r="B29" s="17" t="str">
        <x:v>csq002</x:v>
      </x:c>
      <x:c r="C29" s="17" t="str">
        <x:v>natural_language_processing</x:v>
      </x:c>
      <x:c r="D29" s="17" t="str">
        <x:v>llm_inference</x:v>
      </x:c>
      <x:c r="E29" s="27" t="str">
        <x:v>How do speculative decoding, model quantization, and KV-cache optimization differ as methods for accelerating large language model inference?</x:v>
      </x:c>
      <x:c r="F29" s="22" t="n">
        <x:v>8</x:v>
      </x:c>
      <x:c r="G29" s="17" t="str">
        <x:v>arXiv:2403.00858</x:v>
      </x:c>
      <x:c r="H29" s="27" t="str">
        <x:v>Direct Alignment of Draft Model for Speculative Decoding with Chat-Fine-Tuned LLMs</x:v>
      </x:c>
      <x:c r="I29" s="17" t="str">
        <x:v>Raghavv Goel; Mukul Gagrani; Wonseok Jeon; Junyoung Park; Mingu Lee; Christopher Lott</x:v>
      </x:c>
      <x:c r="J29" s="22" t="n">
        <x:v>2024</x:v>
      </x:c>
      <x:c r="K29" s="27" t="str">
        <x:v>Text generation with Large Language Models (LLMs) is known to be memory bound due to the combination of their auto-regressive nature, huge parameter counts, and limited memory bandwidths, often resulting in low token rates. Speculative decoding has been proposed as a solution for LLM inference acceleration. However, since draft models are often unavailable in the modern open-source LLM families, e.g., for Llama 2 7B, training a high-quality draft model is required to enable inference acceleration via speculative decoding. In this paper, we propose a simple draft model training framework for direct alignment to chat-capable target models. With the proposed framework, we train Llama 2 Chat Drafter 115M, a draft model for Llama 2 Chat 7B or larger, with only 1.64\% of the original size. Our training framework only consists of pretraining, distillation dataset generation, and finetuning with knowledge distillation, with no additional alignment procedure. For the finetuning step, we use instruction-response pairs generated by target model for distillation in plausible data distribution, and propose a new Total Variation Distance++ (TVD++) loss that incorporates variance reduction techniques inspired from the policy gradient method in reinforcement learning. Our empirical results show that Llama 2 Chat Drafter 115M with speculative decoding achieves up to 2.3 block efficiency and 2.4$\times$ speed-up relative to autoregressive decoding on various tasks with no further task-specific fine-tuning.</x:v>
      </x:c>
      <x:c r="L29" s="17" t="str">
        <x:v>http://arxiv.org/abs/2403.00858v4</x:v>
      </x:c>
      <x:c r="M29" s="23" t="n">
        <x:v>0.016129032258064516</x:v>
      </x:c>
      <x:c r="N29" s="17" t="str">
        <x:v>arxiv-paper-eval-20260727-105551-results.jsonl</x:v>
      </x:c>
      <x:c r="O29" s="24" t="str">
        <x:v>2</x:v>
      </x:c>
      <x:c r="P29" s="28" t="str">
        <x:v>研究草稿模型对齐训练及其对推测解码接受率和速度的影响。</x:v>
      </x:c>
      <x:c r="Q29" s="25" t="str"/>
      <x:c r="R29" s="24" t="str">
        <x:f>IF(Q29&lt;&gt;"",Q29,O29)</x:f>
        <x:v>2</x:v>
      </x:c>
      <x:c r="S29" s="29" t="str"/>
    </x:row>
    <x:row r="30" ht="54" customHeight="1">
      <x:c r="A30" s="17" t="str">
        <x:v>csq002-r09</x:v>
      </x:c>
      <x:c r="B30" s="17" t="str">
        <x:v>csq002</x:v>
      </x:c>
      <x:c r="C30" s="17" t="str">
        <x:v>natural_language_processing</x:v>
      </x:c>
      <x:c r="D30" s="17" t="str">
        <x:v>llm_inference</x:v>
      </x:c>
      <x:c r="E30" s="27" t="str">
        <x:v>How do speculative decoding, model quantization, and KV-cache optimization differ as methods for accelerating large language model inference?</x:v>
      </x:c>
      <x:c r="F30" s="22" t="n">
        <x:v>9</x:v>
      </x:c>
      <x:c r="G30" s="17" t="str">
        <x:v>arXiv:2411.00850</x:v>
      </x:c>
      <x:c r="H30" s="27" t="str">
        <x:v>GWQ: Gradient-Aware Weight Quantization for Large Language Models</x:v>
      </x:c>
      <x:c r="I30" s="17" t="str">
        <x:v>Yihua Shao; Yan Gu; Siyu Chen; Haiyang Liu; Zixian Zhu; Zijian Ling; Minxi Yan; Ziyang Yan; Chenyu Zhang; Michele Magno; Haotong Qin; Yan Wang; Jingcai Guo; Ling Shao; Hao Tang</x:v>
      </x:c>
      <x:c r="J30" s="22" t="n">
        <x:v>2024</x:v>
      </x:c>
      <x:c r="K30" s="27" t="str">
        <x:v>Large language models (LLMs) show impressive performance in solving complex language tasks. However, its large number of parameters presents significant challenges for the deployment. So, compressing LLMs to low bits can enable to deploy on resource-constrained devices. To address this problem, we propose gradient-aware weight quantization (GWQ), the first quantization approach for low-bit weight quantization that leverages gradients to localize outliers, requiring only a minimal amount of calibration data for outlier detection. GWQ retains the top 1\% outliers preferentially at FP16 precision, while the remaining non-outlier weights are stored in a low-bit. We widely evaluate GWQ on different task include language modeling, grounding detection, massive multitask language understanding and vision-language question and answering. Results show that models quantified by GWQ performs better than other quantization method. During quantization process, GWQ only need one calibration set to realize effective quant. Also, GWQ achieves 1.2x inference speedup in comparison to the original model and effectively reduces the inference memory.</x:v>
      </x:c>
      <x:c r="L30" s="17" t="str">
        <x:v>http://arxiv.org/abs/2411.00850v4</x:v>
      </x:c>
      <x:c r="M30" s="23" t="n">
        <x:v>0.016129032258064516</x:v>
      </x:c>
      <x:c r="N30" s="17" t="str">
        <x:v>arxiv-paper-eval-20260727-105551-results.jsonl</x:v>
      </x:c>
      <x:c r="O30" s="24" t="str">
        <x:v>2</x:v>
      </x:c>
      <x:c r="P30" s="28" t="str">
        <x:v>提出梯度感知低比特权重量化并验证速度和内存降低。</x:v>
      </x:c>
      <x:c r="Q30" s="25" t="str"/>
      <x:c r="R30" s="24" t="str">
        <x:f>IF(Q30&lt;&gt;"",Q30,O30)</x:f>
        <x:v>2</x:v>
      </x:c>
      <x:c r="S30" s="29" t="str"/>
    </x:row>
    <x:row r="31" ht="54" customHeight="1">
      <x:c r="A31" s="17" t="str">
        <x:v>csq002-r10</x:v>
      </x:c>
      <x:c r="B31" s="17" t="str">
        <x:v>csq002</x:v>
      </x:c>
      <x:c r="C31" s="17" t="str">
        <x:v>natural_language_processing</x:v>
      </x:c>
      <x:c r="D31" s="17" t="str">
        <x:v>llm_inference</x:v>
      </x:c>
      <x:c r="E31" s="27" t="str">
        <x:v>How do speculative decoding, model quantization, and KV-cache optimization differ as methods for accelerating large language model inference?</x:v>
      </x:c>
      <x:c r="F31" s="22" t="n">
        <x:v>10</x:v>
      </x:c>
      <x:c r="G31" s="17" t="str">
        <x:v>arXiv:2410.11305</x:v>
      </x:c>
      <x:c r="H31" s="27" t="str">
        <x:v>QSpec: Speculative Decoding with Complementary Quantization Schemes</x:v>
      </x:c>
      <x:c r="I31" s="17" t="str">
        <x:v>Juntao Zhao; Wenhao Lu; Sheng Wang; Lingpeng Kong; Chuan Wu</x:v>
      </x:c>
      <x:c r="J31" s="22" t="n">
        <x:v>2024</x:v>
      </x:c>
      <x:c r="K31" s="27" t="str">
        <x:v>Quantization is widely adopted to accelerate inference and reduce memory consumption in large language models (LLMs). While activation-weight joint quantization enables efficient low-precision decoding, it suffers from substantial performance degradation on multi-step reasoning tasks. We propose QSpec, a novel quantization paradigm that decouples efficiency from quality by integrating two complementary schemes via speculative decoding: low-precision joint quantization for fast drafting and high-precision weight-only quantization for accurate verification. QSpec reuses both weights and KV cache across stages, enabling near-zero-cost switching without retraining or auxiliary models. Compared to high-precision baselines, QSpec achieves up to 1.64x speedup without quality degradation, and outperforms state-of-the-art speculative decoding methods by up to 1.55x in batched settings. Furthermore, QSpec supports plug-and-play deployment and generalizes well across model scales, quantization methods, and workloads. These properties make QSpec a practical and scalable solution for high-fidelity quantized LLM serving under memory-constrained scenarios. Our code is available at https://github.com/hku-netexplo-lab/QSpec.</x:v>
      </x:c>
      <x:c r="L31" s="17" t="str">
        <x:v>http://arxiv.org/abs/2410.11305v3</x:v>
      </x:c>
      <x:c r="M31" s="23" t="n">
        <x:v>0.016129032258064516</x:v>
      </x:c>
      <x:c r="N31" s="17" t="str">
        <x:v>arxiv-paper-eval-20260727-105551-results.jsonl</x:v>
      </x:c>
      <x:c r="O31" s="24" t="str">
        <x:v>2</x:v>
      </x:c>
      <x:c r="P31" s="28" t="str">
        <x:v>通过推测解码协调低精度草稿与高精度验证量化方案。</x:v>
      </x:c>
      <x:c r="Q31" s="25" t="str"/>
      <x:c r="R31" s="24" t="str">
        <x:f>IF(Q31&lt;&gt;"",Q31,O31)</x:f>
        <x:v>2</x:v>
      </x:c>
      <x:c r="S31" s="29" t="str"/>
    </x:row>
    <x:row r="32" ht="54" customHeight="1">
      <x:c r="A32" s="17" t="str">
        <x:v>csq002-r11</x:v>
      </x:c>
      <x:c r="B32" s="17" t="str">
        <x:v>csq002</x:v>
      </x:c>
      <x:c r="C32" s="17" t="str">
        <x:v>natural_language_processing</x:v>
      </x:c>
      <x:c r="D32" s="17" t="str">
        <x:v>llm_inference</x:v>
      </x:c>
      <x:c r="E32" s="27" t="str">
        <x:v>How do speculative decoding, model quantization, and KV-cache optimization differ as methods for accelerating large language model inference?</x:v>
      </x:c>
      <x:c r="F32" s="22" t="n">
        <x:v>11</x:v>
      </x:c>
      <x:c r="G32" s="17" t="str">
        <x:v>arXiv:2510.22556</x:v>
      </x:c>
      <x:c r="H32" s="27" t="str">
        <x:v>SABlock: Semantic-Aware KV Cache Eviction with Adaptive Compression Block Size</x:v>
      </x:c>
      <x:c r="I32" s="17" t="str">
        <x:v>Jinhan Chen; Jianchun Liu; Hongli Xu; Xianjun Gao; Shilong Wang</x:v>
      </x:c>
      <x:c r="J32" s="22" t="n">
        <x:v>2025</x:v>
      </x:c>
      <x:c r="K32" s="27" t="str">
        <x:v>The growing memory footprint of the Key-Value (KV) cache poses a severe scalability bottleneck for long-context Large Language Model (LLM) inference. While KV cache eviction has emerged as an effective solution by discarding less critical tokens, existing token-, block-, and sentence-level compression methods struggle to balance semantic coherence and memory efficiency. To this end, we introduce SABlock, a \underline{s}emantic-aware KV cache eviction framework with \underline{a}daptive \underline{block} sizes. Specifically, SABlock first performs semantic segmentation to align compression boundaries with linguistic structures, then applies segment-guided token scoring to refine token importance estimation. Finally, for each segment, a budget-driven search strategy adaptively determines the optimal block size that preserves semantic integrity while improving compression efficiency under a given cache budget. Extensive experiments on long-context benchmarks demonstrate that SABlock consistently outperforms state-of-the-art baselines under the same memory budgets. For instance, on Needle-in-a-Haystack (NIAH), SABlock achieves 99.9% retrieval accuracy with only 96 KV entries, nearly matching the performance of the full-cache baseline that retains up to 8K entries. Under a fixed cache budget of 1,024, SABlock further reduces peak memory usage by 46.28% and achieves up to 9.5x faster decoding on a 128K context length.</x:v>
      </x:c>
      <x:c r="L32" s="17" t="str">
        <x:v>http://arxiv.org/abs/2510.22556v1</x:v>
      </x:c>
      <x:c r="M32" s="23" t="n">
        <x:v>0.015873015873015872</x:v>
      </x:c>
      <x:c r="N32" s="17" t="str">
        <x:v>arxiv-paper-eval-20260727-105551-results.jsonl</x:v>
      </x:c>
      <x:c r="O32" s="24" t="str">
        <x:v>2</x:v>
      </x:c>
      <x:c r="P32" s="28" t="str">
        <x:v>提出语义感知自适应块大小的KV缓存驱逐压缩。</x:v>
      </x:c>
      <x:c r="Q32" s="25" t="str"/>
      <x:c r="R32" s="24" t="str">
        <x:f>IF(Q32&lt;&gt;"",Q32,O32)</x:f>
        <x:v>2</x:v>
      </x:c>
      <x:c r="S32" s="29" t="str"/>
    </x:row>
    <x:row r="33" ht="54" customHeight="1">
      <x:c r="A33" s="17" t="str">
        <x:v>csq002-r12</x:v>
      </x:c>
      <x:c r="B33" s="17" t="str">
        <x:v>csq002</x:v>
      </x:c>
      <x:c r="C33" s="17" t="str">
        <x:v>natural_language_processing</x:v>
      </x:c>
      <x:c r="D33" s="17" t="str">
        <x:v>llm_inference</x:v>
      </x:c>
      <x:c r="E33" s="27" t="str">
        <x:v>How do speculative decoding, model quantization, and KV-cache optimization differ as methods for accelerating large language model inference?</x:v>
      </x:c>
      <x:c r="F33" s="22" t="n">
        <x:v>12</x:v>
      </x:c>
      <x:c r="G33" s="17" t="str">
        <x:v>arXiv:2502.17421</x:v>
      </x:c>
      <x:c r="H33" s="27" t="str">
        <x:v>LongSpec: Long-Context Lossless Speculative Decoding with Efficient Drafting and Verification</x:v>
      </x:c>
      <x:c r="I33" s="17" t="str">
        <x:v>Penghui Yang; Cunxiao Du; Fengzhuo Zhang; Haonan Wang; Tianyu Pang; Chao Du; Bo An</x:v>
      </x:c>
      <x:c r="J33" s="22" t="n">
        <x:v>2025</x:v>
      </x:c>
      <x:c r="K33" s="27" t="str">
        <x:v>As Large Language Models (LLMs) can now process extremely long contexts, efficient inference over these extended inputs has become increasingly important, especially for emerging applications like LLM agents that highly depend on this capability. Speculative decoding (SD) offers a promising lossless acceleration technique compared to lossy alternatives such as quantization and model cascades. However, most state-of-the-art SD methods are trained on short texts (typically fewer than 4k tokens), making them unsuitable for long-context scenarios. Specifically, adapting these methods to long contexts presents three key challenges: (1) the excessive memory demands posed by draft models due to large Key-Value (KV) cache; (2) performance degradation resulting from the mismatch between short-context training and long-context inference; and (3) inefficiencies in tree attention mechanisms when managing long token sequences. This work introduces LongSpec, a framework that addresses these challenges through three core innovations: a memory-efficient draft model with a constant-sized KV cache; novel position indices that mitigate the training-inference mismatch; and an attention aggregation strategy that combines fast prefix computation with standard tree attention to enable efficient decoding. Experimental results confirm the effectiveness of LongSpec, achieving up to a 3.26x speedup over strong Flash Attention baselines across five long-context understanding datasets, as well as a 2.25x reduction in wall-clock time on the AIME24 long reasoning task with the QwQ model, demonstrating significant latency improvements for long-context applications. The code is available at https://github.com/sail-sg/LongSpec.</x:v>
      </x:c>
      <x:c r="L33" s="17" t="str">
        <x:v>http://arxiv.org/abs/2502.17421v4</x:v>
      </x:c>
      <x:c r="M33" s="23" t="n">
        <x:v>0.015873015873015872</x:v>
      </x:c>
      <x:c r="N33" s="17" t="str">
        <x:v>arxiv-paper-eval-20260727-105551-results.jsonl</x:v>
      </x:c>
      <x:c r="O33" s="24" t="str">
        <x:v>2</x:v>
      </x:c>
      <x:c r="P33" s="28" t="str">
        <x:v>面向长上下文改进推测解码草稿缓存与并行验证效率。</x:v>
      </x:c>
      <x:c r="Q33" s="25" t="str"/>
      <x:c r="R33" s="24" t="str">
        <x:f>IF(Q33&lt;&gt;"",Q33,O33)</x:f>
        <x:v>2</x:v>
      </x:c>
      <x:c r="S33" s="29" t="str"/>
    </x:row>
    <x:row r="34" ht="54" customHeight="1">
      <x:c r="A34" s="17" t="str">
        <x:v>csq002-r13</x:v>
      </x:c>
      <x:c r="B34" s="17" t="str">
        <x:v>csq002</x:v>
      </x:c>
      <x:c r="C34" s="17" t="str">
        <x:v>natural_language_processing</x:v>
      </x:c>
      <x:c r="D34" s="17" t="str">
        <x:v>llm_inference</x:v>
      </x:c>
      <x:c r="E34" s="27" t="str">
        <x:v>How do speculative decoding, model quantization, and KV-cache optimization differ as methods for accelerating large language model inference?</x:v>
      </x:c>
      <x:c r="F34" s="22" t="n">
        <x:v>13</x:v>
      </x:c>
      <x:c r="G34" s="17" t="str">
        <x:v>arXiv:2402.01799</x:v>
      </x:c>
      <x:c r="H34" s="27" t="str">
        <x:v>Faster and Lighter LLMs: A Survey on Current Challenges and Way Forward</x:v>
      </x:c>
      <x:c r="I34" s="17" t="str">
        <x:v>Arnav Chavan; Raghav Magazine; Shubham Kushwaha; Mérouane Debbah; Deepak Gupta</x:v>
      </x:c>
      <x:c r="J34" s="22" t="n">
        <x:v>2024</x:v>
      </x:c>
      <x:c r="K34" s="27" t="str">
        <x:v>Despite the impressive performance of LLMs, their widespread adoption faces challenges due to substantial computational and memory requirements during inference. Recent advancements in model compression and system-level optimization methods aim to enhance LLM inference. This survey offers an overview of these methods, emphasizing recent developments. Through experiments on LLaMA(/2)-7B, we evaluate various compression techniques, providing practical insights for efficient LLM deployment in a unified setting. The empirical analysis on LLaMA(/2)-7B highlights the effectiveness of these methods. Drawing from survey insights, we identify current limitations and discuss potential future directions to improve LLM inference efficiency. We release the codebase to reproduce the results presented in this paper at https://github.com/nyunAI/Faster-LLM-Survey</x:v>
      </x:c>
      <x:c r="L34" s="17" t="str">
        <x:v>http://arxiv.org/abs/2402.01799v2</x:v>
      </x:c>
      <x:c r="M34" s="23" t="n">
        <x:v>0.015873015873015872</x:v>
      </x:c>
      <x:c r="N34" s="17" t="str">
        <x:v>arxiv-paper-eval-20260727-105551-results.jsonl</x:v>
      </x:c>
      <x:c r="O34" s="24" t="str">
        <x:v>2</x:v>
      </x:c>
      <x:c r="P34" s="28" t="str">
        <x:v>综述模型压缩和系统级LLM推理优化并统一实验比较。</x:v>
      </x:c>
      <x:c r="Q34" s="25" t="str"/>
      <x:c r="R34" s="24" t="str">
        <x:f>IF(Q34&lt;&gt;"",Q34,O34)</x:f>
        <x:v>2</x:v>
      </x:c>
      <x:c r="S34" s="29" t="str"/>
    </x:row>
    <x:row r="35" ht="54" customHeight="1">
      <x:c r="A35" s="17" t="str">
        <x:v>csq002-r14</x:v>
      </x:c>
      <x:c r="B35" s="17" t="str">
        <x:v>csq002</x:v>
      </x:c>
      <x:c r="C35" s="17" t="str">
        <x:v>natural_language_processing</x:v>
      </x:c>
      <x:c r="D35" s="17" t="str">
        <x:v>llm_inference</x:v>
      </x:c>
      <x:c r="E35" s="27" t="str">
        <x:v>How do speculative decoding, model quantization, and KV-cache optimization differ as methods for accelerating large language model inference?</x:v>
      </x:c>
      <x:c r="F35" s="22" t="n">
        <x:v>14</x:v>
      </x:c>
      <x:c r="G35" s="17" t="str">
        <x:v>arXiv:2404.08856</x:v>
      </x:c>
      <x:c r="H35" s="27" t="str">
        <x:v>On Speculative Decoding for Multimodal Large Language Models</x:v>
      </x:c>
      <x:c r="I35" s="17" t="str">
        <x:v>Mukul Gagrani; Raghavv Goel; Wonseok Jeon; Junyoung Park; Mingu Lee; Christopher Lott</x:v>
      </x:c>
      <x:c r="J35" s="22" t="n">
        <x:v>2024</x:v>
      </x:c>
      <x:c r="K35" s="27" t="str">
        <x:v>Inference with Multimodal Large Language Models (MLLMs) is slow due to their large-language-model backbone which suffers from memory bandwidth bottleneck and generates tokens auto-regressively. In this paper, we explore the application of speculative decoding to enhance the inference efficiency of MLLMs, specifically the LLaVA 7B model. We show that a language-only model can serve as a good draft model for speculative decoding with LLaVA 7B, bypassing the need for image tokens and their associated processing components from the draft model. Our experiments across three different tasks show that speculative decoding can achieve a memory-bound speedup of up to 2.37$\times$ using a 115M parameter language model that we trained from scratch. Additionally, we introduce a compact LLaVA draft model incorporating an image adapter, which shows marginal performance gains in image captioning while maintaining comparable results in other tasks.</x:v>
      </x:c>
      <x:c r="L35" s="17" t="str">
        <x:v>http://arxiv.org/abs/2404.08856v1</x:v>
      </x:c>
      <x:c r="M35" s="23" t="n">
        <x:v>0.015873015873015872</x:v>
      </x:c>
      <x:c r="N35" s="17" t="str">
        <x:v>arxiv-paper-eval-20260727-105551-results.jsonl</x:v>
      </x:c>
      <x:c r="O35" s="24" t="str">
        <x:v>2</x:v>
      </x:c>
      <x:c r="P35" s="28" t="str">
        <x:v>直接研究多模态模型的推测解码草稿设计与加速效果。</x:v>
      </x:c>
      <x:c r="Q35" s="25" t="str"/>
      <x:c r="R35" s="24" t="str">
        <x:f>IF(Q35&lt;&gt;"",Q35,O35)</x:f>
        <x:v>2</x:v>
      </x:c>
      <x:c r="S35" s="29" t="str"/>
    </x:row>
    <x:row r="36" ht="54" customHeight="1">
      <x:c r="A36" s="17" t="str">
        <x:v>csq002-r15</x:v>
      </x:c>
      <x:c r="B36" s="17" t="str">
        <x:v>csq002</x:v>
      </x:c>
      <x:c r="C36" s="17" t="str">
        <x:v>natural_language_processing</x:v>
      </x:c>
      <x:c r="D36" s="17" t="str">
        <x:v>llm_inference</x:v>
      </x:c>
      <x:c r="E36" s="27" t="str">
        <x:v>How do speculative decoding, model quantization, and KV-cache optimization differ as methods for accelerating large language model inference?</x:v>
      </x:c>
      <x:c r="F36" s="22" t="n">
        <x:v>15</x:v>
      </x:c>
      <x:c r="G36" s="17" t="str">
        <x:v>arXiv:2408.08554</x:v>
      </x:c>
      <x:c r="H36" s="27" t="str">
        <x:v>ABQ-LLM: Arbitrary-Bit Quantized Inference Acceleration for Large Language Models</x:v>
      </x:c>
      <x:c r="I36" s="17" t="str">
        <x:v>Chao Zeng; Songwei Liu; Yusheng Xie; Hong Liu; Xiaojian Wang; Miao Wei; Shu Yang; Fangmin Chen; Xing Mei</x:v>
      </x:c>
      <x:c r="J36" s="22" t="n">
        <x:v>2024</x:v>
      </x:c>
      <x:c r="K36" s="27" t="str">
        <x:v>Large Language Models (LLMs) have revolutionized natural language processing tasks. However, their practical application is constrained by substantial memory and computational demands. Post-training quantization (PTQ) is considered an effective method to accelerate LLM inference. Despite its growing popularity in LLM model compression, PTQ deployment faces two major challenges. First, low-bit quantization leads to performance degradation. Second, restricted by the limited integer computing unit type on GPUs, quantized matrix operations with different precisions cannot be effectively accelerated. To address these issues, we introduce a novel arbitrary-bit quantization algorithm and inference framework, ABQ-LLM. It achieves superior performance across various quantization settings and enables efficient arbitrary-precision quantized inference on the GPU. ABQ-LLM introduces several key innovations: (1) a distribution correction method for transformer blocks to mitigate distribution differences caused by full quantization of weights and activations, improving performance at low bit-widths. (2) the bit balance strategy to counteract performance degradation from asymmetric distribution issues at very low bit-widths (e.g., 2-bit). (3) an innovative quantization acceleration framework that reconstructs the quantization matrix multiplication of arbitrary precision combinations based on BTC (Binary TensorCore) equivalents, gets rid of the limitations of INT4/INT8 computing units. ABQ-LLM can convert each component bit width gain into actual acceleration gain, maximizing performance under mixed precision(e.g., W6A6, W2A8). Based on W2*A8 quantization configuration on LLaMA-7B model, it achieved a WikiText2 perplexity of 7.59 (2.17$\downarrow $ vs 9.76 in AffineQuant). Compared to SmoothQuant, we realized 1.6$\times$ acceleration improvement and 2.7$\times$ memory compression gain.</x:v>
      </x:c>
      <x:c r="L36" s="17" t="str">
        <x:v>http://arxiv.org/abs/2408.08554v3</x:v>
      </x:c>
      <x:c r="M36" s="23" t="n">
        <x:v>0.015873015873015872</x:v>
      </x:c>
      <x:c r="N36" s="17" t="str">
        <x:v>arxiv-paper-eval-20260727-105551-results.jsonl</x:v>
      </x:c>
      <x:c r="O36" s="24" t="str">
        <x:v>2</x:v>
      </x:c>
      <x:c r="P36" s="28" t="str">
        <x:v>提出任意比特量化算法与GPU推理框架，兼顾精度和速度。</x:v>
      </x:c>
      <x:c r="Q36" s="25" t="str"/>
      <x:c r="R36" s="24" t="str">
        <x:f>IF(Q36&lt;&gt;"",Q36,O36)</x:f>
        <x:v>2</x:v>
      </x:c>
      <x:c r="S36" s="29" t="str"/>
    </x:row>
    <x:row r="37" ht="54" customHeight="1">
      <x:c r="A37" s="17" t="str">
        <x:v>csq002-r16</x:v>
      </x:c>
      <x:c r="B37" s="17" t="str">
        <x:v>csq002</x:v>
      </x:c>
      <x:c r="C37" s="17" t="str">
        <x:v>natural_language_processing</x:v>
      </x:c>
      <x:c r="D37" s="17" t="str">
        <x:v>llm_inference</x:v>
      </x:c>
      <x:c r="E37" s="27" t="str">
        <x:v>How do speculative decoding, model quantization, and KV-cache optimization differ as methods for accelerating large language model inference?</x:v>
      </x:c>
      <x:c r="F37" s="22" t="n">
        <x:v>16</x:v>
      </x:c>
      <x:c r="G37" s="17" t="str">
        <x:v>arXiv:2503.07807</x:v>
      </x:c>
      <x:c r="H37" s="27" t="str">
        <x:v>Training Domain Draft Models for Speculative Decoding: Best Practices and Insights</x:v>
      </x:c>
      <x:c r="I37" s="17" t="str">
        <x:v>Fenglu Hong; Ravi Raju; Jonathan Lingjie Li; Bo Li; Urmish Thakker; Avinash Ravichandran; Swayambhoo Jain; Changran Hu</x:v>
      </x:c>
      <x:c r="J37" s="22" t="n">
        <x:v>2025</x:v>
      </x:c>
      <x:c r="K37" s="27" t="str">
        <x:v>Speculative decoding is an effective method for accelerating inference of large language models (LLMs) by employing a small draft model to predict the output of a target model. However, when adapting speculative decoding to domain-specific target models, the acceptance rate of the generic draft model drops significantly due to domain shift. In this work, we systematically investigate knowledge distillation techniques for training domain draft models to improve their speculation accuracy. We compare white-box and black-box distillation approaches and explore their effectiveness in various data accessibility scenarios, including historical user queries, curated domain data, and synthetically generated alignment data. Our experiments across Function Calling, Biology, and Chinese domains show that offline distillation consistently outperforms online distillation by 11% to 25%, white-box distillation surpasses black-box distillation by 2% to 10%, and data scaling trends hold across domains. Additionally, we find that synthetic data can effectively align draft models and achieve 80% to 93% of the performance of training on historical user queries. These findings provide practical guidelines for training domain-specific draft models to improve speculative decoding efficiency.</x:v>
      </x:c>
      <x:c r="L37" s="17" t="str">
        <x:v>http://arxiv.org/abs/2503.07807v2</x:v>
      </x:c>
      <x:c r="M37" s="23" t="n">
        <x:v>0.015625</x:v>
      </x:c>
      <x:c r="N37" s="17" t="str">
        <x:v>arxiv-paper-eval-20260727-105551-results.jsonl</x:v>
      </x:c>
      <x:c r="O37" s="24" t="str">
        <x:v>2</x:v>
      </x:c>
      <x:c r="P37" s="28" t="str">
        <x:v>系统比较领域草稿模型蒸馏方案及推测接受率。</x:v>
      </x:c>
      <x:c r="Q37" s="25" t="str"/>
      <x:c r="R37" s="24" t="str">
        <x:f>IF(Q37&lt;&gt;"",Q37,O37)</x:f>
        <x:v>2</x:v>
      </x:c>
      <x:c r="S37" s="29" t="str"/>
    </x:row>
    <x:row r="38" ht="54" customHeight="1">
      <x:c r="A38" s="17" t="str">
        <x:v>csq002-r17</x:v>
      </x:c>
      <x:c r="B38" s="17" t="str">
        <x:v>csq002</x:v>
      </x:c>
      <x:c r="C38" s="17" t="str">
        <x:v>natural_language_processing</x:v>
      </x:c>
      <x:c r="D38" s="17" t="str">
        <x:v>llm_inference</x:v>
      </x:c>
      <x:c r="E38" s="27" t="str">
        <x:v>How do speculative decoding, model quantization, and KV-cache optimization differ as methods for accelerating large language model inference?</x:v>
      </x:c>
      <x:c r="F38" s="22" t="n">
        <x:v>17</x:v>
      </x:c>
      <x:c r="G38" s="17" t="str">
        <x:v>arXiv:2505.20334</x:v>
      </x:c>
      <x:c r="H38" s="27" t="str">
        <x:v>Lookahead Q-Cache: Achieving More Consistent KV Cache Eviction via Pseudo Query</x:v>
      </x:c>
      <x:c r="I38" s="17" t="str">
        <x:v>Yixuan Wang; Shiyu Ji; Yijun Liu; Yuzhuang Xu; Yang Xu; Qingfu Zhu; Wanxiang Che</x:v>
      </x:c>
      <x:c r="J38" s="22" t="n">
        <x:v>2025</x:v>
      </x:c>
      <x:c r="K38" s="27" t="str">
        <x:v>Large language models (LLMs) rely on key-value cache (KV cache) to accelerate decoding by reducing redundant computations. However, the KV cache memory usage grows substantially with longer text sequences, posing challenges for efficient deployment. Existing KV cache eviction methods prune tokens using prefilling-stage attention scores, causing inconsistency with actual inference queries, especially under tight memory budgets. In this paper, we propose Lookahead Q-Cache (LAQ), a novel eviction framework that generates low-cost pseudo lookahead queries to better approximate the true decoding-stage queries. By using these lookahead queries as the observation window for importance estimation, LAQ achieves more consistent and accurate KV cache eviction aligned with real inference scenarios. Experimental results on LongBench and Needle-in-a-Haystack benchmarks show that LAQ outperforms existing methods across various budget levels, achieving a 1 $\sim$ 4 point improvement on LongBench under limited cache budget. Moreover, LAQ is complementary to existing approaches and can be flexibly combined to yield further improvements.</x:v>
      </x:c>
      <x:c r="L38" s="17" t="str">
        <x:v>http://arxiv.org/abs/2505.20334v2</x:v>
      </x:c>
      <x:c r="M38" s="23" t="n">
        <x:v>0.015625</x:v>
      </x:c>
      <x:c r="N38" s="17" t="str">
        <x:v>arxiv-paper-eval-20260727-105551-results.jsonl</x:v>
      </x:c>
      <x:c r="O38" s="24" t="str">
        <x:v>2</x:v>
      </x:c>
      <x:c r="P38" s="28" t="str">
        <x:v>以伪查询改善KV缓存驱逐的重要性估计与有限预算表现。</x:v>
      </x:c>
      <x:c r="Q38" s="25" t="str"/>
      <x:c r="R38" s="24" t="str">
        <x:f>IF(Q38&lt;&gt;"",Q38,O38)</x:f>
        <x:v>2</x:v>
      </x:c>
      <x:c r="S38" s="29" t="str"/>
    </x:row>
    <x:row r="39" ht="54" customHeight="1">
      <x:c r="A39" s="17" t="str">
        <x:v>csq002-r18</x:v>
      </x:c>
      <x:c r="B39" s="17" t="str">
        <x:v>csq002</x:v>
      </x:c>
      <x:c r="C39" s="17" t="str">
        <x:v>natural_language_processing</x:v>
      </x:c>
      <x:c r="D39" s="17" t="str">
        <x:v>llm_inference</x:v>
      </x:c>
      <x:c r="E39" s="27" t="str">
        <x:v>How do speculative decoding, model quantization, and KV-cache optimization differ as methods for accelerating large language model inference?</x:v>
      </x:c>
      <x:c r="F39" s="22" t="n">
        <x:v>18</x:v>
      </x:c>
      <x:c r="G39" s="17" t="str">
        <x:v>arXiv:2509.18344</x:v>
      </x:c>
      <x:c r="H39" s="27" t="str">
        <x:v>Speculate Deep and Accurate: Lossless and Training-Free Acceleration for Offloaded LLMs via Substitute Speculative Decoding</x:v>
      </x:c>
      <x:c r="I39" s="17" t="str">
        <x:v>Pei-Shuo Wang; Jian-Jia Chen; Chun-Che Yang; Chi-Chih Chang; Ning-Chi Huang; Mohamed S. Abdelfattah; Kai-Chiang Wu</x:v>
      </x:c>
      <x:c r="J39" s="22" t="n">
        <x:v>2025</x:v>
      </x:c>
      <x:c r="K39" s="27" t="str">
        <x:v>The immense model sizes of large language models (LLMs) challenge deployment on memory-limited consumer GPUs. Although model compression and parameter offloading are common strategies to address memory limitations, compression can degrade quality, and offloading maintains quality but suffers from slow inference. Speculative decoding presents a promising avenue to accelerate parameter offloading, utilizing a fast draft model to propose multiple draft tokens, which are then verified by the target LLM in parallel with a single forward pass. This method reduces the time-consuming data transfers in forward passes that involve offloaded weight transfers. Existing methods often rely on pretrained weights of the same family, but require additional training to align with custom-trained models. Moreover, approaches that involve draft model training usually yield only modest speedups. This limitation arises from insufficient alignment with the target model, preventing higher token acceptance lengths. To address these challenges and achieve greater speedups, we propose SubSpec, a plug-and-play method to accelerate parameter offloading that is lossless and training-free. SubSpec constructs a highly aligned draft model by generating low-bit quantized substitute layers from offloaded target LLM portions. Additionally, our method shares the remaining GPU-resident layers and the KV-Cache, further reducing memory overhead and enhance alignment. SubSpec achieves a high average acceptance length, delivering 9.1x speedup for Qwen2.5 7B on MT-Bench (8GB VRAM limit) and an average of 12.5x speedup for Qwen2.5 32B on popular generation benchmarks (24GB VRAM limit).</x:v>
      </x:c>
      <x:c r="L39" s="17" t="str">
        <x:v>http://arxiv.org/abs/2509.18344v2</x:v>
      </x:c>
      <x:c r="M39" s="23" t="n">
        <x:v>0.015625</x:v>
      </x:c>
      <x:c r="N39" s="17" t="str">
        <x:v>arxiv-paper-eval-20260727-105551-results.jsonl</x:v>
      </x:c>
      <x:c r="O39" s="24" t="str">
        <x:v>2</x:v>
      </x:c>
      <x:c r="P39" s="28" t="str">
        <x:v>用量化替代层构建免训练草稿模型，加速参数卸载推理。</x:v>
      </x:c>
      <x:c r="Q39" s="25" t="str"/>
      <x:c r="R39" s="24" t="str">
        <x:f>IF(Q39&lt;&gt;"",Q39,O39)</x:f>
        <x:v>2</x:v>
      </x:c>
      <x:c r="S39" s="29" t="str"/>
    </x:row>
    <x:row r="40" ht="54" customHeight="1">
      <x:c r="A40" s="17" t="str">
        <x:v>csq002-r19</x:v>
      </x:c>
      <x:c r="B40" s="17" t="str">
        <x:v>csq002</x:v>
      </x:c>
      <x:c r="C40" s="17" t="str">
        <x:v>natural_language_processing</x:v>
      </x:c>
      <x:c r="D40" s="17" t="str">
        <x:v>llm_inference</x:v>
      </x:c>
      <x:c r="E40" s="27" t="str">
        <x:v>How do speculative decoding, model quantization, and KV-cache optimization differ as methods for accelerating large language model inference?</x:v>
      </x:c>
      <x:c r="F40" s="22" t="n">
        <x:v>19</x:v>
      </x:c>
      <x:c r="G40" s="17" t="str">
        <x:v>arXiv:2410.04466</x:v>
      </x:c>
      <x:c r="H40" s="27" t="str">
        <x:v>Large Language Model Inference Acceleration: A Comprehensive Hardware Perspective</x:v>
      </x:c>
      <x:c r="I40" s="17" t="str">
        <x:v>Jinhao Li; Jiaming Xu; Shan Huang; Yonghua Chen; Wen Li; Jun Liu; Yaoxiu Lian; Jiayi Pan; Li Ding; Hao Zhou; Yu Wang; Guohao Dai</x:v>
      </x:c>
      <x:c r="J40" s="22" t="n">
        <x:v>2024</x:v>
      </x:c>
      <x:c r="K40" s="27" t="str">
        <x:v>Large Language Models (LLMs) have demonstrated remarkable capabilities across various fields, from natural language understanding to text generation. Compared to non-generative LLMs like BERT and DeBERTa, generative LLMs like GPT series and Llama series are currently the main focus due to their superior algorithmic performance. The advancements in generative LLMs are closely intertwined with the development of hardware capabilities. Various hardware platforms exhibit distinct hardware characteristics, which can help improve LLM inference performance. Therefore, this paper comprehensively surveys efficient generative LLM inference on different hardware platforms. First, we provide an overview of the algorithm architecture of mainstream generative LLMs and delve into the inference process. Then, we summarize different optimization methods for different platforms such as CPU, GPU, FPGA, ASIC, and PIM/NDP, and provide inference results for generative LLMs. Furthermore, we perform a qualitative and quantitative comparison of inference performance with batch sizes 1 and 8 on different hardware platforms by considering hardware power consumption, absolute inference speed (tokens/s), and energy efficiency (tokens/J). We compare the performance of the same optimization methods across different hardware platforms, the performance across different hardware platforms, and the performance of different methods on the same hardware platform. This provides a systematic and comprehensive summary of existing inference acceleration work by integrating software optimization methods and hardware platforms. We point out that three trends (multimodality, inference-time compute, and higher inference energy efficiency) are promising to redefine the capabilities of edge artificial intelligence systems. Our project is available at https://dai.sjtu.edu.cn/project.html.</x:v>
      </x:c>
      <x:c r="L40" s="17" t="str">
        <x:v>http://arxiv.org/abs/2410.04466v4</x:v>
      </x:c>
      <x:c r="M40" s="23" t="n">
        <x:v>0.015625</x:v>
      </x:c>
      <x:c r="N40" s="17" t="str">
        <x:v>arxiv-paper-eval-20260727-105551-results.jsonl</x:v>
      </x:c>
      <x:c r="O40" s="24" t="str">
        <x:v>2</x:v>
      </x:c>
      <x:c r="P40" s="28" t="str">
        <x:v>从硬件视角系统综述生成式LLM推理加速和性能权衡。</x:v>
      </x:c>
      <x:c r="Q40" s="25" t="str"/>
      <x:c r="R40" s="24" t="str">
        <x:f>IF(Q40&lt;&gt;"",Q40,O40)</x:f>
        <x:v>2</x:v>
      </x:c>
      <x:c r="S40" s="29" t="str"/>
    </x:row>
    <x:row r="41" ht="54" customHeight="1">
      <x:c r="A41" s="17" t="str">
        <x:v>csq002-r20</x:v>
      </x:c>
      <x:c r="B41" s="17" t="str">
        <x:v>csq002</x:v>
      </x:c>
      <x:c r="C41" s="17" t="str">
        <x:v>natural_language_processing</x:v>
      </x:c>
      <x:c r="D41" s="17" t="str">
        <x:v>llm_inference</x:v>
      </x:c>
      <x:c r="E41" s="27" t="str">
        <x:v>How do speculative decoding, model quantization, and KV-cache optimization differ as methods for accelerating large language model inference?</x:v>
      </x:c>
      <x:c r="F41" s="22" t="n">
        <x:v>20</x:v>
      </x:c>
      <x:c r="G41" s="17" t="str">
        <x:v>arXiv:2306.02272</x:v>
      </x:c>
      <x:c r="H41" s="27" t="str">
        <x:v>OWQ: Outlier-Aware Weight Quantization for Efficient Fine-Tuning and Inference of Large Language Models</x:v>
      </x:c>
      <x:c r="I41" s="17" t="str">
        <x:v>Changhun Lee; Jungyu Jin; Taesu Kim; Hyungjun Kim; Eunhyeok Park</x:v>
      </x:c>
      <x:c r="J41" s="22" t="n">
        <x:v>2023</x:v>
      </x:c>
      <x:c r="K41" s="27" t="str">
        <x:v>Large language models (LLMs) with hundreds of billions of parameters require powerful server-grade GPUs for inference, limiting their practical deployment. To address this challenge, we introduce the outlier-aware weight quantization (OWQ) method, which aims to minimize LLM's footprint through low-precision representation. OWQ prioritizes a small subset of structured weights sensitive to quantization, storing them in high-precision, while applying highly tuned quantization to the remaining dense weights. This sensitivity-aware mixed-precision scheme reduces the quantization error notably, and extensive experiments demonstrate that 3.1-bit models using OWQ perform comparably to 4-bit models optimized by OPTQ. Furthermore, OWQ incorporates a parameter-efficient fine-tuning for task-specific adaptation, called weak column tuning (WCT), enabling accurate task-specific LLM adaptation with minimal memory overhead in the optimized format. OWQ represents a notable advancement in the flexibility, efficiency, and practicality of LLM optimization literature. The source code is available at https://github.com/xvyaward/owq</x:v>
      </x:c>
      <x:c r="L41" s="17" t="str">
        <x:v>http://arxiv.org/abs/2306.02272v4</x:v>
      </x:c>
      <x:c r="M41" s="23" t="n">
        <x:v>0.015625</x:v>
      </x:c>
      <x:c r="N41" s="17" t="str">
        <x:v>arxiv-paper-eval-20260727-105551-results.jsonl</x:v>
      </x:c>
      <x:c r="O41" s="24" t="str">
        <x:v>2</x:v>
      </x:c>
      <x:c r="P41" s="28" t="str">
        <x:v>提出离群值感知混合精度权重量化以降低推理占用。</x:v>
      </x:c>
      <x:c r="Q41" s="25" t="str"/>
      <x:c r="R41" s="24" t="str">
        <x:f>IF(Q41&lt;&gt;"",Q41,O41)</x:f>
        <x:v>2</x:v>
      </x:c>
      <x:c r="S41" s="29" t="str"/>
    </x:row>
    <x:row r="42" ht="54" customHeight="1">
      <x:c r="A42" s="17" t="str">
        <x:v>csq003-r01</x:v>
      </x:c>
      <x:c r="B42" s="17" t="str">
        <x:v>csq003</x:v>
      </x:c>
      <x:c r="C42" s="17" t="str">
        <x:v>natural_language_processing</x:v>
      </x:c>
      <x:c r="D42" s="17" t="str">
        <x:v>hallucination_evaluation</x:v>
      </x:c>
      <x:c r="E42" s="27" t="str">
        <x:v>Which automatic and human evaluation methods are used to measure hallucination and factual consistency in large language models, and what evidence exists about their reliability?</x:v>
      </x:c>
      <x:c r="F42" s="22" t="n">
        <x:v>1</x:v>
      </x:c>
      <x:c r="G42" s="17" t="str">
        <x:v>arXiv:2311.00681</x:v>
      </x:c>
      <x:c r="H42" s="27" t="str">
        <x:v>Are Large Language Models Reliable Judges? A Study on the Factuality Evaluation Capabilities of LLMs</x:v>
      </x:c>
      <x:c r="I42" s="17" t="str">
        <x:v>Xue-Yong Fu; Md Tahmid Rahman Laskar; Cheng Chen; Shashi Bhushan TN</x:v>
      </x:c>
      <x:c r="J42" s="22" t="n">
        <x:v>2023</x:v>
      </x:c>
      <x:c r="K42" s="27" t="str">
        <x:v>In recent years, Large Language Models (LLMs) have gained immense attention due to their notable emergent capabilities, surpassing those seen in earlier language models. A particularly intriguing application of LLMs is their role as evaluators for texts produced by various generative models. In this study, we delve into the potential of LLMs as reliable assessors of factual consistency in summaries generated by text-generation models. Initially, we introduce an innovative approach for factuality assessment using LLMs. This entails employing a singular LLM for the entirety of the question-answering-based factuality scoring process. Following this, we examine the efficacy of various LLMs in direct factuality scoring, benchmarking them against traditional measures and human annotations. Contrary to initial expectations, our results indicate a lack of significant correlations between factuality metrics and human evaluations, specifically for GPT-4 and PaLM-2. Notable correlations were only observed with GPT-3.5 across two factuality subcategories. These consistent findings across various factual error categories suggest a fundamental limitation in the current LLMs' capability to accurately gauge factuality. This version presents the information more concisely while maintaining the main points and findings of the original text.</x:v>
      </x:c>
      <x:c r="L42" s="17" t="str">
        <x:v>http://arxiv.org/abs/2311.00681v1</x:v>
      </x:c>
      <x:c r="M42" s="23" t="n">
        <x:v>0.04413529939476644</x:v>
      </x:c>
      <x:c r="N42" s="17" t="str">
        <x:v>arxiv-paper-eval-20260727-105551-results.jsonl</x:v>
      </x:c>
      <x:c r="O42" s="24" t="str">
        <x:v>2</x:v>
      </x:c>
      <x:c r="P42" s="28" t="str">
        <x:v>比较LLM事实性评分、传统指标与人工标注并报告相关性不足。</x:v>
      </x:c>
      <x:c r="Q42" s="25" t="str"/>
      <x:c r="R42" s="24" t="str">
        <x:f>IF(Q42&lt;&gt;"",Q42,O42)</x:f>
        <x:v>2</x:v>
      </x:c>
      <x:c r="S42" s="29" t="str"/>
    </x:row>
    <x:row r="43" ht="54" customHeight="1">
      <x:c r="A43" s="17" t="str">
        <x:v>csq003-r02</x:v>
      </x:c>
      <x:c r="B43" s="17" t="str">
        <x:v>csq003</x:v>
      </x:c>
      <x:c r="C43" s="17" t="str">
        <x:v>natural_language_processing</x:v>
      </x:c>
      <x:c r="D43" s="17" t="str">
        <x:v>hallucination_evaluation</x:v>
      </x:c>
      <x:c r="E43" s="27" t="str">
        <x:v>Which automatic and human evaluation methods are used to measure hallucination and factual consistency in large language models, and what evidence exists about their reliability?</x:v>
      </x:c>
      <x:c r="F43" s="22" t="n">
        <x:v>2</x:v>
      </x:c>
      <x:c r="G43" s="17" t="str">
        <x:v>arXiv:2403.18802</x:v>
      </x:c>
      <x:c r="H43" s="27" t="str">
        <x:v>Long-form factuality in large language models</x:v>
      </x:c>
      <x:c r="I43" s="17" t="str">
        <x:v>Jerry Wei; Chengrun Yang; Xinying Song; Yifeng Lu; Nathan Hu; Jie Huang; Dustin Tran; Daiyi Peng; Ruibo Liu; Da Huang; Cosmo Du; Quoc V. Le</x:v>
      </x:c>
      <x:c r="J43" s="22" t="n">
        <x:v>2024</x:v>
      </x:c>
      <x:c r="K43" s="27" t="str">
        <x:v>Large language models (LLMs) often generate content that contains factual errors when responding to fact-seeking prompts on open-ended topics. To benchmark a model's long-form factuality in open domains, we first use GPT-4 to generate LongFact, a prompt set comprising thousands of questions spanning 38 topics. We then propose that LLM agents can be used as automated evaluators for long-form factuality through a method which we call Search-Augmented Factuality Evaluator (SAFE). SAFE utilizes an LLM to break down a long-form response into a set of individual facts and to evaluate the accuracy of each fact using a multi-step reasoning process comprising sending search queries to Google Search and determining whether a fact is supported by the search results. Furthermore, we propose extending F1 score as an aggregated metric for long-form factuality. To do so, we balance the percentage of supported facts in a response (precision) with the percentage of provided facts relative to a hyperparameter representing a user's preferred response length (recall). Empirically, we demonstrate that LLM agents can outperform crowdsourced human annotators - on a set of ~16k individual facts, SAFE agrees with crowdsourced human annotators 72% of the time, and on a random subset of 100 disagreement cases, SAFE wins 76% of the time. At the same time, SAFE is more than 20 times cheaper than human annotators. We also benchmark thirteen language models on LongFact across four model families (Gemini, GPT, Claude, and PaLM-2), finding that larger language models generally achieve better long-form factuality. LongFact, SAFE, and all experimental code are available at https://github.com/google-deepmind/long-form-factuality.</x:v>
      </x:c>
      <x:c r="L43" s="17" t="str">
        <x:v>http://arxiv.org/abs/2403.18802v4</x:v>
      </x:c>
      <x:c r="M43" s="23" t="n">
        <x:v>0.032018442622950824</x:v>
      </x:c>
      <x:c r="N43" s="17" t="str">
        <x:v>arxiv-paper-eval-20260727-105551-results.jsonl</x:v>
      </x:c>
      <x:c r="O43" s="24" t="str">
        <x:v>2</x:v>
      </x:c>
      <x:c r="P43" s="28" t="str">
        <x:v>提出搜索增强事实性自动评估器，并与众包人工逐事实比较可靠性。</x:v>
      </x:c>
      <x:c r="Q43" s="25" t="str"/>
      <x:c r="R43" s="24" t="str">
        <x:f>IF(Q43&lt;&gt;"",Q43,O43)</x:f>
        <x:v>2</x:v>
      </x:c>
      <x:c r="S43" s="29" t="str"/>
    </x:row>
    <x:row r="44" ht="54" customHeight="1">
      <x:c r="A44" s="17" t="str">
        <x:v>csq003-r03</x:v>
      </x:c>
      <x:c r="B44" s="17" t="str">
        <x:v>csq003</x:v>
      </x:c>
      <x:c r="C44" s="17" t="str">
        <x:v>natural_language_processing</x:v>
      </x:c>
      <x:c r="D44" s="17" t="str">
        <x:v>hallucination_evaluation</x:v>
      </x:c>
      <x:c r="E44" s="27" t="str">
        <x:v>Which automatic and human evaluation methods are used to measure hallucination and factual consistency in large language models, and what evidence exists about their reliability?</x:v>
      </x:c>
      <x:c r="F44" s="22" t="n">
        <x:v>3</x:v>
      </x:c>
      <x:c r="G44" s="17" t="str">
        <x:v>arXiv:2503.08890</x:v>
      </x:c>
      <x:c r="H44" s="27" t="str">
        <x:v>PlainQAFact: Retrieval-augmented Factual Consistency Evaluation Metric for Biomedical Plain Language Summarization</x:v>
      </x:c>
      <x:c r="I44" s="17" t="str">
        <x:v>Zhiwen You; Yue Guo</x:v>
      </x:c>
      <x:c r="J44" s="22" t="n">
        <x:v>2025</x:v>
      </x:c>
      <x:c r="K44" s="27" t="str">
        <x:v>Hallucinated outputs from large language models (LLMs) pose risks in the medical domain, especially for lay audiences making health-related decisions. Existing automatic factual consistency evaluation methods, such as entailment- and question-answering (QA) -based, struggle with plain language summarization (PLS) due to elaborative explanation phenomenon, which introduces external content (e.g., definitions, background, examples) absent from the scientific abstract to enhance comprehension. To address this, we introduce PlainQAFact, an automatic factual consistency evaluation metric trained on a fine-grained, human-annotated dataset PlainFact, for evaluating factual consistency of both source-simplified and elaborately explained sentences. PlainQAFact first classifies sentence type, then applies a retrieval-augmented QA scoring method. Empirical results show that existing evaluation metrics fail to evaluate the factual consistency in PLS, especially for elaborative explanations, whereas PlainQAFact consistently outperforms them across all evaluation settings. We further analyze PlainQAFact's effectiveness across external knowledge sources, answer extraction strategies, answer overlap measures, and document granularity levels, refining its overall factual consistency assessment. Taken together, our work presents a sentence-aware, retrieval-augmented metric targeted at elaborative explanations in biomedical PLS tasks, providing the community with both a new benchmark and a practical evaluation tool to advance reliable and safe plain language communication in the medical domain. PlainQAFact and PlainFact are available at: https://github.com/zhiwenyou103/PlainQAFact</x:v>
      </x:c>
      <x:c r="L44" s="17" t="str">
        <x:v>http://arxiv.org/abs/2503.08890v4</x:v>
      </x:c>
      <x:c r="M44" s="23" t="n">
        <x:v>0.031024531024531024</x:v>
      </x:c>
      <x:c r="N44" s="17" t="str">
        <x:v>arxiv-paper-eval-20260727-105551-results.jsonl</x:v>
      </x:c>
      <x:c r="O44" s="24" t="str">
        <x:v>2</x:v>
      </x:c>
      <x:c r="P44" s="28" t="str">
        <x:v>提出基于人工数据的检索增强QA事实一致性指标并做元评估。</x:v>
      </x:c>
      <x:c r="Q44" s="25" t="str"/>
      <x:c r="R44" s="24" t="str">
        <x:f>IF(Q44&lt;&gt;"",Q44,O44)</x:f>
        <x:v>2</x:v>
      </x:c>
      <x:c r="S44" s="29" t="str"/>
    </x:row>
    <x:row r="45" ht="54" customHeight="1">
      <x:c r="A45" s="17" t="str">
        <x:v>csq003-r04</x:v>
      </x:c>
      <x:c r="B45" s="17" t="str">
        <x:v>csq003</x:v>
      </x:c>
      <x:c r="C45" s="17" t="str">
        <x:v>natural_language_processing</x:v>
      </x:c>
      <x:c r="D45" s="17" t="str">
        <x:v>hallucination_evaluation</x:v>
      </x:c>
      <x:c r="E45" s="27" t="str">
        <x:v>Which automatic and human evaluation methods are used to measure hallucination and factual consistency in large language models, and what evidence exists about their reliability?</x:v>
      </x:c>
      <x:c r="F45" s="22" t="n">
        <x:v>4</x:v>
      </x:c>
      <x:c r="G45" s="17" t="str">
        <x:v>arXiv:2510.13852</x:v>
      </x:c>
      <x:c r="H45" s="27" t="str">
        <x:v>ConsistencyAI: A Benchmark to Assess LLMs' Factual Consistency When Responding to Different Demographic Groups</x:v>
      </x:c>
      <x:c r="I45" s="17" t="str">
        <x:v>Peter Banyas; Shristi Sharma; Alistair Simmons; Atharva Vispute</x:v>
      </x:c>
      <x:c r="J45" s="22" t="n">
        <x:v>2025</x:v>
      </x:c>
      <x:c r="K45" s="27" t="str">
        <x:v>Is an LLM telling you different facts than it's telling me? This paper introduces ConsistencyAI, an independent benchmark for measuring the factual consistency of large language models (LLMs) for different personas. ConsistencyAI tests whether, when users of different demographics ask identical questions, the model responds with factually inconsistent answers. Designed without involvement from LLM providers, this benchmark offers impartial evaluation and accountability. In our experiment, we queried 19 LLMs with prompts that requested 5 facts for each of 15 topics. We repeated this query 100 times for each LLM, each time adding prompt context from a different persona selected from a subset of personas modeling the general population. We processed the responses into sentence embeddings, computed cross-persona cosine similarity, and computed the weighted average of cross-persona cosine similarity to calculate factual consistency scores. In 100-persona experiments, scores ranged from 0.9065 to 0.7896, and the mean was 0.8656, which we adopt as a benchmark threshold. xAI's Grok-3 is most consistent, while several lightweight models rank lowest. Consistency varies by topic: the job market is least consistent, G7 world leaders most consistent, and issues like vaccines or the Israeli-Palestinian conflict diverge by provider. These results show that both the provider and the topic shape the factual consistency. We release our code and interactive demo to support reproducible evaluation and encourage persona-invariant prompting strategies.</x:v>
      </x:c>
      <x:c r="L45" s="17" t="str">
        <x:v>http://arxiv.org/abs/2510.13852v2</x:v>
      </x:c>
      <x:c r="M45" s="23" t="n">
        <x:v>0.01639344262295082</x:v>
      </x:c>
      <x:c r="N45" s="17" t="str">
        <x:v>arxiv-paper-eval-20260727-105551-results.jsonl</x:v>
      </x:c>
      <x:c r="O45" s="24" t="str">
        <x:v>2</x:v>
      </x:c>
      <x:c r="P45" s="28" t="str">
        <x:v>构建跨人口角色事实一致性基准并给出自动相似度评分协议。</x:v>
      </x:c>
      <x:c r="Q45" s="25" t="str"/>
      <x:c r="R45" s="24" t="str">
        <x:f>IF(Q45&lt;&gt;"",Q45,O45)</x:f>
        <x:v>2</x:v>
      </x:c>
      <x:c r="S45" s="29" t="str"/>
    </x:row>
    <x:row r="46" ht="54" customHeight="1">
      <x:c r="A46" s="17" t="str">
        <x:v>csq003-r05</x:v>
      </x:c>
      <x:c r="B46" s="17" t="str">
        <x:v>csq003</x:v>
      </x:c>
      <x:c r="C46" s="17" t="str">
        <x:v>natural_language_processing</x:v>
      </x:c>
      <x:c r="D46" s="17" t="str">
        <x:v>hallucination_evaluation</x:v>
      </x:c>
      <x:c r="E46" s="27" t="str">
        <x:v>Which automatic and human evaluation methods are used to measure hallucination and factual consistency in large language models, and what evidence exists about their reliability?</x:v>
      </x:c>
      <x:c r="F46" s="22" t="n">
        <x:v>5</x:v>
      </x:c>
      <x:c r="G46" s="17" t="str">
        <x:v>arXiv:2402.10770</x:v>
      </x:c>
      <x:c r="H46" s="27" t="str">
        <x:v>How Reliable Are Automatic Evaluation Methods for Instruction-Tuned LLMs?</x:v>
      </x:c>
      <x:c r="I46" s="17" t="str">
        <x:v>Ehsan Doostmohammadi; Oskar Holmström; Marco Kuhlmann</x:v>
      </x:c>
      <x:c r="J46" s="22" t="n">
        <x:v>2024</x:v>
      </x:c>
      <x:c r="K46" s="27" t="str">
        <x:v>Work on instruction-tuned Large Language Models (LLMs) has used automatic methods based on text overlap and LLM judgments as cost-effective alternatives to human evaluation. In this paper, we perform a meta-evaluation of such methods and assess their reliability across a broad range of tasks. In evaluating how well automatic methods align with human evaluations, correlation metrics are the most commonly employed method despite their inherent limitations when dealing with ties and different scales. To address these shortcomings, we use Pairwise Accuracy as an alternative to standard correlation measures. We observe that while automatic evaluation methods can approximate human ratings under specific conditions, their validity is highly context-dependent. Specifically, the simple ROUGE-L metric correlates very well with human ratings for short-answer English tasks but is unreliable in free-form generation tasks and cross-lingual scenarios. The effectiveness of the more advanced method of using GPT-4 as a judge diminishes significantly if reference answers are not included in the prompt, which is the scenario where this method has the potential to provide the most value compared to other metrics. Our findings enhance the understanding of how automatic methods should be applied and interpreted when developing and evaluating instruction-tuned LLMs.</x:v>
      </x:c>
      <x:c r="L46" s="17" t="str">
        <x:v>http://arxiv.org/abs/2402.10770v4</x:v>
      </x:c>
      <x:c r="M46" s="23" t="n">
        <x:v>0.01639344262295082</x:v>
      </x:c>
      <x:c r="N46" s="17" t="str">
        <x:v>arxiv-paper-eval-20260727-105551-results.jsonl</x:v>
      </x:c>
      <x:c r="O46" s="24" t="str">
        <x:v>1</x:v>
      </x:c>
      <x:c r="P46" s="28" t="str">
        <x:v>元评估自动指标与人工评价一致性，但面向通用指令任务而非事实性。</x:v>
      </x:c>
      <x:c r="Q46" s="25" t="str"/>
      <x:c r="R46" s="24" t="str">
        <x:f>IF(Q46&lt;&gt;"",Q46,O46)</x:f>
        <x:v>1</x:v>
      </x:c>
      <x:c r="S46" s="29" t="str"/>
    </x:row>
    <x:row r="47" ht="54" customHeight="1">
      <x:c r="A47" s="17" t="str">
        <x:v>csq003-r06</x:v>
      </x:c>
      <x:c r="B47" s="17" t="str">
        <x:v>csq003</x:v>
      </x:c>
      <x:c r="C47" s="17" t="str">
        <x:v>natural_language_processing</x:v>
      </x:c>
      <x:c r="D47" s="17" t="str">
        <x:v>hallucination_evaluation</x:v>
      </x:c>
      <x:c r="E47" s="27" t="str">
        <x:v>Which automatic and human evaluation methods are used to measure hallucination and factual consistency in large language models, and what evidence exists about their reliability?</x:v>
      </x:c>
      <x:c r="F47" s="22" t="n">
        <x:v>6</x:v>
      </x:c>
      <x:c r="G47" s="17" t="str">
        <x:v>arXiv:2405.18638</x:v>
      </x:c>
      <x:c r="H47" s="27" t="str">
        <x:v>ConSiDERS-The-Human Evaluation Framework: Rethinking Human Evaluation for Generative Large Language Models</x:v>
      </x:c>
      <x:c r="I47" s="17" t="str">
        <x:v>Aparna Elangovan; Ling Liu; Lei Xu; Sravan Bodapati; Dan Roth</x:v>
      </x:c>
      <x:c r="J47" s="22" t="n">
        <x:v>2024</x:v>
      </x:c>
      <x:c r="K47" s="27" t="str">
        <x:v>In this position paper, we argue that human evaluation of generative large language models (LLMs) should be a multidisciplinary undertaking that draws upon insights from disciplines such as user experience research and human behavioral psychology to ensure that the experimental design and results are reliable. The conclusions from these evaluations, thus, must consider factors such as usability, aesthetics, and cognitive biases. We highlight how cognitive biases can conflate fluent information and truthfulness, and how cognitive uncertainty affects the reliability of rating scores such as Likert. Furthermore, the evaluation should differentiate the capabilities and weaknesses of increasingly powerful large language models -- which requires effective test sets. The scalability of human evaluation is also crucial to wider adoption. Hence, to design an effective human evaluation system in the age of generative NLP, we propose the ConSiDERS-The-Human evaluation framework consisting of 6 pillars -- Consistency, Scoring Criteria, Differentiating, User Experience, Responsible, and Scalability.</x:v>
      </x:c>
      <x:c r="L47" s="17" t="str">
        <x:v>http://arxiv.org/abs/2405.18638v2</x:v>
      </x:c>
      <x:c r="M47" s="23" t="n">
        <x:v>0.01639344262295082</x:v>
      </x:c>
      <x:c r="N47" s="17" t="str">
        <x:v>arxiv-paper-eval-20260727-105551-results.jsonl</x:v>
      </x:c>
      <x:c r="O47" s="24" t="str">
        <x:v>1</x:v>
      </x:c>
      <x:c r="P47" s="28" t="str">
        <x:v>提出通用人评框架并讨论真值判断偏差，可作事实性人评背景。</x:v>
      </x:c>
      <x:c r="Q47" s="25" t="str"/>
      <x:c r="R47" s="24" t="str">
        <x:f>IF(Q47&lt;&gt;"",Q47,O47)</x:f>
        <x:v>1</x:v>
      </x:c>
      <x:c r="S47" s="29" t="str"/>
    </x:row>
    <x:row r="48" ht="54" customHeight="1">
      <x:c r="A48" s="17" t="str">
        <x:v>csq003-r07</x:v>
      </x:c>
      <x:c r="B48" s="17" t="str">
        <x:v>csq003</x:v>
      </x:c>
      <x:c r="C48" s="17" t="str">
        <x:v>natural_language_processing</x:v>
      </x:c>
      <x:c r="D48" s="17" t="str">
        <x:v>hallucination_evaluation</x:v>
      </x:c>
      <x:c r="E48" s="27" t="str">
        <x:v>Which automatic and human evaluation methods are used to measure hallucination and factual consistency in large language models, and what evidence exists about their reliability?</x:v>
      </x:c>
      <x:c r="F48" s="22" t="n">
        <x:v>7</x:v>
      </x:c>
      <x:c r="G48" s="17" t="str">
        <x:v>arXiv:2410.03775</x:v>
      </x:c>
      <x:c r="H48" s="27" t="str">
        <x:v>Beyond correlation: The Impact of Human Uncertainty in Measuring the Effectiveness of Automatic Evaluation and LLM-as-a-Judge</x:v>
      </x:c>
      <x:c r="I48" s="17" t="str">
        <x:v>Aparna Elangovan; Lei Xu; Jongwoo Ko; Mahsa Elyasi; Ling Liu; Sravan Bodapati; Dan Roth</x:v>
      </x:c>
      <x:c r="J48" s="22" t="n">
        <x:v>2024</x:v>
      </x:c>
      <x:c r="K48" s="27" t="str">
        <x:v>The effectiveness of automatic evaluation of generative models is typically measured by comparing the labels generated via automation with labels by humans using correlation metrics. However, metrics like Krippendorff's $α$ and Randolph's $κ$ were originally designed to measure the reliability of human labeling, thus make assumptions about typical human labeling behavior, and these assumptions may not be applicable to machine generated labels. In this paper, we show how *relying on a single aggregate correlation score* can obscure fundamental differences between human labels and those from automatic evaluation, including LLM-as-a-Judge. Specifically, we demonstrate that when the proportion of samples with variation or uncertainty in human assigned labels is relatively high, machine labels (generated by automatic evaluation methods) may superficially appear to have similar or better correlation with the human majority label compared to the human-to-human (HH) correlation. This can create the illusion that labels from automatic evaluation approximates the human majority label. However, as the proportion of samples with consistent human labels increases, the correlation between machine and human labels fall well below HH correlation. Based on these findings, we first propose stratifying data by human label uncertainty to provide a more robust analysis of automatic evaluation performance. Second, recognizing that uncertainty and variation are inherent in perception-based human evaluations, such as those involving attitudes or preferences, we introduce a new metric - binned Jensen-Shannon Divergence for perception for such scenarios to better measure the effectiveness of automatic evaluations. We present visualization techniques -- perception charts, to contextualize correlation measures appropriately. We have open-sourced at https://github.com/amazon-science/BeyondCorrelation.</x:v>
      </x:c>
      <x:c r="L48" s="17" t="str">
        <x:v>http://arxiv.org/abs/2410.03775v3</x:v>
      </x:c>
      <x:c r="M48" s="23" t="n">
        <x:v>0.016129032258064516</x:v>
      </x:c>
      <x:c r="N48" s="17" t="str">
        <x:v>arxiv-paper-eval-20260727-105551-results.jsonl</x:v>
      </x:c>
      <x:c r="O48" s="24" t="str">
        <x:v>1</x:v>
      </x:c>
      <x:c r="P48" s="28" t="str">
        <x:v>研究人类不确定性对自动评价可靠性度量的影响，非事实性专门研究。</x:v>
      </x:c>
      <x:c r="Q48" s="25" t="str"/>
      <x:c r="R48" s="24" t="str">
        <x:f>IF(Q48&lt;&gt;"",Q48,O48)</x:f>
        <x:v>1</x:v>
      </x:c>
      <x:c r="S48" s="29" t="str"/>
    </x:row>
    <x:row r="49" ht="54" customHeight="1">
      <x:c r="A49" s="17" t="str">
        <x:v>csq003-r08</x:v>
      </x:c>
      <x:c r="B49" s="17" t="str">
        <x:v>csq003</x:v>
      </x:c>
      <x:c r="C49" s="17" t="str">
        <x:v>natural_language_processing</x:v>
      </x:c>
      <x:c r="D49" s="17" t="str">
        <x:v>hallucination_evaluation</x:v>
      </x:c>
      <x:c r="E49" s="27" t="str">
        <x:v>Which automatic and human evaluation methods are used to measure hallucination and factual consistency in large language models, and what evidence exists about their reliability?</x:v>
      </x:c>
      <x:c r="F49" s="22" t="n">
        <x:v>8</x:v>
      </x:c>
      <x:c r="G49" s="17" t="str">
        <x:v>arXiv:2305.01937</x:v>
      </x:c>
      <x:c r="H49" s="27" t="str">
        <x:v>Can Large Language Models Be an Alternative to Human Evaluations?</x:v>
      </x:c>
      <x:c r="I49" s="17" t="str">
        <x:v>Cheng-Han Chiang; Hung-yi Lee</x:v>
      </x:c>
      <x:c r="J49" s="22" t="n">
        <x:v>2023</x:v>
      </x:c>
      <x:c r="K49" s="27" t="str">
        <x:v>Human evaluation is indispensable and inevitable for assessing the quality of texts generated by machine learning models or written by humans. However, human evaluation is very difficult to reproduce and its quality is notoriously unstable, hindering fair comparisons among different natural language processing (NLP) models and algorithms. Recently, large language models (LLMs) have demonstrated exceptional performance on unseen tasks when only the task instructions are provided. In this paper, we explore if such an ability of the LLMs can be used as an alternative to human evaluation. We present the LLMs with the exact same instructions, samples to be evaluated, and questions used to conduct human evaluation, and then ask the LLMs to generate responses to those questions; we dub this LLM evaluation. We use human evaluation and LLM evaluation to evaluate the texts in two NLP tasks: open-ended story generation and adversarial attacks. We show that the result of LLM evaluation is consistent with the results obtained by expert human evaluation: the texts rated higher by human experts are also rated higher by the LLMs. We also find that the results of LLM evaluation are stable over different formatting of the task instructions and the sampling algorithm used to generate the answer. We are the first to show the potential of using LLMs to assess the quality of texts and discuss the limitations and ethical considerations of LLM evaluation.</x:v>
      </x:c>
      <x:c r="L49" s="17" t="str">
        <x:v>http://arxiv.org/abs/2305.01937v1</x:v>
      </x:c>
      <x:c r="M49" s="23" t="n">
        <x:v>0.016129032258064516</x:v>
      </x:c>
      <x:c r="N49" s="17" t="str">
        <x:v>arxiv-paper-eval-20260727-105551-results.jsonl</x:v>
      </x:c>
      <x:c r="O49" s="24" t="str">
        <x:v>1</x:v>
      </x:c>
      <x:c r="P49" s="28" t="str">
        <x:v>比较通用LLM评价与专家评价的一致性，未聚焦幻觉或事实一致性。</x:v>
      </x:c>
      <x:c r="Q49" s="25" t="str"/>
      <x:c r="R49" s="24" t="str">
        <x:f>IF(Q49&lt;&gt;"",Q49,O49)</x:f>
        <x:v>1</x:v>
      </x:c>
      <x:c r="S49" s="29" t="str"/>
    </x:row>
    <x:row r="50" ht="54" customHeight="1">
      <x:c r="A50" s="17" t="str">
        <x:v>csq003-r09</x:v>
      </x:c>
      <x:c r="B50" s="17" t="str">
        <x:v>csq003</x:v>
      </x:c>
      <x:c r="C50" s="17" t="str">
        <x:v>natural_language_processing</x:v>
      </x:c>
      <x:c r="D50" s="17" t="str">
        <x:v>hallucination_evaluation</x:v>
      </x:c>
      <x:c r="E50" s="27" t="str">
        <x:v>Which automatic and human evaluation methods are used to measure hallucination and factual consistency in large language models, and what evidence exists about their reliability?</x:v>
      </x:c>
      <x:c r="F50" s="22" t="n">
        <x:v>9</x:v>
      </x:c>
      <x:c r="G50" s="17" t="str">
        <x:v>arXiv:2211.08412</x:v>
      </x:c>
      <x:c r="H50" s="27" t="str">
        <x:v>Evaluating the Factual Consistency of Large Language Models Through News Summarization</x:v>
      </x:c>
      <x:c r="I50" s="17" t="str">
        <x:v>Derek Tam; Anisha Mascarenhas; Shiyue Zhang; Sarah Kwan; Mohit Bansal; Colin Raffel</x:v>
      </x:c>
      <x:c r="J50" s="22" t="n">
        <x:v>2022</x:v>
      </x:c>
      <x:c r="K50" s="27" t="str">
        <x:v>While large language models (LLMs) have proven to be effective on a large variety of tasks, they are also known to hallucinate information. To measure whether an LLM prefers factually consistent continuations of its input, we propose a new benchmark called FIB(Factual Inconsistency Benchmark) that focuses on the task of summarization. Specifically, our benchmark involves comparing the scores an LLM assigns to a factually consistent versus a factually inconsistent summary for an input news article. For factually consistent summaries, we use human-written reference summaries that we manually verify as factually consistent. To generate summaries that are factually inconsistent, we generate summaries from a suite of summarization models that we have manually annotated as factually inconsistent. A model's factual consistency is then measured according to its accuracy, i.e.\ the proportion of documents where it assigns a higher score to the factually consistent summary. To validate the usefulness of FIB, we evaluate 23 large language models ranging from 1B to 176B parameters from six different model families including BLOOM and OPT. We find that existing LLMs generally assign a higher score to factually consistent summaries than to factually inconsistent summaries. However, if the factually inconsistent summaries occur verbatim in the document, then LLMs assign a higher score to these factually inconsistent summaries than factually consistent summaries. We validate design choices in our benchmark including the scoring method and source of distractor summaries. Our code and benchmark data can be found at https://github.com/r-three/fib.</x:v>
      </x:c>
      <x:c r="L50" s="17" t="str">
        <x:v>http://arxiv.org/abs/2211.08412v2</x:v>
      </x:c>
      <x:c r="M50" s="23" t="n">
        <x:v>0.016129032258064516</x:v>
      </x:c>
      <x:c r="N50" s="17" t="str">
        <x:v>arxiv-paper-eval-20260727-105551-results.jsonl</x:v>
      </x:c>
      <x:c r="O50" s="24" t="str">
        <x:v>2</x:v>
      </x:c>
      <x:c r="P50" s="28" t="str">
        <x:v>用人工核验的一致和不一致摘要构建事实一致性偏好基准。</x:v>
      </x:c>
      <x:c r="Q50" s="25" t="str"/>
      <x:c r="R50" s="24" t="str">
        <x:f>IF(Q50&lt;&gt;"",Q50,O50)</x:f>
        <x:v>2</x:v>
      </x:c>
      <x:c r="S50" s="29" t="str"/>
    </x:row>
    <x:row r="51" ht="54" customHeight="1">
      <x:c r="A51" s="17" t="str">
        <x:v>csq003-r10</x:v>
      </x:c>
      <x:c r="B51" s="17" t="str">
        <x:v>csq003</x:v>
      </x:c>
      <x:c r="C51" s="17" t="str">
        <x:v>natural_language_processing</x:v>
      </x:c>
      <x:c r="D51" s="17" t="str">
        <x:v>hallucination_evaluation</x:v>
      </x:c>
      <x:c r="E51" s="27" t="str">
        <x:v>Which automatic and human evaluation methods are used to measure hallucination and factual consistency in large language models, and what evidence exists about their reliability?</x:v>
      </x:c>
      <x:c r="F51" s="22" t="n">
        <x:v>10</x:v>
      </x:c>
      <x:c r="G51" s="17" t="str">
        <x:v>arXiv:2506.00777</x:v>
      </x:c>
      <x:c r="H51" s="27" t="str">
        <x:v>Improving Automatic Evaluation of Large Language Models (LLMs) in Biomedical Relation Extraction via LLMs-as-the-Judge</x:v>
      </x:c>
      <x:c r="I51" s="17" t="str">
        <x:v>Md Tahmid Rahman Laskar; Israt Jahan; Elham Dolatabadi; Chun Peng; Enamul Hoque; Jimmy Huang</x:v>
      </x:c>
      <x:c r="J51" s="22" t="n">
        <x:v>2025</x:v>
      </x:c>
      <x:c r="K51" s="27" t="str">
        <x:v>Large Language Models (LLMs) have demonstrated impressive performance in biomedical relation extraction, even in zero-shot scenarios. However, evaluating LLMs in this task remains challenging due to their ability to generate human-like text, often producing synonyms or abbreviations of gold-standard answers, making traditional automatic evaluation metrics unreliable. On the other hand, while human evaluation is more reliable, it is costly and time-consuming, making it impractical for real-world applications. This paper investigates the use of LLMs-as-the-Judge as an alternative evaluation method for biomedical relation extraction. We benchmark 8 LLMs as judges to evaluate the responses generated by 5 other LLMs across 3 biomedical relation extraction datasets. Unlike other text-generation tasks, we observe that LLM-based judges perform quite poorly (usually below 50% accuracy) in the biomedical relation extraction task. Our findings reveal that it happens mainly because relations extracted by LLMs do not adhere to any standard format. To address this, we propose structured output formatting for LLM-generated responses that helps LLM-Judges to improve their performance by about 15% (on average). We also introduce a domain adaptation technique to further enhance LLM-Judge performance by effectively transferring knowledge between datasets. We release both our human-annotated and LLM-annotated judgment data (36k samples in total) for public use here: https://github.com/tahmedge/llm_judge_biomedical_re.</x:v>
      </x:c>
      <x:c r="L51" s="17" t="str">
        <x:v>http://arxiv.org/abs/2506.00777v1</x:v>
      </x:c>
      <x:c r="M51" s="23" t="n">
        <x:v>0.015873015873015872</x:v>
      </x:c>
      <x:c r="N51" s="17" t="str">
        <x:v>arxiv-paper-eval-20260727-105551-results.jsonl</x:v>
      </x:c>
      <x:c r="O51" s="24" t="str">
        <x:v>1</x:v>
      </x:c>
      <x:c r="P51" s="28" t="str">
        <x:v>评估生物关系抽取的LLM裁判可靠性，与事实一致性测量相邻。</x:v>
      </x:c>
      <x:c r="Q51" s="25" t="str"/>
      <x:c r="R51" s="24" t="str">
        <x:f>IF(Q51&lt;&gt;"",Q51,O51)</x:f>
        <x:v>1</x:v>
      </x:c>
      <x:c r="S51" s="29" t="str"/>
    </x:row>
    <x:row r="52" ht="54" customHeight="1">
      <x:c r="A52" s="17" t="str">
        <x:v>csq003-r11</x:v>
      </x:c>
      <x:c r="B52" s="17" t="str">
        <x:v>csq003</x:v>
      </x:c>
      <x:c r="C52" s="17" t="str">
        <x:v>natural_language_processing</x:v>
      </x:c>
      <x:c r="D52" s="17" t="str">
        <x:v>hallucination_evaluation</x:v>
      </x:c>
      <x:c r="E52" s="27" t="str">
        <x:v>Which automatic and human evaluation methods are used to measure hallucination and factual consistency in large language models, and what evidence exists about their reliability?</x:v>
      </x:c>
      <x:c r="F52" s="22" t="n">
        <x:v>11</x:v>
      </x:c>
      <x:c r="G52" s="17" t="str">
        <x:v>arXiv:2411.19203</x:v>
      </x:c>
      <x:c r="H52" s="27" t="str">
        <x:v>An Extensive Evaluation of Factual Consistency in Large Language Models for Data-to-Text Generation</x:v>
      </x:c>
      <x:c r="I52" s="17" t="str">
        <x:v>Joy Mahapatra; Utpal Garain</x:v>
      </x:c>
      <x:c r="J52" s="22" t="n">
        <x:v>2024</x:v>
      </x:c>
      <x:c r="K52" s="27" t="str">
        <x:v>Large Language Models (LLMs) have shown exceptional performance across various Data-to-Text Generation (DTG) tasks. However, generating factually consistent text in DTG remains challenging for LLMs. Despite this, in-depth evaluations of LLM factual consistency for DTG remain missing in the current literature. This paper addresses this gap by providing an extensive evaluation of factual consistency in LLMs for DTG. Our evaluation covers five widely used DTG datasets (E2E, ViGGo, WikiTableText, DART, and WebNLG) and five prominent LLM families (T5, BART, OPT, BLOOM, and Llama 2). To ensure a thorough evaluation of factual consistency, we use four state-of-the-art automatic metrics and include essential human assessments. Our extensive evaluations reveals three key findings regarding factual consistency in LLMs for DTG. First, Llama 2 often excels in generating factually consistent text, although smaller models like T5 and BART can achieve strong factual consistency on larger, lexically less-diverse datasets. Second, the average rate of change (AROC) indicates that increasing model size (number of model trainable parameters) generally enhances factual consistency of LLMs in DTG. Third, we observe that source-reference divergence (i.e., when the reference text diverges semantically from the source) typically reduces the factual consistency of LLMs in DTG.</x:v>
      </x:c>
      <x:c r="L52" s="17" t="str">
        <x:v>http://arxiv.org/abs/2411.19203v1</x:v>
      </x:c>
      <x:c r="M52" s="23" t="n">
        <x:v>0.015873015873015872</x:v>
      </x:c>
      <x:c r="N52" s="17" t="str">
        <x:v>arxiv-paper-eval-20260727-105551-results.jsonl</x:v>
      </x:c>
      <x:c r="O52" s="24" t="str">
        <x:v>2</x:v>
      </x:c>
      <x:c r="P52" s="28" t="str">
        <x:v>联合四种自动指标和人工评估系统衡量数据到文本事实一致性。</x:v>
      </x:c>
      <x:c r="Q52" s="25" t="str"/>
      <x:c r="R52" s="24" t="str">
        <x:f>IF(Q52&lt;&gt;"",Q52,O52)</x:f>
        <x:v>2</x:v>
      </x:c>
      <x:c r="S52" s="29" t="str"/>
    </x:row>
    <x:row r="53" ht="54" customHeight="1">
      <x:c r="A53" s="17" t="str">
        <x:v>csq003-r12</x:v>
      </x:c>
      <x:c r="B53" s="17" t="str">
        <x:v>csq003</x:v>
      </x:c>
      <x:c r="C53" s="17" t="str">
        <x:v>natural_language_processing</x:v>
      </x:c>
      <x:c r="D53" s="17" t="str">
        <x:v>hallucination_evaluation</x:v>
      </x:c>
      <x:c r="E53" s="27" t="str">
        <x:v>Which automatic and human evaluation methods are used to measure hallucination and factual consistency in large language models, and what evidence exists about their reliability?</x:v>
      </x:c>
      <x:c r="F53" s="22" t="n">
        <x:v>12</x:v>
      </x:c>
      <x:c r="G53" s="17" t="str">
        <x:v>arXiv:2308.09138</x:v>
      </x:c>
      <x:c r="H53" s="27" t="str">
        <x:v>Semantic Consistency for Assuring Reliability of Large Language Models</x:v>
      </x:c>
      <x:c r="I53" s="17" t="str">
        <x:v>Harsh Raj; Vipul Gupta; Domenic Rosati; Subhabrata Majumdar</x:v>
      </x:c>
      <x:c r="J53" s="22" t="n">
        <x:v>2023</x:v>
      </x:c>
      <x:c r="K53" s="27" t="str">
        <x:v>Large Language Models (LLMs) exhibit remarkable fluency and competence across various natural language tasks. However, recent research has highlighted their sensitivity to variations in input prompts. To deploy LLMs in a safe and reliable manner, it is crucial for their outputs to be consistent when prompted with expressions that carry the same meaning or intent. While some existing work has explored how state-of-the-art LLMs address this issue, their evaluations have been confined to assessing lexical equality of single- or multi-word answers, overlooking the consistency of generative text sequences. For a more comprehensive understanding of the consistency of LLMs in open-ended text generation scenarios, we introduce a general measure of semantic consistency, and formulate multiple versions of this metric to evaluate the performance of various LLMs. Our proposal demonstrates significantly higher consistency and stronger correlation with human evaluations of output consistency than traditional metrics based on lexical consistency. Finally, we propose a novel prompting strategy, called Ask-to-Choose (A2C), to enhance semantic consistency. When evaluated for closed-book question answering based on answer variations from the TruthfulQA benchmark, A2C increases accuracy metrics for pretrained and finetuned LLMs by up to 47%, and semantic consistency metrics for instruction-tuned models by up to 7-fold.</x:v>
      </x:c>
      <x:c r="L53" s="17" t="str">
        <x:v>http://arxiv.org/abs/2308.09138v2</x:v>
      </x:c>
      <x:c r="M53" s="23" t="n">
        <x:v>0.015873015873015872</x:v>
      </x:c>
      <x:c r="N53" s="17" t="str">
        <x:v>arxiv-paper-eval-20260727-105551-results.jsonl</x:v>
      </x:c>
      <x:c r="O53" s="24" t="str">
        <x:v>2</x:v>
      </x:c>
      <x:c r="P53" s="28" t="str">
        <x:v>提出开放生成语义一致性指标并验证其与人工评价的相关性。</x:v>
      </x:c>
      <x:c r="Q53" s="25" t="str"/>
      <x:c r="R53" s="24" t="str">
        <x:f>IF(Q53&lt;&gt;"",Q53,O53)</x:f>
        <x:v>2</x:v>
      </x:c>
      <x:c r="S53" s="29" t="str"/>
    </x:row>
    <x:row r="54" ht="54" customHeight="1">
      <x:c r="A54" s="17" t="str">
        <x:v>csq003-r13</x:v>
      </x:c>
      <x:c r="B54" s="17" t="str">
        <x:v>csq003</x:v>
      </x:c>
      <x:c r="C54" s="17" t="str">
        <x:v>natural_language_processing</x:v>
      </x:c>
      <x:c r="D54" s="17" t="str">
        <x:v>hallucination_evaluation</x:v>
      </x:c>
      <x:c r="E54" s="27" t="str">
        <x:v>Which automatic and human evaluation methods are used to measure hallucination and factual consistency in large language models, and what evidence exists about their reliability?</x:v>
      </x:c>
      <x:c r="F54" s="22" t="n">
        <x:v>13</x:v>
      </x:c>
      <x:c r="G54" s="17" t="str">
        <x:v>arXiv:2505.23295</x:v>
      </x:c>
      <x:c r="H54" s="27" t="str">
        <x:v>How Does Response Length Affect Long-Form Factuality</x:v>
      </x:c>
      <x:c r="I54" s="17" t="str">
        <x:v>James Xu Zhao; Jimmy Z. J. Liu; Bryan Hooi; See-Kiong Ng</x:v>
      </x:c>
      <x:c r="J54" s="22" t="n">
        <x:v>2025</x:v>
      </x:c>
      <x:c r="K54" s="27" t="str">
        <x:v>Large language models (LLMs) are widely used for long-form text generation. However, factual errors in the responses would undermine their reliability. Despite growing attention to LLM factuality, the effect of response length on factuality remains underexplored. In this work, we systematically investigate this relationship by first introducing an automatic and bi-level long-form factuality evaluation framework, which achieves high agreement with human annotations while being cost-effective. Using this framework, we conduct controlled experiments and find that longer responses exhibit lower factual precision, confirming the presence of length bias. To explain this phenomenon, we empirically examine three hypotheses: error propagation, long context, and facts exhaustion. Our results reveal that facts exhaustion, where the model gradually exhausts more reliable knowledge, is the primary cause of factual degradation, rather than the other two hypotheses.</x:v>
      </x:c>
      <x:c r="L54" s="17" t="str">
        <x:v>http://arxiv.org/abs/2505.23295v1</x:v>
      </x:c>
      <x:c r="M54" s="23" t="n">
        <x:v>0.015625</x:v>
      </x:c>
      <x:c r="N54" s="17" t="str">
        <x:v>arxiv-paper-eval-20260727-105551-results.jsonl</x:v>
      </x:c>
      <x:c r="O54" s="24" t="str">
        <x:v>2</x:v>
      </x:c>
      <x:c r="P54" s="28" t="str">
        <x:v>提出长文本事实性自动评估框架并报告与人工标注的高一致。</x:v>
      </x:c>
      <x:c r="Q54" s="25" t="str"/>
      <x:c r="R54" s="24" t="str">
        <x:f>IF(Q54&lt;&gt;"",Q54,O54)</x:f>
        <x:v>2</x:v>
      </x:c>
      <x:c r="S54" s="29" t="str"/>
    </x:row>
    <x:row r="55" ht="54" customHeight="1">
      <x:c r="A55" s="17" t="str">
        <x:v>csq003-r14</x:v>
      </x:c>
      <x:c r="B55" s="17" t="str">
        <x:v>csq003</x:v>
      </x:c>
      <x:c r="C55" s="17" t="str">
        <x:v>natural_language_processing</x:v>
      </x:c>
      <x:c r="D55" s="17" t="str">
        <x:v>hallucination_evaluation</x:v>
      </x:c>
      <x:c r="E55" s="27" t="str">
        <x:v>Which automatic and human evaluation methods are used to measure hallucination and factual consistency in large language models, and what evidence exists about their reliability?</x:v>
      </x:c>
      <x:c r="F55" s="22" t="n">
        <x:v>14</x:v>
      </x:c>
      <x:c r="G55" s="17" t="str">
        <x:v>arXiv:2310.05657</x:v>
      </x:c>
      <x:c r="H55" s="27" t="str">
        <x:v>A Closer Look into Automatic Evaluation Using Large Language Models</x:v>
      </x:c>
      <x:c r="I55" s="17" t="str">
        <x:v>Cheng-Han Chiang; Hung-yi Lee</x:v>
      </x:c>
      <x:c r="J55" s="22" t="n">
        <x:v>2023</x:v>
      </x:c>
      <x:c r="K55" s="27" t="str">
        <x:v>Using large language models (LLMs) to evaluate text quality has recently gained popularity. Some prior works explore the idea of using LLMs for evaluation, while they differ in some details of the evaluation process. In this paper, we analyze LLM evaluation (Chiang and Lee, 2023) and G-Eval (Liu et al., 2023), and we discuss how those details in the evaluation process change how well the ratings given by LLMs correlate with human ratings. We find that the auto Chain-of-Thought (CoT) used in G-Eval does not always make G-Eval more aligned with human ratings. We also show that forcing the LLM to output only a numeric rating, as in G-Eval, is suboptimal. Last, we reveal that asking the LLM to explain its own ratings consistently improves the correlation between the ChatGPT and human ratings and pushes state-of-the-art (SoTA) correlations on two meta-evaluation datasets.</x:v>
      </x:c>
      <x:c r="L55" s="17" t="str">
        <x:v>http://arxiv.org/abs/2310.05657v1</x:v>
      </x:c>
      <x:c r="M55" s="23" t="n">
        <x:v>0.015625</x:v>
      </x:c>
      <x:c r="N55" s="17" t="str">
        <x:v>arxiv-paper-eval-20260727-105551-results.jsonl</x:v>
      </x:c>
      <x:c r="O55" s="24" t="str">
        <x:v>1</x:v>
      </x:c>
      <x:c r="P55" s="28" t="str">
        <x:v>分析通用LLM评价流程对人评相关性的影响，非事实性专用方法。</x:v>
      </x:c>
      <x:c r="Q55" s="25" t="str"/>
      <x:c r="R55" s="24" t="str">
        <x:f>IF(Q55&lt;&gt;"",Q55,O55)</x:f>
        <x:v>1</x:v>
      </x:c>
      <x:c r="S55" s="29" t="str"/>
    </x:row>
    <x:row r="56" ht="54" customHeight="1">
      <x:c r="A56" s="17" t="str">
        <x:v>csq003-r15</x:v>
      </x:c>
      <x:c r="B56" s="17" t="str">
        <x:v>csq003</x:v>
      </x:c>
      <x:c r="C56" s="17" t="str">
        <x:v>natural_language_processing</x:v>
      </x:c>
      <x:c r="D56" s="17" t="str">
        <x:v>hallucination_evaluation</x:v>
      </x:c>
      <x:c r="E56" s="27" t="str">
        <x:v>Which automatic and human evaluation methods are used to measure hallucination and factual consistency in large language models, and what evidence exists about their reliability?</x:v>
      </x:c>
      <x:c r="F56" s="22" t="n">
        <x:v>15</x:v>
      </x:c>
      <x:c r="G56" s="17" t="str">
        <x:v>arXiv:2212.07981</x:v>
      </x:c>
      <x:c r="H56" s="27" t="str">
        <x:v>Revisiting the Gold Standard: Grounding Summarization Evaluation with Robust Human Evaluation</x:v>
      </x:c>
      <x:c r="I56" s="17" t="str">
        <x:v>Yixin Liu; Alexander R. Fabbri; Pengfei Liu; Yilun Zhao; Linyong Nan; Ruilin Han; Simeng Han; Shafiq Joty; Chien-Sheng Wu; Caiming Xiong; Dragomir Radev</x:v>
      </x:c>
      <x:c r="J56" s="22" t="n">
        <x:v>2022</x:v>
      </x:c>
      <x:c r="K56" s="27" t="str">
        <x:v>Human evaluation is the foundation upon which the evaluation of both summarization systems and automatic metrics rests. However, existing human evaluation studies for summarization either exhibit a low inter-annotator agreement or have insufficient scale, and an in-depth analysis of human evaluation is lacking. Therefore, we address the shortcomings of existing summarization evaluation along the following axes: (1) We propose a modified summarization salience protocol, Atomic Content Units (ACUs), which is based on fine-grained semantic units and allows for a high inter-annotator agreement. (2) We curate the Robust Summarization Evaluation (RoSE) benchmark, a large human evaluation dataset consisting of 22,000 summary-level annotations over 28 top-performing systems on three datasets. (3) We conduct a comparative study of four human evaluation protocols, underscoring potential confounding factors in evaluation setups. (4) We evaluate 50 automatic metrics and their variants using the collected human annotations across evaluation protocols and demonstrate how our benchmark leads to more statistically stable and significant results. The metrics we benchmarked include recent methods based on large language models (LLMs), GPTScore and G-Eval. Furthermore, our findings have important implications for evaluating LLMs, as we show that LLMs adjusted by human feedback (e.g., GPT-3.5) may overfit unconstrained human evaluation, which is affected by the annotators' prior, input-agnostic preferences, calling for more robust, targeted evaluation methods.</x:v>
      </x:c>
      <x:c r="L56" s="17" t="str">
        <x:v>http://arxiv.org/abs/2212.07981v2</x:v>
      </x:c>
      <x:c r="M56" s="23" t="n">
        <x:v>0.015625</x:v>
      </x:c>
      <x:c r="N56" s="17" t="str">
        <x:v>arxiv-paper-eval-20260727-105551-results.jsonl</x:v>
      </x:c>
      <x:c r="O56" s="24" t="str">
        <x:v>1</x:v>
      </x:c>
      <x:c r="P56" s="28" t="str">
        <x:v>改进摘要人评协议并元评估多种指标，可提供可靠性方法背景。</x:v>
      </x:c>
      <x:c r="Q56" s="25" t="str"/>
      <x:c r="R56" s="24" t="str">
        <x:f>IF(Q56&lt;&gt;"",Q56,O56)</x:f>
        <x:v>1</x:v>
      </x:c>
      <x:c r="S56" s="29" t="str"/>
    </x:row>
    <x:row r="57" ht="54" customHeight="1">
      <x:c r="A57" s="17" t="str">
        <x:v>csq003-r16</x:v>
      </x:c>
      <x:c r="B57" s="17" t="str">
        <x:v>csq003</x:v>
      </x:c>
      <x:c r="C57" s="17" t="str">
        <x:v>natural_language_processing</x:v>
      </x:c>
      <x:c r="D57" s="17" t="str">
        <x:v>hallucination_evaluation</x:v>
      </x:c>
      <x:c r="E57" s="27" t="str">
        <x:v>Which automatic and human evaluation methods are used to measure hallucination and factual consistency in large language models, and what evidence exists about their reliability?</x:v>
      </x:c>
      <x:c r="F57" s="22" t="n">
        <x:v>16</x:v>
      </x:c>
      <x:c r="G57" s="17" t="str">
        <x:v>arXiv:2512.03634</x:v>
      </x:c>
      <x:c r="H57" s="27" t="str">
        <x:v>AlignCheck: a Semantic Open-Domain Metric for Factual Consistency Assessment</x:v>
      </x:c>
      <x:c r="I57" s="17" t="str">
        <x:v>Ahmad Aghaebrahimian</x:v>
      </x:c>
      <x:c r="J57" s="22" t="n">
        <x:v>2025</x:v>
      </x:c>
      <x:c r="K57" s="27" t="str">
        <x:v>Large Language Models have significantly advanced natural language processing tasks, but remain prone to generating incorrect or misleading but plausible arguments. This issue, known as hallucination, is particularly concerning in high-stakes domains like clinical applications, where factual inaccuracies can have severe consequences. Existing evaluation metrics fail to adequately assess factual consistency and lack interpretability, making diagnosing and mitigating errors difficult. We propose an interpretable framework for factual consistency assessment for in-domain and open-domain texts to address these limitations. Our approach decomposes text into atomic facts and introduces a flexible, schema-free methodology. Unlike previous methods with an absolute metric, we incorporate a weighted metric to enhance factual evaluation. Additionally, we propose a mechanism to control assessment complexity in intricate domains. We benchmark our approach on popular general and clinical datasets and release our code to support fact-aware model training in future research.</x:v>
      </x:c>
      <x:c r="L57" s="17" t="str">
        <x:v>http://arxiv.org/abs/2512.03634v1</x:v>
      </x:c>
      <x:c r="M57" s="23" t="n">
        <x:v>0.015384615384615385</x:v>
      </x:c>
      <x:c r="N57" s="17" t="str">
        <x:v>arxiv-paper-eval-20260727-105551-results.jsonl</x:v>
      </x:c>
      <x:c r="O57" s="24" t="str">
        <x:v>2</x:v>
      </x:c>
      <x:c r="P57" s="28" t="str">
        <x:v>提出可解释的原子事实开放域一致性指标并在通用和临床数据验证。</x:v>
      </x:c>
      <x:c r="Q57" s="25" t="str"/>
      <x:c r="R57" s="24" t="str">
        <x:f>IF(Q57&lt;&gt;"",Q57,O57)</x:f>
        <x:v>2</x:v>
      </x:c>
      <x:c r="S57" s="29" t="str"/>
    </x:row>
    <x:row r="58" ht="54" customHeight="1">
      <x:c r="A58" s="17" t="str">
        <x:v>csq003-r17</x:v>
      </x:c>
      <x:c r="B58" s="17" t="str">
        <x:v>csq003</x:v>
      </x:c>
      <x:c r="C58" s="17" t="str">
        <x:v>natural_language_processing</x:v>
      </x:c>
      <x:c r="D58" s="17" t="str">
        <x:v>hallucination_evaluation</x:v>
      </x:c>
      <x:c r="E58" s="27" t="str">
        <x:v>Which automatic and human evaluation methods are used to measure hallucination and factual consistency in large language models, and what evidence exists about their reliability?</x:v>
      </x:c>
      <x:c r="F58" s="22" t="n">
        <x:v>17</x:v>
      </x:c>
      <x:c r="G58" s="17" t="str">
        <x:v>arXiv:2408.13338</x:v>
      </x:c>
      <x:c r="H58" s="27" t="str">
        <x:v>LalaEval: A Holistic Human Evaluation Framework for Domain-Specific Large Language Models</x:v>
      </x:c>
      <x:c r="I58" s="17" t="str">
        <x:v>Chongyan Sun; Ken Lin; Shiwei Wang; Hulong Wu; Chengfei Fu; Zhen Wang</x:v>
      </x:c>
      <x:c r="J58" s="22" t="n">
        <x:v>2024</x:v>
      </x:c>
      <x:c r="K58" s="27" t="str">
        <x:v>This paper introduces LalaEval, a holistic framework designed for the human evaluation of domain-specific large language models (LLMs). LalaEval proposes a comprehensive suite of end-to-end protocols that cover five main components including domain specification, criteria establishment, benchmark dataset creation, construction of evaluation rubrics, and thorough analysis and interpretation of evaluation outcomes. This initiative aims to fill a crucial research gap by providing a systematic methodology for conducting standardized human evaluations within specific domains, a practice that, despite its widespread application, lacks substantial coverage in the literature and human evaluation are often criticized to be less reliable due to subjective factors, so standardized procedures adapted to the nuanced requirements of specific domains or even individual organizations are in great need. Furthermore, the paper demonstrates the framework's application within the logistics industry, presenting domain-specific evaluation benchmarks, datasets, and a comparative analysis of LLMs for the logistics domain use, highlighting the framework's capacity to elucidate performance differences and guide model selection and development for domain-specific LLMs. Through real-world deployment, the paper underscores the framework's effectiveness in advancing the field of domain-specific LLM evaluation, thereby contributing significantly to the ongoing discussion on LLMs' practical utility and performance in domain-specific applications.</x:v>
      </x:c>
      <x:c r="L58" s="17" t="str">
        <x:v>http://arxiv.org/abs/2408.13338v1</x:v>
      </x:c>
      <x:c r="M58" s="23" t="n">
        <x:v>0.015384615384615385</x:v>
      </x:c>
      <x:c r="N58" s="17" t="str">
        <x:v>arxiv-paper-eval-20260727-105551-results.jsonl</x:v>
      </x:c>
      <x:c r="O58" s="24" t="str">
        <x:v>1</x:v>
      </x:c>
      <x:c r="P58" s="28" t="str">
        <x:v>是领域LLM通用人工评价协议，并未专门测量幻觉或事实性。</x:v>
      </x:c>
      <x:c r="Q58" s="25" t="str"/>
      <x:c r="R58" s="24" t="str">
        <x:f>IF(Q58&lt;&gt;"",Q58,O58)</x:f>
        <x:v>1</x:v>
      </x:c>
      <x:c r="S58" s="29" t="str"/>
    </x:row>
    <x:row r="59" ht="54" customHeight="1">
      <x:c r="A59" s="17" t="str">
        <x:v>csq003-r18</x:v>
      </x:c>
      <x:c r="B59" s="17" t="str">
        <x:v>csq003</x:v>
      </x:c>
      <x:c r="C59" s="17" t="str">
        <x:v>natural_language_processing</x:v>
      </x:c>
      <x:c r="D59" s="17" t="str">
        <x:v>hallucination_evaluation</x:v>
      </x:c>
      <x:c r="E59" s="27" t="str">
        <x:v>Which automatic and human evaluation methods are used to measure hallucination and factual consistency in large language models, and what evidence exists about their reliability?</x:v>
      </x:c>
      <x:c r="F59" s="22" t="n">
        <x:v>18</x:v>
      </x:c>
      <x:c r="G59" s="17" t="str">
        <x:v>arXiv:2310.06271</x:v>
      </x:c>
      <x:c r="H59" s="27" t="str">
        <x:v>Towards Mitigating Hallucination in Large Language Models via Self-Reflection</x:v>
      </x:c>
      <x:c r="I59" s="17" t="str">
        <x:v>Ziwei Ji; Tiezheng Yu; Yan Xu; Nayeon Lee; Etsuko Ishii; Pascale Fung</x:v>
      </x:c>
      <x:c r="J59" s="22" t="n">
        <x:v>2023</x:v>
      </x:c>
      <x:c r="K59" s="27" t="str">
        <x:v>Large language models (LLMs) have shown promise for generative and knowledge-intensive tasks including question-answering (QA) tasks. However, the practical deployment still faces challenges, notably the issue of "hallucination", where models generate plausible-sounding but unfaithful or nonsensical information. This issue becomes particularly critical in the medical domain due to the uncommon professional concepts and potential social risks involved. This paper analyses the phenomenon of hallucination in medical generative QA systems using widely adopted LLMs and datasets. Our investigation centers on the identification and comprehension of common problematic answers, with a specific emphasis on hallucination. To tackle this challenge, we present an interactive self-reflection methodology that incorporates knowledge acquisition and answer generation. Through this feedback process, our approach steadily enhances the factuality, consistency, and entailment of the generated answers. Consequently, we harness the interactivity and multitasking ability of LLMs and produce progressively more precise and accurate answers. Experimental results on both automatic and human evaluation demonstrate the superiority of our approach in hallucination reduction compared to baselines.</x:v>
      </x:c>
      <x:c r="L59" s="17" t="str">
        <x:v>http://arxiv.org/abs/2310.06271v1</x:v>
      </x:c>
      <x:c r="M59" s="23" t="n">
        <x:v>0.015384615384615385</x:v>
      </x:c>
      <x:c r="N59" s="17" t="str">
        <x:v>arxiv-paper-eval-20260727-105551-results.jsonl</x:v>
      </x:c>
      <x:c r="O59" s="24" t="str">
        <x:v>1</x:v>
      </x:c>
      <x:c r="P59" s="28" t="str">
        <x:v>主要贡献是以自反思缓解医疗幻觉，评价方法仅笼统提及。</x:v>
      </x:c>
      <x:c r="Q59" s="25" t="str"/>
      <x:c r="R59" s="24" t="str">
        <x:f>IF(Q59&lt;&gt;"",Q59,O59)</x:f>
        <x:v>1</x:v>
      </x:c>
      <x:c r="S59" s="29" t="str"/>
    </x:row>
    <x:row r="60" ht="54" customHeight="1">
      <x:c r="A60" s="17" t="str">
        <x:v>csq003-r19</x:v>
      </x:c>
      <x:c r="B60" s="17" t="str">
        <x:v>csq003</x:v>
      </x:c>
      <x:c r="C60" s="17" t="str">
        <x:v>natural_language_processing</x:v>
      </x:c>
      <x:c r="D60" s="17" t="str">
        <x:v>hallucination_evaluation</x:v>
      </x:c>
      <x:c r="E60" s="27" t="str">
        <x:v>Which automatic and human evaluation methods are used to measure hallucination and factual consistency in large language models, and what evidence exists about their reliability?</x:v>
      </x:c>
      <x:c r="F60" s="22" t="n">
        <x:v>19</x:v>
      </x:c>
      <x:c r="G60" s="17" t="str">
        <x:v>arXiv:2310.10632</x:v>
      </x:c>
      <x:c r="H60" s="27" t="str">
        <x:v>BioPlanner: Automatic Evaluation of LLMs on Protocol Planning in Biology</x:v>
      </x:c>
      <x:c r="I60" s="17" t="str">
        <x:v>Odhran O'Donoghue; Aleksandar Shtedritski; John Ginger; Ralph Abboud; Ali Essa Ghareeb; Justin Booth; Samuel G Rodriques</x:v>
      </x:c>
      <x:c r="J60" s="22" t="n">
        <x:v>2023</x:v>
      </x:c>
      <x:c r="K60" s="27" t="str">
        <x:v>The ability to automatically generate accurate protocols for scientific experiments would represent a major step towards the automation of science. Large Language Models (LLMs) have impressive capabilities on a wide range of tasks, such as question answering and the generation of coherent text and code. However, LLMs can struggle with multi-step problems and long-term planning, which are crucial for designing scientific experiments. Moreover, evaluation of the accuracy of scientific protocols is challenging, because experiments can be described correctly in many different ways, require expert knowledge to evaluate, and cannot usually be executed automatically. Here we present an automatic evaluation framework for the task of planning experimental protocols, and we introduce BioProt: a dataset of biology protocols with corresponding pseudocode representations. To measure performance on generating scientific protocols, we use an LLM to convert a natural language protocol into pseudocode, and then evaluate an LLM's ability to reconstruct the pseudocode from a high-level description and a list of admissible pseudocode functions. We evaluate GPT-3 and GPT-4 on this task and explore their robustness. We externally validate the utility of pseudocode representations of text by generating accurate novel protocols using retrieved pseudocode, and we run a generated protocol successfully in our biological laboratory. Our framework is extensible to the evaluation and improvement of language model planning abilities in other areas of science or other areas that lack automatic evaluation.</x:v>
      </x:c>
      <x:c r="L60" s="17" t="str">
        <x:v>http://arxiv.org/abs/2310.10632v1</x:v>
      </x:c>
      <x:c r="M60" s="23" t="n">
        <x:v>0.015384615384615385</x:v>
      </x:c>
      <x:c r="N60" s="17" t="str">
        <x:v>arxiv-paper-eval-20260727-105551-results.jsonl</x:v>
      </x:c>
      <x:c r="O60" s="24" t="str">
        <x:v>0</x:v>
      </x:c>
      <x:c r="P60" s="28" t="str">
        <x:v>评估生物实验协议规划能力，不测量幻觉或事实一致性。</x:v>
      </x:c>
      <x:c r="Q60" s="25" t="str"/>
      <x:c r="R60" s="24" t="str">
        <x:f>IF(Q60&lt;&gt;"",Q60,O60)</x:f>
        <x:v>0</x:v>
      </x:c>
      <x:c r="S60" s="29" t="str"/>
    </x:row>
    <x:row r="61" ht="54" customHeight="1">
      <x:c r="A61" s="17" t="str">
        <x:v>csq003-r20</x:v>
      </x:c>
      <x:c r="B61" s="17" t="str">
        <x:v>csq003</x:v>
      </x:c>
      <x:c r="C61" s="17" t="str">
        <x:v>natural_language_processing</x:v>
      </x:c>
      <x:c r="D61" s="17" t="str">
        <x:v>hallucination_evaluation</x:v>
      </x:c>
      <x:c r="E61" s="27" t="str">
        <x:v>Which automatic and human evaluation methods are used to measure hallucination and factual consistency in large language models, and what evidence exists about their reliability?</x:v>
      </x:c>
      <x:c r="F61" s="22" t="n">
        <x:v>20</x:v>
      </x:c>
      <x:c r="G61" s="17" t="str">
        <x:v>arXiv:2506.06539</x:v>
      </x:c>
      <x:c r="H61" s="27" t="str">
        <x:v>Beyond Facts: Evaluating Intent Hallucination in Large Language Models</x:v>
      </x:c>
      <x:c r="I61" s="17" t="str">
        <x:v>Yijie Hao; Haofei Yu; Jiaxuan You</x:v>
      </x:c>
      <x:c r="J61" s="22" t="n">
        <x:v>2025</x:v>
      </x:c>
      <x:c r="K61" s="27" t="str">
        <x:v>When exposed to complex queries containing multiple conditions, today's large language models (LLMs) tend to produce responses that only partially satisfy the query while neglecting certain conditions. We therefore introduce the concept of Intent Hallucination. In this phenomenon, LLMs either omit (neglecting to address certain parts) or misinterpret (responding to invented query parts) elements of the given query, leading to intent hallucinated generation. To systematically evaluate intent hallucination, we introduce FAITHQA, a novel benchmark for intent hallucination that contains 20,068 problems, covering both query-only and retrieval-augmented generation (RAG) setups with varying topics and difficulty. FAITHQA is the first hallucination benchmark that goes beyond factual verification, tailored to identify the fundamental cause of intent hallucination. By evaluating various LLMs on FAITHQA, we find that (1) intent hallucination is a common issue even for state-of-the-art models, and (2) the phenomenon stems from omission or misinterpretation of LLMs. To facilitate future research, we introduce an automatic LLM generation evaluation metric, CONSTRAINT SCORE, for detecting intent hallucination. Human evaluation results demonstrate that CONSTRAINT SCORE is closer to human performance for intent hallucination compared to baselines.</x:v>
      </x:c>
      <x:c r="L61" s="17" t="str">
        <x:v>http://arxiv.org/abs/2506.06539v1</x:v>
      </x:c>
      <x:c r="M61" s="23" t="n">
        <x:v>0.015151515151515152</x:v>
      </x:c>
      <x:c r="N61" s="17" t="str">
        <x:v>arxiv-paper-eval-20260727-105551-results.jsonl</x:v>
      </x:c>
      <x:c r="O61" s="24" t="str">
        <x:v>2</x:v>
      </x:c>
      <x:c r="P61" s="28" t="str">
        <x:v>提出意图幻觉基准和自动约束分数，并以人工结果验证。</x:v>
      </x:c>
      <x:c r="Q61" s="25" t="str"/>
      <x:c r="R61" s="24" t="str">
        <x:f>IF(Q61&lt;&gt;"",Q61,O61)</x:f>
        <x:v>2</x:v>
      </x:c>
      <x:c r="S61" s="29" t="str"/>
    </x:row>
    <x:row r="62" ht="54" customHeight="1">
      <x:c r="A62" s="17" t="str">
        <x:v>csq004-r01</x:v>
      </x:c>
      <x:c r="B62" s="17" t="str">
        <x:v>csq004</x:v>
      </x:c>
      <x:c r="C62" s="17" t="str">
        <x:v>natural_language_processing</x:v>
      </x:c>
      <x:c r="D62" s="17" t="str">
        <x:v>llm_as_a_judge</x:v>
      </x:c>
      <x:c r="E62" s="27" t="str">
        <x:v>What limitations and biases have been identified in LLM-as-a-judge evaluation, and which mitigation strategies have been proposed?</x:v>
      </x:c>
      <x:c r="F62" s="22" t="n">
        <x:v>1</x:v>
      </x:c>
      <x:c r="G62" s="17" t="str">
        <x:v>arXiv:2411.15594</x:v>
      </x:c>
      <x:c r="H62" s="27" t="str">
        <x:v>A Survey on LLM-as-a-Judge</x:v>
      </x:c>
      <x:c r="I62" s="17" t="str">
        <x:v>Jiawei Gu; Xuhui Jiang; Zhichao Shi; Hexiang Tan; Xuehao Zhai; Chengjin Xu; Wei Li; Yinghan Shen; Shengjie Ma; Honghao Liu; Saizhuo Wang; Kun Zhang; Yuanzhuo Wang; Wen Gao; Lionel Ni; Jian Guo</x:v>
      </x:c>
      <x:c r="J62" s="22" t="n">
        <x:v>2024</x:v>
      </x:c>
      <x:c r="K62" s="27" t="str">
        <x:v>Accurate and consistent evaluation is crucial for decision-making across numerous fields, yet it remains a challenging task due to inherent subjectivity, variability, and scale. Large Language Models (LLMs) have achieved remarkable success across diverse domains, leading to the emergence of "LLM-as-a-Judge," where LLMs are employed as evaluators for complex tasks. With their ability to process diverse data types and provide scalable, cost-effective, and consistent assessments, LLMs present a compelling alternative to traditional expert-driven evaluations. However, ensuring the reliability of LLM-as-a-Judge systems remains a significant challenge that requires careful design and standardization. This paper provides a comprehensive survey of LLM-as-a-Judge, addressing the core question: How can reliable LLM-as-a-Judge systems be built? We explore strategies to enhance reliability, including improving consistency, mitigating biases, and adapting to diverse assessment scenarios. Additionally, we propose methodologies for evaluating the reliability of LLM-as-a-Judge systems, supported by a novel benchmark designed for this purpose. To advance the development and real-world deployment of LLM-as-a-Judge systems, we also discussed practical applications, challenges, and future directions. This survey serves as a foundational reference for researchers and practitioners in this rapidly evolving field.</x:v>
      </x:c>
      <x:c r="L62" s="17" t="str">
        <x:v>http://arxiv.org/abs/2411.15594v6</x:v>
      </x:c>
      <x:c r="M62" s="23" t="n">
        <x:v>0.04764267990074442</x:v>
      </x:c>
      <x:c r="N62" s="17" t="str">
        <x:v>arxiv-paper-eval-20260727-105551-results.jsonl</x:v>
      </x:c>
      <x:c r="O62" s="24" t="str">
        <x:v>2</x:v>
      </x:c>
      <x:c r="P62" s="28" t="str">
        <x:v>综述LLM裁判可靠性、偏差、缓解策略与可靠性基准。</x:v>
      </x:c>
      <x:c r="Q62" s="25" t="str"/>
      <x:c r="R62" s="24" t="str">
        <x:f>IF(Q62&lt;&gt;"",Q62,O62)</x:f>
        <x:v>2</x:v>
      </x:c>
      <x:c r="S62" s="29" t="str"/>
    </x:row>
    <x:row r="63" ht="54" customHeight="1">
      <x:c r="A63" s="17" t="str">
        <x:v>csq004-r02</x:v>
      </x:c>
      <x:c r="B63" s="17" t="str">
        <x:v>csq004</x:v>
      </x:c>
      <x:c r="C63" s="17" t="str">
        <x:v>natural_language_processing</x:v>
      </x:c>
      <x:c r="D63" s="17" t="str">
        <x:v>llm_as_a_judge</x:v>
      </x:c>
      <x:c r="E63" s="27" t="str">
        <x:v>What limitations and biases have been identified in LLM-as-a-judge evaluation, and which mitigation strategies have been proposed?</x:v>
      </x:c>
      <x:c r="F63" s="22" t="n">
        <x:v>2</x:v>
      </x:c>
      <x:c r="G63" s="17" t="str">
        <x:v>arXiv:2504.07887</x:v>
      </x:c>
      <x:c r="H63" s="27" t="str">
        <x:v>Benchmarking Adversarial Robustness to Bias Elicitation in Large Language Models: Scalable Automated Assessment with LLM-as-a-Judge</x:v>
      </x:c>
      <x:c r="I63" s="17" t="str">
        <x:v>Riccardo Cantini; Alessio Orsino; Massimo Ruggiero; Domenico Talia</x:v>
      </x:c>
      <x:c r="J63" s="22" t="n">
        <x:v>2025</x:v>
      </x:c>
      <x:c r="K63" s="27" t="str">
        <x:v>The growing integration of Large Language Models (LLMs) into critical societal domains has raised concerns about embedded biases that can perpetuate stereotypes and undermine fairness. Such biases may stem from historical inequalities in training data, linguistic imbalances, or adversarial manipulation. Despite mitigation efforts, recent studies show that LLMs remain vulnerable to adversarial attacks that elicit biased outputs. This work proposes a scalable benchmarking framework to assess LLM robustness to adversarial bias elicitation. Our methodology involves: (i) systematically probing models across multiple tasks targeting diverse sociocultural biases, (ii) quantifying robustness through safety scores using an LLM-as-a-Judge approach, and (iii) employing jailbreak techniques to reveal safety vulnerabilities. To facilitate systematic benchmarking, we release a curated dataset of bias-related prompts, named CLEAR-Bias. Our analysis, identifying DeepSeek V3 as the most reliable judge LLM, reveals that bias resilience is uneven, with age, disability, and intersectional biases among the most prominent. Some small models outperform larger ones in safety, suggesting that training and architecture may matter more than scale. However, no model is fully robust to adversarial elicitation, with jailbreak attacks using low-resource languages or refusal suppression proving effective across model families. We also find that successive LLM generations exhibit slight safety gains, while models fine-tuned for the medical domain tend to be less safe than their general-purpose counterparts.</x:v>
      </x:c>
      <x:c r="L63" s="17" t="str">
        <x:v>http://arxiv.org/abs/2504.07887v2</x:v>
      </x:c>
      <x:c r="M63" s="23" t="n">
        <x:v>0.03278688524590164</x:v>
      </x:c>
      <x:c r="N63" s="17" t="str">
        <x:v>arxiv-paper-eval-20260727-105551-results.jsonl</x:v>
      </x:c>
      <x:c r="O63" s="24" t="str">
        <x:v>1</x:v>
      </x:c>
      <x:c r="P63" s="28" t="str">
        <x:v>使用LLM裁判评估模型输出偏见，重点是被评模型而非裁判自身偏差。</x:v>
      </x:c>
      <x:c r="Q63" s="25" t="str"/>
      <x:c r="R63" s="24" t="str">
        <x:f>IF(Q63&lt;&gt;"",Q63,O63)</x:f>
        <x:v>1</x:v>
      </x:c>
      <x:c r="S63" s="29" t="str"/>
    </x:row>
    <x:row r="64" ht="54" customHeight="1">
      <x:c r="A64" s="17" t="str">
        <x:v>csq004-r03</x:v>
      </x:c>
      <x:c r="B64" s="17" t="str">
        <x:v>csq004</x:v>
      </x:c>
      <x:c r="C64" s="17" t="str">
        <x:v>natural_language_processing</x:v>
      </x:c>
      <x:c r="D64" s="17" t="str">
        <x:v>llm_as_a_judge</x:v>
      </x:c>
      <x:c r="E64" s="27" t="str">
        <x:v>What limitations and biases have been identified in LLM-as-a-judge evaluation, and which mitigation strategies have been proposed?</x:v>
      </x:c>
      <x:c r="F64" s="22" t="n">
        <x:v>3</x:v>
      </x:c>
      <x:c r="G64" s="17" t="str">
        <x:v>arXiv:2503.00596</x:v>
      </x:c>
      <x:c r="H64" s="27" t="str">
        <x:v>BadJudge: Backdoor Vulnerabilities of LLM-as-a-Judge</x:v>
      </x:c>
      <x:c r="I64" s="17" t="str">
        <x:v>Terry Tong; Fei Wang; Zhe Zhao; Muhao Chen</x:v>
      </x:c>
      <x:c r="J64" s="22" t="n">
        <x:v>2025</x:v>
      </x:c>
      <x:c r="K64" s="27" t="str">
        <x:v>This paper proposes a novel backdoor threat attacking the LLM-as-a-Judge evaluation regime, where the adversary controls both the candidate and evaluator model. The backdoored evaluator victimizes benign users by unfairly assigning inflated scores to adversary. A trivial single token backdoor poisoning 1% of the evaluator training data triples the adversary's score with respect to their legitimate score. We systematically categorize levels of data access corresponding to three real-world settings, (1) web poisoning, (2) malicious annotator, and (3) weight poisoning. These regimes reflect a weak to strong escalation of data access that highly correlates with attack severity. Under the weakest assumptions - web poisoning (1), the adversary still induces a 20% score inflation. Likewise, in the (3) weight poisoning regime, the stronger assumptions enable the adversary to inflate their scores from 1.5/5 to 4.9/5. The backdoor threat generalizes across different evaluator architectures, trigger designs, evaluation tasks, and poisoning rates. By poisoning 10% of the evaluator training data, we control toxicity judges (Guardrails) to misclassify toxic prompts as non-toxic 89% of the time, and document reranker judges in RAG to rank the poisoned document first 97% of the time. LLM-as-a-Judge is uniquely positioned at the intersection of ethics and technology, where social implications of mislead model selection and evaluation constrain the available defensive tools. Amidst these challenges, model merging emerges as a principled tool to offset the backdoor, reducing ASR to near 0% whilst maintaining SOTA performance. Model merging's low computational cost and convenient integration into the current LLM Judge training pipeline position it as a promising avenue for backdoor mitigation in the LLM-as-a-Judge setting.</x:v>
      </x:c>
      <x:c r="L64" s="17" t="str">
        <x:v>http://arxiv.org/abs/2503.00596v1</x:v>
      </x:c>
      <x:c r="M64" s="23" t="n">
        <x:v>0.03057889822595705</x:v>
      </x:c>
      <x:c r="N64" s="17" t="str">
        <x:v>arxiv-paper-eval-20260727-105551-results.jsonl</x:v>
      </x:c>
      <x:c r="O64" s="24" t="str">
        <x:v>2</x:v>
      </x:c>
      <x:c r="P64" s="28" t="str">
        <x:v>揭示LLM裁判后门脆弱性并验证模型合并缓解攻击。</x:v>
      </x:c>
      <x:c r="Q64" s="25" t="str"/>
      <x:c r="R64" s="24" t="str">
        <x:f>IF(Q64&lt;&gt;"",Q64,O64)</x:f>
        <x:v>2</x:v>
      </x:c>
      <x:c r="S64" s="29" t="str"/>
    </x:row>
    <x:row r="65" ht="54" customHeight="1">
      <x:c r="A65" s="17" t="str">
        <x:v>csq004-r04</x:v>
      </x:c>
      <x:c r="B65" s="17" t="str">
        <x:v>csq004</x:v>
      </x:c>
      <x:c r="C65" s="17" t="str">
        <x:v>natural_language_processing</x:v>
      </x:c>
      <x:c r="D65" s="17" t="str">
        <x:v>llm_as_a_judge</x:v>
      </x:c>
      <x:c r="E65" s="27" t="str">
        <x:v>What limitations and biases have been identified in LLM-as-a-judge evaluation, and which mitigation strategies have been proposed?</x:v>
      </x:c>
      <x:c r="F65" s="22" t="n">
        <x:v>4</x:v>
      </x:c>
      <x:c r="G65" s="17" t="str">
        <x:v>arXiv:2502.01534</x:v>
      </x:c>
      <x:c r="H65" s="27" t="str">
        <x:v>Preference Leakage: A Contamination Problem in LLM-as-a-judge</x:v>
      </x:c>
      <x:c r="I65" s="17" t="str">
        <x:v>Dawei Li; Renliang Sun; Yue Huang; Ming Zhong; Bohan Jiang; Jiawei Han; Xiangliang Zhang; Wei Wang; Huan Liu</x:v>
      </x:c>
      <x:c r="J65" s="22" t="n">
        <x:v>2025</x:v>
      </x:c>
      <x:c r="K65" s="27" t="str">
        <x:v>Large Language Models (LLMs) as judges and LLM-based data synthesis have emerged as two fundamental LLM-driven data annotation methods in model development. While their combination significantly enhances the efficiency of model training and evaluation, little attention has been given to the potential contamination brought by this new model development paradigm. In this work, we expose preference leakage, a contamination problem in LLM-as-a-judge caused by the relatedness between the synthetic data generators and LLM-based evaluators. To study this issue, we first define three common relatednesses between the data generator LLM and the judge LLM: being the same model, having an inheritance relationship, and belonging to the same model family. Through extensive experiments, we empirically confirm the bias of judges towards their related student models caused by preference leakage across multiple LLM baselines and benchmarks. Further analysis suggests that preference leakage is a pervasive and real-world problem that is harder to detect compared to previously identified biases in LLM-as-a-judge scenarios. All of these findings imply that preference leakage is a widespread and challenging problem in the area of LLM-as-a-judge. We release all codes and data at: https://github.com/David-Li0406/Preference-Leakage.</x:v>
      </x:c>
      <x:c r="L65" s="17" t="str">
        <x:v>http://arxiv.org/abs/2502.01534v3</x:v>
      </x:c>
      <x:c r="M65" s="23" t="n">
        <x:v>0.03007688828584351</x:v>
      </x:c>
      <x:c r="N65" s="17" t="str">
        <x:v>arxiv-paper-eval-20260727-105551-results.jsonl</x:v>
      </x:c>
      <x:c r="O65" s="24" t="str">
        <x:v>2</x:v>
      </x:c>
      <x:c r="P65" s="28" t="str">
        <x:v>识别生成器与裁判关联导致的偏好泄漏和学生模型偏置。</x:v>
      </x:c>
      <x:c r="Q65" s="25" t="str"/>
      <x:c r="R65" s="24" t="str">
        <x:f>IF(Q65&lt;&gt;"",Q65,O65)</x:f>
        <x:v>2</x:v>
      </x:c>
      <x:c r="S65" s="29" t="str"/>
    </x:row>
    <x:row r="66" ht="54" customHeight="1">
      <x:c r="A66" s="17" t="str">
        <x:v>csq004-r05</x:v>
      </x:c>
      <x:c r="B66" s="17" t="str">
        <x:v>csq004</x:v>
      </x:c>
      <x:c r="C66" s="17" t="str">
        <x:v>natural_language_processing</x:v>
      </x:c>
      <x:c r="D66" s="17" t="str">
        <x:v>llm_as_a_judge</x:v>
      </x:c>
      <x:c r="E66" s="27" t="str">
        <x:v>What limitations and biases have been identified in LLM-as-a-judge evaluation, and which mitigation strategies have been proposed?</x:v>
      </x:c>
      <x:c r="F66" s="22" t="n">
        <x:v>5</x:v>
      </x:c>
      <x:c r="G66" s="17" t="str">
        <x:v>arXiv:2504.11972</x:v>
      </x:c>
      <x:c r="H66" s="27" t="str">
        <x:v>Reassessing Extractive QA Datasets at Scale: LLM-as-a-Judge and In-Depth Analyses</x:v>
      </x:c>
      <x:c r="I66" s="17" t="str">
        <x:v>Xanh Ho; Jiahao Huang; Florian Boudin; Akiko Aizawa</x:v>
      </x:c>
      <x:c r="J66" s="22" t="n">
        <x:v>2025</x:v>
      </x:c>
      <x:c r="K66" s="27" t="str">
        <x:v>Extractive QA tasks are commonly evaluated using Exact Match (EM) and F1-score, but these metrics often fail to reflect true model performance. Recent studies have proposed using large language models (LLMs) as judges (LLM-as-a-judge), yet they often lack comprehensive evaluation across datasets and overlook key factors such as sensitivity to answer types, prompt variations, and self-preference bias. In this work, we conduct a systematic study of LLM-as-a-judge across four extractive QA datasets and various prompt variations, assessing multiple LLM families in both answering and judging roles. Our results show that LLM-as-a-judge judgments correlate much more strongly with human evaluations than EM (0.22) and F1 (0.40), achieving correlations up to 0.85 with open-source models. Further analysis reveals that LLM-as-a-judge performs particularly well on number-related answers but faces challenges with more complex types, such as job titles. Contrary to findings in other NLP tasks, we observe no self-preference bias, even when the same model serves as both QA model and judge. Finally, we find that prompt phrasing has minimal impact, and zero-shot, context-free judging often yields the best evaluation performance.</x:v>
      </x:c>
      <x:c r="L66" s="17" t="str">
        <x:v>http://arxiv.org/abs/2504.11972v3</x:v>
      </x:c>
      <x:c r="M66" s="23" t="n">
        <x:v>0.028850145288501453</x:v>
      </x:c>
      <x:c r="N66" s="17" t="str">
        <x:v>arxiv-paper-eval-20260727-105551-results.jsonl</x:v>
      </x:c>
      <x:c r="O66" s="24" t="str">
        <x:v>2</x:v>
      </x:c>
      <x:c r="P66" s="28" t="str">
        <x:v>系统分析答案类型、提示变化和自偏好对QA裁判的影响。</x:v>
      </x:c>
      <x:c r="Q66" s="25" t="str"/>
      <x:c r="R66" s="24" t="str">
        <x:f>IF(Q66&lt;&gt;"",Q66,O66)</x:f>
        <x:v>2</x:v>
      </x:c>
      <x:c r="S66" s="29" t="str"/>
    </x:row>
    <x:row r="67" ht="54" customHeight="1">
      <x:c r="A67" s="17" t="str">
        <x:v>csq004-r06</x:v>
      </x:c>
      <x:c r="B67" s="17" t="str">
        <x:v>csq004</x:v>
      </x:c>
      <x:c r="C67" s="17" t="str">
        <x:v>natural_language_processing</x:v>
      </x:c>
      <x:c r="D67" s="17" t="str">
        <x:v>llm_as_a_judge</x:v>
      </x:c>
      <x:c r="E67" s="27" t="str">
        <x:v>What limitations and biases have been identified in LLM-as-a-judge evaluation, and which mitigation strategies have been proposed?</x:v>
      </x:c>
      <x:c r="F67" s="22" t="n">
        <x:v>6</x:v>
      </x:c>
      <x:c r="G67" s="17" t="str">
        <x:v>arXiv:2512.16041</x:v>
      </x:c>
      <x:c r="H67" s="27" t="str">
        <x:v>Are We on the Right Way to Assessing LLM-as-a-Judge?</x:v>
      </x:c>
      <x:c r="I67" s="17" t="str">
        <x:v>Yuanning Feng; Sinan Wang; Zhengxiang Cheng; Yao Wan; Dongping Chen</x:v>
      </x:c>
      <x:c r="J67" s="22" t="n">
        <x:v>2025</x:v>
      </x:c>
      <x:c r="K67" s="27" t="str">
        <x:v>LLM-as-a-Judge has been widely adopted as an evaluation method and served as supervised rewards in model training. However, existing benchmarks for LLM-as-a-Judge are mainly relying on human-annotated ground truth, which introduces human bias that undermines the assessment of reliability and imposes scalability constraints. To overcome these limitations, we introduce Sage, a novel evaluation suite that assesses the quality of LLM judges without necessitating any human annotation. Inspired by axioms of rational choice theory, Sage introduces two new lenses for measuring LLM-as-a-Judge: local self-consistency (pair-wise preference stability) and global logical consistency (transitivity across a full set of preferences). We curate a dataset of 650 questions by combining structured benchmark problems with real-world user queries. Our experiments demonstrate both the stability of our metrics and their high correlation with supervised benchmarks like LLMBar and RewardBench2, confirming Sage's reliability as an evaluation suite for the robustness and accuracy of LLM-as-a-Judge. Based on Sage, we reveal that current state-of-the-art LLMs exhibit significant reliability problems when acting as judges in both scoring and pairwise settings; even the top-performing models, Gemini-2.5-Pro and GPT-5, fail to maintain consistent preferences in nearly a quarter of difficult cases. We attribute this to a new phenomenon called situational preference, which explains why explicit rubrics or criteria can help the model judge consistently across answer pairs. Our further analysis shows that finetuned LLM-as-a-Judge is a feasible method to boost performance, and the panel-based judge as well as deep reasoning can enhance the judging consistency. We also find substantial inconsistency in human judgments, which indicates that human annotation may not be a reliable gold standard.</x:v>
      </x:c>
      <x:c r="L67" s="17" t="str">
        <x:v>http://arxiv.org/abs/2512.16041v1</x:v>
      </x:c>
      <x:c r="M67" s="23" t="n">
        <x:v>0.028814262023217248</x:v>
      </x:c>
      <x:c r="N67" s="17" t="str">
        <x:v>arxiv-paper-eval-20260727-105551-results.jsonl</x:v>
      </x:c>
      <x:c r="O67" s="24" t="str">
        <x:v>2</x:v>
      </x:c>
      <x:c r="P67" s="28" t="str">
        <x:v>揭示裁判情境偏好与不一致，并评估准则、微调、面板和深思缓解。</x:v>
      </x:c>
      <x:c r="Q67" s="25" t="str"/>
      <x:c r="R67" s="24" t="str">
        <x:f>IF(Q67&lt;&gt;"",Q67,O67)</x:f>
        <x:v>2</x:v>
      </x:c>
      <x:c r="S67" s="29" t="str"/>
    </x:row>
    <x:row r="68" ht="54" customHeight="1">
      <x:c r="A68" s="17" t="str">
        <x:v>csq004-r07</x:v>
      </x:c>
      <x:c r="B68" s="17" t="str">
        <x:v>csq004</x:v>
      </x:c>
      <x:c r="C68" s="17" t="str">
        <x:v>natural_language_processing</x:v>
      </x:c>
      <x:c r="D68" s="17" t="str">
        <x:v>llm_as_a_judge</x:v>
      </x:c>
      <x:c r="E68" s="27" t="str">
        <x:v>What limitations and biases have been identified in LLM-as-a-judge evaluation, and which mitigation strategies have been proposed?</x:v>
      </x:c>
      <x:c r="F68" s="22" t="n">
        <x:v>7</x:v>
      </x:c>
      <x:c r="G68" s="17" t="str">
        <x:v>arXiv:2503.05061</x:v>
      </x:c>
      <x:c r="H68" s="27" t="str">
        <x:v>No Free Labels: Limitations of LLM-as-a-Judge Without Human Grounding</x:v>
      </x:c>
      <x:c r="I68" s="17" t="str">
        <x:v>Michael Krumdick; Charles Lovering; Varshini Reddy; Seth Ebner; Chris Tanner</x:v>
      </x:c>
      <x:c r="J68" s="22" t="n">
        <x:v>2025</x:v>
      </x:c>
      <x:c r="K68" s="27" t="str">
        <x:v>Reliable evaluation of large language models (LLMs) is critical as their deployment rapidly expands, particularly in high-stakes domains such as business and finance. The LLM-as-a-Judge framework, which uses prompted LLMs to evaluate response quality, is appealing due to its scalability, low cost, and strong correlations with human stylistic preferences. However, it remains unclear how accurately these methods can assess response quality in domains where correctness matters more than style. To address this gap, we introduce the Business and Finance Fundamentals Benchmark (BFF-Bench), a dataset of 160 challenging questions and long-form responses authored by financial professionals. These experts subsequently evaluated the correctness of 1,200 responses generated by a diverse set of LLMs on both BFF-Bench and a challenging subset of MT-Bench. With this expert-annotated dataset of judgments (VERDICTS), we analyze the agreement between a suite of automated grading methods and human experts. While we observe that LLM Judges are more reliable than other grading methods, our findings reveal a clear pattern in LLM Judge performance: when not provided with a correct reference, judges show high agreement with human experts only on questions the judges were able to correctly answer themselves. We demonstrate that providing the judges with expert-written references largely mitigates this issue, highlighting the limits of using LLM-as-a-Judge without any form of human verification.</x:v>
      </x:c>
      <x:c r="L68" s="17" t="str">
        <x:v>http://arxiv.org/abs/2503.05061v2</x:v>
      </x:c>
      <x:c r="M68" s="23" t="n">
        <x:v>0.02877846790890269</x:v>
      </x:c>
      <x:c r="N68" s="17" t="str">
        <x:v>arxiv-paper-eval-20260727-105551-results.jsonl</x:v>
      </x:c>
      <x:c r="O68" s="24" t="str">
        <x:v>2</x:v>
      </x:c>
      <x:c r="P68" s="28" t="str">
        <x:v>证明无参考答案时裁判受自身知识限制，并以专家参考显著缓解。</x:v>
      </x:c>
      <x:c r="Q68" s="25" t="str"/>
      <x:c r="R68" s="24" t="str">
        <x:f>IF(Q68&lt;&gt;"",Q68,O68)</x:f>
        <x:v>2</x:v>
      </x:c>
      <x:c r="S68" s="29" t="str"/>
    </x:row>
    <x:row r="69" ht="54" customHeight="1">
      <x:c r="A69" s="17" t="str">
        <x:v>csq004-r08</x:v>
      </x:c>
      <x:c r="B69" s="17" t="str">
        <x:v>csq004</x:v>
      </x:c>
      <x:c r="C69" s="17" t="str">
        <x:v>natural_language_processing</x:v>
      </x:c>
      <x:c r="D69" s="17" t="str">
        <x:v>llm_as_a_judge</x:v>
      </x:c>
      <x:c r="E69" s="27" t="str">
        <x:v>What limitations and biases have been identified in LLM-as-a-judge evaluation, and which mitigation strategies have been proposed?</x:v>
      </x:c>
      <x:c r="F69" s="22" t="n">
        <x:v>8</x:v>
      </x:c>
      <x:c r="G69" s="17" t="str">
        <x:v>arXiv:2503.05965</x:v>
      </x:c>
      <x:c r="H69" s="27" t="str">
        <x:v>Validating LLM-as-a-Judge Systems under Rating Indeterminacy</x:v>
      </x:c>
      <x:c r="I69" s="17" t="str">
        <x:v>Luke Guerdan; Solon Barocas; Kenneth Holstein; Hanna Wallach; Zhiwei Steven Wu; Alexandra Chouldechova</x:v>
      </x:c>
      <x:c r="J69" s="22" t="n">
        <x:v>2025</x:v>
      </x:c>
      <x:c r="K69" s="27" t="str">
        <x:v>The LLM-as-a-judge paradigm, in which a judge LLM system replaces human raters in rating the outputs of other generative AI (GenAI) systems, plays a critical role in scaling and standardizing GenAI evaluations. To validate such judge systems, evaluators assess human--judge agreement by first collecting multiple human ratings for each item in a validation corpus, then aggregating the ratings into a single, per-item gold label rating. For many items, however, rating criteria may admit multiple valid interpretations, so a human or LLM rater may deem multiple ratings "reasonable" or "correct." We call this condition rating indeterminacy. Problematically, many rating tasks that contain rating indeterminacy rely on forced-choice elicitation, whereby raters are instructed to select only one rating for each item. In this paper, we introduce a framework for validating LLM-as-a-judge systems under rating indeterminacy. We draw theoretical connections between different measures of judge system performance under different human--judge agreement metrics, and different rating elicitation and aggregation schemes. We demonstrate that differences in how humans and LLMs resolve rating indeterminacy when responding to forced-choice rating instructions can heavily bias LLM-as-a-judge validation. Through extensive experiments involving 11 real-world rating tasks and 9 commercial LLMs, we show that standard validation approaches that rely upon forced-choice ratings select judge systems that are highly suboptimal, performing as much as 31% worse than judge systems selected by our approach that uses multi-label "response set" ratings to account for rating indeterminacy. We conclude with concrete recommendations for more principled approaches to LLM-as-a-judge validation.</x:v>
      </x:c>
      <x:c r="L69" s="17" t="str">
        <x:v>http://arxiv.org/abs/2503.05965v4</x:v>
      </x:c>
      <x:c r="M69" s="23" t="n">
        <x:v>0.02871794871794872</x:v>
      </x:c>
      <x:c r="N69" s="17" t="str">
        <x:v>arxiv-paper-eval-20260727-105551-results.jsonl</x:v>
      </x:c>
      <x:c r="O69" s="24" t="str">
        <x:v>2</x:v>
      </x:c>
      <x:c r="P69" s="28" t="str">
        <x:v>分析评分不确定性造成的验证偏差并提出多标签响应集协议。</x:v>
      </x:c>
      <x:c r="Q69" s="25" t="str"/>
      <x:c r="R69" s="24" t="str">
        <x:f>IF(Q69&lt;&gt;"",Q69,O69)</x:f>
        <x:v>2</x:v>
      </x:c>
      <x:c r="S69" s="29" t="str"/>
    </x:row>
    <x:row r="70" ht="54" customHeight="1">
      <x:c r="A70" s="17" t="str">
        <x:v>csq004-r09</x:v>
      </x:c>
      <x:c r="B70" s="17" t="str">
        <x:v>csq004</x:v>
      </x:c>
      <x:c r="C70" s="17" t="str">
        <x:v>natural_language_processing</x:v>
      </x:c>
      <x:c r="D70" s="17" t="str">
        <x:v>llm_as_a_judge</x:v>
      </x:c>
      <x:c r="E70" s="27" t="str">
        <x:v>What limitations and biases have been identified in LLM-as-a-judge evaluation, and which mitigation strategies have been proposed?</x:v>
      </x:c>
      <x:c r="F70" s="22" t="n">
        <x:v>9</x:v>
      </x:c>
      <x:c r="G70" s="17" t="str">
        <x:v>arXiv:2505.19176</x:v>
      </x:c>
      <x:c r="H70" s="27" t="str">
        <x:v>Assistant-Guided Mitigation of Teacher Preference Bias in LLM-as-a-Judge</x:v>
      </x:c>
      <x:c r="I70" s="17" t="str">
        <x:v>Zhuo Liu; Moxin Li; Xun Deng; Qifan Wang; Fuli Feng</x:v>
      </x:c>
      <x:c r="J70" s="22" t="n">
        <x:v>2025</x:v>
      </x:c>
      <x:c r="K70" s="27" t="str">
        <x:v>LLM-as-a-Judge employs large language models (LLMs), such as GPT-4, to evaluate the quality of LLM-generated responses, gaining popularity for its cost-effectiveness and strong alignment with human evaluations. However, training proxy judge models using evaluation data generated by powerful teacher models introduces a critical yet previously overlooked issue: teacher preference bias, where the proxy judge model learns a biased preference for responses from the teacher model. To tackle this problem, we propose a novel setting that incorporates an additional assistant model, which is not biased toward the teacher model's responses, to complement the training data. Building on this setup, we introduce AGDe-Judge, a three-stage framework designed to debias from both the labels and feedbacks in the training data. Extensive experiments demonstrate that AGDe-Judge effectively reduces teacher preference bias while maintaining strong performance across six evaluation benchmarks. Code is available at https://github.com/Liuz233/AGDe-Judge.</x:v>
      </x:c>
      <x:c r="L70" s="17" t="str">
        <x:v>http://arxiv.org/abs/2505.19176v3</x:v>
      </x:c>
      <x:c r="M70" s="23" t="n">
        <x:v>0.027799227799227798</x:v>
      </x:c>
      <x:c r="N70" s="17" t="str">
        <x:v>arxiv-paper-eval-20260727-105551-results.jsonl</x:v>
      </x:c>
      <x:c r="O70" s="24" t="str">
        <x:v>2</x:v>
      </x:c>
      <x:c r="P70" s="28" t="str">
        <x:v>识别教师偏好偏差并提出助手模型参与的三阶段去偏框架。</x:v>
      </x:c>
      <x:c r="Q70" s="25" t="str"/>
      <x:c r="R70" s="24" t="str">
        <x:f>IF(Q70&lt;&gt;"",Q70,O70)</x:f>
        <x:v>2</x:v>
      </x:c>
      <x:c r="S70" s="29" t="str"/>
    </x:row>
    <x:row r="71" ht="54" customHeight="1">
      <x:c r="A71" s="17" t="str">
        <x:v>csq004-r10</x:v>
      </x:c>
      <x:c r="B71" s="17" t="str">
        <x:v>csq004</x:v>
      </x:c>
      <x:c r="C71" s="17" t="str">
        <x:v>natural_language_processing</x:v>
      </x:c>
      <x:c r="D71" s="17" t="str">
        <x:v>llm_as_a_judge</x:v>
      </x:c>
      <x:c r="E71" s="27" t="str">
        <x:v>What limitations and biases have been identified in LLM-as-a-judge evaluation, and which mitigation strategies have been proposed?</x:v>
      </x:c>
      <x:c r="F71" s="22" t="n">
        <x:v>10</x:v>
      </x:c>
      <x:c r="G71" s="17" t="str">
        <x:v>arXiv:2502.06193</x:v>
      </x:c>
      <x:c r="H71" s="27" t="str">
        <x:v>Can LLMs Replace Human Evaluators? An Empirical Study of LLM-as-a-Judge in Software Engineering</x:v>
      </x:c>
      <x:c r="I71" s="17" t="str">
        <x:v>Ruiqi Wang; Jiyu Guo; Cuiyun Gao; Guodong Fan; Chun Yong Chong; Xin Xia</x:v>
      </x:c>
      <x:c r="J71" s="22" t="n">
        <x:v>2025</x:v>
      </x:c>
      <x:c r="K71" s="27" t="str">
        <x:v>Recently, large language models (LLMs) have been deployed to tackle various software engineering (SE) tasks like code generation, significantly advancing the automation of SE tasks. However, assessing the quality of these LLM-generated code and text remains challenging. The commonly used Pass@k metric necessitates extensive unit tests and configured environments, demands a high labor cost, and is not suitable for evaluating LLM-generated text. Conventional metrics like BLEU, which measure only lexical rather than semantic similarity, have also come under scrutiny. In response, a new trend has emerged to employ LLMs for automated evaluation, known as LLM-as-a-judge. These LLM-as-a-judge methods are claimed to better mimic human assessment than conventional metrics without relying on high-quality reference answers. Nevertheless, their exact human alignment in SE tasks remains unexplored. In this paper, we empirically explore LLM-as-a-judge methods for evaluating SE tasks, focusing on their alignment with human judgments. We select seven LLM-as-a-judge methods that utilize general-purpose LLMs, alongside two LLMs specifically fine-tuned for evaluation. After generating and manually scoring LLM responses on three recent SE datasets of code translation, code generation, and code summarization, we then prompt these methods to evaluate each response. Finally, we compare the scores generated by these methods with human evaluation. The results indicate that output-based methods reach the highest Pearson correlation of 81.32 and 68.51 with human scores in code translation and generation, achieving near-human evaluation, noticeably outperforming ChrF++, one of the best conventional metrics, at 34.23 and 64.92. Such output-based methods prompt LLMs to output judgments directly, and exhibit more balanced score distributions that resemble human score patterns. Finally, we provide...</x:v>
      </x:c>
      <x:c r="L71" s="17" t="str">
        <x:v>http://arxiv.org/abs/2502.06193v3</x:v>
      </x:c>
      <x:c r="M71" s="23" t="n">
        <x:v>0.01639344262295082</x:v>
      </x:c>
      <x:c r="N71" s="17" t="str">
        <x:v>arxiv-paper-eval-20260727-105551-results.jsonl</x:v>
      </x:c>
      <x:c r="O71" s="24" t="str">
        <x:v>2</x:v>
      </x:c>
      <x:c r="P71" s="28" t="str">
        <x:v>实证检验软件工程任务中多类LLM裁判与人评的对齐局限。</x:v>
      </x:c>
      <x:c r="Q71" s="25" t="str"/>
      <x:c r="R71" s="24" t="str">
        <x:f>IF(Q71&lt;&gt;"",Q71,O71)</x:f>
        <x:v>2</x:v>
      </x:c>
      <x:c r="S71" s="29" t="str"/>
    </x:row>
    <x:row r="72" ht="54" customHeight="1">
      <x:c r="A72" s="17" t="str">
        <x:v>csq004-r11</x:v>
      </x:c>
      <x:c r="B72" s="17" t="str">
        <x:v>csq004</x:v>
      </x:c>
      <x:c r="C72" s="17" t="str">
        <x:v>natural_language_processing</x:v>
      </x:c>
      <x:c r="D72" s="17" t="str">
        <x:v>llm_as_a_judge</x:v>
      </x:c>
      <x:c r="E72" s="27" t="str">
        <x:v>What limitations and biases have been identified in LLM-as-a-judge evaluation, and which mitigation strategies have been proposed?</x:v>
      </x:c>
      <x:c r="F72" s="22" t="n">
        <x:v>11</x:v>
      </x:c>
      <x:c r="G72" s="17" t="str">
        <x:v>arXiv:2410.21819</x:v>
      </x:c>
      <x:c r="H72" s="27" t="str">
        <x:v>Self-Preference Bias in LLM-as-a-Judge</x:v>
      </x:c>
      <x:c r="I72" s="17" t="str">
        <x:v>Koki Wataoka; Tsubasa Takahashi; Ryokan Ri</x:v>
      </x:c>
      <x:c r="J72" s="22" t="n">
        <x:v>2024</x:v>
      </x:c>
      <x:c r="K72" s="27" t="str">
        <x:v>Automated evaluation leveraging large language models (LLMs), commonly referred to as LLM evaluators or LLM-as-a-judge, has been widely used in measuring the performance of dialogue systems. However, the self-preference bias in LLMs has posed significant risks, including promoting specific styles or policies intrinsic to the LLMs. Despite the importance of this issue, there is a lack of established methods to measure the self-preference bias quantitatively, and its underlying causes are poorly understood. In this paper, we introduce a novel quantitative metric to measure the self-preference bias. Our experimental results demonstrate that GPT-4 exhibits a significant degree of self-preference bias. To explore the causes, we hypothesize that LLMs may favor outputs that are more familiar to them, as indicated by lower perplexity. We analyze the relationship between LLM evaluations and the perplexities of outputs. Our findings reveal that LLMs assign significantly higher evaluations to outputs with lower perplexity than human evaluators, regardless of whether the outputs were self-generated. This suggests that the essence of the bias lies in perplexity and that the self-preference bias exists because LLMs prefer texts more familiar to them.</x:v>
      </x:c>
      <x:c r="L72" s="17" t="str">
        <x:v>http://arxiv.org/abs/2410.21819v2</x:v>
      </x:c>
      <x:c r="M72" s="23" t="n">
        <x:v>0.016129032258064516</x:v>
      </x:c>
      <x:c r="N72" s="17" t="str">
        <x:v>arxiv-paper-eval-20260727-105551-results.jsonl</x:v>
      </x:c>
      <x:c r="O72" s="24" t="str">
        <x:v>2</x:v>
      </x:c>
      <x:c r="P72" s="28" t="str">
        <x:v>提出自偏好定量指标并将偏差根因关联到文本熟悉度和困惑度。</x:v>
      </x:c>
      <x:c r="Q72" s="25" t="str"/>
      <x:c r="R72" s="24" t="str">
        <x:f>IF(Q72&lt;&gt;"",Q72,O72)</x:f>
        <x:v>2</x:v>
      </x:c>
      <x:c r="S72" s="29" t="str"/>
    </x:row>
    <x:row r="73" ht="54" customHeight="1">
      <x:c r="A73" s="17" t="str">
        <x:v>csq004-r12</x:v>
      </x:c>
      <x:c r="B73" s="17" t="str">
        <x:v>csq004</x:v>
      </x:c>
      <x:c r="C73" s="17" t="str">
        <x:v>natural_language_processing</x:v>
      </x:c>
      <x:c r="D73" s="17" t="str">
        <x:v>llm_as_a_judge</x:v>
      </x:c>
      <x:c r="E73" s="27" t="str">
        <x:v>What limitations and biases have been identified in LLM-as-a-judge evaluation, and which mitigation strategies have been proposed?</x:v>
      </x:c>
      <x:c r="F73" s="22" t="n">
        <x:v>12</x:v>
      </x:c>
      <x:c r="G73" s="17" t="str">
        <x:v>arXiv:2411.16594</x:v>
      </x:c>
      <x:c r="H73" s="27" t="str">
        <x:v>From Generation to Judgment: Opportunities and Challenges of LLM-as-a-judge</x:v>
      </x:c>
      <x:c r="I73" s="17" t="str">
        <x:v>Dawei Li; Bohan Jiang; Liangjie Huang; Alimohammad Beigi; Chengshuai Zhao; Zhen Tan; Amrita Bhattacharjee; Yuxuan Jiang; Canyu Chen; Tianhao Wu; Kai Shu; Lu Cheng; Huan Liu</x:v>
      </x:c>
      <x:c r="J73" s="22" t="n">
        <x:v>2024</x:v>
      </x:c>
      <x:c r="K73" s="27" t="str">
        <x:v>Assessment and evaluation have long been critical challenges in artificial intelligence (AI) and natural language processing (NLP). Traditional methods, usually matching-based or small model-based, often fall short in open-ended and dynamic scenarios. Recent advancements in Large Language Models (LLMs) inspire the "LLM-as-a-judge" paradigm, where LLMs are leveraged to perform scoring, ranking, or selection for various machine learning evaluation scenarios. This paper presents a comprehensive survey of LLM-based judgment and assessment, offering an in-depth overview to review this evolving field. We first provide the definition from both input and output perspectives. Then we introduce a systematic taxonomy to explore LLM-as-a-judge along three dimensions: what to judge, how to judge, and how to benchmark. Finally, we also highlight key challenges and promising future directions for this emerging area. More resources on LLM-as-a-judge are on the website: https://llm-as-a-judge.github.io and https://github.com/llm-as-a-judge/Awesome-LLM-as-a-judge.</x:v>
      </x:c>
      <x:c r="L73" s="17" t="str">
        <x:v>http://arxiv.org/abs/2411.16594v7</x:v>
      </x:c>
      <x:c r="M73" s="23" t="n">
        <x:v>0.015873015873015872</x:v>
      </x:c>
      <x:c r="N73" s="17" t="str">
        <x:v>arxiv-paper-eval-20260727-105551-results.jsonl</x:v>
      </x:c>
      <x:c r="O73" s="24" t="str">
        <x:v>2</x:v>
      </x:c>
      <x:c r="P73" s="28" t="str">
        <x:v>系统综述LLM裁判方法、基准、挑战及未来改进方向。</x:v>
      </x:c>
      <x:c r="Q73" s="25" t="str"/>
      <x:c r="R73" s="24" t="str">
        <x:f>IF(Q73&lt;&gt;"",Q73,O73)</x:f>
        <x:v>2</x:v>
      </x:c>
      <x:c r="S73" s="29" t="str"/>
    </x:row>
    <x:row r="74" ht="54" customHeight="1">
      <x:c r="A74" s="17" t="str">
        <x:v>csq004-r13</x:v>
      </x:c>
      <x:c r="B74" s="17" t="str">
        <x:v>csq004</x:v>
      </x:c>
      <x:c r="C74" s="17" t="str">
        <x:v>natural_language_processing</x:v>
      </x:c>
      <x:c r="D74" s="17" t="str">
        <x:v>llm_as_a_judge</x:v>
      </x:c>
      <x:c r="E74" s="27" t="str">
        <x:v>What limitations and biases have been identified in LLM-as-a-judge evaluation, and which mitigation strategies have been proposed?</x:v>
      </x:c>
      <x:c r="F74" s="22" t="n">
        <x:v>13</x:v>
      </x:c>
      <x:c r="G74" s="17" t="str">
        <x:v>arXiv:2410.02736</x:v>
      </x:c>
      <x:c r="H74" s="27" t="str">
        <x:v>Justice or Prejudice? Quantifying Biases in LLM-as-a-Judge</x:v>
      </x:c>
      <x:c r="I74" s="17" t="str">
        <x:v>Jiayi Ye; Yanbo Wang; Yue Huang; Dongping Chen; Qihui Zhang; Nuno Moniz; Tian Gao; Werner Geyer; Chao Huang; Pin-Yu Chen; Nitesh V Chawla; Xiangliang Zhang</x:v>
      </x:c>
      <x:c r="J74" s="22" t="n">
        <x:v>2024</x:v>
      </x:c>
      <x:c r="K74" s="27" t="str">
        <x:v>LLM-as-a-Judge has been widely utilized as an evaluation method in various benchmarks and served as supervised rewards in model training. However, despite their excellence in many domains, potential issues are under-explored, undermining their reliability and the scope of their utility. Therefore, we identify 12 key potential biases and propose a new automated bias quantification framework-CALM-which systematically quantifies and analyzes each type of bias in LLM-as-a-Judge by using automated and principle-guided modification. Our experiments cover multiple popular language models, and the results indicate that while advanced models have achieved commendable overall performance, significant biases persist in certain specific tasks. Empirical results suggest that there remains room for improvement in the reliability of LLM-as-a-Judge. Moreover, we also discuss the explicit and implicit influence of these biases and give some suggestions for the reliable application of LLM-as-a-Judge. Our work highlights the need for stakeholders to address these issues and remind users to exercise caution in LLM-as-a-Judge applications.</x:v>
      </x:c>
      <x:c r="L74" s="17" t="str">
        <x:v>http://arxiv.org/abs/2410.02736v2</x:v>
      </x:c>
      <x:c r="M74" s="23" t="n">
        <x:v>0.015873015873015872</x:v>
      </x:c>
      <x:c r="N74" s="17" t="str">
        <x:v>arxiv-paper-eval-20260727-105551-results.jsonl</x:v>
      </x:c>
      <x:c r="O74" s="24" t="str">
        <x:v>2</x:v>
      </x:c>
      <x:c r="P74" s="28" t="str">
        <x:v>归纳并自动量化十二类LLM裁判偏差，给出可靠使用建议。</x:v>
      </x:c>
      <x:c r="Q74" s="25" t="str"/>
      <x:c r="R74" s="24" t="str">
        <x:f>IF(Q74&lt;&gt;"",Q74,O74)</x:f>
        <x:v>2</x:v>
      </x:c>
      <x:c r="S74" s="29" t="str"/>
    </x:row>
    <x:row r="75" ht="54" customHeight="1">
      <x:c r="A75" s="17" t="str">
        <x:v>csq004-r14</x:v>
      </x:c>
      <x:c r="B75" s="17" t="str">
        <x:v>csq004</x:v>
      </x:c>
      <x:c r="C75" s="17" t="str">
        <x:v>natural_language_processing</x:v>
      </x:c>
      <x:c r="D75" s="17" t="str">
        <x:v>llm_as_a_judge</x:v>
      </x:c>
      <x:c r="E75" s="27" t="str">
        <x:v>What limitations and biases have been identified in LLM-as-a-judge evaluation, and which mitigation strategies have been proposed?</x:v>
      </x:c>
      <x:c r="F75" s="22" t="n">
        <x:v>14</x:v>
      </x:c>
      <x:c r="G75" s="17" t="str">
        <x:v>arXiv:2502.12468</x:v>
      </x:c>
      <x:c r="H75" s="27" t="str">
        <x:v>MCTS-Judge: Test-Time Scaling in LLM-as-a-Judge for Code Correctness Evaluation</x:v>
      </x:c>
      <x:c r="I75" s="17" t="str">
        <x:v>Yutong Wang; Pengliang Ji; Chaoqun Yang; Kaixin Li; Ming Hu; Jiaoyang Li; Guillaume Sartoretti</x:v>
      </x:c>
      <x:c r="J75" s="22" t="n">
        <x:v>2025</x:v>
      </x:c>
      <x:c r="K75" s="27" t="str">
        <x:v>The LLM-as-a-Judge paradigm shows promise for evaluating generative content but lacks reliability in reasoning-intensive scenarios, such as programming. Inspired by recent advances in reasoning models and shifts in scaling laws, we pioneer bringing test-time computation into LLM-as-a-Judge, proposing MCTS-Judge, a resource-efficient, System-2 thinking framework for code correctness evaluation. MCTS-Judge leverages Monte Carlo Tree Search (MCTS) to decompose problems into simpler, multi-perspective evaluations. Through a node-selection strategy that combines self-assessment based on historical actions in the current trajectory and the Upper Confidence Bound for Trees based on prior rollouts, MCTS-Judge balances global optimization and refinement of the current trajectory. We further designed a high-precision, unit-test-level reward mechanism to encourage the Large Language Model (LLM) to perform line-by-line analysis. Extensive experiments on three benchmarks and five LLMs demonstrate the effectiveness of MCTS-Judge, which improves the base model's accuracy from 41% to 80%, surpassing the o1-series models with 3x fewer tokens. Further evaluations validate the superiority of its reasoning trajectory in logic, analytics, thoroughness, and overall quality, while revealing the test-time scaling law of the LLM-as-a-Judge paradigm.</x:v>
      </x:c>
      <x:c r="L75" s="17" t="str">
        <x:v>http://arxiv.org/abs/2502.12468v2</x:v>
      </x:c>
      <x:c r="M75" s="23" t="n">
        <x:v>0.015625</x:v>
      </x:c>
      <x:c r="N75" s="17" t="str">
        <x:v>arxiv-paper-eval-20260727-105551-results.jsonl</x:v>
      </x:c>
      <x:c r="O75" s="24" t="str">
        <x:v>2</x:v>
      </x:c>
      <x:c r="P75" s="28" t="str">
        <x:v>针对推理密集场景可靠性不足提出MCTS多视角裁判缓解。</x:v>
      </x:c>
      <x:c r="Q75" s="25" t="str"/>
      <x:c r="R75" s="24" t="str">
        <x:f>IF(Q75&lt;&gt;"",Q75,O75)</x:f>
        <x:v>2</x:v>
      </x:c>
      <x:c r="S75" s="29" t="str"/>
    </x:row>
    <x:row r="76" ht="54" customHeight="1">
      <x:c r="A76" s="17" t="str">
        <x:v>csq004-r15</x:v>
      </x:c>
      <x:c r="B76" s="17" t="str">
        <x:v>csq004</x:v>
      </x:c>
      <x:c r="C76" s="17" t="str">
        <x:v>natural_language_processing</x:v>
      </x:c>
      <x:c r="D76" s="17" t="str">
        <x:v>llm_as_a_judge</x:v>
      </x:c>
      <x:c r="E76" s="27" t="str">
        <x:v>What limitations and biases have been identified in LLM-as-a-judge evaluation, and which mitigation strategies have been proposed?</x:v>
      </x:c>
      <x:c r="F76" s="22" t="n">
        <x:v>15</x:v>
      </x:c>
      <x:c r="G76" s="17" t="str">
        <x:v>arXiv:2410.11594</x:v>
      </x:c>
      <x:c r="H76" s="27" t="str">
        <x:v>Black-box Uncertainty Quantification Method for LLM-as-a-Judge</x:v>
      </x:c>
      <x:c r="I76" s="17" t="str">
        <x:v>Nico Wagner; Michael Desmond; Rahul Nair; Zahra Ashktorab; Elizabeth M. Daly; Qian Pan; Martín Santillán Cooper; James M. Johnson; Werner Geyer</x:v>
      </x:c>
      <x:c r="J76" s="22" t="n">
        <x:v>2024</x:v>
      </x:c>
      <x:c r="K76" s="27" t="str">
        <x:v>LLM-as-a-Judge is a widely used method for evaluating the performance of Large Language Models (LLMs) across various tasks. We address the challenge of quantifying the uncertainty of LLM-as-a-Judge evaluations. While uncertainty quantification has been well-studied in other domains, applying it effectively to LLMs poses unique challenges due to their complex decision-making capabilities and computational demands. In this paper, we introduce a novel method for quantifying uncertainty designed to enhance the trustworthiness of LLM-as-a-Judge evaluations. The method quantifies uncertainty by analyzing the relationships between generated assessments and possible ratings. By cross-evaluating these relationships and constructing a confusion matrix based on token probabilities, the method derives labels of high or low uncertainty. We evaluate our method across multiple benchmarks, demonstrating a strong correlation between the accuracy of LLM evaluations and the derived uncertainty scores. Our findings suggest that this method can significantly improve the reliability and consistency of LLM-as-a-Judge evaluations.</x:v>
      </x:c>
      <x:c r="L76" s="17" t="str">
        <x:v>http://arxiv.org/abs/2410.11594v1</x:v>
      </x:c>
      <x:c r="M76" s="23" t="n">
        <x:v>0.015625</x:v>
      </x:c>
      <x:c r="N76" s="17" t="str">
        <x:v>arxiv-paper-eval-20260727-105551-results.jsonl</x:v>
      </x:c>
      <x:c r="O76" s="24" t="str">
        <x:v>2</x:v>
      </x:c>
      <x:c r="P76" s="28" t="str">
        <x:v>针对裁判决策不确定性提出黑盒量化方法以提升可信度。</x:v>
      </x:c>
      <x:c r="Q76" s="25" t="str"/>
      <x:c r="R76" s="24" t="str">
        <x:f>IF(Q76&lt;&gt;"",Q76,O76)</x:f>
        <x:v>2</x:v>
      </x:c>
      <x:c r="S76" s="29" t="str"/>
    </x:row>
    <x:row r="77" ht="54" customHeight="1">
      <x:c r="A77" s="17" t="str">
        <x:v>csq004-r16</x:v>
      </x:c>
      <x:c r="B77" s="17" t="str">
        <x:v>csq004</x:v>
      </x:c>
      <x:c r="C77" s="17" t="str">
        <x:v>natural_language_processing</x:v>
      </x:c>
      <x:c r="D77" s="17" t="str">
        <x:v>llm_as_a_judge</x:v>
      </x:c>
      <x:c r="E77" s="27" t="str">
        <x:v>What limitations and biases have been identified in LLM-as-a-judge evaluation, and which mitigation strategies have been proposed?</x:v>
      </x:c>
      <x:c r="F77" s="22" t="n">
        <x:v>16</x:v>
      </x:c>
      <x:c r="G77" s="17" t="str">
        <x:v>arXiv:2402.10669</x:v>
      </x:c>
      <x:c r="H77" s="27" t="str">
        <x:v>Humans or LLMs as the Judge? A Study on Judgement Biases</x:v>
      </x:c>
      <x:c r="I77" s="17" t="str">
        <x:v>Guiming Hardy Chen; Shunian Chen; Ziche Liu; Feng Jiang; Benyou Wang</x:v>
      </x:c>
      <x:c r="J77" s="22" t="n">
        <x:v>2024</x:v>
      </x:c>
      <x:c r="K77" s="27" t="str">
        <x:v>Adopting human and large language models (LLM) as judges (a.k.a human- and LLM-as-a-judge) for evaluating the performance of LLMs has recently gained attention. Nonetheless, this approach concurrently introduces potential biases from human and LLMs, questioning the reliability of the evaluation results. In this paper, we propose a novel framework that is free from referencing groundtruth annotations for investigating Misinformation Oversight Bias, Gender Bias, Authority Bias and Beauty Bias on LLM and human judges. We curate a dataset referring to the revised Bloom's Taxonomy and conduct thousands of evaluations. Results show that human and LLM judges are vulnerable to perturbations to various degrees, and that even the cutting-edge judges possess considerable biases. We further exploit these biases to conduct attacks on LLM judges. We hope that our work can notify the community of the bias and vulnerability of human- and LLM-as-a-judge, as well as the urgency of developing robust evaluation systems.</x:v>
      </x:c>
      <x:c r="L77" s="17" t="str">
        <x:v>http://arxiv.org/abs/2402.10669v5</x:v>
      </x:c>
      <x:c r="M77" s="23" t="n">
        <x:v>0.015625</x:v>
      </x:c>
      <x:c r="N77" s="17" t="str">
        <x:v>arxiv-paper-eval-20260727-105551-results.jsonl</x:v>
      </x:c>
      <x:c r="O77" s="24" t="str">
        <x:v>2</x:v>
      </x:c>
      <x:c r="P77" s="28" t="str">
        <x:v>直接测量LLM与人类裁判的多种偏差和可攻击脆弱性。</x:v>
      </x:c>
      <x:c r="Q77" s="25" t="str"/>
      <x:c r="R77" s="24" t="str">
        <x:f>IF(Q77&lt;&gt;"",Q77,O77)</x:f>
        <x:v>2</x:v>
      </x:c>
      <x:c r="S77" s="29" t="str"/>
    </x:row>
    <x:row r="78" ht="54" customHeight="1">
      <x:c r="A78" s="17" t="str">
        <x:v>csq004-r17</x:v>
      </x:c>
      <x:c r="B78" s="17" t="str">
        <x:v>csq004</x:v>
      </x:c>
      <x:c r="C78" s="17" t="str">
        <x:v>natural_language_processing</x:v>
      </x:c>
      <x:c r="D78" s="17" t="str">
        <x:v>llm_as_a_judge</x:v>
      </x:c>
      <x:c r="E78" s="27" t="str">
        <x:v>What limitations and biases have been identified in LLM-as-a-judge evaluation, and which mitigation strategies have been proposed?</x:v>
      </x:c>
      <x:c r="F78" s="22" t="n">
        <x:v>17</x:v>
      </x:c>
      <x:c r="G78" s="17" t="str">
        <x:v>arXiv:2510.07243</x:v>
      </x:c>
      <x:c r="H78" s="27" t="str">
        <x:v>LeMAJ (Legal LLM-as-a-Judge): Bridging Legal Reasoning and LLM Evaluation</x:v>
      </x:c>
      <x:c r="I78" s="17" t="str">
        <x:v>Joseph Enguehard; Morgane Van Ermengem; Kate Atkinson; Sujeong Cha; Arijit Ghosh Chowdhury; Prashanth Kallur Ramaswamy; Jeremy Roghair; Hannah R Marlowe; Carina Suzana Negreanu; Kitty Boxall; Diana Mincu</x:v>
      </x:c>
      <x:c r="J78" s="22" t="n">
        <x:v>2025</x:v>
      </x:c>
      <x:c r="K78" s="27" t="str">
        <x:v>Evaluating large language model (LLM) outputs in the legal domain presents unique challenges due to the complex and nuanced nature of legal analysis. Current evaluation approaches either depend on reference data, which is costly to produce, or use standardized assessment methods, both of which have significant limitations for legal applications. Although LLM-as-a-Judge has emerged as a promising evaluation technique, its reliability and effectiveness in legal contexts depend heavily on evaluation processes unique to the legal industry and how trustworthy the evaluation appears to the human legal expert. This is where existing evaluation methods currently fail and exhibit considerable variability. This paper aims to close the gap: a) we break down lengthy responses into 'Legal Data Points' (LDPs), self-contained units of information, and introduce a novel, reference-free evaluation methodology that reflects how lawyers evaluate legal answers; b) we demonstrate that our method outperforms a variety of baselines on both our proprietary dataset and an open-source dataset (LegalBench); c) we show how our method correlates more closely with human expert evaluations and helps improve inter-annotator agreement; and finally d) we open source our Legal Data Points for a subset of LegalBench used in our experiments, allowing the research community to replicate our results and advance research in this vital area of LLM evaluation on legal question-answering.</x:v>
      </x:c>
      <x:c r="L78" s="17" t="str">
        <x:v>http://arxiv.org/abs/2510.07243v1</x:v>
      </x:c>
      <x:c r="M78" s="23" t="n">
        <x:v>0.015384615384615385</x:v>
      </x:c>
      <x:c r="N78" s="17" t="str">
        <x:v>arxiv-paper-eval-20260727-105551-results.jsonl</x:v>
      </x:c>
      <x:c r="O78" s="24" t="str">
        <x:v>2</x:v>
      </x:c>
      <x:c r="P78" s="28" t="str">
        <x:v>识别法律领域裁判可变性并提出法律数据点分解评估法。</x:v>
      </x:c>
      <x:c r="Q78" s="25" t="str"/>
      <x:c r="R78" s="24" t="str">
        <x:f>IF(Q78&lt;&gt;"",Q78,O78)</x:f>
        <x:v>2</x:v>
      </x:c>
      <x:c r="S78" s="29" t="str"/>
    </x:row>
    <x:row r="79" ht="54" customHeight="1">
      <x:c r="A79" s="17" t="str">
        <x:v>csq004-r18</x:v>
      </x:c>
      <x:c r="B79" s="17" t="str">
        <x:v>csq004</x:v>
      </x:c>
      <x:c r="C79" s="17" t="str">
        <x:v>natural_language_processing</x:v>
      </x:c>
      <x:c r="D79" s="17" t="str">
        <x:v>llm_as_a_judge</x:v>
      </x:c>
      <x:c r="E79" s="27" t="str">
        <x:v>What limitations and biases have been identified in LLM-as-a-judge evaluation, and which mitigation strategies have been proposed?</x:v>
      </x:c>
      <x:c r="F79" s="22" t="n">
        <x:v>18</x:v>
      </x:c>
      <x:c r="G79" s="17" t="str">
        <x:v>arXiv:2505.14279</x:v>
      </x:c>
      <x:c r="H79" s="27" t="str">
        <x:v>YESciEval: Robust LLM-as-a-Judge for Scientific Question Answering</x:v>
      </x:c>
      <x:c r="I79" s="17" t="str">
        <x:v>Jennifer D'Souza; Hamed Babaei Giglou; Quentin Münch</x:v>
      </x:c>
      <x:c r="J79" s="22" t="n">
        <x:v>2025</x:v>
      </x:c>
      <x:c r="K79" s="27" t="str">
        <x:v>Large Language Models (LLMs) drive scientific question-answering on modern search engines, yet their evaluation robustness remains underexplored. We introduce YESciEval, an open-source framework that combines fine-grained rubric-based assessment with reinforcement learning to mitigate optimism bias in LLM evaluators. We release multidisciplinary scienceQ&amp;A datasets, including adversarial variants, with evaluation scores from multiple LLMs. Independent of proprietary models and human feedback, our approach enables scalable, cost-free evaluation. By advancing reliable LLM-as-a-judge models, this work supports AI alignment and fosters robust, transparent evaluation essential for scientific inquiry.</x:v>
      </x:c>
      <x:c r="L79" s="17" t="str">
        <x:v>http://arxiv.org/abs/2505.14279v2</x:v>
      </x:c>
      <x:c r="M79" s="23" t="n">
        <x:v>0.015151515151515152</x:v>
      </x:c>
      <x:c r="N79" s="17" t="str">
        <x:v>arxiv-paper-eval-20260727-105551-results.jsonl</x:v>
      </x:c>
      <x:c r="O79" s="24" t="str">
        <x:v>2</x:v>
      </x:c>
      <x:c r="P79" s="28" t="str">
        <x:v>以细粒度准则和强化学习专门缓解科学问答裁判的乐观偏差。</x:v>
      </x:c>
      <x:c r="Q79" s="25" t="str"/>
      <x:c r="R79" s="24" t="str">
        <x:f>IF(Q79&lt;&gt;"",Q79,O79)</x:f>
        <x:v>2</x:v>
      </x:c>
      <x:c r="S79" s="29" t="str"/>
    </x:row>
    <x:row r="80" ht="54" customHeight="1">
      <x:c r="A80" s="17" t="str">
        <x:v>csq004-r19</x:v>
      </x:c>
      <x:c r="B80" s="17" t="str">
        <x:v>csq004</x:v>
      </x:c>
      <x:c r="C80" s="17" t="str">
        <x:v>natural_language_processing</x:v>
      </x:c>
      <x:c r="D80" s="17" t="str">
        <x:v>llm_as_a_judge</x:v>
      </x:c>
      <x:c r="E80" s="27" t="str">
        <x:v>What limitations and biases have been identified in LLM-as-a-judge evaluation, and which mitigation strategies have been proposed?</x:v>
      </x:c>
      <x:c r="F80" s="22" t="n">
        <x:v>19</x:v>
      </x:c>
      <x:c r="G80" s="17" t="str">
        <x:v>arXiv:2510.12462</x:v>
      </x:c>
      <x:c r="H80" s="27" t="str">
        <x:v>Evaluating and Mitigating LLM-as-a-judge Bias in Communication Systems</x:v>
      </x:c>
      <x:c r="I80" s="17" t="str">
        <x:v>Jiaxin Gao; Chen Chen; Yanwen Jia; Xueluan Gong; Kwok-Yan Lam; Qian Wang</x:v>
      </x:c>
      <x:c r="J80" s="22" t="n">
        <x:v>2025</x:v>
      </x:c>
      <x:c r="K80" s="27" t="str">
        <x:v>Large Language Models (LLMs) are increasingly being used to autonomously evaluate the quality of content in communication systems, e.g., to assess responses in telecom customer support chatbots. However, the impartiality of these AI "judges" is not guaranteed, and any biases in their evaluation criteria could skew outcomes and undermine user trust. In this paper, we systematically investigate judgment biases across 6 LLM-as-a-judge models spanning both prompt-based and fine-tuned judges under the pointwise scoring setting, encompassing 11 types of biases that cover both implicit and explicit forms. We observed that state-of-the-art LLM judges demonstrate robustness to biased inputs, generally assigning them lower scores than the corresponding clean samples. We further found that fine-tuning an LLM on high-scoring yet biased responses can significantly degrade its performance, highlighting the risk of training on biased data. We also discovered that the judged scores correlate with task difficulty: a challenging dataset like GPQA yields lower average scores, whereas an open-ended reasoning dataset (e.g., JudgeLM-val) sees higher average scores. Finally, we proposed four potential mitigation strategies to ensure fair and reliable AI judging in practical communication scenarios.</x:v>
      </x:c>
      <x:c r="L80" s="17" t="str">
        <x:v>http://arxiv.org/abs/2510.12462v3</x:v>
      </x:c>
      <x:c r="M80" s="23" t="n">
        <x:v>0.014925373134328358</x:v>
      </x:c>
      <x:c r="N80" s="17" t="str">
        <x:v>arxiv-paper-eval-20260727-105551-results.jsonl</x:v>
      </x:c>
      <x:c r="O80" s="24" t="str">
        <x:v>2</x:v>
      </x:c>
      <x:c r="P80" s="28" t="str">
        <x:v>系统研究十一类通信场景裁判偏差并提出四种缓解策略。</x:v>
      </x:c>
      <x:c r="Q80" s="25" t="str"/>
      <x:c r="R80" s="24" t="str">
        <x:f>IF(Q80&lt;&gt;"",Q80,O80)</x:f>
        <x:v>2</x:v>
      </x:c>
      <x:c r="S80" s="29" t="str"/>
    </x:row>
    <x:row r="81" ht="54" customHeight="1">
      <x:c r="A81" s="17" t="str">
        <x:v>csq004-r20</x:v>
      </x:c>
      <x:c r="B81" s="17" t="str">
        <x:v>csq004</x:v>
      </x:c>
      <x:c r="C81" s="17" t="str">
        <x:v>natural_language_processing</x:v>
      </x:c>
      <x:c r="D81" s="17" t="str">
        <x:v>llm_as_a_judge</x:v>
      </x:c>
      <x:c r="E81" s="27" t="str">
        <x:v>What limitations and biases have been identified in LLM-as-a-judge evaluation, and which mitigation strategies have been proposed?</x:v>
      </x:c>
      <x:c r="F81" s="22" t="n">
        <x:v>20</x:v>
      </x:c>
      <x:c r="G81" s="17" t="str">
        <x:v>arXiv:2506.22316</x:v>
      </x:c>
      <x:c r="H81" s="27" t="str">
        <x:v>Evaluating Scoring Bias in LLM-as-a-Judge</x:v>
      </x:c>
      <x:c r="I81" s="17" t="str">
        <x:v>Qingquan Li; Shaoyu Dou; Kailai Shao; Chao Chen; Haixiang Hu</x:v>
      </x:c>
      <x:c r="J81" s="22" t="n">
        <x:v>2025</x:v>
      </x:c>
      <x:c r="K81" s="27" t="str">
        <x:v>The "LLM-as-a-Judge" paradigm, using Large Language Models (LLMs) as automated evaluators, is pivotal to LLM development, offering scalable feedback for complex tasks. However, the reliability of these judges is compromised by various biases. Existing research has heavily concentrated on biases in comparative evaluations. In contrast, scoring-based evaluations-which assign an absolute score and are often more practical in industrial applications-remain under-investigated. To address this gap, we undertake the first dedicated examination of scoring bias in LLM judges. We shift the focus from biases tied to the evaluation targets to those originating from the scoring prompt itself. We formally define scoring bias and identify three novel, previously unstudied types: rubric order bias, score ID bias, and reference answer score bias. We propose a comprehensive framework to quantify these biases, featuring a suite of multi-faceted metrics and an automatic data synthesis pipeline to create a tailored evaluation corpus. Our experiments empirically demonstrate that even the most advanced LLMs suffer from these substantial scoring biases. Our analysis yields actionable insights for designing more robust scoring prompts and mitigating these newly identified biases.</x:v>
      </x:c>
      <x:c r="L81" s="17" t="str">
        <x:v>http://arxiv.org/abs/2506.22316v4</x:v>
      </x:c>
      <x:c r="M81" s="23" t="n">
        <x:v>0.014705882352941176</x:v>
      </x:c>
      <x:c r="N81" s="17" t="str">
        <x:v>arxiv-paper-eval-20260727-105551-results.jsonl</x:v>
      </x:c>
      <x:c r="O81" s="24" t="str">
        <x:v>2</x:v>
      </x:c>
      <x:c r="P81" s="28" t="str">
        <x:v>发现三种评分提示偏差并提出量化框架和稳健提示建议。</x:v>
      </x:c>
      <x:c r="Q81" s="25" t="str"/>
      <x:c r="R81" s="24" t="str">
        <x:f>IF(Q81&lt;&gt;"",Q81,O81)</x:f>
        <x:v>2</x:v>
      </x:c>
      <x:c r="S81" s="29" t="str"/>
    </x:row>
    <x:row r="82" ht="54" customHeight="1">
      <x:c r="A82" s="17" t="str">
        <x:v>csq005-r01</x:v>
      </x:c>
      <x:c r="B82" s="17" t="str">
        <x:v>csq005</x:v>
      </x:c>
      <x:c r="C82" s="17" t="str">
        <x:v>natural_language_processing</x:v>
      </x:c>
      <x:c r="D82" s="17" t="str">
        <x:v>long_context</x:v>
      </x:c>
      <x:c r="E82" s="27" t="str">
        <x:v>How have methods for extending the effective context length of transformer language models evolved, and what trade-offs do they make in memory, latency, and retrieval quality?</x:v>
      </x:c>
      <x:c r="F82" s="22" t="n">
        <x:v>1</x:v>
      </x:c>
      <x:c r="G82" s="17" t="str">
        <x:v>arXiv:2411.09688</x:v>
      </x:c>
      <x:c r="H82" s="27" t="str">
        <x:v>Squeezed Attention: Accelerating Long Context Length LLM Inference</x:v>
      </x:c>
      <x:c r="I82" s="17" t="str">
        <x:v>Coleman Hooper; Sehoon Kim; Hiva Mohammadzadeh; Monishwaran Maheswaran; Sebastian Zhao; June Paik; Michael W. Mahoney; Kurt Keutzer; Amir Gholami</x:v>
      </x:c>
      <x:c r="J82" s="22" t="n">
        <x:v>2024</x:v>
      </x:c>
      <x:c r="K82" s="27" t="str">
        <x:v>Emerging Large Language Model (LLM) applications require long input context in order to perform complex tasks like document analysis and code generation. For these long context length applications, the length of the input prompt poses a significant challenge in terms of inference efficiency since the inference costs increase linearly with sequence length. However, for many of these applications, much of the context in the prompt is fixed across different user inputs, thereby providing the opportunity to perform offline optimizations in order to process user inputs quickly, as they are received. We propose Squeezed Attention to accelerate LLM applications where a large portion of the input context is fixed. We first leverage K-means clustering offline to group the keys for the fixed context based on semantic similarity and represent each cluster with a single centroid value. During inference, we compare query tokens from the user input with the centroids to predict which keys from the fixed context are semantically relevant, and then compute exact attention using only the important keys, thereby reducing bandwidth and computational costs. We also present a hierarchical version of our algorithm which can reduce the complexity of attention from linear to logarithmic with respect to the fixed context length. We evaluate our method on long-context benchmarks including LongBench, where it achieves a 3.1$\times$ reduction in KV budget with no noticeable accuracy loss and up to an 8$\times$ reduction with only a 0.5 point accuracy gap for the LLaMA-2-7B-32K, LWM-Text-Chat-1M, and Longchat-7B-v1.5-32K models. Futhermore, we implement kernels for centroid comparison and sparse FlashAttention with important keys, achieving more than 4$\times$ speedups during both the prefill and generation phases for long-context inference. Our code is available at https://github.com/SqueezeAILab/SqueezedAttention.</x:v>
      </x:c>
      <x:c r="L82" s="17" t="str">
        <x:v>http://arxiv.org/abs/2411.09688v3</x:v>
      </x:c>
      <x:c r="M82" s="23" t="n">
        <x:v>0.031054405392392875</x:v>
      </x:c>
      <x:c r="N82" s="17" t="str">
        <x:v>arxiv-paper-eval-20260727-105551-results.jsonl</x:v>
      </x:c>
      <x:c r="O82" s="24" t="str">
        <x:v>2</x:v>
      </x:c>
      <x:c r="P82" s="28" t="str">
        <x:v>以聚类稀疏注意力降低长上下文KV预算和延迟并量化精度权衡。</x:v>
      </x:c>
      <x:c r="Q82" s="25" t="str"/>
      <x:c r="R82" s="24" t="str">
        <x:f>IF(Q82&lt;&gt;"",Q82,O82)</x:f>
        <x:v>2</x:v>
      </x:c>
      <x:c r="S82" s="29" t="str"/>
    </x:row>
    <x:row r="83" ht="54" customHeight="1">
      <x:c r="A83" s="17" t="str">
        <x:v>csq005-r02</x:v>
      </x:c>
      <x:c r="B83" s="17" t="str">
        <x:v>csq005</x:v>
      </x:c>
      <x:c r="C83" s="17" t="str">
        <x:v>natural_language_processing</x:v>
      </x:c>
      <x:c r="D83" s="17" t="str">
        <x:v>long_context</x:v>
      </x:c>
      <x:c r="E83" s="27" t="str">
        <x:v>How have methods for extending the effective context length of transformer language models evolved, and what trade-offs do they make in memory, latency, and retrieval quality?</x:v>
      </x:c>
      <x:c r="F83" s="22" t="n">
        <x:v>2</x:v>
      </x:c>
      <x:c r="G83" s="17" t="str">
        <x:v>arXiv:2408.10188</x:v>
      </x:c>
      <x:c r="H83" s="27" t="str">
        <x:v>LongVILA: Scaling Long-Context Visual Language Models for Long Videos</x:v>
      </x:c>
      <x:c r="I83" s="17" t="str">
        <x:v>Yukang Chen; Fuzhao Xue; Dacheng Li; Qinghao Hu; Ligeng Zhu; Xiuyu Li; Yunhao Fang; Haotian Tang; Shang Yang; Zhijian Liu; Ethan He; Hongxu Yin; Pavlo Molchanov; Jan Kautz; Linxi Fan; Yuke Zhu; Yao Lu; Song Han</x:v>
      </x:c>
      <x:c r="J83" s="22" t="n">
        <x:v>2024</x:v>
      </x:c>
      <x:c r="K83" s="27" t="str">
        <x:v>Long-context capability is critical for multi-modal foundation models, especially for long video understanding. We introduce LongVILA, a full-stack solution for long-context visual-language models by co-designing the algorithm and system. For model training, we upgrade existing VLMs to support long video understanding by incorporating two additional stages, i.e., long context extension and long video supervised fine-tuning. However, training on long video is computationally and memory intensive. We introduce the long-context Multi-Modal Sequence Parallelism (MM-SP) system that efficiently parallelizes long video training and inference, enabling 2M context length training on 256 GPUs without any gradient checkpointing. LongVILA efficiently extends the number of video frames of VILA from 8 to 2048, achieving 99.8% accuracy in 6,000-frame (more than 1 million tokens) video needle-in-a-haystack. LongVILA-7B demonstrates strong accuracy on 9 popular video benchmarks, e.g. 65.1% VideoMME with subtitle. Besides, MM-SP is 2.1x - 5.7x faster than ring style sequence parallelism and 1.1x - 1.4x faster than Megatron with a hybrid context and tensor parallelism. Moreover, it seamlessly integrates with Hugging Face Transformers.</x:v>
      </x:c>
      <x:c r="L83" s="17" t="str">
        <x:v>http://arxiv.org/abs/2408.10188v6</x:v>
      </x:c>
      <x:c r="M83" s="23" t="n">
        <x:v>0.028006267136701922</x:v>
      </x:c>
      <x:c r="N83" s="17" t="str">
        <x:v>arxiv-paper-eval-20260727-105551-results.jsonl</x:v>
      </x:c>
      <x:c r="O83" s="24" t="str">
        <x:v>2</x:v>
      </x:c>
      <x:c r="P83" s="28" t="str">
        <x:v>通过训练阶段和序列并行扩展多模态上下文并报告速度与检索精度。</x:v>
      </x:c>
      <x:c r="Q83" s="25" t="str"/>
      <x:c r="R83" s="24" t="str">
        <x:f>IF(Q83&lt;&gt;"",Q83,O83)</x:f>
        <x:v>2</x:v>
      </x:c>
      <x:c r="S83" s="29" t="str"/>
    </x:row>
    <x:row r="84" ht="54" customHeight="1">
      <x:c r="A84" s="17" t="str">
        <x:v>csq005-r03</x:v>
      </x:c>
      <x:c r="B84" s="17" t="str">
        <x:v>csq005</x:v>
      </x:c>
      <x:c r="C84" s="17" t="str">
        <x:v>natural_language_processing</x:v>
      </x:c>
      <x:c r="D84" s="17" t="str">
        <x:v>long_context</x:v>
      </x:c>
      <x:c r="E84" s="27" t="str">
        <x:v>How have methods for extending the effective context length of transformer language models evolved, and what trade-offs do they make in memory, latency, and retrieval quality?</x:v>
      </x:c>
      <x:c r="F84" s="22" t="n">
        <x:v>3</x:v>
      </x:c>
      <x:c r="G84" s="17" t="str">
        <x:v>arXiv:2502.17129</x:v>
      </x:c>
      <x:c r="H84" s="27" t="str">
        <x:v>Thus Spake Long-Context Large Language Model</x:v>
      </x:c>
      <x:c r="I84" s="17" t="str">
        <x:v>Xiaoran Liu; Ruixiao Li; Mianqiu Huang; Zhigeng Liu; Yuerong Song; Qipeng Guo; Siyang He; Qiqi Wang; Linlin Li; Qun Liu; Ziwei He; Yaqian Zhou; Xuanjing Huang; Xipeng Qiu</x:v>
      </x:c>
      <x:c r="J84" s="22" t="n">
        <x:v>2025</x:v>
      </x:c>
      <x:c r="K84" s="27" t="str">
        <x:v>Long context is an important topic in Natural Language Processing (NLP), running through the development of NLP architectures, and offers immense opportunities for Large Language Models (LLMs), giving LLMs the lifelong learning potential akin to humans. Unfortunately, the pursuit of a long context is accompanied by numerous obstacles. Nevertheless, long context remains a core competitive advantage for LLMs. In the past two years, the context length of LLMs has achieved a breakthrough extension to millions of tokens. Moreover, research on long-context LLMs has expanded beyond length extrapolation to a comprehensive focus on architecture, infrastructure, training, and evaluation technologies. Inspired by the symphonic poem, Thus Spake Zarathustra, we draw an analogy between the journey of extending the context of LLM and the attempts of humans to transcend their mortality. In this survey, we will illustrate how LLM struggles between the tremendous need for a longer context and its equal need to accept the fact that it is ultimately finite. To achieve this, we give a global picture of the lifecycle of long-context LLMs from four perspectives: architecture, infrastructure, training, and evaluation, showcasing the full spectrum of long-context technologies. At the end of this survey, we will present 10 unanswered questions currently faced by long-context LLMs. We hope this survey can serve as a systematic introduction to research on long-context LLMs. Video: https://www.bilibili.com/video/BV11h9AYoEYj. Github: https://github.com/OpenMOSS/Thus-Spake-Long-Context-LLM.</x:v>
      </x:c>
      <x:c r="L84" s="17" t="str">
        <x:v>http://arxiv.org/abs/2502.17129v2</x:v>
      </x:c>
      <x:c r="M84" s="23" t="n">
        <x:v>0.01639344262295082</x:v>
      </x:c>
      <x:c r="N84" s="17" t="str">
        <x:v>arxiv-paper-eval-20260727-105551-results.jsonl</x:v>
      </x:c>
      <x:c r="O84" s="24" t="str">
        <x:v>2</x:v>
      </x:c>
      <x:c r="P84" s="28" t="str">
        <x:v>系统综述长上下文架构、基础设施、训练和评估技术演进。</x:v>
      </x:c>
      <x:c r="Q84" s="25" t="str"/>
      <x:c r="R84" s="24" t="str">
        <x:f>IF(Q84&lt;&gt;"",Q84,O84)</x:f>
        <x:v>2</x:v>
      </x:c>
      <x:c r="S84" s="29" t="str"/>
    </x:row>
    <x:row r="85" ht="54" customHeight="1">
      <x:c r="A85" s="17" t="str">
        <x:v>csq005-r04</x:v>
      </x:c>
      <x:c r="B85" s="17" t="str">
        <x:v>csq005</x:v>
      </x:c>
      <x:c r="C85" s="17" t="str">
        <x:v>natural_language_processing</x:v>
      </x:c>
      <x:c r="D85" s="17" t="str">
        <x:v>long_context</x:v>
      </x:c>
      <x:c r="E85" s="27" t="str">
        <x:v>How have methods for extending the effective context length of transformer language models evolved, and what trade-offs do they make in memory, latency, and retrieval quality?</x:v>
      </x:c>
      <x:c r="F85" s="22" t="n">
        <x:v>4</x:v>
      </x:c>
      <x:c r="G85" s="17" t="str">
        <x:v>arXiv:2502.14051</x:v>
      </x:c>
      <x:c r="H85" s="27" t="str">
        <x:v>RocketKV: Accelerating Long-Context LLM Inference via Two-Stage KV Cache Compression</x:v>
      </x:c>
      <x:c r="I85" s="17" t="str">
        <x:v>Payman Behnam; Yaosheng Fu; Ritchie Zhao; Po-An Tsai; Zhiding Yu; Alexey Tumanov</x:v>
      </x:c>
      <x:c r="J85" s="22" t="n">
        <x:v>2025</x:v>
      </x:c>
      <x:c r="K85" s="27" t="str">
        <x:v>Transformer-based Large Language Models rely critically on the KV cache to efficiently handle extended contexts during the decode phase. Yet, the size of the KV cache grows proportionally with the input length, burdening both memory bandwidth and capacity as decoding progresses. To address this challenge, we present RocketKV, a training-free KV cache compression strategy containing two consecutive stages. In the first stage, it performs coarse-grain permanent KV cache eviction on the input sequence tokens. In the second stage, it adopts a hybrid sparse attention method to conduct fine-grain top-k sparse attention, approximating the attention scores by leveraging both head and sequence dimensionality reductions. We show that RocketKV provides a compression ratio of up to 400$\times$, end-to-end speedup of up to 3.7$\times$ as well as peak memory reduction of up to 32.6% in the decode phase on an NVIDIA A100 GPU compared to the full KV cache baseline, while achieving negligible accuracy loss on a variety of long-context tasks. We also propose a variant of RocketKV for multi-turn scenarios, which consistently outperforms other existing methods and achieves accuracy nearly on par with an oracle top-k attention scheme. The source code is available here: https://github.com/NVlabs/RocketKV.</x:v>
      </x:c>
      <x:c r="L85" s="17" t="str">
        <x:v>http://arxiv.org/abs/2502.14051v3</x:v>
      </x:c>
      <x:c r="M85" s="23" t="n">
        <x:v>0.01639344262295082</x:v>
      </x:c>
      <x:c r="N85" s="17" t="str">
        <x:v>arxiv-paper-eval-20260727-105551-results.jsonl</x:v>
      </x:c>
      <x:c r="O85" s="24" t="str">
        <x:v>2</x:v>
      </x:c>
      <x:c r="P85" s="28" t="str">
        <x:v>两阶段KV缓存压缩显式比较压缩率、速度、内存和准确性。</x:v>
      </x:c>
      <x:c r="Q85" s="25" t="str"/>
      <x:c r="R85" s="24" t="str">
        <x:f>IF(Q85&lt;&gt;"",Q85,O85)</x:f>
        <x:v>2</x:v>
      </x:c>
      <x:c r="S85" s="29" t="str"/>
    </x:row>
    <x:row r="86" ht="54" customHeight="1">
      <x:c r="A86" s="17" t="str">
        <x:v>csq005-r05</x:v>
      </x:c>
      <x:c r="B86" s="17" t="str">
        <x:v>csq005</x:v>
      </x:c>
      <x:c r="C86" s="17" t="str">
        <x:v>natural_language_processing</x:v>
      </x:c>
      <x:c r="D86" s="17" t="str">
        <x:v>long_context</x:v>
      </x:c>
      <x:c r="E86" s="27" t="str">
        <x:v>How have methods for extending the effective context length of transformer language models evolved, and what trade-offs do they make in memory, latency, and retrieval quality?</x:v>
      </x:c>
      <x:c r="F86" s="22" t="n">
        <x:v>5</x:v>
      </x:c>
      <x:c r="G86" s="17" t="str">
        <x:v>arXiv:2405.06067</x:v>
      </x:c>
      <x:c r="H86" s="27" t="str">
        <x:v>HMT: Hierarchical Memory Transformer for Efficient Long Context Language Processing</x:v>
      </x:c>
      <x:c r="I86" s="17" t="str">
        <x:v>Zifan He; Yingqi Cao; Zongyue Qin; Neha Prakriya; Yizhou Sun; Jason Cong</x:v>
      </x:c>
      <x:c r="J86" s="22" t="n">
        <x:v>2024</x:v>
      </x:c>
      <x:c r="K86" s="27" t="str">
        <x:v>Transformer-based large language models (LLM) have been widely used in language processing applications. However, due to the memory constraints of the devices, most of them restrict the context window. Even though recurrent models in previous works can memorize past tokens to enable unlimited context and maintain effectiveness, they have ``flat'' memory architectures. Such architectures have limitations in selecting and filtering information. Since humans are good at learning and self-adjustment, we believe that imitating brain memory hierarchy is beneficial for model memorization. Thus, we propose the Hierarchical Memory Transformer (HMT), a novel framework that facilitates a model's long-context processing ability by imitating human memorization behavior. Leveraging memory-augmented segment-level recurrence, we organize the memory hierarchy by preserving tokens from early input segments, passing memory embeddings along the sequence, and recalling relevant information from history. Evaluating general language modeling, question-answering tasks, and the summarization task, we show that HMT consistently improves the long-context processing ability of existing models. Furthermore, HMT achieves a comparable or superior generation quality to long-context LLMs with $2 \sim 57\times$ fewer parameters and $2.5 \sim 116\times$ less inference memory, significantly outperforming previous memory-augmented models. Code on Github: https://github.com/OswaldHe/HMT-pytorch.</x:v>
      </x:c>
      <x:c r="L86" s="17" t="str">
        <x:v>http://arxiv.org/abs/2405.06067v3</x:v>
      </x:c>
      <x:c r="M86" s="23" t="n">
        <x:v>0.01639344262295082</x:v>
      </x:c>
      <x:c r="N86" s="17" t="str">
        <x:v>arxiv-paper-eval-20260727-105551-results.jsonl</x:v>
      </x:c>
      <x:c r="O86" s="24" t="str">
        <x:v>2</x:v>
      </x:c>
      <x:c r="P86" s="28" t="str">
        <x:v>层次记忆和分段递归支持长上下文并大幅降低参数与推理内存。</x:v>
      </x:c>
      <x:c r="Q86" s="25" t="str"/>
      <x:c r="R86" s="24" t="str">
        <x:f>IF(Q86&lt;&gt;"",Q86,O86)</x:f>
        <x:v>2</x:v>
      </x:c>
      <x:c r="S86" s="29" t="str"/>
    </x:row>
    <x:row r="87" ht="54" customHeight="1">
      <x:c r="A87" s="17" t="str">
        <x:v>csq005-r06</x:v>
      </x:c>
      <x:c r="B87" s="17" t="str">
        <x:v>csq005</x:v>
      </x:c>
      <x:c r="C87" s="17" t="str">
        <x:v>natural_language_processing</x:v>
      </x:c>
      <x:c r="D87" s="17" t="str">
        <x:v>long_context</x:v>
      </x:c>
      <x:c r="E87" s="27" t="str">
        <x:v>How have methods for extending the effective context length of transformer language models evolved, and what trade-offs do they make in memory, latency, and retrieval quality?</x:v>
      </x:c>
      <x:c r="F87" s="22" t="n">
        <x:v>6</x:v>
      </x:c>
      <x:c r="G87" s="17" t="str">
        <x:v>arXiv:2407.01437</x:v>
      </x:c>
      <x:c r="H87" s="27" t="str">
        <x:v>Needle in the Haystack for Memory Based Large Language Models</x:v>
      </x:c>
      <x:c r="I87" s="17" t="str">
        <x:v>Elliot Nelson; Georgios Kollias; Payel Das; Subhajit Chaudhury; Soham Dan</x:v>
      </x:c>
      <x:c r="J87" s="22" t="n">
        <x:v>2024</x:v>
      </x:c>
      <x:c r="K87" s="27" t="str">
        <x:v>Current large language models (LLMs) often perform poorly on simple fact retrieval tasks. Here we investigate if coupling a dynamically adaptable external memory to a LLM can alleviate this problem. For this purpose, we test Larimar, a recently proposed language model architecture which uses an external associative memory, on long-context recall tasks including passkey and needle-in-the-haystack tests. We demonstrate that the external memory of Larimar, which allows fast write and read of an episode of text samples, can be used at test time to handle contexts much longer than those seen during training. We further show that the latent readouts from the memory (to which long contexts are written) control the decoder towards generating correct outputs, with the memory stored off of the GPU. Compared to existing transformer-based LLM architectures for long-context recall tasks that use larger parameter counts or modified attention mechanisms, a relatively smaller size Larimar is able to maintain strong performance without any task-specific training or training on longer contexts.</x:v>
      </x:c>
      <x:c r="L87" s="17" t="str">
        <x:v>http://arxiv.org/abs/2407.01437v2</x:v>
      </x:c>
      <x:c r="M87" s="23" t="n">
        <x:v>0.01639344262295082</x:v>
      </x:c>
      <x:c r="N87" s="17" t="str">
        <x:v>arxiv-paper-eval-20260727-105551-results.jsonl</x:v>
      </x:c>
      <x:c r="O87" s="24" t="str">
        <x:v>2</x:v>
      </x:c>
      <x:c r="P87" s="28" t="str">
        <x:v>以GPU外部联想记忆扩展测试时上下文并验证长距离检索质量。</x:v>
      </x:c>
      <x:c r="Q87" s="25" t="str"/>
      <x:c r="R87" s="24" t="str">
        <x:f>IF(Q87&lt;&gt;"",Q87,O87)</x:f>
        <x:v>2</x:v>
      </x:c>
      <x:c r="S87" s="29" t="str"/>
    </x:row>
    <x:row r="88" ht="54" customHeight="1">
      <x:c r="A88" s="17" t="str">
        <x:v>csq005-r07</x:v>
      </x:c>
      <x:c r="B88" s="17" t="str">
        <x:v>csq005</x:v>
      </x:c>
      <x:c r="C88" s="17" t="str">
        <x:v>natural_language_processing</x:v>
      </x:c>
      <x:c r="D88" s="17" t="str">
        <x:v>long_context</x:v>
      </x:c>
      <x:c r="E88" s="27" t="str">
        <x:v>How have methods for extending the effective context length of transformer language models evolved, and what trade-offs do they make in memory, latency, and retrieval quality?</x:v>
      </x:c>
      <x:c r="F88" s="22" t="n">
        <x:v>7</x:v>
      </x:c>
      <x:c r="G88" s="17" t="str">
        <x:v>arXiv:2503.11816</x:v>
      </x:c>
      <x:c r="H88" s="27" t="str">
        <x:v>Key, Value, Compress: A Systematic Exploration of KV Cache Compression Techniques</x:v>
      </x:c>
      <x:c r="I88" s="17" t="str">
        <x:v>Neusha Javidnia; Bita Darvish Rouhani; Farinaz Koushanfar</x:v>
      </x:c>
      <x:c r="J88" s="22" t="n">
        <x:v>2025</x:v>
      </x:c>
      <x:c r="K88" s="27" t="str">
        <x:v>Large language models (LLMs) have demonstrated exceptional capabilities in generating text, images, and video content. However, as context length grows, the computational cost of attention increases quadratically with the number of tokens, presenting significant efficiency challenges. This paper presents an analysis of various Key-Value (KV) cache compression strategies, offering a comprehensive taxonomy that categorizes these methods by their underlying principles and implementation techniques. Furthermore, we evaluate their impact on performance and inference latency, providing critical insights into their effectiveness. Our findings highlight the trade-offs involved in KV cache compression and its influence on handling long-context scenarios, paving the way for more efficient LLM implementations.</x:v>
      </x:c>
      <x:c r="L88" s="17" t="str">
        <x:v>http://arxiv.org/abs/2503.11816v3</x:v>
      </x:c>
      <x:c r="M88" s="23" t="n">
        <x:v>0.016129032258064516</x:v>
      </x:c>
      <x:c r="N88" s="17" t="str">
        <x:v>arxiv-paper-eval-20260727-105551-results.jsonl</x:v>
      </x:c>
      <x:c r="O88" s="24" t="str">
        <x:v>2</x:v>
      </x:c>
      <x:c r="P88" s="28" t="str">
        <x:v>系统分类KV缓存压缩并分析性能、推理延迟和长上下文权衡。</x:v>
      </x:c>
      <x:c r="Q88" s="25" t="str"/>
      <x:c r="R88" s="24" t="str">
        <x:f>IF(Q88&lt;&gt;"",Q88,O88)</x:f>
        <x:v>2</x:v>
      </x:c>
      <x:c r="S88" s="29" t="str"/>
    </x:row>
    <x:row r="89" ht="54" customHeight="1">
      <x:c r="A89" s="17" t="str">
        <x:v>csq005-r08</x:v>
      </x:c>
      <x:c r="B89" s="17" t="str">
        <x:v>csq005</x:v>
      </x:c>
      <x:c r="C89" s="17" t="str">
        <x:v>natural_language_processing</x:v>
      </x:c>
      <x:c r="D89" s="17" t="str">
        <x:v>long_context</x:v>
      </x:c>
      <x:c r="E89" s="27" t="str">
        <x:v>How have methods for extending the effective context length of transformer language models evolved, and what trade-offs do they make in memory, latency, and retrieval quality?</x:v>
      </x:c>
      <x:c r="F89" s="22" t="n">
        <x:v>8</x:v>
      </x:c>
      <x:c r="G89" s="17" t="str">
        <x:v>arXiv:2406.11230</x:v>
      </x:c>
      <x:c r="H89" s="27" t="str">
        <x:v>Multimodal Needle in a Haystack: Benchmarking Long-Context Capability of Multimodal Large Language Models</x:v>
      </x:c>
      <x:c r="I89" s="17" t="str">
        <x:v>Hengyi Wang; Haizhou Shi; Shiwei Tan; Weiyi Qin; Wenyuan Wang; Tunyu Zhang; Akshay Nambi; Tanuja Ganu; Hao Wang</x:v>
      </x:c>
      <x:c r="J89" s="22" t="n">
        <x:v>2024</x:v>
      </x:c>
      <x:c r="K89" s="27" t="str">
        <x:v>Multimodal Large Language Models (MLLMs) have shown significant promise in various applications, leading to broad interest from researchers and practitioners alike. However, a comprehensive evaluation of their long-context capabilities remains underexplored. To address these gaps, we introduce the MultiModal Needle-in-a-haystack (MMNeedle) benchmark, specifically designed to assess the long-context capabilities of MLLMs. Besides multi-image input, we employ image stitching to further increase the input context length, and develop a protocol to automatically generate labels for sub-image level retrieval. Essentially, MMNeedle evaluates MLLMs by stress-testing their capability to locate a target sub-image (needle) within a set of images (haystack) based on textual instructions and descriptions of image contents. This setup necessitates an advanced understanding of extensive visual contexts and effective information retrieval within long-context image inputs. With this benchmark, we evaluate state-of-the-art MLLMs, encompassing both API-based and open-source models. The findings reveal that GPT-4o consistently surpasses other models in long-context scenarios, but suffers from hallucination problems in negative samples, i.e., when needles are not in the haystacks. Our comprehensive long-context evaluation of MLLMs also sheds lights on the considerable performance gap between API-based and open-source models. All the code, data, and instructions required to reproduce the main results are available at https://github.com/Wang-ML-Lab/multimodal-needle-in-a-haystack.</x:v>
      </x:c>
      <x:c r="L89" s="17" t="str">
        <x:v>http://arxiv.org/abs/2406.11230v2</x:v>
      </x:c>
      <x:c r="M89" s="23" t="n">
        <x:v>0.016129032258064516</x:v>
      </x:c>
      <x:c r="N89" s="17" t="str">
        <x:v>arxiv-paper-eval-20260727-105551-results.jsonl</x:v>
      </x:c>
      <x:c r="O89" s="24" t="str">
        <x:v>1</x:v>
      </x:c>
      <x:c r="P89" s="28" t="str">
        <x:v>提供多模态长上下文检索基准，能衡量质量但不提出扩展方法。</x:v>
      </x:c>
      <x:c r="Q89" s="25" t="str"/>
      <x:c r="R89" s="24" t="str">
        <x:f>IF(Q89&lt;&gt;"",Q89,O89)</x:f>
        <x:v>1</x:v>
      </x:c>
      <x:c r="S89" s="29" t="str"/>
    </x:row>
    <x:row r="90" ht="54" customHeight="1">
      <x:c r="A90" s="17" t="str">
        <x:v>csq005-r09</x:v>
      </x:c>
      <x:c r="B90" s="17" t="str">
        <x:v>csq005</x:v>
      </x:c>
      <x:c r="C90" s="17" t="str">
        <x:v>natural_language_processing</x:v>
      </x:c>
      <x:c r="D90" s="17" t="str">
        <x:v>long_context</x:v>
      </x:c>
      <x:c r="E90" s="27" t="str">
        <x:v>How have methods for extending the effective context length of transformer language models evolved, and what trade-offs do they make in memory, latency, and retrieval quality?</x:v>
      </x:c>
      <x:c r="F90" s="22" t="n">
        <x:v>9</x:v>
      </x:c>
      <x:c r="G90" s="17" t="str">
        <x:v>arXiv:2310.16450</x:v>
      </x:c>
      <x:c r="H90" s="27" t="str">
        <x:v>CLEX: Continuous Length Extrapolation for Large Language Models</x:v>
      </x:c>
      <x:c r="I90" s="17" t="str">
        <x:v>Guanzheng Chen; Xin Li; Zaiqiao Meng; Shangsong Liang; Lidong Bing</x:v>
      </x:c>
      <x:c r="J90" s="22" t="n">
        <x:v>2023</x:v>
      </x:c>
      <x:c r="K90" s="27" t="str">
        <x:v>Transformer-based Large Language Models (LLMs) are pioneering advances in many natural language processing tasks, however, their exceptional capabilities are restricted within the preset context window of Transformer. Position Embedding (PE) scaling methods, while effective in extending the context window to a specific length, demonstrate either notable limitations in their extrapolation abilities or sacrificing partial performance within the context window. Length extrapolation methods, although theoretically capable of extending the context window beyond the training sequence length, often underperform in practical long-context applications. To address these challenges, we propose Continuous Length EXtrapolation (CLEX) for LLMs. We generalise the PE scaling approaches to model the continuous dynamics by ordinary differential equations over the length scaling factor, thereby overcoming the constraints of current PE scaling methods designed for specific lengths. Moreover, by extending the dynamics to desired context lengths beyond the training sequence length, CLEX facilitates the length extrapolation with impressive performance in practical tasks. We demonstrate that CLEX can be seamlessly incorporated into LLMs equipped with Rotary Position Embedding, such as LLaMA and GPT-NeoX, with negligible impact on training and inference latency. Experimental results reveal that CLEX can effectively extend the context window to over 4x or almost 8x training length, with no deterioration in performance. Furthermore, when evaluated on the practical LongBench benchmark, our model trained on a 4k length exhibits competitive performance against state-of-the-art open-source models trained on context lengths up to 32k. Our code is available at https://github.com/DAMO-NLP-SG/CLEX.</x:v>
      </x:c>
      <x:c r="L90" s="17" t="str">
        <x:v>http://arxiv.org/abs/2310.16450v3</x:v>
      </x:c>
      <x:c r="M90" s="23" t="n">
        <x:v>0.016129032258064516</x:v>
      </x:c>
      <x:c r="N90" s="17" t="str">
        <x:v>arxiv-paper-eval-20260727-105551-results.jsonl</x:v>
      </x:c>
      <x:c r="O90" s="24" t="str">
        <x:v>2</x:v>
      </x:c>
      <x:c r="P90" s="28" t="str">
        <x:v>通过连续位置编码尺度动力学实现长度外推且几乎不增延迟。</x:v>
      </x:c>
      <x:c r="Q90" s="25" t="str"/>
      <x:c r="R90" s="24" t="str">
        <x:f>IF(Q90&lt;&gt;"",Q90,O90)</x:f>
        <x:v>2</x:v>
      </x:c>
      <x:c r="S90" s="29" t="str"/>
    </x:row>
    <x:row r="91" ht="54" customHeight="1">
      <x:c r="A91" s="17" t="str">
        <x:v>csq005-r10</x:v>
      </x:c>
      <x:c r="B91" s="17" t="str">
        <x:v>csq005</x:v>
      </x:c>
      <x:c r="C91" s="17" t="str">
        <x:v>natural_language_processing</x:v>
      </x:c>
      <x:c r="D91" s="17" t="str">
        <x:v>long_context</x:v>
      </x:c>
      <x:c r="E91" s="27" t="str">
        <x:v>How have methods for extending the effective context length of transformer language models evolved, and what trade-offs do they make in memory, latency, and retrieval quality?</x:v>
      </x:c>
      <x:c r="F91" s="22" t="n">
        <x:v>10</x:v>
      </x:c>
      <x:c r="G91" s="17" t="str">
        <x:v>arXiv:2505.22842</x:v>
      </x:c>
      <x:c r="H91" s="27" t="str">
        <x:v>Bayesian Attention Mechanism: A Probabilistic Framework for Positional Encoding and Context Length Extrapolation</x:v>
      </x:c>
      <x:c r="I91" s="17" t="str">
        <x:v>Arthur S. Bianchessi; Yasmin C. Aguirre; Rodrigo C. Barros; Lucas S. Kupssinskü</x:v>
      </x:c>
      <x:c r="J91" s="22" t="n">
        <x:v>2025</x:v>
      </x:c>
      <x:c r="K91" s="27" t="str">
        <x:v>Transformer-based language models rely on positional encoding (PE) to handle token order and support context length extrapolation. However, existing PE methods lack theoretical clarity and rely on limited evaluation metrics to substantiate their extrapolation claims. We propose the Bayesian Attention Mechanism (BAM), a theoretical framework that formulates positional encoding as a prior within a probabilistic model. BAM unifies existing methods (e.g., NoPE and ALiBi) and motivates a new Generalized Gaussian positional prior that substantially improves long-context generalization. Empirically, BAM enables accurate information retrieval at $500\times$ the training context length, outperforming previous state-of-the-art context length generalization in long context retrieval accuracy while maintaining comparable perplexity and introducing minimal additional parameters.</x:v>
      </x:c>
      <x:c r="L91" s="17" t="str">
        <x:v>http://arxiv.org/abs/2505.22842v4</x:v>
      </x:c>
      <x:c r="M91" s="23" t="n">
        <x:v>0.015873015873015872</x:v>
      </x:c>
      <x:c r="N91" s="17" t="str">
        <x:v>arxiv-paper-eval-20260727-105551-results.jsonl</x:v>
      </x:c>
      <x:c r="O91" s="24" t="str">
        <x:v>2</x:v>
      </x:c>
      <x:c r="P91" s="28" t="str">
        <x:v>以概率位置先验扩展上下文，并报告超长检索精度与参数开销。</x:v>
      </x:c>
      <x:c r="Q91" s="25" t="str"/>
      <x:c r="R91" s="24" t="str">
        <x:f>IF(Q91&lt;&gt;"",Q91,O91)</x:f>
        <x:v>2</x:v>
      </x:c>
      <x:c r="S91" s="29" t="str"/>
    </x:row>
    <x:row r="92" ht="54" customHeight="1">
      <x:c r="A92" s="17" t="str">
        <x:v>csq005-r11</x:v>
      </x:c>
      <x:c r="B92" s="17" t="str">
        <x:v>csq005</x:v>
      </x:c>
      <x:c r="C92" s="17" t="str">
        <x:v>natural_language_processing</x:v>
      </x:c>
      <x:c r="D92" s="17" t="str">
        <x:v>long_context</x:v>
      </x:c>
      <x:c r="E92" s="27" t="str">
        <x:v>How have methods for extending the effective context length of transformer language models evolved, and what trade-offs do they make in memory, latency, and retrieval quality?</x:v>
      </x:c>
      <x:c r="F92" s="22" t="n">
        <x:v>11</x:v>
      </x:c>
      <x:c r="G92" s="17" t="str">
        <x:v>arXiv:2504.04150</x:v>
      </x:c>
      <x:c r="H92" s="27" t="str">
        <x:v>Reasoning on Multiple Needles In A Haystack</x:v>
      </x:c>
      <x:c r="I92" s="17" t="str">
        <x:v>Yidong Wang</x:v>
      </x:c>
      <x:c r="J92" s="22" t="n">
        <x:v>2025</x:v>
      </x:c>
      <x:c r="K92" s="27" t="str">
        <x:v>The Needle In A Haystack (NIAH) task has been widely used to evaluate the long-context question-answering capabilities of Large Language Models (LLMs). However, its reliance on simple retrieval limits its effectiveness. To address this limitation, recent studies have introduced the Multiple Needles In A Haystack Reasoning (MNIAH-R) task, which incorporates supporting documents (Multiple needles) of multi-hop reasoning tasks into a distracting context (Haystack}). Despite this advancement, existing approaches still fail to address the issue of models providing direct answers from internal knowledge, and they do not explain or mitigate the decline in accuracy as context length increases. In this paper, we tackle the memory-based answering problem by filtering out direct-answer questions, and we reveal that performance degradation is primarily driven by the reduction in the length of the thinking process as the input length increases. Building on this insight, we decompose the thinking process into retrieval and reasoning stages and introduce a reflection mechanism for multi-round extension. We also train a model using the generated iterative thinking process, which helps mitigate the performance degradation. Furthermore, we demonstrate the application of this retrieval-reflection capability in mathematical reasoning scenarios, improving GPT-4o's performance on AIME2024.</x:v>
      </x:c>
      <x:c r="L92" s="17" t="str">
        <x:v>http://arxiv.org/abs/2504.04150v1</x:v>
      </x:c>
      <x:c r="M92" s="23" t="n">
        <x:v>0.015873015873015872</x:v>
      </x:c>
      <x:c r="N92" s="17" t="str">
        <x:v>arxiv-paper-eval-20260727-105551-results.jsonl</x:v>
      </x:c>
      <x:c r="O92" s="24" t="str">
        <x:v>2</x:v>
      </x:c>
      <x:c r="P92" s="28" t="str">
        <x:v>用检索与推理解耦及多轮反思缓解上下文增长导致的质量下降。</x:v>
      </x:c>
      <x:c r="Q92" s="25" t="str"/>
      <x:c r="R92" s="24" t="str">
        <x:f>IF(Q92&lt;&gt;"",Q92,O92)</x:f>
        <x:v>2</x:v>
      </x:c>
      <x:c r="S92" s="29" t="str"/>
    </x:row>
    <x:row r="93" ht="54" customHeight="1">
      <x:c r="A93" s="17" t="str">
        <x:v>csq005-r12</x:v>
      </x:c>
      <x:c r="B93" s="17" t="str">
        <x:v>csq005</x:v>
      </x:c>
      <x:c r="C93" s="17" t="str">
        <x:v>natural_language_processing</x:v>
      </x:c>
      <x:c r="D93" s="17" t="str">
        <x:v>long_context</x:v>
      </x:c>
      <x:c r="E93" s="27" t="str">
        <x:v>How have methods for extending the effective context length of transformer language models evolved, and what trade-offs do they make in memory, latency, and retrieval quality?</x:v>
      </x:c>
      <x:c r="F93" s="22" t="n">
        <x:v>12</x:v>
      </x:c>
      <x:c r="G93" s="17" t="str">
        <x:v>arXiv:2509.05165</x:v>
      </x:c>
      <x:c r="H93" s="27" t="str">
        <x:v>KVCompose: Efficient Structured KV Cache Compression with Composite Tokens</x:v>
      </x:c>
      <x:c r="I93" s="17" t="str">
        <x:v>Dmitry Akulov; Mohamed Sana; Antonio De Domenico; Tareq Si Salem; Nicola Piovesan; Fadhel Ayed</x:v>
      </x:c>
      <x:c r="J93" s="22" t="n">
        <x:v>2025</x:v>
      </x:c>
      <x:c r="K93" s="27" t="str">
        <x:v>Large language models (LLMs) rely on key-value (KV) caches for efficient autoregressive decoding; however, cache size grows linearly with context length and model depth, becoming a major bottleneck in long-context inference. Prior KV cache compression methods either enforce rigid heuristics, disrupt tensor layouts with per-attention-head variability, or require specialized compute kernels. We propose a simple, yet effective, KV cache compression framework based on attention-guided, layer-adaptive composite tokens. Our method aggregates attention scores to estimate token importance, selects head-specific tokens independently, and aligns them into composite tokens that respect the uniform cache structure required by existing inference engines. A global allocation mechanism further adapts retention budgets across layers, assigning more capacity to layers with informative tokens. This approach achieves significant memory reduction while preserving accuracy, consistently outperforming prior structured and semi-structured methods. Crucially, our approach remains fully compatible with standard inference pipelines, offering a practical and scalable solution for efficient long-context LLM deployment.</x:v>
      </x:c>
      <x:c r="L93" s="17" t="str">
        <x:v>http://arxiv.org/abs/2509.05165v2</x:v>
      </x:c>
      <x:c r="M93" s="23" t="n">
        <x:v>0.015873015873015872</x:v>
      </x:c>
      <x:c r="N93" s="17" t="str">
        <x:v>arxiv-paper-eval-20260727-105551-results.jsonl</x:v>
      </x:c>
      <x:c r="O93" s="24" t="str">
        <x:v>2</x:v>
      </x:c>
      <x:c r="P93" s="28" t="str">
        <x:v>结构化复合token压缩KV缓存，兼顾内存、准确性及标准引擎兼容。</x:v>
      </x:c>
      <x:c r="Q93" s="25" t="str"/>
      <x:c r="R93" s="24" t="str">
        <x:f>IF(Q93&lt;&gt;"",Q93,O93)</x:f>
        <x:v>2</x:v>
      </x:c>
      <x:c r="S93" s="29" t="str"/>
    </x:row>
    <x:row r="94" ht="54" customHeight="1">
      <x:c r="A94" s="17" t="str">
        <x:v>csq005-r13</x:v>
      </x:c>
      <x:c r="B94" s="17" t="str">
        <x:v>csq005</x:v>
      </x:c>
      <x:c r="C94" s="17" t="str">
        <x:v>natural_language_processing</x:v>
      </x:c>
      <x:c r="D94" s="17" t="str">
        <x:v>long_context</x:v>
      </x:c>
      <x:c r="E94" s="27" t="str">
        <x:v>How have methods for extending the effective context length of transformer language models evolved, and what trade-offs do they make in memory, latency, and retrieval quality?</x:v>
      </x:c>
      <x:c r="F94" s="22" t="n">
        <x:v>13</x:v>
      </x:c>
      <x:c r="G94" s="17" t="str">
        <x:v>arXiv:2408.16978</x:v>
      </x:c>
      <x:c r="H94" s="27" t="str">
        <x:v>Training Ultra Long Context Language Model with Fully Pipelined Distributed Transformer</x:v>
      </x:c>
      <x:c r="I94" s="17" t="str">
        <x:v>Jinghan Yao; Sam Ade Jacobs; Masahiro Tanaka; Olatunji Ruwase; Hari Subramoni; Dhabaleswar K. Panda</x:v>
      </x:c>
      <x:c r="J94" s="22" t="n">
        <x:v>2024</x:v>
      </x:c>
      <x:c r="K94" s="27" t="str">
        <x:v>Large Language Models (LLMs) with long context capabilities are integral to complex tasks in natural language processing and computational biology, such as text generation and protein sequence analysis. However, training LLMs directly on extremely long contexts demands considerable GPU resources and increased memory, leading to higher costs and greater complexity. Alternative approaches that introduce long context capabilities via downstream finetuning or adaptations impose significant design limitations. In this paper, we propose Fully Pipelined Distributed Transformer (FPDT) for efficiently training long-context LLMs with extreme hardware efficiency. For GPT and Llama models, we achieve a 16x increase in sequence length that can be trained on the same hardware compared to current state-of-the-art solutions. With our dedicated sequence chunk pipeline design, we can now train 8B LLM with 2 million sequence length on only 4 GPUs, while also maintaining over 55% of MFU. Our proposed FPDT is agnostic to existing training techniques and is proven to work efficiently across different LLM models.</x:v>
      </x:c>
      <x:c r="L94" s="17" t="str">
        <x:v>http://arxiv.org/abs/2408.16978v2</x:v>
      </x:c>
      <x:c r="M94" s="23" t="n">
        <x:v>0.015873015873015872</x:v>
      </x:c>
      <x:c r="N94" s="17" t="str">
        <x:v>arxiv-paper-eval-20260727-105551-results.jsonl</x:v>
      </x:c>
      <x:c r="O94" s="24" t="str">
        <x:v>2</x:v>
      </x:c>
      <x:c r="P94" s="28" t="str">
        <x:v>流水化分布式训练显著提高同硬件可训练序列长度和利用率。</x:v>
      </x:c>
      <x:c r="Q94" s="25" t="str"/>
      <x:c r="R94" s="24" t="str">
        <x:f>IF(Q94&lt;&gt;"",Q94,O94)</x:f>
        <x:v>2</x:v>
      </x:c>
      <x:c r="S94" s="29" t="str"/>
    </x:row>
    <x:row r="95" ht="54" customHeight="1">
      <x:c r="A95" s="17" t="str">
        <x:v>csq005-r14</x:v>
      </x:c>
      <x:c r="B95" s="17" t="str">
        <x:v>csq005</x:v>
      </x:c>
      <x:c r="C95" s="17" t="str">
        <x:v>natural_language_processing</x:v>
      </x:c>
      <x:c r="D95" s="17" t="str">
        <x:v>long_context</x:v>
      </x:c>
      <x:c r="E95" s="27" t="str">
        <x:v>How have methods for extending the effective context length of transformer language models evolved, and what trade-offs do they make in memory, latency, and retrieval quality?</x:v>
      </x:c>
      <x:c r="F95" s="22" t="n">
        <x:v>14</x:v>
      </x:c>
      <x:c r="G95" s="17" t="str">
        <x:v>arXiv:2506.05229</x:v>
      </x:c>
      <x:c r="H95" s="27" t="str">
        <x:v>Diagonal Batching Unlocks Parallelism in Recurrent Memory Transformers for Long Contexts</x:v>
      </x:c>
      <x:c r="I95" s="17" t="str">
        <x:v>Danil Sivtsov; Ivan Rodkin; Gleb Kuzmin; Yuri Kuratov; Ivan Oseledets</x:v>
      </x:c>
      <x:c r="J95" s="22" t="n">
        <x:v>2025</x:v>
      </x:c>
      <x:c r="K95" s="27" t="str">
        <x:v>Transformer models struggle with long-context inference due to their quadratic time and linear memory complexity. Recurrent Memory Transformers (RMTs) offer a solution by reducing the asymptotic cost to linear time and constant memory usage. However, their memory update mechanism leads to sequential execution, causing a performance bottleneck. We introduce Diagonal Batching, a scheduling scheme that unlocks parallelism across segments in RMTs while preserving exact recurrence. This approach eliminates the sequential constraint, enabling efficient GPU inference even for single long-context inputs without complex batching and pipelining techniques. Because the technique is purely a run-time computation reordering, existing RMT models adopt it with no retraining. Applied to a LLaMA-1B ARMT model, Diagonal Batching yields a 3.3x speedup over standard full-attention LLaMA-1B and a 1.8x speedup over the sequential RMT implementation on 131,072-token sequences. By removing sequential bottleneck, Diagonal Batching reduces inference cost and latency, thereby strengthening RMTs as a practical solution for real-world, long-context applications.</x:v>
      </x:c>
      <x:c r="L95" s="17" t="str">
        <x:v>http://arxiv.org/abs/2506.05229v1</x:v>
      </x:c>
      <x:c r="M95" s="23" t="n">
        <x:v>0.015625</x:v>
      </x:c>
      <x:c r="N95" s="17" t="str">
        <x:v>arxiv-paper-eval-20260727-105551-results.jsonl</x:v>
      </x:c>
      <x:c r="O95" s="24" t="str">
        <x:v>2</x:v>
      </x:c>
      <x:c r="P95" s="28" t="str">
        <x:v>以对角批处理解除递归记忆模型串行瓶颈，保持常量内存并降延迟。</x:v>
      </x:c>
      <x:c r="Q95" s="25" t="str"/>
      <x:c r="R95" s="24" t="str">
        <x:f>IF(Q95&lt;&gt;"",Q95,O95)</x:f>
        <x:v>2</x:v>
      </x:c>
      <x:c r="S95" s="29" t="str"/>
    </x:row>
    <x:row r="96" ht="54" customHeight="1">
      <x:c r="A96" s="17" t="str">
        <x:v>csq005-r15</x:v>
      </x:c>
      <x:c r="B96" s="17" t="str">
        <x:v>csq005</x:v>
      </x:c>
      <x:c r="C96" s="17" t="str">
        <x:v>natural_language_processing</x:v>
      </x:c>
      <x:c r="D96" s="17" t="str">
        <x:v>long_context</x:v>
      </x:c>
      <x:c r="E96" s="27" t="str">
        <x:v>How have methods for extending the effective context length of transformer language models evolved, and what trade-offs do they make in memory, latency, and retrieval quality?</x:v>
      </x:c>
      <x:c r="F96" s="22" t="n">
        <x:v>15</x:v>
      </x:c>
      <x:c r="G96" s="17" t="str">
        <x:v>arXiv:2502.04077</x:v>
      </x:c>
      <x:c r="H96" s="27" t="str">
        <x:v>AttentionPredictor: Temporal Patterns Matter for KV Cache Compression</x:v>
      </x:c>
      <x:c r="I96" s="17" t="str">
        <x:v>Qingyue Yang; Jie Wang; Xing Li; Zhihai Wang; Chen Chen; Lei Chen; Xianzhi Yu; Wulong Liu; Jianye Hao; Mingxuan Yuan; Bin Li</x:v>
      </x:c>
      <x:c r="J96" s="22" t="n">
        <x:v>2025</x:v>
      </x:c>
      <x:c r="K96" s="27" t="str">
        <x:v>With the development of large language models (LLMs), efficient inference through Key-Value (KV) cache compression has attracted considerable attention, especially for long-context generation. To compress the KV cache, recent methods identify critical KV tokens through static modeling of attention scores. However, these methods often struggle to accurately determine critical tokens as they neglect the temporal patterns in attention scores, resulting in a noticeable degradation in LLM performance. To address this challenge, we propose AttentionPredictor, which is the first learning-based method to directly predict attention patterns for KV cache compression and critical token identification. Specifically, AttentionPredictor learns a lightweight, unified convolution model to dynamically capture spatiotemporal patterns and predict the next-token attention scores. An appealing feature of AttentionPredictor is that it accurately predicts the attention score and shares the unified prediction model, which consumes negligible memory, among all transformer layers. Moreover, we propose a cross-token critical cache prefetching framework that hides the token estimation time overhead to accelerate the decoding stage. By retaining most of the attention information, AttentionPredictor achieves 13$\times$ KV cache compression and 5.6$\times$ speedup in a cache offloading scenario with comparable LLM performance, significantly outperforming the state-of-the-arts. The code is available at https://github.com/MIRALab-USTC/LLM-AttentionPredictor.</x:v>
      </x:c>
      <x:c r="L96" s="17" t="str">
        <x:v>http://arxiv.org/abs/2502.04077v3</x:v>
      </x:c>
      <x:c r="M96" s="23" t="n">
        <x:v>0.015625</x:v>
      </x:c>
      <x:c r="N96" s="17" t="str">
        <x:v>arxiv-paper-eval-20260727-105551-results.jsonl</x:v>
      </x:c>
      <x:c r="O96" s="24" t="str">
        <x:v>2</x:v>
      </x:c>
      <x:c r="P96" s="28" t="str">
        <x:v>学习注意力时序模式压缩KV缓存并量化压缩、速度和性能保持。</x:v>
      </x:c>
      <x:c r="Q96" s="25" t="str"/>
      <x:c r="R96" s="24" t="str">
        <x:f>IF(Q96&lt;&gt;"",Q96,O96)</x:f>
        <x:v>2</x:v>
      </x:c>
      <x:c r="S96" s="29" t="str"/>
    </x:row>
    <x:row r="97" ht="54" customHeight="1">
      <x:c r="A97" s="17" t="str">
        <x:v>csq005-r16</x:v>
      </x:c>
      <x:c r="B97" s="17" t="str">
        <x:v>csq005</x:v>
      </x:c>
      <x:c r="C97" s="17" t="str">
        <x:v>natural_language_processing</x:v>
      </x:c>
      <x:c r="D97" s="17" t="str">
        <x:v>long_context</x:v>
      </x:c>
      <x:c r="E97" s="27" t="str">
        <x:v>How have methods for extending the effective context length of transformer language models evolved, and what trade-offs do they make in memory, latency, and retrieval quality?</x:v>
      </x:c>
      <x:c r="F97" s="22" t="n">
        <x:v>16</x:v>
      </x:c>
      <x:c r="G97" s="17" t="str">
        <x:v>arXiv:2405.18009</x:v>
      </x:c>
      <x:c r="H97" s="27" t="str">
        <x:v>Exploring Context Window of Large Language Models via Decomposed Positional Vectors</x:v>
      </x:c>
      <x:c r="I97" s="17" t="str">
        <x:v>Zican Dong; Junyi Li; Xin Men; Wayne Xin Zhao; Bingbing Wang; Zhen Tian; Weipeng Chen; Ji-Rong Wen</x:v>
      </x:c>
      <x:c r="J97" s="22" t="n">
        <x:v>2024</x:v>
      </x:c>
      <x:c r="K97" s="27" t="str">
        <x:v>Transformer-based large language models (LLMs) typically have a limited context window, resulting in significant performance degradation when processing text beyond the length of the context window. Extensive studies have been proposed to extend the context window and achieve length extrapolation of LLMs, but there is still a lack of in-depth interpretation of these approaches. In this study, we explore the positional information within and beyond the context window for deciphering the underlying mechanism of LLMs. By using a mean-based decomposition method, we disentangle positional vectors from hidden states of LLMs and analyze their formation and effect on attention. Furthermore, when texts exceed the context window, we analyze the change of positional vectors in two settings, i.e., direct extrapolation and context window extension. Based on our findings, we design two training-free context window extension methods, positional vector replacement and attention window extension. Experimental results show that our methods can effectively extend the context window length.</x:v>
      </x:c>
      <x:c r="L97" s="17" t="str">
        <x:v>http://arxiv.org/abs/2405.18009v2</x:v>
      </x:c>
      <x:c r="M97" s="23" t="n">
        <x:v>0.015625</x:v>
      </x:c>
      <x:c r="N97" s="17" t="str">
        <x:v>arxiv-paper-eval-20260727-105551-results.jsonl</x:v>
      </x:c>
      <x:c r="O97" s="24" t="str">
        <x:v>2</x:v>
      </x:c>
      <x:c r="P97" s="28" t="str">
        <x:v>分析位置向量机制并提出两种免训练上下文窗口扩展方法。</x:v>
      </x:c>
      <x:c r="Q97" s="25" t="str"/>
      <x:c r="R97" s="24" t="str">
        <x:f>IF(Q97&lt;&gt;"",Q97,O97)</x:f>
        <x:v>2</x:v>
      </x:c>
      <x:c r="S97" s="29" t="str"/>
    </x:row>
    <x:row r="98" ht="54" customHeight="1">
      <x:c r="A98" s="17" t="str">
        <x:v>csq005-r17</x:v>
      </x:c>
      <x:c r="B98" s="17" t="str">
        <x:v>csq005</x:v>
      </x:c>
      <x:c r="C98" s="17" t="str">
        <x:v>natural_language_processing</x:v>
      </x:c>
      <x:c r="D98" s="17" t="str">
        <x:v>long_context</x:v>
      </x:c>
      <x:c r="E98" s="27" t="str">
        <x:v>How have methods for extending the effective context length of transformer language models evolved, and what trade-offs do they make in memory, latency, and retrieval quality?</x:v>
      </x:c>
      <x:c r="F98" s="22" t="n">
        <x:v>17</x:v>
      </x:c>
      <x:c r="G98" s="17" t="str">
        <x:v>arXiv:2408.10151</x:v>
      </x:c>
      <x:c r="H98" s="27" t="str">
        <x:v>Multilingual Needle in a Haystack: Investigating Long-Context Behavior of Multilingual Large Language Models</x:v>
      </x:c>
      <x:c r="I98" s="17" t="str">
        <x:v>Amey Hengle; Prasoon Bajpai; Soham Dan; Tanmoy Chakraborty</x:v>
      </x:c>
      <x:c r="J98" s="22" t="n">
        <x:v>2024</x:v>
      </x:c>
      <x:c r="K98" s="27" t="str">
        <x:v>While recent large language models (LLMs) demonstrate remarkable abilities in responding to queries in diverse languages, their ability to handle long multilingual contexts is unexplored. As such, a systematic evaluation of the long-context capabilities of LLMs in multilingual settings is crucial, specifically in the context of information retrieval. To address this gap, we introduce the MultiLingual Needle-in-a-Haystack (MLNeedle) test, designed to assess a model's ability to retrieve relevant information (the needle) from a collection of multilingual distractor texts (the haystack). This test serves as an extension of the multilingual question-answering task, encompassing both monolingual and cross-lingual retrieval. We evaluate four state-of-the-art LLMs on MLNeedle. Our findings reveal that model performance can vary significantly with language and needle position. Specifically, we observe that model performance is the lowest when the needle is (i) in a language outside the English language family and (ii) located in the middle of the input context. Furthermore, although some models claim a context size of $8k$ tokens or greater, none demonstrate satisfactory cross-lingual retrieval performance as the context length increases. Our analysis provides key insights into the long-context behavior of LLMs in multilingual settings to guide future evaluation protocols. To our knowledge, this is the first study to investigate the multilingual long-context behavior of LLMs.</x:v>
      </x:c>
      <x:c r="L98" s="17" t="str">
        <x:v>http://arxiv.org/abs/2408.10151v1</x:v>
      </x:c>
      <x:c r="M98" s="23" t="n">
        <x:v>0.015625</x:v>
      </x:c>
      <x:c r="N98" s="17" t="str">
        <x:v>arxiv-paper-eval-20260727-105551-results.jsonl</x:v>
      </x:c>
      <x:c r="O98" s="24" t="str">
        <x:v>1</x:v>
      </x:c>
      <x:c r="P98" s="28" t="str">
        <x:v>是多语言长上下文检索评测，揭示语言与位置失效但不提出扩展方法。</x:v>
      </x:c>
      <x:c r="Q98" s="25" t="str"/>
      <x:c r="R98" s="24" t="str">
        <x:f>IF(Q98&lt;&gt;"",Q98,O98)</x:f>
        <x:v>1</x:v>
      </x:c>
      <x:c r="S98" s="29" t="str"/>
    </x:row>
    <x:row r="99" ht="54" customHeight="1">
      <x:c r="A99" s="17" t="str">
        <x:v>csq005-r18</x:v>
      </x:c>
      <x:c r="B99" s="17" t="str">
        <x:v>csq005</x:v>
      </x:c>
      <x:c r="C99" s="17" t="str">
        <x:v>natural_language_processing</x:v>
      </x:c>
      <x:c r="D99" s="17" t="str">
        <x:v>long_context</x:v>
      </x:c>
      <x:c r="E99" s="27" t="str">
        <x:v>How have methods for extending the effective context length of transformer language models evolved, and what trade-offs do they make in memory, latency, and retrieval quality?</x:v>
      </x:c>
      <x:c r="F99" s="22" t="n">
        <x:v>18</x:v>
      </x:c>
      <x:c r="G99" s="17" t="str">
        <x:v>arXiv:2507.00453</x:v>
      </x:c>
      <x:c r="H99" s="27" t="str">
        <x:v>Recurrent Memory-Augmented Transformers with Chunked Attention for Long-Context Language Modeling</x:v>
      </x:c>
      <x:c r="I99" s="17" t="str">
        <x:v>Ankit Kashyap</x:v>
      </x:c>
      <x:c r="J99" s="22" t="n">
        <x:v>2025</x:v>
      </x:c>
      <x:c r="K99" s="27" t="str">
        <x:v>We present a Transformer architecture for long-context language modeling that combines global attention with two biologically inspired components: chunked local attention and a gated FIFO memory mechanism. This unified attention block allows the model to efficiently handle both short-range and long-range dependencies without increasing attention cost quadratically. The memory module persistently stores past token representations using a gated update mechanism inspired by recurrent networks. Rotary positional encoding is applied per attention head to enable directionally disentangled, scale-invariant positional signals. The architecture is implemented entirely from scratch in PyTorch, with no reliance on high-level libraries, enabling transparent and modular experimentation. Our model offers a lightweight and extensible design for tasks such as dialogue modeling, code completion, and document understanding.</x:v>
      </x:c>
      <x:c r="L99" s="17" t="str">
        <x:v>http://arxiv.org/abs/2507.00453v1</x:v>
      </x:c>
      <x:c r="M99" s="23" t="n">
        <x:v>0.015384615384615385</x:v>
      </x:c>
      <x:c r="N99" s="17" t="str">
        <x:v>arxiv-paper-eval-20260727-105551-results.jsonl</x:v>
      </x:c>
      <x:c r="O99" s="24" t="str">
        <x:v>2</x:v>
      </x:c>
      <x:c r="P99" s="28" t="str">
        <x:v>结合局部注意力与门控FIFO记忆以避免长上下文二次方开销。</x:v>
      </x:c>
      <x:c r="Q99" s="25" t="str"/>
      <x:c r="R99" s="24" t="str">
        <x:f>IF(Q99&lt;&gt;"",Q99,O99)</x:f>
        <x:v>2</x:v>
      </x:c>
      <x:c r="S99" s="29" t="str"/>
    </x:row>
    <x:row r="100" ht="54" customHeight="1">
      <x:c r="A100" s="17" t="str">
        <x:v>csq005-r19</x:v>
      </x:c>
      <x:c r="B100" s="17" t="str">
        <x:v>csq005</x:v>
      </x:c>
      <x:c r="C100" s="17" t="str">
        <x:v>natural_language_processing</x:v>
      </x:c>
      <x:c r="D100" s="17" t="str">
        <x:v>long_context</x:v>
      </x:c>
      <x:c r="E100" s="27" t="str">
        <x:v>How have methods for extending the effective context length of transformer language models evolved, and what trade-offs do they make in memory, latency, and retrieval quality?</x:v>
      </x:c>
      <x:c r="F100" s="22" t="n">
        <x:v>19</x:v>
      </x:c>
      <x:c r="G100" s="17" t="str">
        <x:v>arXiv:2507.20030</x:v>
      </x:c>
      <x:c r="H100" s="27" t="str">
        <x:v>FAEDKV: Infinite-Window Fourier Transform for Unbiased KV Cache Compression</x:v>
      </x:c>
      <x:c r="I100" s="17" t="str">
        <x:v>Runchao Li; Yao Fu; Mu Sheng; Xianxuan Long; Haotian Yu; Pan Li</x:v>
      </x:c>
      <x:c r="J100" s="22" t="n">
        <x:v>2025</x:v>
      </x:c>
      <x:c r="K100" s="27" t="str">
        <x:v>The efficacy of Large Language Models (LLMs) in long-context tasks is often hampered by the substantial memory footprint and computational demands of the Key-Value (KV) cache. Current compression strategies, including token eviction and learned projections, frequently lead to biased representations -- either by overemphasizing recent/high-attention tokens or by repeatedly degrading information from earlier context -- and may require costly model retraining. We present FAEDKV (Frequency-Adaptive Infinite-Window for KV cache), a novel, training-free KV cache compression framework that ensures unbiased information retention. FAEDKV operates by transforming the KV cache into the frequency domain using a proposed Infinite-Window Fourier Transform (IWDFT). This approach allows for the equalized contribution of all tokens to the compressed representation, effectively preserving both early and recent contextual information. A preliminary frequency ablation study identifies critical spectral components for layer-wise, targeted compression. Experiments on LongBench benchmark demonstrate FAEDKV's superiority over existing methods by up to 22\%. In addition, our method shows superior, position-agnostic retrieval accuracy on the Needle-In-A-Haystack task compared to compression based approaches.</x:v>
      </x:c>
      <x:c r="L100" s="17" t="str">
        <x:v>http://arxiv.org/abs/2507.20030v1</x:v>
      </x:c>
      <x:c r="M100" s="23" t="n">
        <x:v>0.015384615384615385</x:v>
      </x:c>
      <x:c r="N100" s="17" t="str">
        <x:v>arxiv-paper-eval-20260727-105551-results.jsonl</x:v>
      </x:c>
      <x:c r="O100" s="24" t="str">
        <x:v>2</x:v>
      </x:c>
      <x:c r="P100" s="28" t="str">
        <x:v>频域KV压缩旨在无偏保留早晚信息并提升长基准和针检索质量。</x:v>
      </x:c>
      <x:c r="Q100" s="25" t="str"/>
      <x:c r="R100" s="24" t="str">
        <x:f>IF(Q100&lt;&gt;"",Q100,O100)</x:f>
        <x:v>2</x:v>
      </x:c>
      <x:c r="S100" s="29" t="str"/>
    </x:row>
    <x:row r="101" ht="54" customHeight="1">
      <x:c r="A101" s="17" t="str">
        <x:v>csq005-r20</x:v>
      </x:c>
      <x:c r="B101" s="17" t="str">
        <x:v>csq005</x:v>
      </x:c>
      <x:c r="C101" s="17" t="str">
        <x:v>natural_language_processing</x:v>
      </x:c>
      <x:c r="D101" s="17" t="str">
        <x:v>long_context</x:v>
      </x:c>
      <x:c r="E101" s="27" t="str">
        <x:v>How have methods for extending the effective context length of transformer language models evolved, and what trade-offs do they make in memory, latency, and retrieval quality?</x:v>
      </x:c>
      <x:c r="F101" s="22" t="n">
        <x:v>20</x:v>
      </x:c>
      <x:c r="G101" s="17" t="str">
        <x:v>arXiv:2411.19360</x:v>
      </x:c>
      <x:c r="H101" s="27" t="str">
        <x:v>DENIAHL: In-Context Features Influence LLM Needle-In-A-Haystack Abilities</x:v>
      </x:c>
      <x:c r="I101" s="17" t="str">
        <x:v>Hui Dai; Dan Pechi; Xinyi Yang; Garvit Banga; Raghav Mantri</x:v>
      </x:c>
      <x:c r="J101" s="22" t="n">
        <x:v>2024</x:v>
      </x:c>
      <x:c r="K101" s="27" t="str">
        <x:v>The Needle-in-a-haystack (NIAH) test is a general task used to assess language models' (LMs') abilities to recall particular information from long input context. This framework however does not provide a means of analyzing what factors, beyond context length, contribute to LMs' abilities or inabilities to separate and recall needles from their haystacks. To provide a systematic means of assessing what features contribute to LMs' NIAH capabilities, we developed a synthetic benchmark called DENIAHL (Data-oriented Evaluation of NIAH for LLM's). Our work expands on previous NIAH studies by ablating NIAH features beyond typical context length including data type, size, and patterns. We find stark differences between GPT-3.5 and LLaMA 2-7B's performance on DENIAHL, and drops in recall performance when features like item size are increased, and to some degree when data type is changed from numbers to letters. This has implications for increasingly large context models, demonstrating factors beyond item-number impact NIAH capabilities.</x:v>
      </x:c>
      <x:c r="L101" s="17" t="str">
        <x:v>http://arxiv.org/abs/2411.19360v1</x:v>
      </x:c>
      <x:c r="M101" s="23" t="n">
        <x:v>0.015384615384615385</x:v>
      </x:c>
      <x:c r="N101" s="17" t="str">
        <x:v>arxiv-paper-eval-20260727-105551-results.jsonl</x:v>
      </x:c>
      <x:c r="O101" s="24" t="str">
        <x:v>1</x:v>
      </x:c>
      <x:c r="P101" s="28" t="str">
        <x:v>分析长上下文检索除长度外的失败因素，可评价质量但非扩展技术。</x:v>
      </x:c>
      <x:c r="Q101" s="25" t="str"/>
      <x:c r="R101" s="24" t="str">
        <x:f>IF(Q101&lt;&gt;"",Q101,O101)</x:f>
        <x:v>1</x:v>
      </x:c>
      <x:c r="S101" s="29" t="str"/>
    </x:row>
    <x:row r="102" ht="54" customHeight="1">
      <x:c r="A102" s="17" t="str">
        <x:v>csq006-r01</x:v>
      </x:c>
      <x:c r="B102" s="17" t="str">
        <x:v>csq006</x:v>
      </x:c>
      <x:c r="C102" s="17" t="str">
        <x:v>machine_learning</x:v>
      </x:c>
      <x:c r="D102" s="17" t="str">
        <x:v>parameter_efficient_finetuning</x:v>
      </x:c>
      <x:c r="E102" s="27" t="str">
        <x:v>What are the main parameter-efficient fine-tuning methods, and how do they reduce trainable parameters while preserving downstream performance?</x:v>
      </x:c>
      <x:c r="F102" s="22" t="n">
        <x:v>1</x:v>
      </x:c>
      <x:c r="G102" s="17" t="str">
        <x:v>arXiv:2511.21285</x:v>
      </x:c>
      <x:c r="H102" s="27" t="str">
        <x:v>PEFT-Bench: A Parameter-Efficient Fine-Tuning Methods Benchmark</x:v>
      </x:c>
      <x:c r="I102" s="17" t="str">
        <x:v>Robert Belanec; Branislav Pecher; Ivan Srba; Maria Bielikova</x:v>
      </x:c>
      <x:c r="J102" s="22" t="n">
        <x:v>2025</x:v>
      </x:c>
      <x:c r="K102" s="27" t="str">
        <x:v>Despite the state-of-the-art performance of Large Language Models (LLMs) achieved on many tasks, their massive scale often leads to high computational and environmental costs, limiting their accessibility. Parameter-Efficient Fine-Tuning (PEFT) methods address this challenge by reducing the number of trainable parameters while maintaining strong downstream performance. Despite the advances in PEFT methods, current evaluations remain limited (in terms of evaluated models and datasets) and difficult to reproduce. To bridge this gap, we introduce PEFT-Bench, a unified end-to-end benchmark for evaluating diverse PEFT methods on autoregressive LLMs. We demonstrate its usage across 27 NLP datasets and 7 PEFT methods. To account for different PEFT training and inference factors, we also introduce the PEFT Soft Cost Penalties (PSCP) metric, which takes trainable parameters, inference speed, and training memory usage into account.</x:v>
      </x:c>
      <x:c r="L102" s="17" t="str">
        <x:v>http://arxiv.org/abs/2511.21285v3</x:v>
      </x:c>
      <x:c r="M102" s="23" t="n">
        <x:v>0.0637560803891449</x:v>
      </x:c>
      <x:c r="N102" s="17" t="str">
        <x:v>arxiv-paper-eval-20260727-105551-results.jsonl</x:v>
      </x:c>
      <x:c r="O102" s="24" t="str">
        <x:v>2</x:v>
      </x:c>
      <x:c r="P102" s="28" t="str">
        <x:v>统一基准比较七类PEFT方法及参数、速度、内存和下游表现。</x:v>
      </x:c>
      <x:c r="Q102" s="25" t="str"/>
      <x:c r="R102" s="24" t="str">
        <x:f>IF(Q102&lt;&gt;"",Q102,O102)</x:f>
        <x:v>2</x:v>
      </x:c>
      <x:c r="S102" s="29" t="str"/>
    </x:row>
    <x:row r="103" ht="54" customHeight="1">
      <x:c r="A103" s="17" t="str">
        <x:v>csq006-r02</x:v>
      </x:c>
      <x:c r="B103" s="17" t="str">
        <x:v>csq006</x:v>
      </x:c>
      <x:c r="C103" s="17" t="str">
        <x:v>machine_learning</x:v>
      </x:c>
      <x:c r="D103" s="17" t="str">
        <x:v>parameter_efficient_finetuning</x:v>
      </x:c>
      <x:c r="E103" s="27" t="str">
        <x:v>What are the main parameter-efficient fine-tuning methods, and how do they reduce trainable parameters while preserving downstream performance?</x:v>
      </x:c>
      <x:c r="F103" s="22" t="n">
        <x:v>2</x:v>
      </x:c>
      <x:c r="G103" s="17" t="str">
        <x:v>arXiv:2504.14117</x:v>
      </x:c>
      <x:c r="H103" s="27" t="str">
        <x:v>PEFT A2Z: Parameter-Efficient Fine-Tuning Survey for Large Language and Vision Models</x:v>
      </x:c>
      <x:c r="I103" s="17" t="str">
        <x:v>Nusrat Jahan Prottasha; Upama Roy Chowdhury; Shetu Mohanto; Tasfia Nuzhat; Abdullah As Sami; Md Shamol Ali; Md Shohanur Islam Sobuj; Hafijur Raman; Md Kowsher; Ozlem Ozmen Garibay</x:v>
      </x:c>
      <x:c r="J103" s="22" t="n">
        <x:v>2025</x:v>
      </x:c>
      <x:c r="K103" s="27" t="str">
        <x:v>Large models such as Large Language Models (LLMs) and Vision Language Models (VLMs) have transformed artificial intelligence, powering applications in natural language processing, computer vision, and multimodal learning. However, fully fine-tuning these models remains expensive, requiring extensive computational resources, memory, and task-specific data. Parameter-Efficient Fine-Tuning (PEFT) has emerged as a promising solution that allows adapting large models to downstream tasks by updating only a small portion of parameters. This survey presents a comprehensive overview of PEFT techniques, focusing on their motivations, design principles, and effectiveness. We begin by analyzing the resource and accessibility challenges posed by traditional fine-tuning and highlight key issues, such as overfitting, catastrophic forgetting, and parameter inefficiency. We then introduce a structured taxonomy of PEFT methods -- grouped into additive, selective, reparameterized, hybrid, and unified frameworks -- and systematically compare their mechanisms and trade-offs. Beyond taxonomy, we explore the impact of PEFT across diverse domains, including language, vision, and generative modeling, showing how these techniques offer strong performance with lower resource costs. We also discuss important open challenges in scalability, interpretability, and robustness, and suggest future directions such as federated learning, domain adaptation, and theoretical grounding. Our goal is to provide a unified understanding of PEFT and its growing role in enabling practical, efficient, and sustainable use of large models.</x:v>
      </x:c>
      <x:c r="L103" s="17" t="str">
        <x:v>http://arxiv.org/abs/2504.14117v1</x:v>
      </x:c>
      <x:c r="M103" s="23" t="n">
        <x:v>0.04918032786885246</x:v>
      </x:c>
      <x:c r="N103" s="17" t="str">
        <x:v>arxiv-paper-eval-20260727-105551-results.jsonl</x:v>
      </x:c>
      <x:c r="O103" s="24" t="str">
        <x:v>2</x:v>
      </x:c>
      <x:c r="P103" s="28" t="str">
        <x:v>系统分类加法、选择、重参数化、混合等PEFT机制和权衡。</x:v>
      </x:c>
      <x:c r="Q103" s="25" t="str"/>
      <x:c r="R103" s="24" t="str">
        <x:f>IF(Q103&lt;&gt;"",Q103,O103)</x:f>
        <x:v>2</x:v>
      </x:c>
      <x:c r="S103" s="29" t="str"/>
    </x:row>
    <x:row r="104" ht="54" customHeight="1">
      <x:c r="A104" s="17" t="str">
        <x:v>csq006-r03</x:v>
      </x:c>
      <x:c r="B104" s="17" t="str">
        <x:v>csq006</x:v>
      </x:c>
      <x:c r="C104" s="17" t="str">
        <x:v>machine_learning</x:v>
      </x:c>
      <x:c r="D104" s="17" t="str">
        <x:v>parameter_efficient_finetuning</x:v>
      </x:c>
      <x:c r="E104" s="27" t="str">
        <x:v>What are the main parameter-efficient fine-tuning methods, and how do they reduce trainable parameters while preserving downstream performance?</x:v>
      </x:c>
      <x:c r="F104" s="22" t="n">
        <x:v>3</x:v>
      </x:c>
      <x:c r="G104" s="17" t="str">
        <x:v>arXiv:2310.03059</x:v>
      </x:c>
      <x:c r="H104" s="27" t="str">
        <x:v>Point-PEFT: Parameter-Efficient Fine-Tuning for 3D Pre-trained Models</x:v>
      </x:c>
      <x:c r="I104" s="17" t="str">
        <x:v>Yiwen Tang; Ray Zhang; Zoey Guo; Dong Wang; Zhigang Wang; Bin Zhao; Xuelong Li</x:v>
      </x:c>
      <x:c r="J104" s="22" t="n">
        <x:v>2023</x:v>
      </x:c>
      <x:c r="K104" s="27" t="str">
        <x:v>The popularity of pre-trained large models has revolutionized downstream tasks across diverse fields, such as language, vision, and multi-modality. To minimize the adaption cost for downstream tasks, many Parameter-Efficient Fine-Tuning (PEFT) techniques are proposed for language and 2D image pre-trained models. However, the specialized PEFT method for 3D pre-trained models is still under-explored. To this end, we introduce Point-PEFT, a novel framework for adapting point cloud pre-trained models with minimal learnable parameters. Specifically, for a pre-trained 3D model, we freeze most of its parameters, and only tune the newly added PEFT modules on downstream tasks, which consist of a Point-prior Prompt and a Geometry-aware Adapter. The Point-prior Prompt adopts a set of learnable prompt tokens, for which we propose to construct a memory bank with domain-specific knowledge, and utilize a parameter-free attention to enhance the prompt tokens. The Geometry-aware Adapter aims to aggregate point cloud features within spatial neighborhoods to capture fine-grained geometric information through local interactions. Extensive experiments indicate that our Point-PEFT can achieve better performance than the full fine-tuning on various downstream tasks, while using only 5% of the trainable parameters, demonstrating the efficiency and effectiveness of our approach. Code is released at https://github.com/Ivan-Tang-3D/Point-PEFT.</x:v>
      </x:c>
      <x:c r="L104" s="17" t="str">
        <x:v>http://arxiv.org/abs/2310.03059v8</x:v>
      </x:c>
      <x:c r="M104" s="23" t="n">
        <x:v>0.048651507139079855</x:v>
      </x:c>
      <x:c r="N104" s="17" t="str">
        <x:v>arxiv-paper-eval-20260727-105551-results.jsonl</x:v>
      </x:c>
      <x:c r="O104" s="24" t="str">
        <x:v>2</x:v>
      </x:c>
      <x:c r="P104" s="28" t="str">
        <x:v>通过冻结主干并仅训练提示和适配器，用5%参数保持三维任务表现。</x:v>
      </x:c>
      <x:c r="Q104" s="25" t="str"/>
      <x:c r="R104" s="24" t="str">
        <x:f>IF(Q104&lt;&gt;"",Q104,O104)</x:f>
        <x:v>2</x:v>
      </x:c>
      <x:c r="S104" s="29" t="str"/>
    </x:row>
    <x:row r="105" ht="54" customHeight="1">
      <x:c r="A105" s="17" t="str">
        <x:v>csq006-r04</x:v>
      </x:c>
      <x:c r="B105" s="17" t="str">
        <x:v>csq006</x:v>
      </x:c>
      <x:c r="C105" s="17" t="str">
        <x:v>machine_learning</x:v>
      </x:c>
      <x:c r="D105" s="17" t="str">
        <x:v>parameter_efficient_finetuning</x:v>
      </x:c>
      <x:c r="E105" s="27" t="str">
        <x:v>What are the main parameter-efficient fine-tuning methods, and how do they reduce trainable parameters while preserving downstream performance?</x:v>
      </x:c>
      <x:c r="F105" s="22" t="n">
        <x:v>4</x:v>
      </x:c>
      <x:c r="G105" s="17" t="str">
        <x:v>arXiv:2406.03792</x:v>
      </x:c>
      <x:c r="H105" s="27" t="str">
        <x:v>Light-PEFT: Lightening Parameter-Efficient Fine-Tuning via Early Pruning</x:v>
      </x:c>
      <x:c r="I105" s="17" t="str">
        <x:v>Naibin Gu; Peng Fu; Xiyu Liu; Bowen Shen; Zheng Lin; Weiping Wang</x:v>
      </x:c>
      <x:c r="J105" s="22" t="n">
        <x:v>2024</x:v>
      </x:c>
      <x:c r="K105" s="27" t="str">
        <x:v>Parameter-efficient fine-tuning (PEFT) has emerged as the predominant technique for fine-tuning in the era of large language models. However, existing PEFT methods still have inadequate training efficiency. Firstly, the utilization of large-scale foundation models during the training process is excessively redundant for certain fine-tuning tasks. Secondly, as the model size increases, the growth in trainable parameters of empirically added PEFT modules becomes non-negligible and redundant, leading to inefficiency. To achieve task-specific efficient fine-tuning, we propose the Light-PEFT framework, which includes two methods: Masked Early Pruning of the Foundation Model and Multi-Granularity Early Pruning of PEFT. The Light-PEFT framework allows for the simultaneous estimation of redundant parameters in both the foundation model and PEFT modules during the early stage of training. These parameters can then be pruned for more efficient fine-tuning. We validate our approach on GLUE, SuperGLUE, QA tasks, and various models. With Light-PEFT, parameters of the foundation model can be pruned by up to over 40%, while still controlling trainable parameters to be only 25% of the original PEFT method. Compared to utilizing the PEFT method directly, Light-PEFT achieves training and inference speedup, reduces memory usage, and maintains comparable performance and the plug-and-play feature of PEFT.</x:v>
      </x:c>
      <x:c r="L105" s="17" t="str">
        <x:v>http://arxiv.org/abs/2406.03792v1</x:v>
      </x:c>
      <x:c r="M105" s="23" t="n">
        <x:v>0.04551728464771943</x:v>
      </x:c>
      <x:c r="N105" s="17" t="str">
        <x:v>arxiv-paper-eval-20260727-105551-results.jsonl</x:v>
      </x:c>
      <x:c r="O105" s="24" t="str">
        <x:v>2</x:v>
      </x:c>
      <x:c r="P105" s="28" t="str">
        <x:v>早期剪枝主干与PEFT模块进一步减少训练参数并保持性能。</x:v>
      </x:c>
      <x:c r="Q105" s="25" t="str"/>
      <x:c r="R105" s="24" t="str">
        <x:f>IF(Q105&lt;&gt;"",Q105,O105)</x:f>
        <x:v>2</x:v>
      </x:c>
      <x:c r="S105" s="29" t="str"/>
    </x:row>
    <x:row r="106" ht="54" customHeight="1">
      <x:c r="A106" s="17" t="str">
        <x:v>csq006-r05</x:v>
      </x:c>
      <x:c r="B106" s="17" t="str">
        <x:v>csq006</x:v>
      </x:c>
      <x:c r="C106" s="17" t="str">
        <x:v>machine_learning</x:v>
      </x:c>
      <x:c r="D106" s="17" t="str">
        <x:v>parameter_efficient_finetuning</x:v>
      </x:c>
      <x:c r="E106" s="27" t="str">
        <x:v>What are the main parameter-efficient fine-tuning methods, and how do they reduce trainable parameters while preserving downstream performance?</x:v>
      </x:c>
      <x:c r="F106" s="22" t="n">
        <x:v>5</x:v>
      </x:c>
      <x:c r="G106" s="17" t="str">
        <x:v>arXiv:2511.16147</x:v>
      </x:c>
      <x:c r="H106" s="27" t="str">
        <x:v>TS-PEFT: Unveiling Token-Level Redundancy in Parameter-Efficient Fine-Tuning</x:v>
      </x:c>
      <x:c r="I106" s="17" t="str">
        <x:v>Dabiao Ma; Ziming Dai; Zhimin Xin; Shu Wang; Jian Yang; Haojun Fei</x:v>
      </x:c>
      <x:c r="J106" s="22" t="n">
        <x:v>2025</x:v>
      </x:c>
      <x:c r="K106" s="27" t="str">
        <x:v>Current Parameter-Efficient Fine-Tuning (PEFT) methods typically operate under an implicit assumption: Once a target module is selected, every token passing through it contributes equally to the downstream task and requires a parameter update. In this paper, we challenge this convention by revealing a pervasive token-level redundancy in the fine-tuning of large models (LMs). We propose TS-PEFT, a theoretical framework utilizing proximal optimization that acts as a dynamic probe to identify token-level redundancy during the fine-tuning process. Extensive experiments demonstrate that indiscriminately updating all tokens is not only computationally superfluous but often introduces optimization noise. Surprisingly, by discarding 30%-70% of token updates, TS-PEFT consistently matches or exceeds the performance of dense baselines such as LoRA, DoRA. Our in-depth analysis shows that the learned token-level sparsity is a superior indicator of module importance compared to traditional weight criteria, providing a novel data-driven perspective on the intrinsic adaptation mechanism of LMs.</x:v>
      </x:c>
      <x:c r="L106" s="17" t="str">
        <x:v>http://arxiv.org/abs/2511.16147v3</x:v>
      </x:c>
      <x:c r="M106" s="23" t="n">
        <x:v>0.04376625789669268</x:v>
      </x:c>
      <x:c r="N106" s="17" t="str">
        <x:v>arxiv-paper-eval-20260727-105551-results.jsonl</x:v>
      </x:c>
      <x:c r="O106" s="24" t="str">
        <x:v>2</x:v>
      </x:c>
      <x:c r="P106" s="28" t="str">
        <x:v>识别token级更新冗余，丢弃多数更新仍匹配或超过LoRA和DoRA。</x:v>
      </x:c>
      <x:c r="Q106" s="25" t="str"/>
      <x:c r="R106" s="24" t="str">
        <x:f>IF(Q106&lt;&gt;"",Q106,O106)</x:f>
        <x:v>2</x:v>
      </x:c>
      <x:c r="S106" s="29" t="str"/>
    </x:row>
    <x:row r="107" ht="54" customHeight="1">
      <x:c r="A107" s="17" t="str">
        <x:v>csq006-r06</x:v>
      </x:c>
      <x:c r="B107" s="17" t="str">
        <x:v>csq006</x:v>
      </x:c>
      <x:c r="C107" s="17" t="str">
        <x:v>machine_learning</x:v>
      </x:c>
      <x:c r="D107" s="17" t="str">
        <x:v>parameter_efficient_finetuning</x:v>
      </x:c>
      <x:c r="E107" s="27" t="str">
        <x:v>What are the main parameter-efficient fine-tuning methods, and how do they reduce trainable parameters while preserving downstream performance?</x:v>
      </x:c>
      <x:c r="F107" s="22" t="n">
        <x:v>6</x:v>
      </x:c>
      <x:c r="G107" s="17" t="str">
        <x:v>arXiv:2401.16137</x:v>
      </x:c>
      <x:c r="H107" s="27" t="str">
        <x:v>X-PEFT: eXtremely Parameter-Efficient Fine-Tuning for Extreme Multi-Profile Scenarios</x:v>
      </x:c>
      <x:c r="I107" s="17" t="str">
        <x:v>Namju Kwak; Taesup Kim</x:v>
      </x:c>
      <x:c r="J107" s="22" t="n">
        <x:v>2024</x:v>
      </x:c>
      <x:c r="K107" s="27" t="str">
        <x:v>Parameter-efficient fine-tuning (PEFT) techniques, such as adapter tuning, aim to fine-tune a pre-trained language model (PLM) using a minimal number of parameters for a specific task or profile. Although adapter tuning provides increased parameter efficiency compared to full-model fine-tuning, it introduces a small set of additional parameters attached to a PLM for each profile. This can become problematic in practical applications with multiple profiles, particularly when a significant increase in the number of profiles linearly boosts the total number of additional parameters. To mitigate this issue, we introduce X-PEFT, a novel PEFT method that leverages a multitude of given adapters by fine-tuning an extremely small set of compact tensors for a new profile, which serve as binary masks to adaptively select the given adapters. To efficiently validate our proposed method, we implement it using a large number of trained or untrained (random) adapters. We evaluate the performance of X-PEFT through LaMP and GLUE tasks and demonstrate that it either matches or surpasses the effectiveness of conventional adapter tuning, despite reducing the memory requirements per profile by a factor of 10,000 compared to it.</x:v>
      </x:c>
      <x:c r="L107" s="17" t="str">
        <x:v>http://arxiv.org/abs/2401.16137v1</x:v>
      </x:c>
      <x:c r="M107" s="23" t="n">
        <x:v>0.04336895980731597</x:v>
      </x:c>
      <x:c r="N107" s="17" t="str">
        <x:v>arxiv-paper-eval-20260727-105551-results.jsonl</x:v>
      </x:c>
      <x:c r="O107" s="24" t="str">
        <x:v>2</x:v>
      </x:c>
      <x:c r="P107" s="28" t="str">
        <x:v>以紧凑二值掩码复用既有适配器，大幅降低每个配置的参数和内存。</x:v>
      </x:c>
      <x:c r="Q107" s="25" t="str"/>
      <x:c r="R107" s="24" t="str">
        <x:f>IF(Q107&lt;&gt;"",Q107,O107)</x:f>
        <x:v>2</x:v>
      </x:c>
      <x:c r="S107" s="29" t="str"/>
    </x:row>
    <x:row r="108" ht="54" customHeight="1">
      <x:c r="A108" s="17" t="str">
        <x:v>csq006-r07</x:v>
      </x:c>
      <x:c r="B108" s="17" t="str">
        <x:v>csq006</x:v>
      </x:c>
      <x:c r="C108" s="17" t="str">
        <x:v>machine_learning</x:v>
      </x:c>
      <x:c r="D108" s="17" t="str">
        <x:v>parameter_efficient_finetuning</x:v>
      </x:c>
      <x:c r="E108" s="27" t="str">
        <x:v>What are the main parameter-efficient fine-tuning methods, and how do they reduce trainable parameters while preserving downstream performance?</x:v>
      </x:c>
      <x:c r="F108" s="22" t="n">
        <x:v>7</x:v>
      </x:c>
      <x:c r="G108" s="17" t="str">
        <x:v>arXiv:2504.17397</x:v>
      </x:c>
      <x:c r="H108" s="27" t="str">
        <x:v>Fine-tune Smarter, Not Harder: Parameter-Efficient Fine-Tuning for Geospatial Foundation Models</x:v>
      </x:c>
      <x:c r="I108" s="17" t="str">
        <x:v>Francesc Marti-Escofet; Benedikt Blumenstiel; Linus Scheibenreif; Paolo Fraccaro; Konrad Schindler</x:v>
      </x:c>
      <x:c r="J108" s="22" t="n">
        <x:v>2025</x:v>
      </x:c>
      <x:c r="K108" s="27" t="str">
        <x:v>Earth observation (EO) is crucial for monitoring environmental changes, responding to disasters, and managing natural resources. In this context, foundation models facilitate remote sensing image analysis to retrieve relevant geoinformation accurately and efficiently. However, as these models grow in size, fine-tuning becomes increasingly challenging due to the associated computational resources and costs, limiting their accessibility and scalability. Furthermore, full fine-tuning can lead to forgetting pre-trained features and even degrade model generalization. To address this, Parameter-Efficient Fine-Tuning (PEFT) techniques offer a promising solution. In this paper, we conduct extensive experiments with various foundation model architectures and PEFT techniques to evaluate their effectiveness on five different EO datasets. Our results provide a comprehensive comparison, offering insights into when and how PEFT methods support the adaptation of pre-trained geospatial models. We demonstrate that PEFT techniques match or even exceed full fine-tuning performance and enhance model generalisation to unseen geographic regions, while reducing training time and memory requirements. Additional experiments investigate the effect of architecture choices such as the decoder type or the use of metadata, suggesting UNet decoders and fine-tuning without metadata as the recommended configuration. We have integrated all evaluated foundation models and techniques into the open-source package TerraTorch to support quick, scalable, and cost-effective model adaptation.</x:v>
      </x:c>
      <x:c r="L108" s="17" t="str">
        <x:v>http://arxiv.org/abs/2504.17397v2</x:v>
      </x:c>
      <x:c r="M108" s="23" t="n">
        <x:v>0.0430943872188354</x:v>
      </x:c>
      <x:c r="N108" s="17" t="str">
        <x:v>arxiv-paper-eval-20260727-105551-results.jsonl</x:v>
      </x:c>
      <x:c r="O108" s="24" t="str">
        <x:v>2</x:v>
      </x:c>
      <x:c r="P108" s="28" t="str">
        <x:v>跨地理基础模型比较多种PEFT并验证内存、时间和泛化收益。</x:v>
      </x:c>
      <x:c r="Q108" s="25" t="str"/>
      <x:c r="R108" s="24" t="str">
        <x:f>IF(Q108&lt;&gt;"",Q108,O108)</x:f>
        <x:v>2</x:v>
      </x:c>
      <x:c r="S108" s="29" t="str"/>
    </x:row>
    <x:row r="109" ht="54" customHeight="1">
      <x:c r="A109" s="17" t="str">
        <x:v>csq006-r08</x:v>
      </x:c>
      <x:c r="B109" s="17" t="str">
        <x:v>csq006</x:v>
      </x:c>
      <x:c r="C109" s="17" t="str">
        <x:v>machine_learning</x:v>
      </x:c>
      <x:c r="D109" s="17" t="str">
        <x:v>parameter_efficient_finetuning</x:v>
      </x:c>
      <x:c r="E109" s="27" t="str">
        <x:v>What are the main parameter-efficient fine-tuning methods, and how do they reduce trainable parameters while preserving downstream performance?</x:v>
      </x:c>
      <x:c r="F109" s="22" t="n">
        <x:v>8</x:v>
      </x:c>
      <x:c r="G109" s="17" t="str">
        <x:v>arXiv:2503.05431</x:v>
      </x:c>
      <x:c r="H109" s="27" t="str">
        <x:v>Quantum-PEFT: Ultra parameter-efficient fine-tuning</x:v>
      </x:c>
      <x:c r="I109" s="17" t="str">
        <x:v>Toshiaki Koike-Akino; Francesco Tonin; Yongtao Wu; Frank Zhengqing Wu; Leyla Naz Candogan; Volkan Cevher</x:v>
      </x:c>
      <x:c r="J109" s="22" t="n">
        <x:v>2025</x:v>
      </x:c>
      <x:c r="K109" s="27" t="str">
        <x:v>This paper introduces Quantum-PEFT that leverages quantum computations for parameter-efficient fine-tuning (PEFT). Unlike other additive PEFT methods, such as low-rank adaptation (LoRA), Quantum-PEFT exploits an underlying full-rank yet surprisingly parameter efficient quantum unitary parameterization. With the use of Pauli parameterization, the number of trainable parameters grows only logarithmically with the ambient dimension, as opposed to linearly as in LoRA-based PEFT methods. Quantum-PEFT achieves vanishingly smaller number of trainable parameters than the lowest-rank LoRA as dimensions grow, enhancing parameter efficiency while maintaining a competitive performance. We apply Quantum-PEFT to several transfer learning benchmarks in language and vision, demonstrating significant advantages in parameter efficiency.</x:v>
      </x:c>
      <x:c r="L109" s="17" t="str">
        <x:v>http://arxiv.org/abs/2503.05431v1</x:v>
      </x:c>
      <x:c r="M109" s="23" t="n">
        <x:v>0.03149801587301587</x:v>
      </x:c>
      <x:c r="N109" s="17" t="str">
        <x:v>arxiv-paper-eval-20260727-105551-results.jsonl</x:v>
      </x:c>
      <x:c r="O109" s="24" t="str">
        <x:v>2</x:v>
      </x:c>
      <x:c r="P109" s="28" t="str">
        <x:v>用量子酉参数化使训练参数随维度对数增长并保持竞争性能。</x:v>
      </x:c>
      <x:c r="Q109" s="25" t="str"/>
      <x:c r="R109" s="24" t="str">
        <x:f>IF(Q109&lt;&gt;"",Q109,O109)</x:f>
        <x:v>2</x:v>
      </x:c>
      <x:c r="S109" s="29" t="str"/>
    </x:row>
    <x:row r="110" ht="54" customHeight="1">
      <x:c r="A110" s="17" t="str">
        <x:v>csq006-r09</x:v>
      </x:c>
      <x:c r="B110" s="17" t="str">
        <x:v>csq006</x:v>
      </x:c>
      <x:c r="C110" s="17" t="str">
        <x:v>machine_learning</x:v>
      </x:c>
      <x:c r="D110" s="17" t="str">
        <x:v>parameter_efficient_finetuning</x:v>
      </x:c>
      <x:c r="E110" s="27" t="str">
        <x:v>What are the main parameter-efficient fine-tuning methods, and how do they reduce trainable parameters while preserving downstream performance?</x:v>
      </x:c>
      <x:c r="F110" s="22" t="n">
        <x:v>9</x:v>
      </x:c>
      <x:c r="G110" s="17" t="str">
        <x:v>arXiv:2409.16434</x:v>
      </x:c>
      <x:c r="H110" s="27" t="str">
        <x:v>Lessons and Insights from a Unifying Study of Parameter-Efficient Fine-Tuning (PEFT) in Visual Recognition</x:v>
      </x:c>
      <x:c r="I110" s="17" t="str">
        <x:v>Zheda Mai; Ping Zhang; Cheng-Hao Tu; Hong-You Chen; Li Zhang; Wei-Lun Chao</x:v>
      </x:c>
      <x:c r="J110" s="22" t="n">
        <x:v>2024</x:v>
      </x:c>
      <x:c r="K110" s="27" t="str">
        <x:v>Parameter-efficient fine-tuning (PEFT) has attracted significant attention due to the growth of pre-trained model sizes and the need to fine-tune (FT) them for superior downstream performance. Despite a surge in new PEFT methods, a systematic study to understand their performance and suitable application scenarios is lacking, leaving questions like "when to apply PEFT" and "which method to use" largely unanswered, especially in visual recognition. In this paper, we conduct a unifying empirical study of representative PEFT methods with Vision Transformers. We systematically tune their hyperparameters to fairly compare their accuracy on downstream tasks. Our study offers a practical user guide and unveils several new insights. First, if tuned carefully, different PEFT methods achieve similar accuracy in the low-shot benchmark VTAB-1K. This includes simple approaches like FT the bias terms that were reported inferior. Second, despite similar accuracy, we find that PEFT methods make different mistakes and high-confidence predictions, likely due to their different inductive biases. Such an inconsistency (or complementarity) opens up the opportunity for ensemble methods, and we make preliminary attempts at this. Third, going beyond the commonly used low-shot tasks, we find that PEFT is also useful in many-shot regimes, achieving comparable or better accuracy than full FT while using significantly fewer parameters. Lastly, we investigate PEFT's ability to preserve a pre-trained model's robustness to distribution shifts (e.g., CLIP). Perhaps not surprisingly, PEFT approaches outperform full FT alone. However, with weight-space ensembles, full FT can better balance target distribution and distribution shift performance, suggesting a future research direction for robust PEFT.</x:v>
      </x:c>
      <x:c r="L110" s="17" t="str">
        <x:v>http://arxiv.org/abs/2409.16434v5</x:v>
      </x:c>
      <x:c r="M110" s="23" t="n">
        <x:v>0.03057889822595705</x:v>
      </x:c>
      <x:c r="N110" s="17" t="str">
        <x:v>arxiv-paper-eval-20260727-105551-results.jsonl</x:v>
      </x:c>
      <x:c r="O110" s="24" t="str">
        <x:v>2</x:v>
      </x:c>
      <x:c r="P110" s="28" t="str">
        <x:v>统一比较视觉PEFT的参数效率、准确性和分布偏移鲁棒性。</x:v>
      </x:c>
      <x:c r="Q110" s="25" t="str"/>
      <x:c r="R110" s="24" t="str">
        <x:f>IF(Q110&lt;&gt;"",Q110,O110)</x:f>
        <x:v>2</x:v>
      </x:c>
      <x:c r="S110" s="29" t="str"/>
    </x:row>
    <x:row r="111" ht="54" customHeight="1">
      <x:c r="A111" s="17" t="str">
        <x:v>csq006-r10</x:v>
      </x:c>
      <x:c r="B111" s="17" t="str">
        <x:v>csq006</x:v>
      </x:c>
      <x:c r="C111" s="17" t="str">
        <x:v>machine_learning</x:v>
      </x:c>
      <x:c r="D111" s="17" t="str">
        <x:v>parameter_efficient_finetuning</x:v>
      </x:c>
      <x:c r="E111" s="27" t="str">
        <x:v>What are the main parameter-efficient fine-tuning methods, and how do they reduce trainable parameters while preserving downstream performance?</x:v>
      </x:c>
      <x:c r="F111" s="22" t="n">
        <x:v>10</x:v>
      </x:c>
      <x:c r="G111" s="17" t="str">
        <x:v>arXiv:2512.02764</x:v>
      </x:c>
      <x:c r="H111" s="27" t="str">
        <x:v>PEFT-Factory: Unified Parameter-Efficient Fine-Tuning of Autoregressive Large Language Models</x:v>
      </x:c>
      <x:c r="I111" s="17" t="str">
        <x:v>Robert Belanec; Ivan Srba; Maria Bielikova</x:v>
      </x:c>
      <x:c r="J111" s="22" t="n">
        <x:v>2025</x:v>
      </x:c>
      <x:c r="K111" s="27" t="str">
        <x:v>Parameter-Efficient Fine-Tuning (PEFT) methods address the increasing size of Large Language Models (LLMs). Currently, many newly introduced PEFT methods are challenging to replicate, deploy, or compare with one another. To address this, we introduce PEFT-Factory, a unified framework for efficient fine-tuning LLMs using both off-the-shelf and custom PEFT methods. While its modular design supports extensibility, it natively provides a representative set of 19 PEFT methods, 27 classification and text generation datasets addressing 12 tasks, and both standard and PEFT-specific evaluation metrics. As a result, PEFT-Factory provides a ready-to-use, controlled, and stable environment, improving replicability and benchmarking of PEFT methods. PEFT-Factory is a downstream framework that originates from the popular LLaMA-Factory, and is publicly available at https://github.com/kinit-sk/PEFT-Factory.</x:v>
      </x:c>
      <x:c r="L111" s="17" t="str">
        <x:v>http://arxiv.org/abs/2512.02764v3</x:v>
      </x:c>
      <x:c r="M111" s="23" t="n">
        <x:v>0.030090497737556562</x:v>
      </x:c>
      <x:c r="N111" s="17" t="str">
        <x:v>arxiv-paper-eval-20260727-105551-results.jsonl</x:v>
      </x:c>
      <x:c r="O111" s="24" t="str">
        <x:v>2</x:v>
      </x:c>
      <x:c r="P111" s="28" t="str">
        <x:v>统一实现十九种代表性PEFT并提供专用评价指标。</x:v>
      </x:c>
      <x:c r="Q111" s="25" t="str"/>
      <x:c r="R111" s="24" t="str">
        <x:f>IF(Q111&lt;&gt;"",Q111,O111)</x:f>
        <x:v>2</x:v>
      </x:c>
      <x:c r="S111" s="29" t="str"/>
    </x:row>
    <x:row r="112" ht="54" customHeight="1">
      <x:c r="A112" s="17" t="str">
        <x:v>csq006-r11</x:v>
      </x:c>
      <x:c r="B112" s="17" t="str">
        <x:v>csq006</x:v>
      </x:c>
      <x:c r="C112" s="17" t="str">
        <x:v>machine_learning</x:v>
      </x:c>
      <x:c r="D112" s="17" t="str">
        <x:v>parameter_efficient_finetuning</x:v>
      </x:c>
      <x:c r="E112" s="27" t="str">
        <x:v>What are the main parameter-efficient fine-tuning methods, and how do they reduce trainable parameters while preserving downstream performance?</x:v>
      </x:c>
      <x:c r="F112" s="22" t="n">
        <x:v>11</x:v>
      </x:c>
      <x:c r="G112" s="17" t="str">
        <x:v>arXiv:2410.09016</x:v>
      </x:c>
      <x:c r="H112" s="27" t="str">
        <x:v>Parameter-Efficient Fine-Tuning of State Space Models</x:v>
      </x:c>
      <x:c r="I112" s="17" t="str">
        <x:v>Kevin Galim; Wonjun Kang; Yuchen Zeng; Hyung Il Koo; Kangwook Lee</x:v>
      </x:c>
      <x:c r="J112" s="22" t="n">
        <x:v>2024</x:v>
      </x:c>
      <x:c r="K112" s="27" t="str">
        <x:v>Deep State Space Models (SSMs), such as Mamba (Gu &amp; Dao, 2024), have become powerful tools for language modeling, offering high performance and linear scalability with sequence length. However, the application of parameter-efficient fine-tuning (PEFT) methods to SSM-based models remains largely underexplored. We start by investigating two fundamental questions on existing PEFT methods: (i) How do they perform on SSM-based models? (ii) Which parameters should they target for optimal results? Our analysis shows that LoRA and its variants consistently outperform all other PEFT methods. While LoRA is effective for linear projection matrices, it fails on SSM modules-yet still outperforms other methods applicable to SSMs, indicating their limitations. This underscores the need for a specialized SSM tuning approach. To address this, we propose Sparse Dimension Tuning (SDT), a PEFT method tailored for SSM modules. Combining SDT for SSMs with LoRA for linear projection matrices, we achieve state-of-the-art performance across extensive experiments.</x:v>
      </x:c>
      <x:c r="L112" s="17" t="str">
        <x:v>http://arxiv.org/abs/2410.09016v3</x:v>
      </x:c>
      <x:c r="M112" s="23" t="n">
        <x:v>0.03007688828584351</x:v>
      </x:c>
      <x:c r="N112" s="17" t="str">
        <x:v>arxiv-paper-eval-20260727-105551-results.jsonl</x:v>
      </x:c>
      <x:c r="O112" s="24" t="str">
        <x:v>2</x:v>
      </x:c>
      <x:c r="P112" s="28" t="str">
        <x:v>比较状态空间模型上的PEFT并提出稀疏维度调优与LoRA组合。</x:v>
      </x:c>
      <x:c r="Q112" s="25" t="str"/>
      <x:c r="R112" s="24" t="str">
        <x:f>IF(Q112&lt;&gt;"",Q112,O112)</x:f>
        <x:v>2</x:v>
      </x:c>
      <x:c r="S112" s="29" t="str"/>
    </x:row>
    <x:row r="113" ht="54" customHeight="1">
      <x:c r="A113" s="17" t="str">
        <x:v>csq006-r12</x:v>
      </x:c>
      <x:c r="B113" s="17" t="str">
        <x:v>csq006</x:v>
      </x:c>
      <x:c r="C113" s="17" t="str">
        <x:v>machine_learning</x:v>
      </x:c>
      <x:c r="D113" s="17" t="str">
        <x:v>parameter_efficient_finetuning</x:v>
      </x:c>
      <x:c r="E113" s="27" t="str">
        <x:v>What are the main parameter-efficient fine-tuning methods, and how do they reduce trainable parameters while preserving downstream performance?</x:v>
      </x:c>
      <x:c r="F113" s="22" t="n">
        <x:v>12</x:v>
      </x:c>
      <x:c r="G113" s="17" t="str">
        <x:v>arXiv:2411.19335</x:v>
      </x:c>
      <x:c r="H113" s="27" t="str">
        <x:v>PEFT-as-an-Attack! Jailbreaking Language Models during Federated Parameter-Efficient Fine-Tuning</x:v>
      </x:c>
      <x:c r="I113" s="17" t="str">
        <x:v>Shenghui Li; Edith C. -H. Ngai; Fanghua Ye; Thiemo Voigt</x:v>
      </x:c>
      <x:c r="J113" s="22" t="n">
        <x:v>2024</x:v>
      </x:c>
      <x:c r="K113" s="27" t="str">
        <x:v>Federated Parameter-Efficient Fine-Tuning (FedPEFT) has emerged as a promising paradigm for privacy-preserving and efficient adaptation of Pre-trained Language Models (PLMs) in Federated Learning (FL) settings. It preserves data privacy by keeping the data decentralized and training the model on local devices, ensuring that raw data never leaves the user's device. Moreover, the integration of PEFT methods such as LoRA significantly reduces the number of trainable parameters compared to fine-tuning the entire model, thereby minimizing communication costs and computational overhead. Despite its potential, the security implications of FedPEFT remain underexplored. This paper introduces a novel security threat to FedPEFT, termed PEFT-as-an-Attack (PaaA), which exposes how PEFT can be exploited as an attack vector to circumvent PLMs' safety alignment and generate harmful content in response to malicious prompts. Our evaluation of PaaA reveals that with less than 1% of the model's parameters set as trainable, and a small subset of clients acting maliciously, the attack achieves an approximate 80% attack success rate using representative PEFT methods such as LoRA. To mitigate this threat, we further investigate potential defense strategies, including Robust Aggregation Schemes (RASs) and Post-PEFT Safety Alignment (PPSA). However, our empirical analysis highlights the limitations of these defenses, i.e., even the most advanced RASs, such as DnC and ClippedClustering, struggle to defend against PaaA in scenarios with highly heterogeneous data distributions. Similarly, while PPSA can reduce attack success rates to below 10%, it severely degrades the model's accuracy on the target task. Our results underscore the urgent need for more effective defense mechanisms that simultaneously ensure security and maintain the performance of the FedPEFT paradigm.</x:v>
      </x:c>
      <x:c r="L113" s="17" t="str">
        <x:v>http://arxiv.org/abs/2411.19335v2</x:v>
      </x:c>
      <x:c r="M113" s="23" t="n">
        <x:v>0.029513888888888888</x:v>
      </x:c>
      <x:c r="N113" s="17" t="str">
        <x:v>arxiv-paper-eval-20260727-105551-results.jsonl</x:v>
      </x:c>
      <x:c r="O113" s="24" t="str">
        <x:v>1</x:v>
      </x:c>
      <x:c r="P113" s="28" t="str">
        <x:v>重点是联邦PEFT的越狱风险与防御，仅以LoRA说明少参数训练。</x:v>
      </x:c>
      <x:c r="Q113" s="25" t="str"/>
      <x:c r="R113" s="24" t="str">
        <x:f>IF(Q113&lt;&gt;"",Q113,O113)</x:f>
        <x:v>1</x:v>
      </x:c>
      <x:c r="S113" s="29" t="str"/>
    </x:row>
    <x:row r="114" ht="54" customHeight="1">
      <x:c r="A114" s="17" t="str">
        <x:v>csq006-r13</x:v>
      </x:c>
      <x:c r="B114" s="17" t="str">
        <x:v>csq006</x:v>
      </x:c>
      <x:c r="C114" s="17" t="str">
        <x:v>machine_learning</x:v>
      </x:c>
      <x:c r="D114" s="17" t="str">
        <x:v>parameter_efficient_finetuning</x:v>
      </x:c>
      <x:c r="E114" s="27" t="str">
        <x:v>What are the main parameter-efficient fine-tuning methods, and how do they reduce trainable parameters while preserving downstream performance?</x:v>
      </x:c>
      <x:c r="F114" s="22" t="n">
        <x:v>13</x:v>
      </x:c>
      <x:c r="G114" s="17" t="str">
        <x:v>arXiv:2301.01821</x:v>
      </x:c>
      <x:c r="H114" s="27" t="str">
        <x:v>Parameter-Efficient Fine-Tuning Design Spaces</x:v>
      </x:c>
      <x:c r="I114" s="17" t="str">
        <x:v>Jiaao Chen; Aston Zhang; Xingjian Shi; Mu Li; Alex Smola; Diyi Yang</x:v>
      </x:c>
      <x:c r="J114" s="22" t="n">
        <x:v>2023</x:v>
      </x:c>
      <x:c r="K114" s="27" t="str">
        <x:v>Parameter-efficient fine-tuning aims to achieve performance comparable to fine-tuning, using fewer trainable parameters. Several strategies (e.g., Adapters, prefix tuning, BitFit, and LoRA) have been proposed. However, their designs are hand-crafted separately, and it remains unclear whether certain design patterns exist for parameter-efficient fine-tuning. Thus, we present a parameter-efficient fine-tuning design paradigm and discover design patterns that are applicable to different experimental settings. Instead of focusing on designing another individual tuning strategy, we introduce parameter-efficient fine-tuning design spaces that parameterize tuning structures and tuning strategies. Specifically, any design space is characterized by four components: layer grouping, trainable parameter allocation, tunable groups, and strategy assignment. Starting from an initial design space, we progressively refine the space based on the model quality of each design choice and make greedy selection at each stage over these four components. We discover the following design patterns: (i) group layers in a spindle pattern; (ii) allocate the number of trainable parameters to layers uniformly; (iii) tune all the groups; (iv) assign proper tuning strategies to different groups. These design patterns result in new parameter-efficient fine-tuning methods. We show experimentally that these methods consistently and significantly outperform investigated parameter-efficient fine-tuning strategies across different backbone models and different tasks in natural language processing.</x:v>
      </x:c>
      <x:c r="L114" s="17" t="str">
        <x:v>http://arxiv.org/abs/2301.01821v1</x:v>
      </x:c>
      <x:c r="M114" s="23" t="n">
        <x:v>0.02862400327131466</x:v>
      </x:c>
      <x:c r="N114" s="17" t="str">
        <x:v>arxiv-paper-eval-20260727-105551-results.jsonl</x:v>
      </x:c>
      <x:c r="O114" s="24" t="str">
        <x:v>2</x:v>
      </x:c>
      <x:c r="P114" s="28" t="str">
        <x:v>涵盖适配器、前缀、BitFit和LoRA并探索统一设计空间。</x:v>
      </x:c>
      <x:c r="Q114" s="25" t="str"/>
      <x:c r="R114" s="24" t="str">
        <x:f>IF(Q114&lt;&gt;"",Q114,O114)</x:f>
        <x:v>2</x:v>
      </x:c>
      <x:c r="S114" s="29" t="str"/>
    </x:row>
    <x:row r="115" ht="54" customHeight="1">
      <x:c r="A115" s="17" t="str">
        <x:v>csq006-r14</x:v>
      </x:c>
      <x:c r="B115" s="17" t="str">
        <x:v>csq006</x:v>
      </x:c>
      <x:c r="C115" s="17" t="str">
        <x:v>machine_learning</x:v>
      </x:c>
      <x:c r="D115" s="17" t="str">
        <x:v>parameter_efficient_finetuning</x:v>
      </x:c>
      <x:c r="E115" s="27" t="str">
        <x:v>What are the main parameter-efficient fine-tuning methods, and how do they reduce trainable parameters while preserving downstream performance?</x:v>
      </x:c>
      <x:c r="F115" s="22" t="n">
        <x:v>14</x:v>
      </x:c>
      <x:c r="G115" s="17" t="str">
        <x:v>arXiv:2501.13787</x:v>
      </x:c>
      <x:c r="H115" s="27" t="str">
        <x:v>Parameter-Efficient Fine-Tuning for Foundation Models</x:v>
      </x:c>
      <x:c r="I115" s="17" t="str">
        <x:v>Dan Zhang; Tao Feng; Lilong Xue; Yuandong Wang; Yuxiao Dong; Jie Tang</x:v>
      </x:c>
      <x:c r="J115" s="22" t="n">
        <x:v>2025</x:v>
      </x:c>
      <x:c r="K115" s="27" t="str">
        <x:v>This survey delves into the realm of Parameter-Efficient Fine-Tuning (PEFT) within the context of Foundation Models (FMs). PEFT, a cost-effective fine-tuning technique, minimizes parameters and computational complexity while striving for optimal downstream task performance. FMs, like ChatGPT, DALL-E, and LLaVA specialize in language understanding, generative tasks, and multimodal tasks, trained on diverse datasets spanning text, images, and videos. The diversity of FMs guides various adaptation strategies for PEFT. Therefore, this survey aims to provide a comprehensive overview of PEFT techniques applied to diverse FMs and address critical gaps in understanding the techniques, trends, and applications. We start by providing a detailed development of FMs and PEFT. Subsequently, we systematically review the key categories and core mechanisms of PEFT across diverse FMs to offer a comprehensive understanding of trends. We also explore the most recent applications across various FMs to demonstrate the versatility of PEFT, shedding light on the integration of systematic PEFT methods with a range of FMs. Furthermore, we identify potential research and development directions for improving PEFTs in the future. This survey provides a valuable resource for both newcomers and experts seeking to understand and use the power of PEFT across FMs. All reviewed papers are listed at \url{https://github.com/THUDM/Awesome-Parameter-Efficient-Fine-Tuning-for-Foundation-Models}.</x:v>
      </x:c>
      <x:c r="L115" s="17" t="str">
        <x:v>http://arxiv.org/abs/2501.13787v1</x:v>
      </x:c>
      <x:c r="M115" s="23" t="n">
        <x:v>0.02817460317460317</x:v>
      </x:c>
      <x:c r="N115" s="17" t="str">
        <x:v>arxiv-paper-eval-20260727-105551-results.jsonl</x:v>
      </x:c>
      <x:c r="O115" s="24" t="str">
        <x:v>2</x:v>
      </x:c>
      <x:c r="P115" s="28" t="str">
        <x:v>综述基础模型PEFT类别、核心机制、趋势和下游性能。</x:v>
      </x:c>
      <x:c r="Q115" s="25" t="str"/>
      <x:c r="R115" s="24" t="str">
        <x:f>IF(Q115&lt;&gt;"",Q115,O115)</x:f>
        <x:v>2</x:v>
      </x:c>
      <x:c r="S115" s="29" t="str"/>
    </x:row>
    <x:row r="116" ht="54" customHeight="1">
      <x:c r="A116" s="17" t="str">
        <x:v>csq006-r15</x:v>
      </x:c>
      <x:c r="B116" s="17" t="str">
        <x:v>csq006</x:v>
      </x:c>
      <x:c r="C116" s="17" t="str">
        <x:v>machine_learning</x:v>
      </x:c>
      <x:c r="D116" s="17" t="str">
        <x:v>parameter_efficient_finetuning</x:v>
      </x:c>
      <x:c r="E116" s="27" t="str">
        <x:v>What are the main parameter-efficient fine-tuning methods, and how do they reduce trainable parameters while preserving downstream performance?</x:v>
      </x:c>
      <x:c r="F116" s="22" t="n">
        <x:v>15</x:v>
      </x:c>
      <x:c r="G116" s="17" t="str">
        <x:v>arXiv:2305.06212</x:v>
      </x:c>
      <x:c r="H116" s="27" t="str">
        <x:v>Privacy-Preserving Parameter-Efficient Fine-Tuning for Large Language Model Services</x:v>
      </x:c>
      <x:c r="I116" s="17" t="str">
        <x:v>Yansong Li; Zhixing Tan; Paula Branco; Yang Liu</x:v>
      </x:c>
      <x:c r="J116" s="22" t="n">
        <x:v>2023</x:v>
      </x:c>
      <x:c r="K116" s="27" t="str">
        <x:v>Parameter-Efficient Fine-Tuning (PEFT) provides a practical way for users to customize Large Language Models (LLMs) with their private data in LLM service scenarios. However, the inherently sensitive nature of private data demands robust privacy preservation measures during the customization of LLM services to ensure data security, maintain user trust, and comply with stringent regulatory standards. Based on PEFT, we propose Privacy-Preserving Parameter-Efficient Fine-Tuning (RAPT), a framework that offers privacy protection for LLM services. RAPT adopts a local privacy approach, enabling users to privatize their data locally using a text-to-text local differential privacy mechanism. Since PEFT performs poorly when directly trained on privatized data, we introduce a novel privatized token reconstruction task that is trained jointly with the downstream task, allowing LLMs to learn better task-dependent representations. Despite the simplicity of our framework, experiments show that RAPT achieves competitive performance across tasks while providing privacy guarantees against adversaries.</x:v>
      </x:c>
      <x:c r="L116" s="17" t="str">
        <x:v>http://arxiv.org/abs/2305.06212v3</x:v>
      </x:c>
      <x:c r="M116" s="23" t="n">
        <x:v>0.015625</x:v>
      </x:c>
      <x:c r="N116" s="17" t="str">
        <x:v>arxiv-paper-eval-20260727-105551-results.jsonl</x:v>
      </x:c>
      <x:c r="O116" s="24" t="str">
        <x:v>1</x:v>
      </x:c>
      <x:c r="P116" s="28" t="str">
        <x:v>主要研究PEFT服务的隐私保护，PEFT参数缩减机制不是核心比较对象。</x:v>
      </x:c>
      <x:c r="Q116" s="25" t="str"/>
      <x:c r="R116" s="24" t="str">
        <x:f>IF(Q116&lt;&gt;"",Q116,O116)</x:f>
        <x:v>1</x:v>
      </x:c>
      <x:c r="S116" s="29" t="str"/>
    </x:row>
    <x:row r="117" ht="54" customHeight="1">
      <x:c r="A117" s="17" t="str">
        <x:v>csq006-r16</x:v>
      </x:c>
      <x:c r="B117" s="17" t="str">
        <x:v>csq006</x:v>
      </x:c>
      <x:c r="C117" s="17" t="str">
        <x:v>machine_learning</x:v>
      </x:c>
      <x:c r="D117" s="17" t="str">
        <x:v>parameter_efficient_finetuning</x:v>
      </x:c>
      <x:c r="E117" s="27" t="str">
        <x:v>What are the main parameter-efficient fine-tuning methods, and how do they reduce trainable parameters while preserving downstream performance?</x:v>
      </x:c>
      <x:c r="F117" s="22" t="n">
        <x:v>16</x:v>
      </x:c>
      <x:c r="G117" s="17" t="str">
        <x:v>arXiv:2504.21099</x:v>
      </x:c>
      <x:c r="H117" s="27" t="str">
        <x:v>A Survey on Parameter-Efficient Fine-Tuning for Foundation Models in Federated Learning</x:v>
      </x:c>
      <x:c r="I117" s="17" t="str">
        <x:v>Jieming Bian; Yuanzhe Peng; Lei Wang; Yin Huang; Jie Xu</x:v>
      </x:c>
      <x:c r="J117" s="22" t="n">
        <x:v>2025</x:v>
      </x:c>
      <x:c r="K117" s="27" t="str">
        <x:v>Foundation models have revolutionized artificial intelligence by providing robust, versatile architectures pre-trained on large-scale datasets. However, adapting these massive models to specific downstream tasks requires fine-tuning, which can be prohibitively expensive in computational resources. Parameter-Efficient Fine-Tuning (PEFT) methods address this challenge by selectively updating only a small subset of parameters. Meanwhile, Federated Learning (FL) enables collaborative model training across distributed clients without sharing raw data, making it ideal for privacy-sensitive applications. This survey provides a comprehensive review of the integration of PEFT techniques within federated learning environments. We systematically categorize existing approaches into three main groups: Additive PEFT (which introduces new trainable parameters), Selective PEFT (which fine-tunes only subsets of existing parameters), and Reparameterized PEFT (which transforms model architectures to enable efficient updates). For each category, we analyze how these methods address the unique challenges of federated settings, including data heterogeneity, communication efficiency, computational constraints, and privacy concerns. We further organize the literature based on application domains, covering both natural language processing and computer vision tasks. Finally, we discuss promising research directions, including scaling to larger foundation models, theoretical analysis of federated PEFT methods, and sustainable approaches for resource-constrained environments.</x:v>
      </x:c>
      <x:c r="L117" s="17" t="str">
        <x:v>http://arxiv.org/abs/2504.21099v1</x:v>
      </x:c>
      <x:c r="M117" s="23" t="n">
        <x:v>0.015384615384615385</x:v>
      </x:c>
      <x:c r="N117" s="17" t="str">
        <x:v>arxiv-paper-eval-20260727-105551-results.jsonl</x:v>
      </x:c>
      <x:c r="O117" s="24" t="str">
        <x:v>2</x:v>
      </x:c>
      <x:c r="P117" s="28" t="str">
        <x:v>综述联邦场景中的加法、选择和重参数化PEFT及资源权衡。</x:v>
      </x:c>
      <x:c r="Q117" s="25" t="str"/>
      <x:c r="R117" s="24" t="str">
        <x:f>IF(Q117&lt;&gt;"",Q117,O117)</x:f>
        <x:v>2</x:v>
      </x:c>
      <x:c r="S117" s="29" t="str"/>
    </x:row>
    <x:row r="118" ht="54" customHeight="1">
      <x:c r="A118" s="17" t="str">
        <x:v>csq006-r17</x:v>
      </x:c>
      <x:c r="B118" s="17" t="str">
        <x:v>csq006</x:v>
      </x:c>
      <x:c r="C118" s="17" t="str">
        <x:v>machine_learning</x:v>
      </x:c>
      <x:c r="D118" s="17" t="str">
        <x:v>parameter_efficient_finetuning</x:v>
      </x:c>
      <x:c r="E118" s="27" t="str">
        <x:v>What are the main parameter-efficient fine-tuning methods, and how do they reduce trainable parameters while preserving downstream performance?</x:v>
      </x:c>
      <x:c r="F118" s="22" t="n">
        <x:v>17</x:v>
      </x:c>
      <x:c r="G118" s="17" t="str">
        <x:v>arXiv:2505.20211</x:v>
      </x:c>
      <x:c r="H118" s="27" t="str">
        <x:v>PiCa: Parameter-Efficient Fine-Tuning with Column Space Projection</x:v>
      </x:c>
      <x:c r="I118" s="17" t="str">
        <x:v>Junseo Hwang; Wonguk Cho; Taesup Kim</x:v>
      </x:c>
      <x:c r="J118" s="22" t="n">
        <x:v>2025</x:v>
      </x:c>
      <x:c r="K118" s="27" t="str">
        <x:v>Fine-tuning large foundation models is essential for building expert models tailored to specialized tasks and domains, but fully updating billions of parameters is computationally prohibitive. Reducing the number of trainable parameters using Parameter-Efficient Fine-Tuning (PEFT), such as Low-Rank Adaptation (LoRA), is therefore crucial not only to reduce training costs but also to mitigate storage, caching, and serving overheads during deployment. Prior works, such as Singular Vectors-guided Fine-Tuning (SVFT), have shown that exploiting the geometry of pre-trained weights based on Singular Value Decomposition (SVD) can significantly improve parameter-efficiency, but they lack a solid theoretical foundation. In this paper, we introduce Parameter-Efficient Fine-Tuning with Column Space Projection (PiCa), a novel theoretically grounded PEFT method. We prove that projecting gradients onto the principal column space of pre-trained weights provides an effective inductive bias for adaptation and further enhance parameter efficiency through a novel weight-sharing strategy. Across diverse NLP and vision tasks, PiCa consistently outperforms state-of-the-art baselines under comparable or smaller parameter budgets, demonstrating both theoretical rigor and practical effectiveness.</x:v>
      </x:c>
      <x:c r="L118" s="17" t="str">
        <x:v>http://arxiv.org/abs/2505.20211v3</x:v>
      </x:c>
      <x:c r="M118" s="23" t="n">
        <x:v>0.015151515151515152</x:v>
      </x:c>
      <x:c r="N118" s="17" t="str">
        <x:v>arxiv-paper-eval-20260727-105551-results.jsonl</x:v>
      </x:c>
      <x:c r="O118" s="24" t="str">
        <x:v>2</x:v>
      </x:c>
      <x:c r="P118" s="28" t="str">
        <x:v>以主列空间梯度投影和权重共享提升小参数预算下的性能。</x:v>
      </x:c>
      <x:c r="Q118" s="25" t="str"/>
      <x:c r="R118" s="24" t="str">
        <x:f>IF(Q118&lt;&gt;"",Q118,O118)</x:f>
        <x:v>2</x:v>
      </x:c>
      <x:c r="S118" s="29" t="str"/>
    </x:row>
    <x:row r="119" ht="54" customHeight="1">
      <x:c r="A119" s="17" t="str">
        <x:v>csq006-r18</x:v>
      </x:c>
      <x:c r="B119" s="17" t="str">
        <x:v>csq006</x:v>
      </x:c>
      <x:c r="C119" s="17" t="str">
        <x:v>machine_learning</x:v>
      </x:c>
      <x:c r="D119" s="17" t="str">
        <x:v>parameter_efficient_finetuning</x:v>
      </x:c>
      <x:c r="E119" s="27" t="str">
        <x:v>What are the main parameter-efficient fine-tuning methods, and how do they reduce trainable parameters while preserving downstream performance?</x:v>
      </x:c>
      <x:c r="F119" s="22" t="n">
        <x:v>18</x:v>
      </x:c>
      <x:c r="G119" s="17" t="str">
        <x:v>arXiv:2307.03042</x:v>
      </x:c>
      <x:c r="H119" s="27" t="str">
        <x:v>Parameter-Efficient Fine-Tuning of LLaMA for the Clinical Domain</x:v>
      </x:c>
      <x:c r="I119" s="17" t="str">
        <x:v>Aryo Pradipta Gema; Pasquale Minervini; Luke Daines; Tom Hope; Beatrice Alex</x:v>
      </x:c>
      <x:c r="J119" s="22" t="n">
        <x:v>2023</x:v>
      </x:c>
      <x:c r="K119" s="27" t="str">
        <x:v>Adapting pretrained language models to novel domains, such as clinical applications, traditionally involves retraining their entire set of parameters. Parameter-Efficient Fine-Tuning (PEFT) techniques for fine-tuning language models significantly reduce computational requirements by selectively fine-tuning small subsets of parameters. In this study, we propose a two-step PEFT framework and evaluate it in the clinical domain. Our approach combines a specialised PEFT adapter layer designed for clinical domain adaptation with another adapter specialised for downstream tasks. We evaluate the framework on multiple clinical outcome prediction datasets, comparing it to clinically trained language models. Our framework achieves a better AUROC score averaged across all clinical downstream tasks compared to clinical language models. In particular, we observe large improvements of 4-5% AUROC in large-scale multilabel classification tasks, such as diagnoses and procedures classification. To our knowledge, this study is the first to provide an extensive empirical analysis of the interplay between PEFT techniques and domain adaptation in an important real-world domain of clinical applications.</x:v>
      </x:c>
      <x:c r="L119" s="17" t="str">
        <x:v>http://arxiv.org/abs/2307.03042v3</x:v>
      </x:c>
      <x:c r="M119" s="23" t="n">
        <x:v>0.015151515151515152</x:v>
      </x:c>
      <x:c r="N119" s="17" t="str">
        <x:v>arxiv-paper-eval-20260727-105551-results.jsonl</x:v>
      </x:c>
      <x:c r="O119" s="24" t="str">
        <x:v>2</x:v>
      </x:c>
      <x:c r="P119" s="28" t="str">
        <x:v>两阶段临床适配器框架以小参数调优取得更高下游AUROC。</x:v>
      </x:c>
      <x:c r="Q119" s="25" t="str"/>
      <x:c r="R119" s="24" t="str">
        <x:f>IF(Q119&lt;&gt;"",Q119,O119)</x:f>
        <x:v>2</x:v>
      </x:c>
      <x:c r="S119" s="29" t="str"/>
    </x:row>
    <x:row r="120" ht="54" customHeight="1">
      <x:c r="A120" s="17" t="str">
        <x:v>csq006-r19</x:v>
      </x:c>
      <x:c r="B120" s="17" t="str">
        <x:v>csq006</x:v>
      </x:c>
      <x:c r="C120" s="17" t="str">
        <x:v>machine_learning</x:v>
      </x:c>
      <x:c r="D120" s="17" t="str">
        <x:v>parameter_efficient_finetuning</x:v>
      </x:c>
      <x:c r="E120" s="27" t="str">
        <x:v>What are the main parameter-efficient fine-tuning methods, and how do they reduce trainable parameters while preserving downstream performance?</x:v>
      </x:c>
      <x:c r="F120" s="22" t="n">
        <x:v>19</x:v>
      </x:c>
      <x:c r="G120" s="17" t="str">
        <x:v>arXiv:2509.22020</x:v>
      </x:c>
      <x:c r="H120" s="27" t="str">
        <x:v>Task-Adaptive Parameter-Efficient Fine-Tuning for Weather Foundation Models</x:v>
      </x:c>
      <x:c r="I120" s="17" t="str">
        <x:v>Shilei Cao; Hehai Lin; Jiashun Cheng; Yang Liu; Guowen Li; Xuehe Wang; Juepeng Zheng; Haoyuan Liang; Meng Jin; Chengwei Qin; Hong Cheng; Haohuan Fu</x:v>
      </x:c>
      <x:c r="J120" s="22" t="n">
        <x:v>2025</x:v>
      </x:c>
      <x:c r="K120" s="27" t="str">
        <x:v>While recent advances in machine learning have equipped Weather Foundation Models (WFMs) with substantial generalization capabilities across diverse downstream tasks, the escalating computational requirements associated with their expanding scale increasingly hinder practical deployment. Current Parameter-Efficient Fine-Tuning (PEFT) methods, designed for vision or language tasks, fail to address the unique challenges of weather downstream tasks, such as variable heterogeneity, resolution diversity, and spatiotemporal coverage variations, leading to suboptimal performance when applied to WFMs. To bridge this gap, we introduce WeatherPEFT, a novel PEFT framework for WFMs incorporating two synergistic innovations. First, during the forward pass, Task-Adaptive Dynamic Prompting (TADP) dynamically injects the embedding weights within the encoder to the input tokens of the pre-trained backbone via internal and external pattern extraction, enabling context-aware feature recalibration for specific downstream tasks. Furthermore, during backpropagation, Stochastic Fisher-Guided Adaptive Selection (SFAS) not only leverages Fisher information to identify and update the most task-critical parameters, thereby preserving invariant pre-trained knowledge, but also introduces randomness to stabilize the selection. We demonstrate the effectiveness and efficiency of WeatherPEFT on three downstream tasks, where existing PEFT methods show significant gaps versus Full-Tuning, and WeatherPEFT achieves performance parity with Full-Tuning using fewer trainable parameters. The code of this work is available at https://github.com/ShileiCao/WeatherPEFT.</x:v>
      </x:c>
      <x:c r="L120" s="17" t="str">
        <x:v>http://arxiv.org/abs/2509.22020v2</x:v>
      </x:c>
      <x:c r="M120" s="23" t="n">
        <x:v>0.014925373134328358</x:v>
      </x:c>
      <x:c r="N120" s="17" t="str">
        <x:v>arxiv-paper-eval-20260727-105551-results.jsonl</x:v>
      </x:c>
      <x:c r="O120" s="24" t="str">
        <x:v>2</x:v>
      </x:c>
      <x:c r="P120" s="28" t="str">
        <x:v>动态提示与Fisher参数选择使天气模型用较少参数达到全量微调性能。</x:v>
      </x:c>
      <x:c r="Q120" s="25" t="str"/>
      <x:c r="R120" s="24" t="str">
        <x:f>IF(Q120&lt;&gt;"",Q120,O120)</x:f>
        <x:v>2</x:v>
      </x:c>
      <x:c r="S120" s="29" t="str"/>
    </x:row>
    <x:row r="121" ht="54" customHeight="1">
      <x:c r="A121" s="17" t="str">
        <x:v>csq006-r20</x:v>
      </x:c>
      <x:c r="B121" s="17" t="str">
        <x:v>csq006</x:v>
      </x:c>
      <x:c r="C121" s="17" t="str">
        <x:v>machine_learning</x:v>
      </x:c>
      <x:c r="D121" s="17" t="str">
        <x:v>parameter_efficient_finetuning</x:v>
      </x:c>
      <x:c r="E121" s="27" t="str">
        <x:v>What are the main parameter-efficient fine-tuning methods, and how do they reduce trainable parameters while preserving downstream performance?</x:v>
      </x:c>
      <x:c r="F121" s="22" t="n">
        <x:v>20</x:v>
      </x:c>
      <x:c r="G121" s="17" t="str">
        <x:v>arXiv:2505.12579</x:v>
      </x:c>
      <x:c r="H121" s="27" t="str">
        <x:v>Adaptive parameter-efficient fine-tuning via Hessian-informed subset selection</x:v>
      </x:c>
      <x:c r="I121" s="17" t="str">
        <x:v>Shiyun Xu; Zhiqi Bu</x:v>
      </x:c>
      <x:c r="J121" s="22" t="n">
        <x:v>2025</x:v>
      </x:c>
      <x:c r="K121" s="27" t="str">
        <x:v>Parameter-efficient fine-tuning (PEFT) is a highly effective approach for adapting large pre-trained models to downstream tasks with minimal computational overhead. At the core, PEFT methods freeze most parameters and only trains a small subset (say $&lt;0.1\%$ of total parameters). Notably, different PEFT methods select different subsets, resulting in varying levels of performance. This variation prompts a key question: how to effectively select the most influential subset to train? We formulate the subset selection as a multi-task problem: maximizing the performance and minimizing the number of trainable parameters. We leverage a series of transformations -- including $ε$-constraint method and second-order Taylor approximation -- to arrive at the classical 0-1 knapsack problem, which we solve through the lens of Pareto optimality. Consequently, we propose AdaPEFT, a Hessian-informed PEFT that adapts to various tasks and models, in which the selected subset empirically transfers across training horizons and model sizes.</x:v>
      </x:c>
      <x:c r="L121" s="17" t="str">
        <x:v>http://arxiv.org/abs/2505.12579v1</x:v>
      </x:c>
      <x:c r="M121" s="23" t="n">
        <x:v>0.014705882352941176</x:v>
      </x:c>
      <x:c r="N121" s="17" t="str">
        <x:v>arxiv-paper-eval-20260727-105551-results.jsonl</x:v>
      </x:c>
      <x:c r="O121" s="24" t="str">
        <x:v>2</x:v>
      </x:c>
      <x:c r="P121" s="28" t="str">
        <x:v>用Hessian信息选择最有影响的极小参数子集进行任务自适应调优。</x:v>
      </x:c>
      <x:c r="Q121" s="25" t="str"/>
      <x:c r="R121" s="24" t="str">
        <x:f>IF(Q121&lt;&gt;"",Q121,O121)</x:f>
        <x:v>2</x:v>
      </x:c>
      <x:c r="S121" s="29" t="str"/>
    </x:row>
    <x:row r="122" ht="54" customHeight="1">
      <x:c r="A122" s="17" t="str">
        <x:v>csq007-r01</x:v>
      </x:c>
      <x:c r="B122" s="17" t="str">
        <x:v>csq007</x:v>
      </x:c>
      <x:c r="C122" s="17" t="str">
        <x:v>machine_learning</x:v>
      </x:c>
      <x:c r="D122" s="17" t="str">
        <x:v>federated_optimization</x:v>
      </x:c>
      <x:c r="E122" s="27" t="str">
        <x:v>How do major federated learning optimization methods address client heterogeneity and non-IID data, and how do their assumptions differ?</x:v>
      </x:c>
      <x:c r="F122" s="22" t="n">
        <x:v>1</x:v>
      </x:c>
      <x:c r="G122" s="17" t="str">
        <x:v>arXiv:2506.02887</x:v>
      </x:c>
      <x:c r="H122" s="27" t="str">
        <x:v>Overcoming Challenges of Partial Client Participation in Federated Learning : A Comprehensive Review</x:v>
      </x:c>
      <x:c r="I122" s="17" t="str">
        <x:v>Mrinmay Sen; Shruti Aparna; Rohit Agarwal; Chalavadi Krishna Mohan</x:v>
      </x:c>
      <x:c r="J122" s="22" t="n">
        <x:v>2025</x:v>
      </x:c>
      <x:c r="K122" s="27" t="str">
        <x:v>Federated Learning (FL) is a learning mechanism that falls under the distributed training umbrella, which collaboratively trains a shared global model without disclosing the raw data from different clients. This paper presents an extensive survey on the impact of partial client participation in federated learning. While much of the existing research focuses on addressing issues such as generalization, robustness, and fairness caused by data heterogeneity under the assumption of full client participation, limited attention has been given to the practical and theoretical challenges arising from partial client participation, which is common in real-world scenarios. This survey provides an in-depth review of existing FL methods designed to cope with partial client participation. We offer a comprehensive analysis supported by theoretical insights and empirical findings, along with a structured categorization of these methods, highlighting their respective advantages and disadvantages.</x:v>
      </x:c>
      <x:c r="L122" s="17" t="str">
        <x:v>http://arxiv.org/abs/2506.02887v2</x:v>
      </x:c>
      <x:c r="M122" s="23" t="n">
        <x:v>0.03252247488101534</x:v>
      </x:c>
      <x:c r="N122" s="17" t="str">
        <x:v>arxiv-paper-eval-20260727-105551-results.jsonl</x:v>
      </x:c>
      <x:c r="O122" s="24" t="str">
        <x:v>2</x:v>
      </x:c>
      <x:c r="P122" s="28" t="str">
        <x:v>综述部分参与及异质性条件下的联邦方法、理论、优缺点。</x:v>
      </x:c>
      <x:c r="Q122" s="25" t="str"/>
      <x:c r="R122" s="24" t="str">
        <x:f>IF(Q122&lt;&gt;"",Q122,O122)</x:f>
        <x:v>2</x:v>
      </x:c>
      <x:c r="S122" s="29" t="str"/>
    </x:row>
    <x:row r="123" ht="54" customHeight="1">
      <x:c r="A123" s="17" t="str">
        <x:v>csq007-r02</x:v>
      </x:c>
      <x:c r="B123" s="17" t="str">
        <x:v>csq007</x:v>
      </x:c>
      <x:c r="C123" s="17" t="str">
        <x:v>machine_learning</x:v>
      </x:c>
      <x:c r="D123" s="17" t="str">
        <x:v>federated_optimization</x:v>
      </x:c>
      <x:c r="E123" s="27" t="str">
        <x:v>How do major federated learning optimization methods address client heterogeneity and non-IID data, and how do their assumptions differ?</x:v>
      </x:c>
      <x:c r="F123" s="22" t="n">
        <x:v>2</x:v>
      </x:c>
      <x:c r="G123" s="17" t="str">
        <x:v>arXiv:2210.08090</x:v>
      </x:c>
      <x:c r="H123" s="27" t="str">
        <x:v>Where to Begin? On the Impact of Pre-Training and Initialization in Federated Learning</x:v>
      </x:c>
      <x:c r="I123" s="17" t="str">
        <x:v>John Nguyen; Jianyu Wang; Kshitiz Malik; Maziar Sanjabi; Michael Rabbat</x:v>
      </x:c>
      <x:c r="J123" s="22" t="n">
        <x:v>2022</x:v>
      </x:c>
      <x:c r="K123" s="27" t="str">
        <x:v>An oft-cited challenge of federated learning is the presence of heterogeneity. \emph{Data heterogeneity} refers to the fact that data from different clients may follow very different distributions. \emph{System heterogeneity} refers to the fact that client devices have different system capabilities. A considerable number of federated optimization methods address this challenge. In the literature, empirical evaluations usually start federated training from random initialization. However, in many practical applications of federated learning, the server has access to proxy data for the training task that can be used to pre-train a model before starting federated training. We empirically study the impact of starting from a pre-trained model in federated learning using four standard federated learning benchmark datasets. Unsurprisingly, starting from a pre-trained model reduces the training time required to reach a target error rate and enables the training of more accurate models (up to 40\%) than is possible when starting from random initialization. Surprisingly, we also find that starting federated learning from a pre-trained initialization reduces the effect of both data and system heterogeneity. We recommend that future work proposing and evaluating federated optimization methods evaluate the performance when starting from random and pre-trained initializations. We also believe this study raises several questions for further work on understanding the role of heterogeneity in federated optimization.</x:v>
      </x:c>
      <x:c r="L123" s="17" t="str">
        <x:v>http://arxiv.org/abs/2210.08090v1</x:v>
      </x:c>
      <x:c r="M123" s="23" t="n">
        <x:v>0.03149801587301587</x:v>
      </x:c>
      <x:c r="N123" s="17" t="str">
        <x:v>arxiv-paper-eval-20260727-105551-results.jsonl</x:v>
      </x:c>
      <x:c r="O123" s="24" t="str">
        <x:v>2</x:v>
      </x:c>
      <x:c r="P123" s="28" t="str">
        <x:v>实证表明预训练初始化可减轻数据与系统异质性并改变优化比较前提。</x:v>
      </x:c>
      <x:c r="Q123" s="25" t="str"/>
      <x:c r="R123" s="24" t="str">
        <x:f>IF(Q123&lt;&gt;"",Q123,O123)</x:f>
        <x:v>2</x:v>
      </x:c>
      <x:c r="S123" s="29" t="str"/>
    </x:row>
    <x:row r="124" ht="54" customHeight="1">
      <x:c r="A124" s="17" t="str">
        <x:v>csq007-r03</x:v>
      </x:c>
      <x:c r="B124" s="17" t="str">
        <x:v>csq007</x:v>
      </x:c>
      <x:c r="C124" s="17" t="str">
        <x:v>machine_learning</x:v>
      </x:c>
      <x:c r="D124" s="17" t="str">
        <x:v>federated_optimization</x:v>
      </x:c>
      <x:c r="E124" s="27" t="str">
        <x:v>How do major federated learning optimization methods address client heterogeneity and non-IID data, and how do their assumptions differ?</x:v>
      </x:c>
      <x:c r="F124" s="22" t="n">
        <x:v>3</x:v>
      </x:c>
      <x:c r="G124" s="17" t="str">
        <x:v>arXiv:2504.14694</x:v>
      </x:c>
      <x:c r="H124" s="27" t="str">
        <x:v>Learning Critically: Selective Self Distillation in Federated Learning on Non-IID Data</x:v>
      </x:c>
      <x:c r="I124" s="17" t="str">
        <x:v>Yuting He; Yiqiang Chen; XiaoDong Yang; Hanchao Yu; Yi-Hua Huang; Yang Gu</x:v>
      </x:c>
      <x:c r="J124" s="22" t="n">
        <x:v>2025</x:v>
      </x:c>
      <x:c r="K124" s="27" t="str">
        <x:v>Federated learning (FL) enables multiple clients to collaboratively train a global model while keeping local data decentralized. Data heterogeneity (non-IID) across clients has imposed significant challenges to FL, which makes local models re-optimize towards their own local optima and forget the global knowledge, resulting in performance degradation and convergence slowdown. Many existing works have attempted to address the non-IID issue by adding an extra global-model-based regularizing item to the local training but without an adaption scheme, which is not efficient enough to achieve high performance with deep learning models. In this paper, we propose a Selective Self-Distillation method for Federated learning (FedSSD), which imposes adaptive constraints on the local updates by self-distilling the global model's knowledge and selectively weighting it by evaluating the credibility at both the class and sample level. The convergence guarantee of FedSSD is theoretically analyzed and extensive experiments are conducted on three public benchmark datasets, which demonstrates that FedSSD achieves better generalization and robustness in fewer communication rounds, compared with other state-of-the-art FL methods.</x:v>
      </x:c>
      <x:c r="L124" s="17" t="str">
        <x:v>http://arxiv.org/abs/2504.14694v1</x:v>
      </x:c>
      <x:c r="M124" s="23" t="n">
        <x:v>0.01639344262295082</x:v>
      </x:c>
      <x:c r="N124" s="17" t="str">
        <x:v>arxiv-paper-eval-20260727-105551-results.jsonl</x:v>
      </x:c>
      <x:c r="O124" s="24" t="str">
        <x:v>2</x:v>
      </x:c>
      <x:c r="P124" s="28" t="str">
        <x:v>以可信度加权自蒸馏约束非IID本地更新并给出收敛保证。</x:v>
      </x:c>
      <x:c r="Q124" s="25" t="str"/>
      <x:c r="R124" s="24" t="str">
        <x:f>IF(Q124&lt;&gt;"",Q124,O124)</x:f>
        <x:v>2</x:v>
      </x:c>
      <x:c r="S124" s="29" t="str"/>
    </x:row>
    <x:row r="125" ht="54" customHeight="1">
      <x:c r="A125" s="17" t="str">
        <x:v>csq007-r04</x:v>
      </x:c>
      <x:c r="B125" s="17" t="str">
        <x:v>csq007</x:v>
      </x:c>
      <x:c r="C125" s="17" t="str">
        <x:v>machine_learning</x:v>
      </x:c>
      <x:c r="D125" s="17" t="str">
        <x:v>federated_optimization</x:v>
      </x:c>
      <x:c r="E125" s="27" t="str">
        <x:v>How do major federated learning optimization methods address client heterogeneity and non-IID data, and how do their assumptions differ?</x:v>
      </x:c>
      <x:c r="F125" s="22" t="n">
        <x:v>4</x:v>
      </x:c>
      <x:c r="G125" s="17" t="str">
        <x:v>arXiv:2407.05276</x:v>
      </x:c>
      <x:c r="H125" s="27" t="str">
        <x:v>BFLN: A Blockchain-based Federated Learning Model for Non-IID Data</x:v>
      </x:c>
      <x:c r="I125" s="17" t="str">
        <x:v>Yang Li; Chunhe Xia; Dongchi Huang; Xiaojian Li; Tianbo Wang</x:v>
      </x:c>
      <x:c r="J125" s="22" t="n">
        <x:v>2024</x:v>
      </x:c>
      <x:c r="K125" s="27" t="str">
        <x:v>As the application of federated learning becomes increasingly widespread, the issue of imbalanced training data distribution has emerged as a significant challenge. Federated learning utilizes local data stored on different training clients for model training, rather than centralizing data on a server, thereby greatly enhancing the privacy and security of training data. However, the distribution of training data across different clients may be imbalanced, with different categories of data potentially residing on different clients. This presents a challenge to traditional federated learning, which assumes data distribution is independent and identically distributed (IID). This paper proposes a Blockchain-based Federated Learning Model for Non-IID Data (BFLN), which combines federated learning with blockchain technology. By introducing a new aggregation method and incentive algorithm, BFLN enhances the model performance of federated learning on non-IID data. Experiments on public datasets demonstrate that, compared to other state-of-the-art models, BFLN improves training accuracy and provides a sustainable incentive mechanism for personalized federated learning.</x:v>
      </x:c>
      <x:c r="L125" s="17" t="str">
        <x:v>http://arxiv.org/abs/2407.05276v3</x:v>
      </x:c>
      <x:c r="M125" s="23" t="n">
        <x:v>0.01639344262295082</x:v>
      </x:c>
      <x:c r="N125" s="17" t="str">
        <x:v>arxiv-paper-eval-20260727-105551-results.jsonl</x:v>
      </x:c>
      <x:c r="O125" s="24" t="str">
        <x:v>2</x:v>
      </x:c>
      <x:c r="P125" s="28" t="str">
        <x:v>用区块链聚合和激励算法处理非IID数据并验证准确性。</x:v>
      </x:c>
      <x:c r="Q125" s="25" t="str"/>
      <x:c r="R125" s="24" t="str">
        <x:f>IF(Q125&lt;&gt;"",Q125,O125)</x:f>
        <x:v>2</x:v>
      </x:c>
      <x:c r="S125" s="29" t="str"/>
    </x:row>
    <x:row r="126" ht="54" customHeight="1">
      <x:c r="A126" s="17" t="str">
        <x:v>csq007-r05</x:v>
      </x:c>
      <x:c r="B126" s="17" t="str">
        <x:v>csq007</x:v>
      </x:c>
      <x:c r="C126" s="17" t="str">
        <x:v>machine_learning</x:v>
      </x:c>
      <x:c r="D126" s="17" t="str">
        <x:v>federated_optimization</x:v>
      </x:c>
      <x:c r="E126" s="27" t="str">
        <x:v>How do major federated learning optimization methods address client heterogeneity and non-IID data, and how do their assumptions differ?</x:v>
      </x:c>
      <x:c r="F126" s="22" t="n">
        <x:v>5</x:v>
      </x:c>
      <x:c r="G126" s="17" t="str">
        <x:v>arXiv:2211.05739</x:v>
      </x:c>
      <x:c r="H126" s="27" t="str">
        <x:v>FedLesScan: Mitigating Stragglers in Serverless Federated Learning</x:v>
      </x:c>
      <x:c r="I126" s="17" t="str">
        <x:v>Mohamed Elzohairy; Mohak Chadha; Anshul Jindal; Andreas Grafberger; Jianfeng Gu; Michael Gerndt; Osama Abboud</x:v>
      </x:c>
      <x:c r="J126" s="22" t="n">
        <x:v>2022</x:v>
      </x:c>
      <x:c r="K126" s="27" t="str">
        <x:v>Federated Learning (FL) is a machine learning paradigm that enables the training of a shared global model across distributed clients while keeping the training data local. While most prior work on designing systems for FL has focused on using stateful always running components, recent work has shown that components in an FL system can greatly benefit from the usage of serverless computing and Function-as-a-Service technologies. To this end, distributed training of models with serverless FL systems can be more resource-efficient and cheaper than conventional FL systems. However, serverless FL systems still suffer from the presence of stragglers, i.e., slow clients due to their resource and statistical heterogeneity. While several strategies have been proposed for mitigating stragglers in FL, most methodologies do not account for the particular characteristics of serverless environments, i.e., cold-starts, performance variations, and the ephemeral stateless nature of the function instances. Towards this, we propose FedLesScan, a novel clustering-based semi-asynchronous training strategy, specifically tailored for serverless FL. FedLesScan dynamically adapts to the behaviour of clients and minimizes the effect of stragglers on the overall system. We implement our strategy by extending an open-source serverless FL system called FedLess. Moreover, we comprehensively evaluate our strategy using the 2nd generation Google Cloud Functions with four datasets and varying percentages of stragglers. Results from our experiments show that compared to other approaches FedLesScan reduces training time and cost by an average of 8% and 20% respectively while utilizing clients better with an average increase in the effective update ratio of 17.75%.</x:v>
      </x:c>
      <x:c r="L126" s="17" t="str">
        <x:v>http://arxiv.org/abs/2211.05739v2</x:v>
      </x:c>
      <x:c r="M126" s="23" t="n">
        <x:v>0.01639344262295082</x:v>
      </x:c>
      <x:c r="N126" s="17" t="str">
        <x:v>arxiv-paper-eval-20260727-105551-results.jsonl</x:v>
      </x:c>
      <x:c r="O126" s="24" t="str">
        <x:v>1</x:v>
      </x:c>
      <x:c r="P126" s="28" t="str">
        <x:v>主要处理无服务器环境的异质性拖尾客户端，而非非IID优化假设比较。</x:v>
      </x:c>
      <x:c r="Q126" s="25" t="str"/>
      <x:c r="R126" s="24" t="str">
        <x:f>IF(Q126&lt;&gt;"",Q126,O126)</x:f>
        <x:v>1</x:v>
      </x:c>
      <x:c r="S126" s="29" t="str"/>
    </x:row>
    <x:row r="127" ht="54" customHeight="1">
      <x:c r="A127" s="17" t="str">
        <x:v>csq007-r06</x:v>
      </x:c>
      <x:c r="B127" s="17" t="str">
        <x:v>csq007</x:v>
      </x:c>
      <x:c r="C127" s="17" t="str">
        <x:v>machine_learning</x:v>
      </x:c>
      <x:c r="D127" s="17" t="str">
        <x:v>federated_optimization</x:v>
      </x:c>
      <x:c r="E127" s="27" t="str">
        <x:v>How do major federated learning optimization methods address client heterogeneity and non-IID data, and how do their assumptions differ?</x:v>
      </x:c>
      <x:c r="F127" s="22" t="n">
        <x:v>6</x:v>
      </x:c>
      <x:c r="G127" s="17" t="str">
        <x:v>arXiv:2503.15804</x:v>
      </x:c>
      <x:c r="H127" s="27" t="str">
        <x:v>Communication Efficient Federated Learning with Linear Convergence on Heterogeneous Data</x:v>
      </x:c>
      <x:c r="I127" s="17" t="str">
        <x:v>Jie Liu; Yongqiang Wang</x:v>
      </x:c>
      <x:c r="J127" s="22" t="n">
        <x:v>2025</x:v>
      </x:c>
      <x:c r="K127" s="27" t="str">
        <x:v>By letting local clients perform multiple local updates before communicating with a parameter server, modern federated learning algorithms such as FedAvg tackle the communication bottleneck problem in distributed learning and have found many successful applications. However, this asynchrony between local updates and communication also leads to a ''client-drift'' problem when the data is heterogeneous (not independent and identically distributed), resulting in errors in the final learning result. In this paper, we propose a federated learning algorithm, which is called FedCET, to ensure accurate convergence even under heterogeneous distributions of data across clients. Inspired by the distributed optimization algorithm NIDS, we use learning rates to weight information received from local clients to eliminate the ''client-drift''. We prove that under appropriate learning rates, FedCET can ensure linear convergence to the exact solution. Different from existing algorithms which have to share both gradients and a drift-correction term to ensure accurate convergence under heterogeneous data distributions, FedCET only shares one variable, which significantly reduces communication overhead. Numerical comparison with existing counterpart algorithms confirms the effectiveness of FedCET.</x:v>
      </x:c>
      <x:c r="L127" s="17" t="str">
        <x:v>http://arxiv.org/abs/2503.15804v1</x:v>
      </x:c>
      <x:c r="M127" s="23" t="n">
        <x:v>0.016129032258064516</x:v>
      </x:c>
      <x:c r="N127" s="17" t="str">
        <x:v>arxiv-paper-eval-20260727-105551-results.jsonl</x:v>
      </x:c>
      <x:c r="O127" s="24" t="str">
        <x:v>2</x:v>
      </x:c>
      <x:c r="P127" s="28" t="str">
        <x:v>FedCET以学习率加权消除异质数据的客户端漂移并证明线性收敛。</x:v>
      </x:c>
      <x:c r="Q127" s="25" t="str"/>
      <x:c r="R127" s="24" t="str">
        <x:f>IF(Q127&lt;&gt;"",Q127,O127)</x:f>
        <x:v>2</x:v>
      </x:c>
      <x:c r="S127" s="29" t="str"/>
    </x:row>
    <x:row r="128" ht="54" customHeight="1">
      <x:c r="A128" s="17" t="str">
        <x:v>csq007-r07</x:v>
      </x:c>
      <x:c r="B128" s="17" t="str">
        <x:v>csq007</x:v>
      </x:c>
      <x:c r="C128" s="17" t="str">
        <x:v>machine_learning</x:v>
      </x:c>
      <x:c r="D128" s="17" t="str">
        <x:v>federated_optimization</x:v>
      </x:c>
      <x:c r="E128" s="27" t="str">
        <x:v>How do major federated learning optimization methods address client heterogeneity and non-IID data, and how do their assumptions differ?</x:v>
      </x:c>
      <x:c r="F128" s="22" t="n">
        <x:v>7</x:v>
      </x:c>
      <x:c r="G128" s="17" t="str">
        <x:v>arXiv:2003.00295</x:v>
      </x:c>
      <x:c r="H128" s="27" t="str">
        <x:v>Adaptive Federated Optimization</x:v>
      </x:c>
      <x:c r="I128" s="17" t="str">
        <x:v>Sashank Reddi; Zachary Charles; Manzil Zaheer; Zachary Garrett; Keith Rush; Jakub Konečný; Sanjiv Kumar; H. Brendan McMahan</x:v>
      </x:c>
      <x:c r="J128" s="22" t="n">
        <x:v>2020</x:v>
      </x:c>
      <x:c r="K128" s="27" t="str">
        <x:v>Federated learning is a distributed machine learning paradigm in which a large number of clients coordinate with a central server to learn a model without sharing their own training data. Standard federated optimization methods such as Federated Averaging (FedAvg) are often difficult to tune and exhibit unfavorable convergence behavior. In non-federated settings, adaptive optimization methods have had notable success in combating such issues. In this work, we propose federated versions of adaptive optimizers, including Adagrad, Adam, and Yogi, and analyze their convergence in the presence of heterogeneous data for general non-convex settings. Our results highlight the interplay between client heterogeneity and communication efficiency. We also perform extensive experiments on these methods and show that the use of adaptive optimizers can significantly improve the performance of federated learning.</x:v>
      </x:c>
      <x:c r="L128" s="17" t="str">
        <x:v>http://arxiv.org/abs/2003.00295v5</x:v>
      </x:c>
      <x:c r="M128" s="23" t="n">
        <x:v>0.016129032258064516</x:v>
      </x:c>
      <x:c r="N128" s="17" t="str">
        <x:v>arxiv-paper-eval-20260727-105551-results.jsonl</x:v>
      </x:c>
      <x:c r="O128" s="24" t="str">
        <x:v>2</x:v>
      </x:c>
      <x:c r="P128" s="28" t="str">
        <x:v>提出联邦Adagrad、Adam和Yogi并分析异质非凸数据下的收敛。</x:v>
      </x:c>
      <x:c r="Q128" s="25" t="str"/>
      <x:c r="R128" s="24" t="str">
        <x:f>IF(Q128&lt;&gt;"",Q128,O128)</x:f>
        <x:v>2</x:v>
      </x:c>
      <x:c r="S128" s="29" t="str"/>
    </x:row>
    <x:row r="129" ht="54" customHeight="1">
      <x:c r="A129" s="17" t="str">
        <x:v>csq007-r08</x:v>
      </x:c>
      <x:c r="B129" s="17" t="str">
        <x:v>csq007</x:v>
      </x:c>
      <x:c r="C129" s="17" t="str">
        <x:v>machine_learning</x:v>
      </x:c>
      <x:c r="D129" s="17" t="str">
        <x:v>federated_optimization</x:v>
      </x:c>
      <x:c r="E129" s="27" t="str">
        <x:v>How do major federated learning optimization methods address client heterogeneity and non-IID data, and how do their assumptions differ?</x:v>
      </x:c>
      <x:c r="F129" s="22" t="n">
        <x:v>8</x:v>
      </x:c>
      <x:c r="G129" s="17" t="str">
        <x:v>arXiv:2004.11794</x:v>
      </x:c>
      <x:c r="H129" s="27" t="str">
        <x:v>A Review of Privacy-preserving Federated Learning for the Internet-of-Things</x:v>
      </x:c>
      <x:c r="I129" s="17" t="str">
        <x:v>Christopher Briggs; Zhong Fan; Peter Andras</x:v>
      </x:c>
      <x:c r="J129" s="22" t="n">
        <x:v>2020</x:v>
      </x:c>
      <x:c r="K129" s="27" t="str">
        <x:v>The Internet-of-Things (IoT) generates vast quantities of data, much of it attributable to individuals' activity and behaviour. Gathering personal data and performing machine learning tasks on this data in a central location presents a significant privacy risk to individuals as well as challenges with communicating this data to the cloud. However, analytics based on machine learning and in particular deep learning benefit greatly from large amounts of data to develop high-performance predictive models. This work reviews federated learning as an approach for performing machine learning on distributed data with the goal of protecting the privacy of user-generated data as well as reducing communication costs associated with data transfer. We survey a wide variety of papers covering communication-efficiency, client heterogeneity and privacy preserving methods that are crucial for federated learning in the context of the IoT. Throughout this review, we identify the strengths and weaknesses of different methods applied to federated learning and finally, we outline future directions for privacy preserving federated learning research, particularly focusing on IoT applications.</x:v>
      </x:c>
      <x:c r="L129" s="17" t="str">
        <x:v>http://arxiv.org/abs/2004.11794v2</x:v>
      </x:c>
      <x:c r="M129" s="23" t="n">
        <x:v>0.016129032258064516</x:v>
      </x:c>
      <x:c r="N129" s="17" t="str">
        <x:v>arxiv-paper-eval-20260727-105551-results.jsonl</x:v>
      </x:c>
      <x:c r="O129" s="24" t="str">
        <x:v>2</x:v>
      </x:c>
      <x:c r="P129" s="28" t="str">
        <x:v>综述通信效率、客户端异质性与隐私方法的优缺点。</x:v>
      </x:c>
      <x:c r="Q129" s="25" t="str"/>
      <x:c r="R129" s="24" t="str">
        <x:f>IF(Q129&lt;&gt;"",Q129,O129)</x:f>
        <x:v>2</x:v>
      </x:c>
      <x:c r="S129" s="29" t="str"/>
    </x:row>
    <x:row r="130" ht="54" customHeight="1">
      <x:c r="A130" s="17" t="str">
        <x:v>csq007-r09</x:v>
      </x:c>
      <x:c r="B130" s="17" t="str">
        <x:v>csq007</x:v>
      </x:c>
      <x:c r="C130" s="17" t="str">
        <x:v>machine_learning</x:v>
      </x:c>
      <x:c r="D130" s="17" t="str">
        <x:v>federated_optimization</x:v>
      </x:c>
      <x:c r="E130" s="27" t="str">
        <x:v>How do major federated learning optimization methods address client heterogeneity and non-IID data, and how do their assumptions differ?</x:v>
      </x:c>
      <x:c r="F130" s="22" t="n">
        <x:v>9</x:v>
      </x:c>
      <x:c r="G130" s="17" t="str">
        <x:v>arXiv:2505.19605</x:v>
      </x:c>
      <x:c r="H130" s="27" t="str">
        <x:v>Kuramoto-FedAvg: Using Synchronization Dynamics to Improve Federated Learning Optimization under Statistical Heterogeneity</x:v>
      </x:c>
      <x:c r="I130" s="17" t="str">
        <x:v>Aggrey Muhebwa; Khotso Selialia; Fatima Anwar; Khalid K. Osman</x:v>
      </x:c>
      <x:c r="J130" s="22" t="n">
        <x:v>2025</x:v>
      </x:c>
      <x:c r="K130" s="27" t="str">
        <x:v>Federated learning on heterogeneous (non-IID) client data experiences slow convergence due to client drift. To address this challenge, we propose Kuramoto-FedAvg, a federated optimization algorithm that reframes the weight aggregation step as a synchronization problem inspired by the Kuramoto model of coupled oscillators. The server dynamically weighs each client's update based on its phase alignment with the global update, amplifying contributions that align with the global gradient direction while minimizing the impact of updates that are out of phase. We theoretically prove that this synchronization mechanism reduces client drift, providing a tighter convergence bound compared to the standard FedAvg under heterogeneous data distributions. Empirical validation supports our theoretical findings, showing that Kuramoto-FedAvg significantly accelerates convergence and improves accuracy across multiple benchmark datasets. Our work highlights the potential of coordination and synchronization-based strategies for managing gradient diversity and accelerating federated optimization in realistic non-IID settings.</x:v>
      </x:c>
      <x:c r="L130" s="17" t="str">
        <x:v>http://arxiv.org/abs/2505.19605v1</x:v>
      </x:c>
      <x:c r="M130" s="23" t="n">
        <x:v>0.015873015873015872</x:v>
      </x:c>
      <x:c r="N130" s="17" t="str">
        <x:v>arxiv-paper-eval-20260727-105551-results.jsonl</x:v>
      </x:c>
      <x:c r="O130" s="24" t="str">
        <x:v>2</x:v>
      </x:c>
      <x:c r="P130" s="28" t="str">
        <x:v>以同步相位加权客户端更新减轻非IID客户端漂移并给出理论界。</x:v>
      </x:c>
      <x:c r="Q130" s="25" t="str"/>
      <x:c r="R130" s="24" t="str">
        <x:f>IF(Q130&lt;&gt;"",Q130,O130)</x:f>
        <x:v>2</x:v>
      </x:c>
      <x:c r="S130" s="29" t="str"/>
    </x:row>
    <x:row r="131" ht="54" customHeight="1">
      <x:c r="A131" s="17" t="str">
        <x:v>csq007-r10</x:v>
      </x:c>
      <x:c r="B131" s="17" t="str">
        <x:v>csq007</x:v>
      </x:c>
      <x:c r="C131" s="17" t="str">
        <x:v>machine_learning</x:v>
      </x:c>
      <x:c r="D131" s="17" t="str">
        <x:v>federated_optimization</x:v>
      </x:c>
      <x:c r="E131" s="27" t="str">
        <x:v>How do major federated learning optimization methods address client heterogeneity and non-IID data, and how do their assumptions differ?</x:v>
      </x:c>
      <x:c r="F131" s="22" t="n">
        <x:v>10</x:v>
      </x:c>
      <x:c r="G131" s="17" t="str">
        <x:v>arXiv:2308.04761</x:v>
      </x:c>
      <x:c r="H131" s="27" t="str">
        <x:v>Feature Matching Data Synthesis for Non-IID Federated Learning</x:v>
      </x:c>
      <x:c r="I131" s="17" t="str">
        <x:v>Zijian Li; Yuchang Sun; Jiawei Shao; Yuyi Mao; Jessie Hui Wang; Jun Zhang</x:v>
      </x:c>
      <x:c r="J131" s="22" t="n">
        <x:v>2023</x:v>
      </x:c>
      <x:c r="K131" s="27" t="str">
        <x:v>Federated learning (FL) has emerged as a privacy-preserving paradigm that trains neural networks on edge devices without collecting data at a central server. However, FL encounters an inherent challenge in dealing with non-independent and identically distributed (non-IID) data among devices. To address this challenge, this paper proposes a hard feature matching data synthesis (HFMDS) method to share auxiliary data besides local models. Specifically, synthetic data are generated by learning the essential class-relevant features of real samples and discarding the redundant features, which helps to effectively tackle the non-IID issue. For better privacy preservation, we propose a hard feature augmentation method to transfer real features towards the decision boundary, with which the synthetic data not only improve the model generalization but also erase the information of real features. By integrating the proposed HFMDS method with FL, we present a novel FL framework with data augmentation to relieve data heterogeneity. The theoretical analysis highlights the effectiveness of our proposed data synthesis method in solving the non-IID challenge. Simulation results further demonstrate that our proposed HFMDS-FL algorithm outperforms the baselines in terms of accuracy, privacy preservation, and computational cost on various benchmark datasets.</x:v>
      </x:c>
      <x:c r="L131" s="17" t="str">
        <x:v>http://arxiv.org/abs/2308.04761v1</x:v>
      </x:c>
      <x:c r="M131" s="23" t="n">
        <x:v>0.015873015873015872</x:v>
      </x:c>
      <x:c r="N131" s="17" t="str">
        <x:v>arxiv-paper-eval-20260727-105551-results.jsonl</x:v>
      </x:c>
      <x:c r="O131" s="24" t="str">
        <x:v>2</x:v>
      </x:c>
      <x:c r="P131" s="28" t="str">
        <x:v>通过共享保隐私的特征匹配合成数据缓解非IID差异。</x:v>
      </x:c>
      <x:c r="Q131" s="25" t="str"/>
      <x:c r="R131" s="24" t="str">
        <x:f>IF(Q131&lt;&gt;"",Q131,O131)</x:f>
        <x:v>2</x:v>
      </x:c>
      <x:c r="S131" s="29" t="str"/>
    </x:row>
    <x:row r="132" ht="54" customHeight="1">
      <x:c r="A132" s="17" t="str">
        <x:v>csq007-r11</x:v>
      </x:c>
      <x:c r="B132" s="17" t="str">
        <x:v>csq007</x:v>
      </x:c>
      <x:c r="C132" s="17" t="str">
        <x:v>machine_learning</x:v>
      </x:c>
      <x:c r="D132" s="17" t="str">
        <x:v>federated_optimization</x:v>
      </x:c>
      <x:c r="E132" s="27" t="str">
        <x:v>How do major federated learning optimization methods address client heterogeneity and non-IID data, and how do their assumptions differ?</x:v>
      </x:c>
      <x:c r="F132" s="22" t="n">
        <x:v>11</x:v>
      </x:c>
      <x:c r="G132" s="17" t="str">
        <x:v>arXiv:2106.06843</x:v>
      </x:c>
      <x:c r="H132" s="27" t="str">
        <x:v>Federated Learning on Non-IID Data: A Survey</x:v>
      </x:c>
      <x:c r="I132" s="17" t="str">
        <x:v>Hangyu Zhu; Jinjin Xu; Shiqing Liu; Yaochu Jin</x:v>
      </x:c>
      <x:c r="J132" s="22" t="n">
        <x:v>2021</x:v>
      </x:c>
      <x:c r="K132" s="27" t="str">
        <x:v>Federated learning is an emerging distributed machine learning framework for privacy preservation. However, models trained in federated learning usually have worse performance than those trained in the standard centralized learning mode, especially when the training data are not independent and identically distributed (Non-IID) on the local devices. In this survey, we pro-vide a detailed analysis of the influence of Non-IID data on both parametric and non-parametric machine learning models in both horizontal and vertical federated learning. In addition, cur-rent research work on handling challenges of Non-IID data in federated learning are reviewed, and both advantages and disadvantages of these approaches are discussed. Finally, we suggest several future research directions before concluding the paper.</x:v>
      </x:c>
      <x:c r="L132" s="17" t="str">
        <x:v>http://arxiv.org/abs/2106.06843v1</x:v>
      </x:c>
      <x:c r="M132" s="23" t="n">
        <x:v>0.015873015873015872</x:v>
      </x:c>
      <x:c r="N132" s="17" t="str">
        <x:v>arxiv-paper-eval-20260727-105551-results.jsonl</x:v>
      </x:c>
      <x:c r="O132" s="24" t="str">
        <x:v>2</x:v>
      </x:c>
      <x:c r="P132" s="28" t="str">
        <x:v>专门综述非IID数据影响、处理方法及各自优缺点。</x:v>
      </x:c>
      <x:c r="Q132" s="25" t="str"/>
      <x:c r="R132" s="24" t="str">
        <x:f>IF(Q132&lt;&gt;"",Q132,O132)</x:f>
        <x:v>2</x:v>
      </x:c>
      <x:c r="S132" s="29" t="str"/>
    </x:row>
    <x:row r="133" ht="54" customHeight="1">
      <x:c r="A133" s="17" t="str">
        <x:v>csq007-r12</x:v>
      </x:c>
      <x:c r="B133" s="17" t="str">
        <x:v>csq007</x:v>
      </x:c>
      <x:c r="C133" s="17" t="str">
        <x:v>machine_learning</x:v>
      </x:c>
      <x:c r="D133" s="17" t="str">
        <x:v>federated_optimization</x:v>
      </x:c>
      <x:c r="E133" s="27" t="str">
        <x:v>How do major federated learning optimization methods address client heterogeneity and non-IID data, and how do their assumptions differ?</x:v>
      </x:c>
      <x:c r="F133" s="22" t="n">
        <x:v>12</x:v>
      </x:c>
      <x:c r="G133" s="17" t="str">
        <x:v>arXiv:2411.12377</x:v>
      </x:c>
      <x:c r="H133" s="27" t="str">
        <x:v>Non-IID data in Federated Learning: A Survey with Taxonomy, Metrics, Methods, Frameworks and Future Directions</x:v>
      </x:c>
      <x:c r="I133" s="17" t="str">
        <x:v>Daniel M. Jimenez G.; David Solans; Mikko Heikkila; Andrea Vitaletti; Nicolas Kourtellis; Aris Anagnostopoulos; Ioannis Chatzigiannakis</x:v>
      </x:c>
      <x:c r="J133" s="22" t="n">
        <x:v>2024</x:v>
      </x:c>
      <x:c r="K133" s="27" t="str">
        <x:v>Recent advances in machine learning have highlighted Federated Learning (FL) as a promising approach that enables multiple distributed users (so-called clients) to collectively train ML models without sharing their private data. While this privacy-preserving method shows potential, it struggles when data across clients is not independent and identically distributed (non-IID) data. The latter remains an unsolved challenge that can result in poorer model performance and slower training times. Despite the significance of non-IID data in FL, there is a lack of consensus among researchers about its classification and quantification. This technical survey aims to fill that gap by providing a detailed taxonomy for non-IID data, partition protocols, and metrics to quantify data heterogeneity. Additionally, we describe popular solutions to address non-IID data and standardized frameworks employed in FL with heterogeneous data. Based on our state-of-the-art survey, we present key lessons learned and suggest promising future research directions.</x:v>
      </x:c>
      <x:c r="L133" s="17" t="str">
        <x:v>http://arxiv.org/abs/2411.12377v2</x:v>
      </x:c>
      <x:c r="M133" s="23" t="n">
        <x:v>0.015625</x:v>
      </x:c>
      <x:c r="N133" s="17" t="str">
        <x:v>arxiv-paper-eval-20260727-105551-results.jsonl</x:v>
      </x:c>
      <x:c r="O133" s="24" t="str">
        <x:v>2</x:v>
      </x:c>
      <x:c r="P133" s="28" t="str">
        <x:v>系统给出非IID类型、度量、主流解决方案和标准框架。</x:v>
      </x:c>
      <x:c r="Q133" s="25" t="str"/>
      <x:c r="R133" s="24" t="str">
        <x:f>IF(Q133&lt;&gt;"",Q133,O133)</x:f>
        <x:v>2</x:v>
      </x:c>
      <x:c r="S133" s="29" t="str"/>
    </x:row>
    <x:row r="134" ht="54" customHeight="1">
      <x:c r="A134" s="17" t="str">
        <x:v>csq007-r13</x:v>
      </x:c>
      <x:c r="B134" s="17" t="str">
        <x:v>csq007</x:v>
      </x:c>
      <x:c r="C134" s="17" t="str">
        <x:v>machine_learning</x:v>
      </x:c>
      <x:c r="D134" s="17" t="str">
        <x:v>federated_optimization</x:v>
      </x:c>
      <x:c r="E134" s="27" t="str">
        <x:v>How do major federated learning optimization methods address client heterogeneity and non-IID data, and how do their assumptions differ?</x:v>
      </x:c>
      <x:c r="F134" s="22" t="n">
        <x:v>13</x:v>
      </x:c>
      <x:c r="G134" s="17" t="str">
        <x:v>arXiv:2309.10337</x:v>
      </x:c>
      <x:c r="H134" s="27" t="str">
        <x:v>FedWOA: A Federated Learning Model that uses the Whale Optimization Algorithm for Renewable Energy Prediction</x:v>
      </x:c>
      <x:c r="I134" s="17" t="str">
        <x:v>Viorica Chifu; Tudor Cioara; Cristian Anitiei; Cristina Pop; Ionut Anghel</x:v>
      </x:c>
      <x:c r="J134" s="22" t="n">
        <x:v>2023</x:v>
      </x:c>
      <x:c r="K134" s="27" t="str">
        <x:v>Privacy is important when dealing with sensitive personal information in machine learning models, which require large data sets for training. In the energy field, access to household prosumer energy data is crucial for energy predictions to support energy grid management and large-scale adoption of renewables however citizens are often hesitant to grant access to cloud-based machine learning models. Federated learning has been proposed as a solution to privacy challenges however report issues in generating the global prediction model due to data heterogeneity, variations in generation patterns, and the high number of parameters leading to even lower prediction accuracy. This paper addresses these challenges by introducing FedWOA a novel federated learning model that employs the Whale Optimization Algorithm to aggregate global prediction models from the weights of local LTSM neural network models trained on prosumer energy data. The proposed solution identifies the optimal vector of weights in the search spaces of the local models to construct the global shared model and then is subsequently transmitted to the local nodes to improve the prediction quality at the prosumer site while for handling non-IID data K-Means was used for clustering prosumers with similar scale of energy data. The evaluation results on prosumers energy data have shown that FedWOA can effectively enhance the accuracy of energy prediction models accuracy by 25% for MSE and 16% for MAE compared to FedAVG while demonstrating good convergence and reduced loss.</x:v>
      </x:c>
      <x:c r="L134" s="17" t="str">
        <x:v>http://arxiv.org/abs/2309.10337v1</x:v>
      </x:c>
      <x:c r="M134" s="23" t="n">
        <x:v>0.015625</x:v>
      </x:c>
      <x:c r="N134" s="17" t="str">
        <x:v>arxiv-paper-eval-20260727-105551-results.jsonl</x:v>
      </x:c>
      <x:c r="O134" s="24" t="str">
        <x:v>2</x:v>
      </x:c>
      <x:c r="P134" s="28" t="str">
        <x:v>以聚类相似客户端和鲸鱼优化聚合处理能源数据非IID。</x:v>
      </x:c>
      <x:c r="Q134" s="25" t="str"/>
      <x:c r="R134" s="24" t="str">
        <x:f>IF(Q134&lt;&gt;"",Q134,O134)</x:f>
        <x:v>2</x:v>
      </x:c>
      <x:c r="S134" s="29" t="str"/>
    </x:row>
    <x:row r="135" ht="54" customHeight="1">
      <x:c r="A135" s="17" t="str">
        <x:v>csq007-r14</x:v>
      </x:c>
      <x:c r="B135" s="17" t="str">
        <x:v>csq007</x:v>
      </x:c>
      <x:c r="C135" s="17" t="str">
        <x:v>machine_learning</x:v>
      </x:c>
      <x:c r="D135" s="17" t="str">
        <x:v>federated_optimization</x:v>
      </x:c>
      <x:c r="E135" s="27" t="str">
        <x:v>How do major federated learning optimization methods address client heterogeneity and non-IID data, and how do their assumptions differ?</x:v>
      </x:c>
      <x:c r="F135" s="22" t="n">
        <x:v>14</x:v>
      </x:c>
      <x:c r="G135" s="17" t="str">
        <x:v>arXiv:2006.09637</x:v>
      </x:c>
      <x:c r="H135" s="27" t="str">
        <x:v>FedCD: Improving Performance in non-IID Federated Learning</x:v>
      </x:c>
      <x:c r="I135" s="17" t="str">
        <x:v>Kavya Kopparapu; Eric Lin; Jessica Zhao</x:v>
      </x:c>
      <x:c r="J135" s="22" t="n">
        <x:v>2020</x:v>
      </x:c>
      <x:c r="K135" s="27" t="str">
        <x:v>Federated learning has been widely applied to enable decentralized devices, which each have their own local data, to learn a shared model. However, learning from real-world data can be challenging, as it is rarely identically and independently distributed (IID) across edge devices (a key assumption for current high-performing and low-bandwidth algorithms). We present a novel approach, FedCD, which clones and deletes models to dynamically group devices with similar data. Experiments on the CIFAR-10 dataset show that FedCD achieves higher accuracy and faster convergence compared to a FedAvg baseline on non-IID data while incurring minimal computation, communication, and storage overheads.</x:v>
      </x:c>
      <x:c r="L135" s="17" t="str">
        <x:v>http://arxiv.org/abs/2006.09637v3</x:v>
      </x:c>
      <x:c r="M135" s="23" t="n">
        <x:v>0.015625</x:v>
      </x:c>
      <x:c r="N135" s="17" t="str">
        <x:v>arxiv-paper-eval-20260727-105551-results.jsonl</x:v>
      </x:c>
      <x:c r="O135" s="24" t="str">
        <x:v>2</x:v>
      </x:c>
      <x:c r="P135" s="28" t="str">
        <x:v>通过动态克隆删除模型对相似分布客户端分组以缓解非IID。</x:v>
      </x:c>
      <x:c r="Q135" s="25" t="str"/>
      <x:c r="R135" s="24" t="str">
        <x:f>IF(Q135&lt;&gt;"",Q135,O135)</x:f>
        <x:v>2</x:v>
      </x:c>
      <x:c r="S135" s="29" t="str"/>
    </x:row>
    <x:row r="136" ht="54" customHeight="1">
      <x:c r="A136" s="17" t="str">
        <x:v>csq007-r15</x:v>
      </x:c>
      <x:c r="B136" s="17" t="str">
        <x:v>csq007</x:v>
      </x:c>
      <x:c r="C136" s="17" t="str">
        <x:v>machine_learning</x:v>
      </x:c>
      <x:c r="D136" s="17" t="str">
        <x:v>federated_optimization</x:v>
      </x:c>
      <x:c r="E136" s="27" t="str">
        <x:v>How do major federated learning optimization methods address client heterogeneity and non-IID data, and how do their assumptions differ?</x:v>
      </x:c>
      <x:c r="F136" s="22" t="n">
        <x:v>15</x:v>
      </x:c>
      <x:c r="G136" s="17" t="str">
        <x:v>arXiv:2404.13237</x:v>
      </x:c>
      <x:c r="H136" s="27" t="str">
        <x:v>PAFedFV: Personalized and Asynchronous Federated Learning for Finger Vein Recognition</x:v>
      </x:c>
      <x:c r="I136" s="17" t="str">
        <x:v>Hengyu Mu; Jian Guo; Chong Han; Lijuan Sun</x:v>
      </x:c>
      <x:c r="J136" s="22" t="n">
        <x:v>2024</x:v>
      </x:c>
      <x:c r="K136" s="27" t="str">
        <x:v>With the increasing emphasis on user privacy protection, biometric recognition based on federated learning have become the latest research hotspot. However, traditional federated learning methods cannot be directly applied to finger vein recognition, due to heterogeneity of data and open-set verification. Therefore, only a few application cases have been proposed. And these methods still have two drawbacks. (1) Uniform model results in poor performance in some clients, as the finger vein data is highly heterogeneous and non-Independently Identically Distributed (non-IID). (2) On individual client, a large amount of time is underutilized, such as the time to wait for returning model from server. To address those problems, this paper proposes a Personalized and Asynchronous Federated Learning for Finger Vein Recognition (PAFedFV) framework. PAFedFV designs personalized model aggregation method to solve the heterogeneity among non-IID data. Meanwhile, it employs an asynchronized training module for clients to utilize their waiting time. Finally, extensive experiments on six finger vein datasets are conducted. Base on these experiment results, the impact of non-IID finger vein data on performance of federated learning are analyzed, and the superiority of PAFedFV in accuracy and robustness are demonstrated.</x:v>
      </x:c>
      <x:c r="L136" s="17" t="str">
        <x:v>http://arxiv.org/abs/2404.13237v1</x:v>
      </x:c>
      <x:c r="M136" s="23" t="n">
        <x:v>0.015384615384615385</x:v>
      </x:c>
      <x:c r="N136" s="17" t="str">
        <x:v>arxiv-paper-eval-20260727-105551-results.jsonl</x:v>
      </x:c>
      <x:c r="O136" s="24" t="str">
        <x:v>2</x:v>
      </x:c>
      <x:c r="P136" s="28" t="str">
        <x:v>个性化聚合解决指静脉非IID，并结合异步训练处理等待。</x:v>
      </x:c>
      <x:c r="Q136" s="25" t="str"/>
      <x:c r="R136" s="24" t="str">
        <x:f>IF(Q136&lt;&gt;"",Q136,O136)</x:f>
        <x:v>2</x:v>
      </x:c>
      <x:c r="S136" s="29" t="str"/>
    </x:row>
    <x:row r="137" ht="54" customHeight="1">
      <x:c r="A137" s="17" t="str">
        <x:v>csq007-r16</x:v>
      </x:c>
      <x:c r="B137" s="17" t="str">
        <x:v>csq007</x:v>
      </x:c>
      <x:c r="C137" s="17" t="str">
        <x:v>machine_learning</x:v>
      </x:c>
      <x:c r="D137" s="17" t="str">
        <x:v>federated_optimization</x:v>
      </x:c>
      <x:c r="E137" s="27" t="str">
        <x:v>How do major federated learning optimization methods address client heterogeneity and non-IID data, and how do their assumptions differ?</x:v>
      </x:c>
      <x:c r="F137" s="22" t="n">
        <x:v>16</x:v>
      </x:c>
      <x:c r="G137" s="17" t="str">
        <x:v>arXiv:2306.04155</x:v>
      </x:c>
      <x:c r="H137" s="27" t="str">
        <x:v>Towards Fast Personalized Semi-Supervised Federated Learning in Edge Networks: Algorithm Design and Theoretical Guarantee</x:v>
      </x:c>
      <x:c r="I137" s="17" t="str">
        <x:v>Shuai Wang; Yanqing Xu; Yanyi Yuan; Tony Q. S. Quek</x:v>
      </x:c>
      <x:c r="J137" s="22" t="n">
        <x:v>2023</x:v>
      </x:c>
      <x:c r="K137" s="27" t="str">
        <x:v>Recent years have witnessed a huge demand for artificial intelligence and machine learning applications in wireless edge networks to assist individuals with real-time services. Owing to the practical setting and privacy preservation of federated learning (FL), it is a suitable and appealing distributed learning paradigm to deploy these applications at the network edge. Despite the many successful efforts made to apply FL to wireless edge networks, the adopted algorithms mostly follow the same spirit as FedAvg, thereby heavily suffering from the practical challenges of label deficiency and device heterogeneity. These challenges not only decelerate the model training in FL but also downgrade the application performance. In this paper, we focus on the algorithm design and address these challenges by investigating the personalized semi-supervised FL problem and proposing an effective algorithm, namely FedCPSL. In particular, the techniques of pseudo-labeling, and interpolation-based model personalization are judiciously combined to provide a new problem formulation for personalized semi-supervised FL. The proposed FedCPSL algorithm adopts novel strategies, including adaptive client variance reduction, local momentum, and normalized global aggregation, to combat the challenge of device heterogeneity and boost algorithm convergence. Moreover, the convergence property of FedCPSL is thoroughly analyzed and shows that FedCPSL is resilient to both statistical and system heterogeneity, obtaining a sublinear convergence rate. Experimental results on image classification tasks are also presented to demonstrate that the proposed approach outperforms its counterparts in terms of both convergence speed and application performance.</x:v>
      </x:c>
      <x:c r="L137" s="17" t="str">
        <x:v>http://arxiv.org/abs/2306.04155v1</x:v>
      </x:c>
      <x:c r="M137" s="23" t="n">
        <x:v>0.015384615384615385</x:v>
      </x:c>
      <x:c r="N137" s="17" t="str">
        <x:v>arxiv-paper-eval-20260727-105551-results.jsonl</x:v>
      </x:c>
      <x:c r="O137" s="24" t="str">
        <x:v>2</x:v>
      </x:c>
      <x:c r="P137" s="28" t="str">
        <x:v>结合方差缩减、动量和归一聚合应对统计与系统异质性。</x:v>
      </x:c>
      <x:c r="Q137" s="25" t="str"/>
      <x:c r="R137" s="24" t="str">
        <x:f>IF(Q137&lt;&gt;"",Q137,O137)</x:f>
        <x:v>2</x:v>
      </x:c>
      <x:c r="S137" s="29" t="str"/>
    </x:row>
    <x:row r="138" ht="54" customHeight="1">
      <x:c r="A138" s="17" t="str">
        <x:v>csq007-r17</x:v>
      </x:c>
      <x:c r="B138" s="17" t="str">
        <x:v>csq007</x:v>
      </x:c>
      <x:c r="C138" s="17" t="str">
        <x:v>machine_learning</x:v>
      </x:c>
      <x:c r="D138" s="17" t="str">
        <x:v>federated_optimization</x:v>
      </x:c>
      <x:c r="E138" s="27" t="str">
        <x:v>How do major federated learning optimization methods address client heterogeneity and non-IID data, and how do their assumptions differ?</x:v>
      </x:c>
      <x:c r="F138" s="22" t="n">
        <x:v>17</x:v>
      </x:c>
      <x:c r="G138" s="17" t="str">
        <x:v>arXiv:2210.04505</x:v>
      </x:c>
      <x:c r="H138" s="27" t="str">
        <x:v>A Survey on Heterogeneous Federated Learning</x:v>
      </x:c>
      <x:c r="I138" s="17" t="str">
        <x:v>Dashan Gao; Xin Yao; Qiang Yang</x:v>
      </x:c>
      <x:c r="J138" s="22" t="n">
        <x:v>2022</x:v>
      </x:c>
      <x:c r="K138" s="27" t="str">
        <x:v>Federated learning (FL) has been proposed to protect data privacy and virtually assemble the isolated data silos by cooperatively training models among organizations without breaching privacy and security. However, FL faces heterogeneity from various aspects, including data space, statistical, and system heterogeneity. For example, collaborative organizations without conflict of interest often come from different areas and have heterogeneous data from different feature spaces. Participants may also want to train heterogeneous personalized local models due to non-IID and imbalanced data distribution and various resource-constrained devices. Therefore, heterogeneous FL is proposed to address the problem of heterogeneity in FL. In this survey, we comprehensively investigate the domain of heterogeneous FL in terms of data space, statistical, system, and model heterogeneity. We first give an overview of FL, including its definition and categorization. Then, We propose a precise taxonomy of heterogeneous FL settings for each type of heterogeneity according to the problem setting and learning objective. We also investigate the transfer learning methodologies to tackle the heterogeneity in FL. We further present the applications of heterogeneous FL. Finally, we highlight the challenges and opportunities and envision promising future research directions toward new framework design and trustworthy approaches.</x:v>
      </x:c>
      <x:c r="L138" s="17" t="str">
        <x:v>http://arxiv.org/abs/2210.04505v1</x:v>
      </x:c>
      <x:c r="M138" s="23" t="n">
        <x:v>0.015384615384615385</x:v>
      </x:c>
      <x:c r="N138" s="17" t="str">
        <x:v>arxiv-paper-eval-20260727-105551-results.jsonl</x:v>
      </x:c>
      <x:c r="O138" s="24" t="str">
        <x:v>2</x:v>
      </x:c>
      <x:c r="P138" s="28" t="str">
        <x:v>系统分类数据空间、统计、系统和模型异质性及相应方法。</x:v>
      </x:c>
      <x:c r="Q138" s="25" t="str"/>
      <x:c r="R138" s="24" t="str">
        <x:f>IF(Q138&lt;&gt;"",Q138,O138)</x:f>
        <x:v>2</x:v>
      </x:c>
      <x:c r="S138" s="29" t="str"/>
    </x:row>
    <x:row r="139" ht="54" customHeight="1">
      <x:c r="A139" s="17" t="str">
        <x:v>csq007-r18</x:v>
      </x:c>
      <x:c r="B139" s="17" t="str">
        <x:v>csq007</x:v>
      </x:c>
      <x:c r="C139" s="17" t="str">
        <x:v>machine_learning</x:v>
      </x:c>
      <x:c r="D139" s="17" t="str">
        <x:v>federated_optimization</x:v>
      </x:c>
      <x:c r="E139" s="27" t="str">
        <x:v>How do major federated learning optimization methods address client heterogeneity and non-IID data, and how do their assumptions differ?</x:v>
      </x:c>
      <x:c r="F139" s="22" t="n">
        <x:v>18</x:v>
      </x:c>
      <x:c r="G139" s="17" t="str">
        <x:v>arXiv:2102.07623</x:v>
      </x:c>
      <x:c r="H139" s="27" t="str">
        <x:v>FedBN: Federated Learning on Non-IID Features via Local Batch Normalization</x:v>
      </x:c>
      <x:c r="I139" s="17" t="str">
        <x:v>Xiaoxiao Li; Meirui Jiang; Xiaofei Zhang; Michael Kamp; Qi Dou</x:v>
      </x:c>
      <x:c r="J139" s="22" t="n">
        <x:v>2021</x:v>
      </x:c>
      <x:c r="K139" s="27" t="str">
        <x:v>The emerging paradigm of federated learning (FL) strives to enable collaborative training of deep models on the network edge without centrally aggregating raw data and hence improving data privacy. In most cases, the assumption of independent and identically distributed samples across local clients does not hold for federated learning setups. Under this setting, neural network training performance may vary significantly according to the data distribution and even hurt training convergence. Most of the previous work has focused on a difference in the distribution of labels or client shifts. Unlike those settings, we address an important problem of FL, e.g., different scanners/sensors in medical imaging, different scenery distribution in autonomous driving (highway vs. city), where local clients store examples with different distributions compared to other clients, which we denote as feature shift non-iid. In this work, we propose an effective method that uses local batch normalization to alleviate the feature shift before averaging models. The resulting scheme, called FedBN, outperforms both classical FedAvg, as well as the state-of-the-art for non-iid data (FedProx) on our extensive experiments. These empirical results are supported by a convergence analysis that shows in a simplified setting that FedBN has a faster convergence rate than FedAvg. Code is available at https://github.com/med-air/FedBN.</x:v>
      </x:c>
      <x:c r="L139" s="17" t="str">
        <x:v>http://arxiv.org/abs/2102.07623v2</x:v>
      </x:c>
      <x:c r="M139" s="23" t="n">
        <x:v>0.015384615384615385</x:v>
      </x:c>
      <x:c r="N139" s="17" t="str">
        <x:v>arxiv-paper-eval-20260727-105551-results.jsonl</x:v>
      </x:c>
      <x:c r="O139" s="24" t="str">
        <x:v>2</x:v>
      </x:c>
      <x:c r="P139" s="28" t="str">
        <x:v>FedBN针对特征分布偏移保留本地批归一化并分析收敛。</x:v>
      </x:c>
      <x:c r="Q139" s="25" t="str"/>
      <x:c r="R139" s="24" t="str">
        <x:f>IF(Q139&lt;&gt;"",Q139,O139)</x:f>
        <x:v>2</x:v>
      </x:c>
      <x:c r="S139" s="29" t="str"/>
    </x:row>
    <x:row r="140" ht="54" customHeight="1">
      <x:c r="A140" s="17" t="str">
        <x:v>csq007-r19</x:v>
      </x:c>
      <x:c r="B140" s="17" t="str">
        <x:v>csq007</x:v>
      </x:c>
      <x:c r="C140" s="17" t="str">
        <x:v>machine_learning</x:v>
      </x:c>
      <x:c r="D140" s="17" t="str">
        <x:v>federated_optimization</x:v>
      </x:c>
      <x:c r="E140" s="27" t="str">
        <x:v>How do major federated learning optimization methods address client heterogeneity and non-IID data, and how do their assumptions differ?</x:v>
      </x:c>
      <x:c r="F140" s="22" t="n">
        <x:v>19</x:v>
      </x:c>
      <x:c r="G140" s="17" t="str">
        <x:v>arXiv:2404.14033</x:v>
      </x:c>
      <x:c r="H140" s="27" t="str">
        <x:v>Apodotiko: Enabling Efficient Serverless Federated Learning in Heterogeneous Environments</x:v>
      </x:c>
      <x:c r="I140" s="17" t="str">
        <x:v>Mohak Chadha; Alexander Jensen; Jianfeng Gu; Osama Abboud; Michael Gerndt</x:v>
      </x:c>
      <x:c r="J140" s="22" t="n">
        <x:v>2024</x:v>
      </x:c>
      <x:c r="K140" s="27" t="str">
        <x:v>Federated Learning (FL) is an emerging machine learning paradigm that enables the collaborative training of a shared global model across distributed clients while keeping the data decentralized. Recent works on designing systems for efficient FL have shown that utilizing serverless computing technologies, particularly Function-as-a-Service (FaaS) for FL, can enhance resource efficiency, reduce training costs, and alleviate the complex infrastructure management burden on data holders. However, current serverless FL systems still suffer from the presence of stragglers, i.e., slow clients that impede the collaborative training process. While strategies aimed at mitigating stragglers in these systems have been proposed, they overlook the diverse hardware resource configurations among FL clients. To this end, we present Apodotiko, a novel asynchronous training strategy designed for serverless FL. Our strategy incorporates a scoring mechanism that evaluates each client's hardware capacity and dataset size to intelligently prioritize and select clients for each training round, thereby minimizing the effects of stragglers on system performance. We comprehensively evaluate Apodotiko across diverse datasets, considering a mix of CPU and GPU clients, and compare its performance against five other FL training strategies. Results from our experiments demonstrate that Apodotiko outperforms other FL training strategies, achieving an average speedup of 2.75x and a maximum speedup of 7.03x. Furthermore, our strategy significantly reduces cold starts by a factor of four on average, demonstrating suitability in serverless environments.</x:v>
      </x:c>
      <x:c r="L140" s="17" t="str">
        <x:v>http://arxiv.org/abs/2404.14033v1</x:v>
      </x:c>
      <x:c r="M140" s="23" t="n">
        <x:v>0.015151515151515152</x:v>
      </x:c>
      <x:c r="N140" s="17" t="str">
        <x:v>arxiv-paper-eval-20260727-105551-results.jsonl</x:v>
      </x:c>
      <x:c r="O140" s="24" t="str">
        <x:v>1</x:v>
      </x:c>
      <x:c r="P140" s="28" t="str">
        <x:v>按硬件与数据量选择客户端以缓解拖尾，主要是系统异质性调度。</x:v>
      </x:c>
      <x:c r="Q140" s="25" t="str"/>
      <x:c r="R140" s="24" t="str">
        <x:f>IF(Q140&lt;&gt;"",Q140,O140)</x:f>
        <x:v>1</x:v>
      </x:c>
      <x:c r="S140" s="29" t="str"/>
    </x:row>
    <x:row r="141" ht="54" customHeight="1">
      <x:c r="A141" s="17" t="str">
        <x:v>csq007-r20</x:v>
      </x:c>
      <x:c r="B141" s="17" t="str">
        <x:v>csq007</x:v>
      </x:c>
      <x:c r="C141" s="17" t="str">
        <x:v>machine_learning</x:v>
      </x:c>
      <x:c r="D141" s="17" t="str">
        <x:v>federated_optimization</x:v>
      </x:c>
      <x:c r="E141" s="27" t="str">
        <x:v>How do major federated learning optimization methods address client heterogeneity and non-IID data, and how do their assumptions differ?</x:v>
      </x:c>
      <x:c r="F141" s="22" t="n">
        <x:v>20</x:v>
      </x:c>
      <x:c r="G141" s="17" t="str">
        <x:v>arXiv:2308.09318</x:v>
      </x:c>
      <x:c r="H141" s="27" t="str">
        <x:v>Towards Attack-tolerant Federated Learning via Critical Parameter Analysis</x:v>
      </x:c>
      <x:c r="I141" s="17" t="str">
        <x:v>Sungwon Han; Sungwon Park; Fangzhao Wu; Sundong Kim; Bin Zhu; Xing Xie; Meeyoung Cha</x:v>
      </x:c>
      <x:c r="J141" s="22" t="n">
        <x:v>2023</x:v>
      </x:c>
      <x:c r="K141" s="27" t="str">
        <x:v>Federated learning is used to train a shared model in a decentralized way without clients sharing private data with each other. Federated learning systems are susceptible to poisoning attacks when malicious clients send false updates to the central server. Existing defense strategies are ineffective under non-IID data settings. This paper proposes a new defense strategy, FedCPA (Federated learning with Critical Parameter Analysis). Our attack-tolerant aggregation method is based on the observation that benign local models have similar sets of top-k and bottom-k critical parameters, whereas poisoned local models do not. Experiments with different attack scenarios on multiple datasets demonstrate that our model outperforms existing defense strategies in defending against poisoning attacks.</x:v>
      </x:c>
      <x:c r="L141" s="17" t="str">
        <x:v>http://arxiv.org/abs/2308.09318v1</x:v>
      </x:c>
      <x:c r="M141" s="23" t="n">
        <x:v>0.015151515151515152</x:v>
      </x:c>
      <x:c r="N141" s="17" t="str">
        <x:v>arxiv-paper-eval-20260727-105551-results.jsonl</x:v>
      </x:c>
      <x:c r="O141" s="24" t="str">
        <x:v>1</x:v>
      </x:c>
      <x:c r="P141" s="28" t="str">
        <x:v>关注非IID条件下的投毒防御聚合，而非一般异质性优化方法。</x:v>
      </x:c>
      <x:c r="Q141" s="25" t="str"/>
      <x:c r="R141" s="24" t="str">
        <x:f>IF(Q141&lt;&gt;"",Q141,O141)</x:f>
        <x:v>1</x:v>
      </x:c>
      <x:c r="S141" s="29" t="str"/>
    </x:row>
    <x:row r="142" ht="54" customHeight="1">
      <x:c r="A142" s="17" t="str">
        <x:v>csq008-r01</x:v>
      </x:c>
      <x:c r="B142" s="17" t="str">
        <x:v>csq008</x:v>
      </x:c>
      <x:c r="C142" s="17" t="str">
        <x:v>machine_learning</x:v>
      </x:c>
      <x:c r="D142" s="17" t="str">
        <x:v>uncertainty_calibration</x:v>
      </x:c>
      <x:c r="E142" s="27" t="str">
        <x:v>Which metrics and benchmark protocols are used to evaluate uncertainty calibration in deep neural networks, and what failure modes do these metrics miss?</x:v>
      </x:c>
      <x:c r="F142" s="22" t="n">
        <x:v>1</x:v>
      </x:c>
      <x:c r="G142" s="17" t="str">
        <x:v>arXiv:2407.06844</x:v>
      </x:c>
      <x:c r="H142" s="27" t="str">
        <x:v>Dynamic Correlation Learning and Regularization for Multi-Label Confidence Calibration</x:v>
      </x:c>
      <x:c r="I142" s="17" t="str">
        <x:v>Tianshui Chen; Weihang Wang; Tao Pu; Jinghui Qin; Zhijing Yang; Jie Liu; Liang Lin</x:v>
      </x:c>
      <x:c r="J142" s="22" t="n">
        <x:v>2024</x:v>
      </x:c>
      <x:c r="K142" s="27" t="str">
        <x:v>Modern visual recognition models often display overconfidence due to their reliance on complex deep neural networks and one-hot target supervision, resulting in unreliable confidence scores that necessitate calibration. While current confidence calibration techniques primarily address single-label scenarios, there is a lack of focus on more practical and generalizable multi-label contexts. This paper introduces the Multi-Label Confidence Calibration (MLCC) task, aiming to provide well-calibrated confidence scores in multi-label scenarios. Unlike single-label images, multi-label images contain multiple objects, leading to semantic confusion and further unreliability in confidence scores. Existing single-label calibration methods, based on label smoothing, fail to account for category correlations, which are crucial for addressing semantic confusion, thereby yielding sub-optimal performance. To overcome these limitations, we propose the Dynamic Correlation Learning and Regularization (DCLR) algorithm, which leverages multi-grained semantic correlations to better model semantic confusion for adaptive regularization. DCLR learns dynamic instance-level and prototype-level similarities specific to each category, using these to measure semantic correlations across different categories. With this understanding, we construct adaptive label vectors that assign higher values to categories with strong correlations, thereby facilitating more effective regularization. We establish an evaluation benchmark, re-implementing several advanced confidence calibration algorithms and applying them to leading multi-label recognition (MLR) models for fair comparison. Through extensive experiments, we demonstrate the superior performance of DCLR over existing methods in providing reliable confidence scores in multi-label scenarios.</x:v>
      </x:c>
      <x:c r="L142" s="17" t="str">
        <x:v>http://arxiv.org/abs/2407.06844v1</x:v>
      </x:c>
      <x:c r="M142" s="23" t="n">
        <x:v>0.045284780578898225</x:v>
      </x:c>
      <x:c r="N142" s="17" t="str">
        <x:v>arxiv-paper-eval-20260727-105551-results.jsonl</x:v>
      </x:c>
      <x:c r="O142" s="24" t="str">
        <x:v>2</x:v>
      </x:c>
      <x:c r="P142" s="28" t="str">
        <x:v>建立多标签校准基准并公平重实现多种算法，直接涉及评测协议。</x:v>
      </x:c>
      <x:c r="Q142" s="25" t="str"/>
      <x:c r="R142" s="24" t="str">
        <x:f>IF(Q142&lt;&gt;"",Q142,O142)</x:f>
        <x:v>2</x:v>
      </x:c>
      <x:c r="S142" s="29" t="str"/>
    </x:row>
    <x:row r="143" ht="54" customHeight="1">
      <x:c r="A143" s="17" t="str">
        <x:v>csq008-r02</x:v>
      </x:c>
      <x:c r="B143" s="17" t="str">
        <x:v>csq008</x:v>
      </x:c>
      <x:c r="C143" s="17" t="str">
        <x:v>machine_learning</x:v>
      </x:c>
      <x:c r="D143" s="17" t="str">
        <x:v>uncertainty_calibration</x:v>
      </x:c>
      <x:c r="E143" s="27" t="str">
        <x:v>Which metrics and benchmark protocols are used to evaluate uncertainty calibration in deep neural networks, and what failure modes do these metrics miss?</x:v>
      </x:c>
      <x:c r="F143" s="22" t="n">
        <x:v>2</x:v>
      </x:c>
      <x:c r="G143" s="17" t="str">
        <x:v>arXiv:1809.10877</x:v>
      </x:c>
      <x:c r="H143" s="27" t="str">
        <x:v>Learning for Single-Shot Confidence Calibration in Deep Neural Networks through Stochastic Inferences</x:v>
      </x:c>
      <x:c r="I143" s="17" t="str">
        <x:v>Seonguk Seo; Paul Hongsuck Seo; Bohyung Han</x:v>
      </x:c>
      <x:c r="J143" s="22" t="n">
        <x:v>2018</x:v>
      </x:c>
      <x:c r="K143" s="27" t="str">
        <x:v>We propose a generic framework to calibrate accuracy and confidence of a prediction in deep neural networks through stochastic inferences. We interpret stochastic regularization using a Bayesian model, and analyze the relation between predictive uncertainty of networks and variance of the prediction scores obtained by stochastic inferences for a single example. Our empirical study shows that the accuracy and the score of a prediction are highly correlated with the variance of multiple stochastic inferences given by stochastic depth or dropout. Motivated by this observation, we design a novel variance-weighted confidence-integrated loss function that is composed of two cross-entropy loss terms with respect to ground-truth and uniform distribution, which are balanced by variance of stochastic prediction scores. The proposed loss function enables us to learn deep neural networks that predict confidence calibrated scores using a single inference. Our algorithm presents outstanding confidence calibration performance and improves classification accuracy when combined with two popular stochastic regularization techniques---stochastic depth and dropout---in multiple models and datasets; it alleviates overconfidence issue in deep neural networks significantly by training networks to achieve prediction accuracy proportional to confidence of prediction.</x:v>
      </x:c>
      <x:c r="L143" s="17" t="str">
        <x:v>http://arxiv.org/abs/1809.10877v5</x:v>
      </x:c>
      <x:c r="M143" s="23" t="n">
        <x:v>0.03278688524590164</x:v>
      </x:c>
      <x:c r="N143" s="17" t="str">
        <x:v>arxiv-paper-eval-20260727-105551-results.jsonl</x:v>
      </x:c>
      <x:c r="O143" s="24" t="str">
        <x:v>1</x:v>
      </x:c>
      <x:c r="P143" s="28" t="str">
        <x:v>主要提出随机推理校准训练法，未说明校准指标的失效模式。</x:v>
      </x:c>
      <x:c r="Q143" s="25" t="str"/>
      <x:c r="R143" s="24" t="str">
        <x:f>IF(Q143&lt;&gt;"",Q143,O143)</x:f>
        <x:v>1</x:v>
      </x:c>
      <x:c r="S143" s="29" t="str"/>
    </x:row>
    <x:row r="144" ht="54" customHeight="1">
      <x:c r="A144" s="17" t="str">
        <x:v>csq008-r03</x:v>
      </x:c>
      <x:c r="B144" s="17" t="str">
        <x:v>csq008</x:v>
      </x:c>
      <x:c r="C144" s="17" t="str">
        <x:v>machine_learning</x:v>
      </x:c>
      <x:c r="D144" s="17" t="str">
        <x:v>uncertainty_calibration</x:v>
      </x:c>
      <x:c r="E144" s="27" t="str">
        <x:v>Which metrics and benchmark protocols are used to evaluate uncertainty calibration in deep neural networks, and what failure modes do these metrics miss?</x:v>
      </x:c>
      <x:c r="F144" s="22" t="n">
        <x:v>3</x:v>
      </x:c>
      <x:c r="G144" s="17" t="str">
        <x:v>arXiv:2304.05104</x:v>
      </x:c>
      <x:c r="H144" s="27" t="str">
        <x:v>Approaching Test Time Augmentation in the Context of Uncertainty Calibration for Deep Neural Networks</x:v>
      </x:c>
      <x:c r="I144" s="17" t="str">
        <x:v>Pedro Conde; Tiago Barros; Rui L. Lopes; Cristiano Premebida; Urbano J. Nunes</x:v>
      </x:c>
      <x:c r="J144" s="22" t="n">
        <x:v>2023</x:v>
      </x:c>
      <x:c r="K144" s="27" t="str">
        <x:v>With the rise of Deep Neural Networks, machine learning systems are nowadays ubiquitous in a number of real-world applications, which bears the need for highly reliable models. This requires a thorough look not only at the accuracy of such systems, but also at their predictive uncertainty. Hence, we propose a novel technique (with two different variations, named M-ATTA and V-ATTA) based on test time augmentation, to improve the uncertainty calibration of deep models for image classification. By leveraging na adaptive weighting system, M/V-ATTA improves uncertainty calibration without affecting the model's accuracy. The performance of these techniques is evaluated by considering diverse metrics related to uncertainty calibration, demonstrating their robustness. Empirical results, obtained on CIFAR-10, CIFAR-100, Aerial Image Dataset, as well as in two different scenarios under distribution-shift, indicate that the proposed methods outperform several state-of-the-art post-hoc calibration techniques. Furthermore, the methods proposed also show improvements in terms of predictive entropy on out-of-distribution samples. Code for M/V-ATTA available at: https://github.com/pedrormconde/MV-ATTA</x:v>
      </x:c>
      <x:c r="L144" s="17" t="str">
        <x:v>http://arxiv.org/abs/2304.05104v2</x:v>
      </x:c>
      <x:c r="M144" s="23" t="n">
        <x:v>0.03225806451612903</x:v>
      </x:c>
      <x:c r="N144" s="17" t="str">
        <x:v>arxiv-paper-eval-20260727-105551-results.jsonl</x:v>
      </x:c>
      <x:c r="O144" s="24" t="str">
        <x:v>2</x:v>
      </x:c>
      <x:c r="P144" s="28" t="str">
        <x:v>跨多数据集、分布偏移和多类指标评估校准，并检查OOD熵。</x:v>
      </x:c>
      <x:c r="Q144" s="25" t="str"/>
      <x:c r="R144" s="24" t="str">
        <x:f>IF(Q144&lt;&gt;"",Q144,O144)</x:f>
        <x:v>2</x:v>
      </x:c>
      <x:c r="S144" s="29" t="str"/>
    </x:row>
    <x:row r="145" ht="54" customHeight="1">
      <x:c r="A145" s="17" t="str">
        <x:v>csq008-r04</x:v>
      </x:c>
      <x:c r="B145" s="17" t="str">
        <x:v>csq008</x:v>
      </x:c>
      <x:c r="C145" s="17" t="str">
        <x:v>machine_learning</x:v>
      </x:c>
      <x:c r="D145" s="17" t="str">
        <x:v>uncertainty_calibration</x:v>
      </x:c>
      <x:c r="E145" s="27" t="str">
        <x:v>Which metrics and benchmark protocols are used to evaluate uncertainty calibration in deep neural networks, and what failure modes do these metrics miss?</x:v>
      </x:c>
      <x:c r="F145" s="22" t="n">
        <x:v>4</x:v>
      </x:c>
      <x:c r="G145" s="17" t="str">
        <x:v>arXiv:2010.09494</x:v>
      </x:c>
      <x:c r="H145" s="27" t="str">
        <x:v>Stationary Activations for Uncertainty Calibration in Deep Learning</x:v>
      </x:c>
      <x:c r="I145" s="17" t="str">
        <x:v>Lassi Meronen; Christabella Irwanto; Arno Solin</x:v>
      </x:c>
      <x:c r="J145" s="22" t="n">
        <x:v>2020</x:v>
      </x:c>
      <x:c r="K145" s="27" t="str">
        <x:v>We introduce a new family of non-linear neural network activation functions that mimic the properties induced by the widely-used Matérn family of kernels in Gaussian process (GP) models. This class spans a range of locally stationary models of various degrees of mean-square differentiability. We show an explicit link to the corresponding GP models in the case that the network consists of one infinitely wide hidden layer. In the limit of infinite smoothness the Matérn family results in the RBF kernel, and in this case we recover RBF activations. Matérn activation functions result in similar appealing properties to their counterparts in GP models, and we demonstrate that the local stationarity property together with limited mean-square differentiability shows both good performance and uncertainty calibration in Bayesian deep learning tasks. In particular, local stationarity helps calibrate out-of-distribution (OOD) uncertainty. We demonstrate these properties on classification and regression benchmarks and a radar emitter classification task.</x:v>
      </x:c>
      <x:c r="L145" s="17" t="str">
        <x:v>http://arxiv.org/abs/2010.09494v1</x:v>
      </x:c>
      <x:c r="M145" s="23" t="n">
        <x:v>0.031754032258064516</x:v>
      </x:c>
      <x:c r="N145" s="17" t="str">
        <x:v>arxiv-paper-eval-20260727-105551-results.jsonl</x:v>
      </x:c>
      <x:c r="O145" s="24" t="str">
        <x:v>1</x:v>
      </x:c>
      <x:c r="P145" s="28" t="str">
        <x:v>提出新激活函数改善贝叶斯网络及OOD校准，指标分析非核心。</x:v>
      </x:c>
      <x:c r="Q145" s="25" t="str"/>
      <x:c r="R145" s="24" t="str">
        <x:f>IF(Q145&lt;&gt;"",Q145,O145)</x:f>
        <x:v>1</x:v>
      </x:c>
      <x:c r="S145" s="29" t="str"/>
    </x:row>
    <x:row r="146" ht="54" customHeight="1">
      <x:c r="A146" s="17" t="str">
        <x:v>csq008-r05</x:v>
      </x:c>
      <x:c r="B146" s="17" t="str">
        <x:v>csq008</x:v>
      </x:c>
      <x:c r="C146" s="17" t="str">
        <x:v>machine_learning</x:v>
      </x:c>
      <x:c r="D146" s="17" t="str">
        <x:v>uncertainty_calibration</x:v>
      </x:c>
      <x:c r="E146" s="27" t="str">
        <x:v>Which metrics and benchmark protocols are used to evaluate uncertainty calibration in deep neural networks, and what failure modes do these metrics miss?</x:v>
      </x:c>
      <x:c r="F146" s="22" t="n">
        <x:v>5</x:v>
      </x:c>
      <x:c r="G146" s="17" t="str">
        <x:v>arXiv:2501.10089</x:v>
      </x:c>
      <x:c r="H146" s="27" t="str">
        <x:v>Classifier Ensemble for Efficient Uncertainty Calibration of Deep Neural Networks for Image Classification</x:v>
      </x:c>
      <x:c r="I146" s="17" t="str">
        <x:v>Michael Schulze; Nikolas Ebert; Laurenz Reichardt; Oliver Wasenmüller</x:v>
      </x:c>
      <x:c r="J146" s="22" t="n">
        <x:v>2025</x:v>
      </x:c>
      <x:c r="K146" s="27" t="str">
        <x:v>This paper investigates novel classifier ensemble techniques for uncertainty calibration applied to various deep neural networks for image classification. We evaluate both accuracy and calibration metrics, focusing on Expected Calibration Error (ECE) and Maximum Calibration Error (MCE). Our work compares different methods for building simple yet efficient classifier ensembles, including majority voting and several metamodel-based approaches. Our evaluation reveals that while state-of-the-art deep neural networks for image classification achieve high accuracy on standard datasets, they frequently suffer from significant calibration errors. Basic ensemble techniques like majority voting provide modest improvements, while metamodel-based ensembles consistently reduce ECE and MCE across all architectures. Notably, the largest of our compared metamodels demonstrate the most substantial calibration improvements, with minimal impact on accuracy. Moreover, classifier ensembles with metamodels outperform traditional model ensembles in calibration performance, while requiring significantly fewer parameters. In comparison to traditional post-hoc calibration methods, our approach removes the need for a separate calibration dataset. These findings underscore the potential of our proposed metamodel-based classifier ensembles as an efficient and effective approach to improving model calibration, thereby contributing to more reliable deep learning systems.</x:v>
      </x:c>
      <x:c r="L146" s="17" t="str">
        <x:v>http://arxiv.org/abs/2501.10089v1</x:v>
      </x:c>
      <x:c r="M146" s="23" t="n">
        <x:v>0.031746031746031744</x:v>
      </x:c>
      <x:c r="N146" s="17" t="str">
        <x:v>arxiv-paper-eval-20260727-105551-results.jsonl</x:v>
      </x:c>
      <x:c r="O146" s="24" t="str">
        <x:v>2</x:v>
      </x:c>
      <x:c r="P146" s="28" t="str">
        <x:v>明确用ECE和MCE比较校准，并揭示高准确模型仍显著失校准。</x:v>
      </x:c>
      <x:c r="Q146" s="25" t="str"/>
      <x:c r="R146" s="24" t="str">
        <x:f>IF(Q146&lt;&gt;"",Q146,O146)</x:f>
        <x:v>2</x:v>
      </x:c>
      <x:c r="S146" s="29" t="str"/>
    </x:row>
    <x:row r="147" ht="54" customHeight="1">
      <x:c r="A147" s="17" t="str">
        <x:v>csq008-r06</x:v>
      </x:c>
      <x:c r="B147" s="17" t="str">
        <x:v>csq008</x:v>
      </x:c>
      <x:c r="C147" s="17" t="str">
        <x:v>machine_learning</x:v>
      </x:c>
      <x:c r="D147" s="17" t="str">
        <x:v>uncertainty_calibration</x:v>
      </x:c>
      <x:c r="E147" s="27" t="str">
        <x:v>Which metrics and benchmark protocols are used to evaluate uncertainty calibration in deep neural networks, and what failure modes do these metrics miss?</x:v>
      </x:c>
      <x:c r="F147" s="22" t="n">
        <x:v>6</x:v>
      </x:c>
      <x:c r="G147" s="17" t="str">
        <x:v>arXiv:2203.07835</x:v>
      </x:c>
      <x:c r="H147" s="27" t="str">
        <x:v>Better Uncertainty Calibration via Proper Scores for Classification and Beyond</x:v>
      </x:c>
      <x:c r="I147" s="17" t="str">
        <x:v>Sebastian G. Gruber; Florian Buettner</x:v>
      </x:c>
      <x:c r="J147" s="22" t="n">
        <x:v>2022</x:v>
      </x:c>
      <x:c r="K147" s="27" t="str">
        <x:v>With model trustworthiness being crucial for sensitive real-world applications, practitioners are putting more and more focus on improving the uncertainty calibration of deep neural networks. Calibration errors are designed to quantify the reliability of probabilistic predictions but their estimators are usually biased and inconsistent. In this work, we introduce the framework of proper calibration errors, which relates every calibration error to a proper score and provides a respective upper bound with optimal estimation properties. This relationship can be used to reliably quantify the model calibration improvement. We theoretically and empirically demonstrate the shortcomings of commonly used estimators compared to our approach. Due to the wide applicability of proper scores, this gives a natural extension of recalibration beyond classification.</x:v>
      </x:c>
      <x:c r="L147" s="17" t="str">
        <x:v>http://arxiv.org/abs/2203.07835v4</x:v>
      </x:c>
      <x:c r="M147" s="23" t="n">
        <x:v>0.03125</x:v>
      </x:c>
      <x:c r="N147" s="17" t="str">
        <x:v>arxiv-paper-eval-20260727-105551-results.jsonl</x:v>
      </x:c>
      <x:c r="O147" s="24" t="str">
        <x:v>2</x:v>
      </x:c>
      <x:c r="P147" s="28" t="str">
        <x:v>证明常用校准误差估计有偏且不一致，并提出proper-score框架。</x:v>
      </x:c>
      <x:c r="Q147" s="25" t="str"/>
      <x:c r="R147" s="24" t="str">
        <x:f>IF(Q147&lt;&gt;"",Q147,O147)</x:f>
        <x:v>2</x:v>
      </x:c>
      <x:c r="S147" s="29" t="str"/>
    </x:row>
    <x:row r="148" ht="54" customHeight="1">
      <x:c r="A148" s="17" t="str">
        <x:v>csq008-r07</x:v>
      </x:c>
      <x:c r="B148" s="17" t="str">
        <x:v>csq008</x:v>
      </x:c>
      <x:c r="C148" s="17" t="str">
        <x:v>machine_learning</x:v>
      </x:c>
      <x:c r="D148" s="17" t="str">
        <x:v>uncertainty_calibration</x:v>
      </x:c>
      <x:c r="E148" s="27" t="str">
        <x:v>Which metrics and benchmark protocols are used to evaluate uncertainty calibration in deep neural networks, and what failure modes do these metrics miss?</x:v>
      </x:c>
      <x:c r="F148" s="22" t="n">
        <x:v>7</x:v>
      </x:c>
      <x:c r="G148" s="17" t="str">
        <x:v>arXiv:2106.14662</x:v>
      </x:c>
      <x:c r="H148" s="27" t="str">
        <x:v>Improving Uncertainty Calibration of Deep Neural Networks via Truth Discovery and Geometric Optimization</x:v>
      </x:c>
      <x:c r="I148" s="17" t="str">
        <x:v>Chunwei Ma; Ziyun Huang; Jiayi Xian; Mingchen Gao; Jinhui Xu</x:v>
      </x:c>
      <x:c r="J148" s="22" t="n">
        <x:v>2021</x:v>
      </x:c>
      <x:c r="K148" s="27" t="str">
        <x:v>Deep Neural Networks (DNNs), despite their tremendous success in recent years, could still cast doubts on their predictions due to the intrinsic uncertainty associated with their learning process. Ensemble techniques and post-hoc calibrations are two types of approaches that have individually shown promise in improving the uncertainty calibration of DNNs. However, the synergistic effect of the two types of methods has not been well explored. In this paper, we propose a truth discovery framework to integrate ensemble-based and post-hoc calibration methods. Using the geometric variance of the ensemble candidates as a good indicator for sample uncertainty, we design an accuracy-preserving truth estimator with provably no accuracy drop. Furthermore, we show that post-hoc calibration can also be enhanced by truth discovery-regularized optimization. On large-scale datasets including CIFAR and ImageNet, our method shows consistent improvement against state-of-the-art calibration approaches on both histogram-based and kernel density-based evaluation metrics. Our codes are available at https://github.com/horsepurve/truly-uncertain.</x:v>
      </x:c>
      <x:c r="L148" s="17" t="str">
        <x:v>http://arxiv.org/abs/2106.14662v3</x:v>
      </x:c>
      <x:c r="M148" s="23" t="n">
        <x:v>0.030536130536130537</x:v>
      </x:c>
      <x:c r="N148" s="17" t="str">
        <x:v>arxiv-paper-eval-20260727-105551-results.jsonl</x:v>
      </x:c>
      <x:c r="O148" s="24" t="str">
        <x:v>1</x:v>
      </x:c>
      <x:c r="P148" s="28" t="str">
        <x:v>提出集成与后处理校准法，仅用既有直方图和核密度指标验证。</x:v>
      </x:c>
      <x:c r="Q148" s="25" t="str"/>
      <x:c r="R148" s="24" t="str">
        <x:f>IF(Q148&lt;&gt;"",Q148,O148)</x:f>
        <x:v>1</x:v>
      </x:c>
      <x:c r="S148" s="29" t="str"/>
    </x:row>
    <x:row r="149" ht="54" customHeight="1">
      <x:c r="A149" s="17" t="str">
        <x:v>csq008-r08</x:v>
      </x:c>
      <x:c r="B149" s="17" t="str">
        <x:v>csq008</x:v>
      </x:c>
      <x:c r="C149" s="17" t="str">
        <x:v>machine_learning</x:v>
      </x:c>
      <x:c r="D149" s="17" t="str">
        <x:v>uncertainty_calibration</x:v>
      </x:c>
      <x:c r="E149" s="27" t="str">
        <x:v>Which metrics and benchmark protocols are used to evaluate uncertainty calibration in deep neural networks, and what failure modes do these metrics miss?</x:v>
      </x:c>
      <x:c r="F149" s="22" t="n">
        <x:v>8</x:v>
      </x:c>
      <x:c r="G149" s="17" t="str">
        <x:v>arXiv:2102.12182</x:v>
      </x:c>
      <x:c r="H149" s="27" t="str">
        <x:v>Parameterized Temperature Scaling for Boosting the Expressive Power in Post-Hoc Uncertainty Calibration</x:v>
      </x:c>
      <x:c r="I149" s="17" t="str">
        <x:v>Christian Tomani; Daniel Cremers; Florian Buettner</x:v>
      </x:c>
      <x:c r="J149" s="22" t="n">
        <x:v>2021</x:v>
      </x:c>
      <x:c r="K149" s="27" t="str">
        <x:v>We address the problem of uncertainty calibration and introduce a novel calibration method, Parametrized Temperature Scaling (PTS). Standard deep neural networks typically yield uncalibrated predictions, which can be transformed into calibrated confidence scores using post-hoc calibration methods. In this contribution, we demonstrate that the performance of accuracy-preserving state-of-the-art post-hoc calibrators is limited by their intrinsic expressive power. We generalize temperature scaling by computing prediction-specific temperatures, parameterized by a neural network. We show with extensive experiments that our novel accuracy-preserving approach consistently outperforms existing algorithms across a large number of model architectures, datasets and metrics.</x:v>
      </x:c>
      <x:c r="L149" s="17" t="str">
        <x:v>http://arxiv.org/abs/2102.12182v2</x:v>
      </x:c>
      <x:c r="M149" s="23" t="n">
        <x:v>0.029437229437229435</x:v>
      </x:c>
      <x:c r="N149" s="17" t="str">
        <x:v>arxiv-paper-eval-20260727-105551-results.jsonl</x:v>
      </x:c>
      <x:c r="O149" s="24" t="str">
        <x:v>1</x:v>
      </x:c>
      <x:c r="P149" s="28" t="str">
        <x:v>重点是参数化温度缩放表达力，未研究校准指标或基准缺陷。</x:v>
      </x:c>
      <x:c r="Q149" s="25" t="str"/>
      <x:c r="R149" s="24" t="str">
        <x:f>IF(Q149&lt;&gt;"",Q149,O149)</x:f>
        <x:v>1</x:v>
      </x:c>
      <x:c r="S149" s="29" t="str"/>
    </x:row>
    <x:row r="150" ht="54" customHeight="1">
      <x:c r="A150" s="17" t="str">
        <x:v>csq008-r09</x:v>
      </x:c>
      <x:c r="B150" s="17" t="str">
        <x:v>csq008</x:v>
      </x:c>
      <x:c r="C150" s="17" t="str">
        <x:v>machine_learning</x:v>
      </x:c>
      <x:c r="D150" s="17" t="str">
        <x:v>uncertainty_calibration</x:v>
      </x:c>
      <x:c r="E150" s="27" t="str">
        <x:v>Which metrics and benchmark protocols are used to evaluate uncertainty calibration in deep neural networks, and what failure modes do these metrics miss?</x:v>
      </x:c>
      <x:c r="F150" s="22" t="n">
        <x:v>9</x:v>
      </x:c>
      <x:c r="G150" s="17" t="str">
        <x:v>arXiv:2104.09286</x:v>
      </x:c>
      <x:c r="H150" s="27" t="str">
        <x:v>Learning to Cascade: Confidence Calibration for Improving the Accuracy and Computational Cost of Cascade Inference Systems</x:v>
      </x:c>
      <x:c r="I150" s="17" t="str">
        <x:v>Shohei Enomoto; Takeharu Eda</x:v>
      </x:c>
      <x:c r="J150" s="22" t="n">
        <x:v>2021</x:v>
      </x:c>
      <x:c r="K150" s="27" t="str">
        <x:v>Recently, deep neural networks have become to be used in a variety of applications. While the accuracy of deep neural networks is increasing, the confidence score, which indicates the reliability of the prediction results, is becoming more important. Deep neural networks are seen as highly accurate but known to be overconfident, making it important to calibrate the confidence score. Many studies have been conducted on confidence calibration. They calibrate the confidence score of the model to match its accuracy, but it is not clear whether these confidence scores can improve the performance of systems that use confidence scores. This paper focuses on cascade inference systems, one kind of systems using confidence scores, and discusses the desired confidence score to improve system performance in terms of inference accuracy and computational cost. Based on the discussion, we propose a new confidence calibration method, Learning to Cascade. Learning to Cascade is a simple but novel method that optimizes the loss term for confidence calibration simultaneously with the original loss term. Experiments are conducted using two datasets, CIFAR-100 and ImageNet, in two system settings, and show that naive application of existing calibration methods to cascade inference systems sometimes performs worse. However, Learning to Cascade always achieves a better trade-off between inference accuracy and computational cost. The simplicity of Learning to Cascade allows it to be easily applied to improve the performance of existing systems.</x:v>
      </x:c>
      <x:c r="L150" s="17" t="str">
        <x:v>http://arxiv.org/abs/2104.09286v1</x:v>
      </x:c>
      <x:c r="M150" s="23" t="n">
        <x:v>0.02900988017658188</x:v>
      </x:c>
      <x:c r="N150" s="17" t="str">
        <x:v>arxiv-paper-eval-20260727-105551-results.jsonl</x:v>
      </x:c>
      <x:c r="O150" s="24" t="str">
        <x:v>2</x:v>
      </x:c>
      <x:c r="P150" s="28" t="str">
        <x:v>揭示常规校准分数不能保证级联系统准确率与成本权衡。</x:v>
      </x:c>
      <x:c r="Q150" s="25" t="str"/>
      <x:c r="R150" s="24" t="str">
        <x:f>IF(Q150&lt;&gt;"",Q150,O150)</x:f>
        <x:v>2</x:v>
      </x:c>
      <x:c r="S150" s="29" t="str"/>
    </x:row>
    <x:row r="151" ht="54" customHeight="1">
      <x:c r="A151" s="17" t="str">
        <x:v>csq008-r10</x:v>
      </x:c>
      <x:c r="B151" s="17" t="str">
        <x:v>csq008</x:v>
      </x:c>
      <x:c r="C151" s="17" t="str">
        <x:v>machine_learning</x:v>
      </x:c>
      <x:c r="D151" s="17" t="str">
        <x:v>uncertainty_calibration</x:v>
      </x:c>
      <x:c r="E151" s="27" t="str">
        <x:v>Which metrics and benchmark protocols are used to evaluate uncertainty calibration in deep neural networks, and what failure modes do these metrics miss?</x:v>
      </x:c>
      <x:c r="F151" s="22" t="n">
        <x:v>10</x:v>
      </x:c>
      <x:c r="G151" s="17" t="str">
        <x:v>arXiv:2006.14028</x:v>
      </x:c>
      <x:c r="H151" s="27" t="str">
        <x:v>Class-Similarity Based Label Smoothing for Confidence Calibration</x:v>
      </x:c>
      <x:c r="I151" s="17" t="str">
        <x:v>Chihuang Liu; Joseph JaJa</x:v>
      </x:c>
      <x:c r="J151" s="22" t="n">
        <x:v>2020</x:v>
      </x:c>
      <x:c r="K151" s="27" t="str">
        <x:v>Generating confidence calibrated outputs is of utmost importance for the applications of deep neural networks in safety-critical decision-making systems. The output of a neural network is a probability distribution where the scores are estimated confidences of the input belonging to the corresponding classes, and hence they represent a complete estimate of the output likelihood relative to all classes. In this paper, we propose a novel form of label smoothing to improve confidence calibration. Since different classes are of different intrinsic similarities, more similar classes should result in closer probability values in the final output. This motivates the development of a new smooth label where the label values are based on similarities with the reference class. We adopt different similarity measurements, including those that capture feature-based similarities or semantic similarity. We demonstrate through extensive experiments, on various datasets and network architectures, that our approach consistently outperforms state-of-the-art calibration techniques including uniform label smoothing.</x:v>
      </x:c>
      <x:c r="L151" s="17" t="str">
        <x:v>http://arxiv.org/abs/2006.14028v2</x:v>
      </x:c>
      <x:c r="M151" s="23" t="n">
        <x:v>0.02877846790890269</x:v>
      </x:c>
      <x:c r="N151" s="17" t="str">
        <x:v>arxiv-paper-eval-20260727-105551-results.jsonl</x:v>
      </x:c>
      <x:c r="O151" s="24" t="str">
        <x:v>1</x:v>
      </x:c>
      <x:c r="P151" s="28" t="str">
        <x:v>提出类别相似度标签平滑，未讨论评测协议和指标遗漏。</x:v>
      </x:c>
      <x:c r="Q151" s="25" t="str"/>
      <x:c r="R151" s="24" t="str">
        <x:f>IF(Q151&lt;&gt;"",Q151,O151)</x:f>
        <x:v>1</x:v>
      </x:c>
      <x:c r="S151" s="29" t="str"/>
    </x:row>
    <x:row r="152" ht="54" customHeight="1">
      <x:c r="A152" s="17" t="str">
        <x:v>csq008-r11</x:v>
      </x:c>
      <x:c r="B152" s="17" t="str">
        <x:v>csq008</x:v>
      </x:c>
      <x:c r="C152" s="17" t="str">
        <x:v>machine_learning</x:v>
      </x:c>
      <x:c r="D152" s="17" t="str">
        <x:v>uncertainty_calibration</x:v>
      </x:c>
      <x:c r="E152" s="27" t="str">
        <x:v>Which metrics and benchmark protocols are used to evaluate uncertainty calibration in deep neural networks, and what failure modes do these metrics miss?</x:v>
      </x:c>
      <x:c r="F152" s="22" t="n">
        <x:v>11</x:v>
      </x:c>
      <x:c r="G152" s="17" t="str">
        <x:v>arXiv:2511.08261</x:v>
      </x:c>
      <x:c r="H152" s="27" t="str">
        <x:v>Uncertainty Calibration of Multi-Label Bird Sound Classifiers</x:v>
      </x:c>
      <x:c r="I152" s="17" t="str">
        <x:v>Raphael Schwinger; Ben McEwen; Vincent S. Kather; René Heinrich; Lukas Rauch; Sven Tomforde</x:v>
      </x:c>
      <x:c r="J152" s="22" t="n">
        <x:v>2025</x:v>
      </x:c>
      <x:c r="K152" s="27" t="str">
        <x:v>Passive acoustic monitoring enables large-scale biodiversity assessment, but reliable classification of bioacoustic sounds requires not only high accuracy but also well-calibrated uncertainty estimates to ground decision-making. In bioacoustics, calibration is challenged by overlapping vocalisations, long-tailed species distributions, and distribution shifts between training and deployment data. The calibration of multi-label deep learning classifiers within the domain of bioacoustics has not yet been assessed. We systematically benchmark the calibration of four state-of-the-art multi-label bird sound classifiers on the BirdSet benchmark, evaluating both global, per-dataset and per-class calibration using threshold-free calibration metrics (ECE, MCS) alongside discrimination metrics (cmAP). Model calibration varies significantly across datasets and classes. While Perch v2 and ConvNeXt$_{BS}$ show better global calibration, results vary between datasets. Both models indicate consistent underconfidence, while AudioProtoPNet and BirdMAE are mostly overconfident. Surprisingly, calibration seems to be better for less frequent classes. Using simple post hoc calibration methods we demonstrate a straightforward way to improve calibration. A small labelled calibration set is sufficient to significantly improve calibration with Platt scaling, while global calibration parameters suffer from dataset variability. Our findings highlight the importance of evaluating and improving uncertainty calibration in bioacoustic classifiers.</x:v>
      </x:c>
      <x:c r="L152" s="17" t="str">
        <x:v>http://arxiv.org/abs/2511.08261v2</x:v>
      </x:c>
      <x:c r="M152" s="23" t="n">
        <x:v>0.027402402402402402</x:v>
      </x:c>
      <x:c r="N152" s="17" t="str">
        <x:v>arxiv-paper-eval-20260727-105551-results.jsonl</x:v>
      </x:c>
      <x:c r="O152" s="24" t="str">
        <x:v>2</x:v>
      </x:c>
      <x:c r="P152" s="28" t="str">
        <x:v>以全局、数据集级和类别级ECE、MCS协议揭示聚合结果差异。</x:v>
      </x:c>
      <x:c r="Q152" s="25" t="str"/>
      <x:c r="R152" s="24" t="str">
        <x:f>IF(Q152&lt;&gt;"",Q152,O152)</x:f>
        <x:v>2</x:v>
      </x:c>
      <x:c r="S152" s="29" t="str"/>
    </x:row>
    <x:row r="153" ht="54" customHeight="1">
      <x:c r="A153" s="17" t="str">
        <x:v>csq008-r12</x:v>
      </x:c>
      <x:c r="B153" s="17" t="str">
        <x:v>csq008</x:v>
      </x:c>
      <x:c r="C153" s="17" t="str">
        <x:v>machine_learning</x:v>
      </x:c>
      <x:c r="D153" s="17" t="str">
        <x:v>uncertainty_calibration</x:v>
      </x:c>
      <x:c r="E153" s="27" t="str">
        <x:v>Which metrics and benchmark protocols are used to evaluate uncertainty calibration in deep neural networks, and what failure modes do these metrics miss?</x:v>
      </x:c>
      <x:c r="F153" s="22" t="n">
        <x:v>12</x:v>
      </x:c>
      <x:c r="G153" s="17" t="str">
        <x:v>arXiv:2407.12330</x:v>
      </x:c>
      <x:c r="H153" s="27" t="str">
        <x:v>Uncertainty Calibration with Energy Based Instance-wise Scaling in the Wild Dataset</x:v>
      </x:c>
      <x:c r="I153" s="17" t="str">
        <x:v>Mijoo Kim; Junseok Kwon</x:v>
      </x:c>
      <x:c r="J153" s="22" t="n">
        <x:v>2024</x:v>
      </x:c>
      <x:c r="K153" s="27" t="str">
        <x:v>With the rapid advancement in the performance of deep neural networks (DNNs), there has been significant interest in deploying and incorporating artificial intelligence (AI) systems into real-world scenarios. However, many DNNs lack the ability to represent uncertainty, often exhibiting excessive confidence even when making incorrect predictions. To ensure the reliability of AI systems, particularly in safety-critical cases, DNNs should transparently reflect the uncertainty in their predictions. In this paper, we investigate robust post-hoc uncertainty calibration methods for DNNs within the context of multi-class classification tasks. While previous studies have made notable progress, they still face challenges in achieving robust calibration, particularly in scenarios involving out-of-distribution (OOD). We identify that previous methods lack adaptability to individual input data and struggle to accurately estimate uncertainty when processing inputs drawn from the wild dataset. To address this issue, we introduce a novel instance-wise calibration method based on an energy model. Our method incorporates energy scores instead of softmax confidence scores, allowing for adaptive consideration of DNN uncertainty for each prediction within a logit space. In experiments, we show that the proposed method consistently maintains robust performance across the spectrum, spanning from in-distribution to OOD scenarios, when compared to other state-of-the-art methods.</x:v>
      </x:c>
      <x:c r="L153" s="17" t="str">
        <x:v>http://arxiv.org/abs/2407.12330v1</x:v>
      </x:c>
      <x:c r="M153" s="23" t="n">
        <x:v>0.027222222222222224</x:v>
      </x:c>
      <x:c r="N153" s="17" t="str">
        <x:v>arxiv-paper-eval-20260727-105551-results.jsonl</x:v>
      </x:c>
      <x:c r="O153" s="24" t="str">
        <x:v>1</x:v>
      </x:c>
      <x:c r="P153" s="28" t="str">
        <x:v>识别既有校准方法在OOD数据失效并提出能量缩放，但非指标失效研究。</x:v>
      </x:c>
      <x:c r="Q153" s="25" t="str"/>
      <x:c r="R153" s="24" t="str">
        <x:f>IF(Q153&lt;&gt;"",Q153,O153)</x:f>
        <x:v>1</x:v>
      </x:c>
      <x:c r="S153" s="29" t="str"/>
    </x:row>
    <x:row r="154" ht="54" customHeight="1">
      <x:c r="A154" s="17" t="str">
        <x:v>csq008-r13</x:v>
      </x:c>
      <x:c r="B154" s="17" t="str">
        <x:v>csq008</x:v>
      </x:c>
      <x:c r="C154" s="17" t="str">
        <x:v>machine_learning</x:v>
      </x:c>
      <x:c r="D154" s="17" t="str">
        <x:v>uncertainty_calibration</x:v>
      </x:c>
      <x:c r="E154" s="27" t="str">
        <x:v>Which metrics and benchmark protocols are used to evaluate uncertainty calibration in deep neural networks, and what failure modes do these metrics miss?</x:v>
      </x:c>
      <x:c r="F154" s="22" t="n">
        <x:v>13</x:v>
      </x:c>
      <x:c r="G154" s="17" t="str">
        <x:v>arXiv:2510.08938</x:v>
      </x:c>
      <x:c r="H154" s="27" t="str">
        <x:v>Bi-level Meta-Policy Control for Dynamic Uncertainty Calibration in Evidential Deep Learning</x:v>
      </x:c>
      <x:c r="I154" s="17" t="str">
        <x:v>Zhen Yang; Yansong Ma; Lei Chen</x:v>
      </x:c>
      <x:c r="J154" s="22" t="n">
        <x:v>2025</x:v>
      </x:c>
      <x:c r="K154" s="27" t="str">
        <x:v>Traditional Evidence Deep Learning (EDL) methods rely on static hyperparameter for uncertainty calibration, limiting their adaptability in dynamic data distributions, which results in poor calibration and generalization in high-risk decision-making tasks. To address this limitation, we propose the Meta-Policy Controller (MPC), a dynamic meta-learning framework that adjusts the KL divergence coefficient and Dirichlet prior strengths for optimal uncertainty modeling. Specifically, MPC employs a bi-level optimization approach: in the inner loop, model parameters are updated through a dynamically configured loss function that adapts to the current training state; in the outer loop, a policy network optimizes the KL divergence coefficient and class-specific Dirichlet prior strengths based on multi-objective rewards balancing prediction accuracy and uncertainty quality. Unlike previous methods with fixed priors, our learnable Dirichlet prior enables flexible adaptation to class distributions and training dynamics. Extensive experimental results show that MPC significantly enhances the reliability and calibration of model predictions across various tasks, improving uncertainty calibration, prediction accuracy, and performance retention after confidence-based sample rejection.</x:v>
      </x:c>
      <x:c r="L154" s="17" t="str">
        <x:v>http://arxiv.org/abs/2510.08938v1</x:v>
      </x:c>
      <x:c r="M154" s="23" t="n">
        <x:v>0.01639344262295082</x:v>
      </x:c>
      <x:c r="N154" s="17" t="str">
        <x:v>arxiv-paper-eval-20260727-105551-results.jsonl</x:v>
      </x:c>
      <x:c r="O154" s="24" t="str">
        <x:v>1</x:v>
      </x:c>
      <x:c r="P154" s="28" t="str">
        <x:v>提出动态证据学习校准方法，摘要未给出指标或基准协议分析。</x:v>
      </x:c>
      <x:c r="Q154" s="25" t="str"/>
      <x:c r="R154" s="24" t="str">
        <x:f>IF(Q154&lt;&gt;"",Q154,O154)</x:f>
        <x:v>1</x:v>
      </x:c>
      <x:c r="S154" s="29" t="str"/>
    </x:row>
    <x:row r="155" ht="54" customHeight="1">
      <x:c r="A155" s="17" t="str">
        <x:v>csq008-r14</x:v>
      </x:c>
      <x:c r="B155" s="17" t="str">
        <x:v>csq008</x:v>
      </x:c>
      <x:c r="C155" s="17" t="str">
        <x:v>machine_learning</x:v>
      </x:c>
      <x:c r="D155" s="17" t="str">
        <x:v>uncertainty_calibration</x:v>
      </x:c>
      <x:c r="E155" s="27" t="str">
        <x:v>Which metrics and benchmark protocols are used to evaluate uncertainty calibration in deep neural networks, and what failure modes do these metrics miss?</x:v>
      </x:c>
      <x:c r="F155" s="22" t="n">
        <x:v>14</x:v>
      </x:c>
      <x:c r="G155" s="17" t="str">
        <x:v>arXiv:2510.21691</x:v>
      </x:c>
      <x:c r="H155" s="27" t="str">
        <x:v>On Uncertainty Calibration for Equivariant Functions</x:v>
      </x:c>
      <x:c r="I155" s="17" t="str">
        <x:v>Edward Berman; Jacob Ginesin; Marco Pacini; Robin Walters</x:v>
      </x:c>
      <x:c r="J155" s="22" t="n">
        <x:v>2025</x:v>
      </x:c>
      <x:c r="K155" s="27" t="str">
        <x:v>Data-sparse settings such as robotic manipulation, molecular physics, and galaxy morphology classification are some of the hardest domains for deep learning. For these problems, equivariant networks can help improve modeling across undersampled parts of the input space, and uncertainty estimation can guard against overconfidence. However, until now, the relationships between equivariance and model confidence, and more generally equivariance and model calibration, has yet to be studied. Since traditional classification and regression error terms show up in the definitions of calibration error, it is natural to suspect that previous work can be used to help understand the relationship between equivariance and calibration error. In this work, we present a theory relating equivariance to uncertainty estimation. By proving lower and upper bounds on uncertainty calibration errors (ECE and ENCE) under various equivariance conditions, we elucidate the generalization limits of equivariant models and illustrate how symmetry mismatch can result in miscalibration in both classification and regression. We complement our theoretical framework with numerical experiments that clarify the relationship between equivariance and uncertainty using a variety of real and simulated datasets, and we comment on trends with symmetry mismatch, group size, and aleatoric and epistemic uncertainties.</x:v>
      </x:c>
      <x:c r="L155" s="17" t="str">
        <x:v>http://arxiv.org/abs/2510.21691v4</x:v>
      </x:c>
      <x:c r="M155" s="23" t="n">
        <x:v>0.015384615384615385</x:v>
      </x:c>
      <x:c r="N155" s="17" t="str">
        <x:v>arxiv-paper-eval-20260727-105551-results.jsonl</x:v>
      </x:c>
      <x:c r="O155" s="24" t="str">
        <x:v>2</x:v>
      </x:c>
      <x:c r="P155" s="28" t="str">
        <x:v>理论分析ECE与ENCE在等变和对称失配条件下的上下界与失校准。</x:v>
      </x:c>
      <x:c r="Q155" s="25" t="str"/>
      <x:c r="R155" s="24" t="str">
        <x:f>IF(Q155&lt;&gt;"",Q155,O155)</x:f>
        <x:v>2</x:v>
      </x:c>
      <x:c r="S155" s="29" t="str"/>
    </x:row>
    <x:row r="156" ht="54" customHeight="1">
      <x:c r="A156" s="17" t="str">
        <x:v>csq008-r15</x:v>
      </x:c>
      <x:c r="B156" s="17" t="str">
        <x:v>csq008</x:v>
      </x:c>
      <x:c r="C156" s="17" t="str">
        <x:v>machine_learning</x:v>
      </x:c>
      <x:c r="D156" s="17" t="str">
        <x:v>uncertainty_calibration</x:v>
      </x:c>
      <x:c r="E156" s="27" t="str">
        <x:v>Which metrics and benchmark protocols are used to evaluate uncertainty calibration in deep neural networks, and what failure modes do these metrics miss?</x:v>
      </x:c>
      <x:c r="F156" s="22" t="n">
        <x:v>15</x:v>
      </x:c>
      <x:c r="G156" s="17" t="str">
        <x:v>arXiv:2006.08914</x:v>
      </x:c>
      <x:c r="H156" s="27" t="str">
        <x:v>Calibrating Deep Neural Network Classifiers on Out-of-Distribution Datasets</x:v>
      </x:c>
      <x:c r="I156" s="17" t="str">
        <x:v>Zhihui Shao; Jianyi Yang; Shaolei Ren</x:v>
      </x:c>
      <x:c r="J156" s="22" t="n">
        <x:v>2020</x:v>
      </x:c>
      <x:c r="K156" s="27" t="str">
        <x:v>To increase the trustworthiness of deep neural network (DNN) classifiers, an accurate prediction confidence that represents the true likelihood of correctness is crucial. Towards this end, many post-hoc calibration methods have been proposed to leverage a lightweight model to map the target DNN's output layer into a calibrated confidence. Nonetheless, on an out-of-distribution (OOD) dataset in practice, the target DNN can often mis-classify samples with a high confidence, creating significant challenges for the existing calibration methods to produce an accurate confidence. In this paper, we propose a new post-hoc confidence calibration method, called CCAC (Confidence Calibration with an Auxiliary Class), for DNN classifiers on OOD datasets. The key novelty of CCAC is an auxiliary class in the calibration model which separates mis-classified samples from correctly classified ones, thus effectively mitigating the target DNN's being confidently wrong. We also propose a simplified version of CCAC to reduce free parameters and facilitate transfer to a new unseen dataset. Our experiments on different DNN models, datasets and applications show that CCAC can consistently outperform the prior post-hoc calibration methods.</x:v>
      </x:c>
      <x:c r="L156" s="17" t="str">
        <x:v>http://arxiv.org/abs/2006.08914v1</x:v>
      </x:c>
      <x:c r="M156" s="23" t="n">
        <x:v>0.015384615384615385</x:v>
      </x:c>
      <x:c r="N156" s="17" t="str">
        <x:v>arxiv-paper-eval-20260727-105551-results.jsonl</x:v>
      </x:c>
      <x:c r="O156" s="24" t="str">
        <x:v>1</x:v>
      </x:c>
      <x:c r="P156" s="28" t="str">
        <x:v>针对OOD高置信误分类提出校准器，重点不是指标遗漏。</x:v>
      </x:c>
      <x:c r="Q156" s="25" t="str"/>
      <x:c r="R156" s="24" t="str">
        <x:f>IF(Q156&lt;&gt;"",Q156,O156)</x:f>
        <x:v>1</x:v>
      </x:c>
      <x:c r="S156" s="29" t="str"/>
    </x:row>
    <x:row r="157" ht="54" customHeight="1">
      <x:c r="A157" s="17" t="str">
        <x:v>csq008-r16</x:v>
      </x:c>
      <x:c r="B157" s="17" t="str">
        <x:v>csq008</x:v>
      </x:c>
      <x:c r="C157" s="17" t="str">
        <x:v>machine_learning</x:v>
      </x:c>
      <x:c r="D157" s="17" t="str">
        <x:v>uncertainty_calibration</x:v>
      </x:c>
      <x:c r="E157" s="27" t="str">
        <x:v>Which metrics and benchmark protocols are used to evaluate uncertainty calibration in deep neural networks, and what failure modes do these metrics miss?</x:v>
      </x:c>
      <x:c r="F157" s="22" t="n">
        <x:v>16</x:v>
      </x:c>
      <x:c r="G157" s="17" t="str">
        <x:v>arXiv:2309.00464</x:v>
      </x:c>
      <x:c r="H157" s="27" t="str">
        <x:v>A Theoretical and Practical Framework for Evaluating Uncertainty Calibration in Object Detection</x:v>
      </x:c>
      <x:c r="I157" s="17" t="str">
        <x:v>Pedro Conde; Rui L. Lopes; Cristiano Premebida</x:v>
      </x:c>
      <x:c r="J157" s="22" t="n">
        <x:v>2023</x:v>
      </x:c>
      <x:c r="K157" s="27" t="str">
        <x:v>The proliferation of Deep Neural Networks has resulted in machine learning systems becoming increasingly more present in various real-world applications. Consequently, there is a growing demand for highly reliable models in many domains, making the problem of uncertainty calibration pivotal when considering the future of deep learning. This is especially true when considering object detection systems, that are commonly present in safety-critical applications such as autonomous driving, robotics and medical diagnosis. For this reason, this work presents a novel theoretical and practical framework to evaluate object detection systems in the context of uncertainty calibration. This encompasses a new comprehensive formulation of this concept through distinct formal definitions, and also three novel evaluation metrics derived from such theoretical foundation. The robustness of the proposed uncertainty calibration metrics is shown through a series of representative experiments.</x:v>
      </x:c>
      <x:c r="L157" s="17" t="str">
        <x:v>http://arxiv.org/abs/2309.00464v2</x:v>
      </x:c>
      <x:c r="M157" s="23" t="n">
        <x:v>0.015151515151515152</x:v>
      </x:c>
      <x:c r="N157" s="17" t="str">
        <x:v>arxiv-paper-eval-20260727-105551-results.jsonl</x:v>
      </x:c>
      <x:c r="O157" s="24" t="str">
        <x:v>2</x:v>
      </x:c>
      <x:c r="P157" s="28" t="str">
        <x:v>为目标检测提出校准定义、三种新指标及稳健性实验协议。</x:v>
      </x:c>
      <x:c r="Q157" s="25" t="str"/>
      <x:c r="R157" s="24" t="str">
        <x:f>IF(Q157&lt;&gt;"",Q157,O157)</x:f>
        <x:v>2</x:v>
      </x:c>
      <x:c r="S157" s="29" t="str"/>
    </x:row>
    <x:row r="158" ht="54" customHeight="1">
      <x:c r="A158" s="17" t="str">
        <x:v>csq008-r17</x:v>
      </x:c>
      <x:c r="B158" s="17" t="str">
        <x:v>csq008</x:v>
      </x:c>
      <x:c r="C158" s="17" t="str">
        <x:v>machine_learning</x:v>
      </x:c>
      <x:c r="D158" s="17" t="str">
        <x:v>uncertainty_calibration</x:v>
      </x:c>
      <x:c r="E158" s="27" t="str">
        <x:v>Which metrics and benchmark protocols are used to evaluate uncertainty calibration in deep neural networks, and what failure modes do these metrics miss?</x:v>
      </x:c>
      <x:c r="F158" s="22" t="n">
        <x:v>17</x:v>
      </x:c>
      <x:c r="G158" s="17" t="str">
        <x:v>arXiv:2302.06245</x:v>
      </x:c>
      <x:c r="H158" s="27" t="str">
        <x:v>Calibrating a Deep Neural Network with Its Predecessors</x:v>
      </x:c>
      <x:c r="I158" s="17" t="str">
        <x:v>Linwei Tao; Minjing Dong; Daochang Liu; Changming Sun; Chang Xu</x:v>
      </x:c>
      <x:c r="J158" s="22" t="n">
        <x:v>2023</x:v>
      </x:c>
      <x:c r="K158" s="27" t="str">
        <x:v>Confidence calibration - the process to calibrate the output probability distribution of neural networks - is essential for safety-critical applications of such networks. Recent works verify the link between mis-calibration and overfitting. However, early stopping, as a well-known technique to mitigate overfitting, fails to calibrate networks. In this work, we study the limitions of early stopping and comprehensively analyze the overfitting problem of a network considering each individual block. We then propose a novel regularization method, predecessor combination search (PCS), to improve calibration by searching a combination of best-fitting block predecessors, where block predecessors are the corresponding network blocks with weight parameters from earlier training stages. PCS achieves the state-of-the-art calibration performance on multiple datasets and architectures. In addition, PCS improves model robustness under dataset distribution shift.</x:v>
      </x:c>
      <x:c r="L158" s="17" t="str">
        <x:v>http://arxiv.org/abs/2302.06245v2</x:v>
      </x:c>
      <x:c r="M158" s="23" t="n">
        <x:v>0.014925373134328358</x:v>
      </x:c>
      <x:c r="N158" s="17" t="str">
        <x:v>arxiv-paper-eval-20260727-105551-results.jsonl</x:v>
      </x:c>
      <x:c r="O158" s="24" t="str">
        <x:v>1</x:v>
      </x:c>
      <x:c r="P158" s="28" t="str">
        <x:v>研究早停的校准局限并提出正则化方法，非评估指标研究。</x:v>
      </x:c>
      <x:c r="Q158" s="25" t="str"/>
      <x:c r="R158" s="24" t="str">
        <x:f>IF(Q158&lt;&gt;"",Q158,O158)</x:f>
        <x:v>1</x:v>
      </x:c>
      <x:c r="S158" s="29" t="str"/>
    </x:row>
    <x:row r="159" ht="54" customHeight="1">
      <x:c r="A159" s="17" t="str">
        <x:v>csq008-r18</x:v>
      </x:c>
      <x:c r="B159" s="17" t="str">
        <x:v>csq008</x:v>
      </x:c>
      <x:c r="C159" s="17" t="str">
        <x:v>machine_learning</x:v>
      </x:c>
      <x:c r="D159" s="17" t="str">
        <x:v>uncertainty_calibration</x:v>
      </x:c>
      <x:c r="E159" s="27" t="str">
        <x:v>Which metrics and benchmark protocols are used to evaluate uncertainty calibration in deep neural networks, and what failure modes do these metrics miss?</x:v>
      </x:c>
      <x:c r="F159" s="22" t="n">
        <x:v>18</x:v>
      </x:c>
      <x:c r="G159" s="17" t="str">
        <x:v>arXiv:2206.13071</x:v>
      </x:c>
      <x:c r="H159" s="27" t="str">
        <x:v>Uncertainty Calibration for Deep Audio Classifiers</x:v>
      </x:c>
      <x:c r="I159" s="17" t="str">
        <x:v>Tong Ye; Shijing Si; Jianzong Wang; Ning Cheng; Jing Xiao</x:v>
      </x:c>
      <x:c r="J159" s="22" t="n">
        <x:v>2022</x:v>
      </x:c>
      <x:c r="K159" s="27" t="str">
        <x:v>Although deep Neural Networks (DNNs) have achieved tremendous success in audio classification tasks, their uncertainty calibration are still under-explored. A well-calibrated model should be accurate when it is certain about its prediction and indicate high uncertainty when it is likely to be inaccurate. In this work, we investigate the uncertainty calibration for deep audio classifiers. In particular, we empirically study the performance of popular calibration methods: (i) Monte Carlo Dropout, (ii) ensemble, (iii) focal loss, and (iv) spectral-normalized Gaussian process (SNGP), on audio classification datasets. To this end, we evaluate (i-iv) for the tasks of environment sound and music genre classification. Results indicate that uncalibrated deep audio classifiers may be over-confident, and SNGP performs the best and is very efficient on the two datasets of this paper.</x:v>
      </x:c>
      <x:c r="L159" s="17" t="str">
        <x:v>http://arxiv.org/abs/2206.13071v1</x:v>
      </x:c>
      <x:c r="M159" s="23" t="n">
        <x:v>0.014925373134328358</x:v>
      </x:c>
      <x:c r="N159" s="17" t="str">
        <x:v>arxiv-paper-eval-20260727-105551-results.jsonl</x:v>
      </x:c>
      <x:c r="O159" s="24" t="str">
        <x:v>1</x:v>
      </x:c>
      <x:c r="P159" s="28" t="str">
        <x:v>在音频数据比较四种校准方法，但摘要未说明指标及其盲点。</x:v>
      </x:c>
      <x:c r="Q159" s="25" t="str"/>
      <x:c r="R159" s="24" t="str">
        <x:f>IF(Q159&lt;&gt;"",Q159,O159)</x:f>
        <x:v>1</x:v>
      </x:c>
      <x:c r="S159" s="29" t="str"/>
    </x:row>
    <x:row r="160" ht="54" customHeight="1">
      <x:c r="A160" s="17" t="str">
        <x:v>csq008-r19</x:v>
      </x:c>
      <x:c r="B160" s="17" t="str">
        <x:v>csq008</x:v>
      </x:c>
      <x:c r="C160" s="17" t="str">
        <x:v>machine_learning</x:v>
      </x:c>
      <x:c r="D160" s="17" t="str">
        <x:v>uncertainty_calibration</x:v>
      </x:c>
      <x:c r="E160" s="27" t="str">
        <x:v>Which metrics and benchmark protocols are used to evaluate uncertainty calibration in deep neural networks, and what failure modes do these metrics miss?</x:v>
      </x:c>
      <x:c r="F160" s="22" t="n">
        <x:v>19</x:v>
      </x:c>
      <x:c r="G160" s="17" t="str">
        <x:v>arXiv:2406.02411</x:v>
      </x:c>
      <x:c r="H160" s="27" t="str">
        <x:v>Decoupling of neural network calibration measures</x:v>
      </x:c>
      <x:c r="I160" s="17" t="str">
        <x:v>Dominik Werner Wolf; Prasannavenkatesh Balaji; Alexander Braun; Markus Ulrich</x:v>
      </x:c>
      <x:c r="J160" s="22" t="n">
        <x:v>2024</x:v>
      </x:c>
      <x:c r="K160" s="27" t="str">
        <x:v>A lot of effort is currently invested in safeguarding autonomous driving systems, which heavily rely on deep neural networks for computer vision. We investigate the coupling of different neural network calibration measures with a special focus on the Area Under the Sparsification Error curve (AUSE) metric. We elaborate on the well-known inconsistency in determining optimal calibration using the Expected Calibration Error (ECE) and we demonstrate similar issues for the AUSE, the Uncertainty Calibration Score (UCS), as well as the Uncertainty Calibration Error (UCE). We conclude that the current methodologies leave a degree of freedom, which prevents a unique model calibration for the homologation of safety-critical functionalities. Furthermore, we propose the AUSE as an indirect measure for the residual uncertainty, which is irreducible for a fixed network architecture and is driven by the stochasticity in the underlying data generation process (aleatoric contribution) as well as the limitation in the hypothesis space (epistemic contribution).</x:v>
      </x:c>
      <x:c r="L160" s="17" t="str">
        <x:v>http://arxiv.org/abs/2406.02411v2</x:v>
      </x:c>
      <x:c r="M160" s="23" t="n">
        <x:v>0.014705882352941176</x:v>
      </x:c>
      <x:c r="N160" s="17" t="str">
        <x:v>arxiv-paper-eval-20260727-105551-results.jsonl</x:v>
      </x:c>
      <x:c r="O160" s="24" t="str">
        <x:v>2</x:v>
      </x:c>
      <x:c r="P160" s="28" t="str">
        <x:v>直接揭示ECE、AUSE、UCS和UCE不一致及无法唯一确定校准。</x:v>
      </x:c>
      <x:c r="Q160" s="25" t="str"/>
      <x:c r="R160" s="24" t="str">
        <x:f>IF(Q160&lt;&gt;"",Q160,O160)</x:f>
        <x:v>2</x:v>
      </x:c>
      <x:c r="S160" s="29" t="str"/>
    </x:row>
    <x:row r="161" ht="54" customHeight="1">
      <x:c r="A161" s="17" t="str">
        <x:v>csq008-r20</x:v>
      </x:c>
      <x:c r="B161" s="17" t="str">
        <x:v>csq008</x:v>
      </x:c>
      <x:c r="C161" s="17" t="str">
        <x:v>machine_learning</x:v>
      </x:c>
      <x:c r="D161" s="17" t="str">
        <x:v>uncertainty_calibration</x:v>
      </x:c>
      <x:c r="E161" s="27" t="str">
        <x:v>Which metrics and benchmark protocols are used to evaluate uncertainty calibration in deep neural networks, and what failure modes do these metrics miss?</x:v>
      </x:c>
      <x:c r="F161" s="22" t="n">
        <x:v>20</x:v>
      </x:c>
      <x:c r="G161" s="17" t="str">
        <x:v>arXiv:1912.01730</x:v>
      </x:c>
      <x:c r="H161" s="27" t="str">
        <x:v>Distance-Based Learning from Errors for Confidence Calibration</x:v>
      </x:c>
      <x:c r="I161" s="17" t="str">
        <x:v>Chen Xing; Sercan Arik; Zizhao Zhang; Tomas Pfister</x:v>
      </x:c>
      <x:c r="J161" s="22" t="n">
        <x:v>2019</x:v>
      </x:c>
      <x:c r="K161" s="27" t="str">
        <x:v>Deep neural networks (DNNs) are poorly calibrated when trained in conventional ways. To improve confidence calibration of DNNs, we propose a novel training method, distance-based learning from errors (DBLE). DBLE bases its confidence estimation on distances in the representation space. In DBLE, we first adapt prototypical learning to train classification models. It yields a representation space where the distance between a test sample and its ground truth class center can calibrate the model's classification performance. At inference, however, these distances are not available due to the lack of ground truth labels. To circumvent this by inferring the distance for every test sample, we propose to train a confidence model jointly with the classification model. We integrate this into training by merely learning from mis-classified training samples, which we show to be highly beneficial for effective learning. On multiple datasets and DNN architectures, we demonstrate that DBLE outperforms alternative single-model confidence calibration approaches. DBLE also achieves comparable performance with computationally-expensive ensemble approaches with lower computational cost and lower number of parameters.</x:v>
      </x:c>
      <x:c r="L161" s="17" t="str">
        <x:v>http://arxiv.org/abs/1912.01730v2</x:v>
      </x:c>
      <x:c r="M161" s="23" t="n">
        <x:v>0.014492753623188406</x:v>
      </x:c>
      <x:c r="N161" s="17" t="str">
        <x:v>arxiv-paper-eval-20260727-105551-results.jsonl</x:v>
      </x:c>
      <x:c r="O161" s="24" t="str">
        <x:v>1</x:v>
      </x:c>
      <x:c r="P161" s="28" t="str">
        <x:v>提出基于表征距离的校准训练法，未分析评测指标失效。</x:v>
      </x:c>
      <x:c r="Q161" s="25" t="str"/>
      <x:c r="R161" s="24" t="str">
        <x:f>IF(Q161&lt;&gt;"",Q161,O161)</x:f>
        <x:v>1</x:v>
      </x:c>
      <x:c r="S161" s="29" t="str"/>
    </x:row>
    <x:row r="162" ht="54" customHeight="1">
      <x:c r="A162" s="17" t="str">
        <x:v>csq009-r01</x:v>
      </x:c>
      <x:c r="B162" s="17" t="str">
        <x:v>csq009</x:v>
      </x:c>
      <x:c r="C162" s="17" t="str">
        <x:v>machine_learning</x:v>
      </x:c>
      <x:c r="D162" s="17" t="str">
        <x:v>graph_neural_networks</x:v>
      </x:c>
      <x:c r="E162" s="27" t="str">
        <x:v>What causes over-smoothing and over-squashing in graph neural networks, and which mitigation methods are supported by empirical and theoretical research?</x:v>
      </x:c>
      <x:c r="F162" s="22" t="n">
        <x:v>1</x:v>
      </x:c>
      <x:c r="G162" s="17" t="str">
        <x:v>arXiv:2502.10818</x:v>
      </x:c>
      <x:c r="H162" s="27" t="str">
        <x:v>On Vanishing Gradients, Over-Smoothing, and Over-Squashing in GNNs: Bridging Recurrent and Graph Learning</x:v>
      </x:c>
      <x:c r="I162" s="17" t="str">
        <x:v>Álvaro Arroyo; Alessio Gravina; Benjamin Gutteridge; Federico Barbero; Claudio Gallicchio; Xiaowen Dong; Michael Bronstein; Pierre Vandergheynst</x:v>
      </x:c>
      <x:c r="J162" s="22" t="n">
        <x:v>2025</x:v>
      </x:c>
      <x:c r="K162" s="27" t="str">
        <x:v>Graph Neural Networks (GNNs) are models that leverage the graph structure to transmit information between nodes, typically through the message-passing operation. While widely successful, this approach is well known to suffer from the over-smoothing and over-squashing phenomena, which result in representational collapse as the number of layers increases and insensitivity to the information contained at distant and poorly connected nodes, respectively. In this paper, we present a unified view of these problems through the lens of vanishing gradients, using ideas from linear control theory for our analysis. We propose an interpretation of GNNs as recurrent models and empirically demonstrate that a simple state-space formulation of a GNN effectively alleviates over-smoothing and over-squashing at no extra trainable parameter cost. Further, we show theoretically and empirically that (i) GNNs are by design prone to extreme gradient vanishing even after a few layers; (ii) Over-smoothing is directly related to the mechanism causing vanishing gradients; (iii) Over-squashing is most easily alleviated by a combination of graph rewiring and vanishing gradient mitigation. We believe our work will help bridge the gap between the recurrent and graph neural network literature and will unlock the design of new deep and performant GNNs.</x:v>
      </x:c>
      <x:c r="L162" s="17" t="str">
        <x:v>http://arxiv.org/abs/2502.10818v2</x:v>
      </x:c>
      <x:c r="M162" s="23" t="n">
        <x:v>0.04321070234113713</x:v>
      </x:c>
      <x:c r="N162" s="17" t="str">
        <x:v>arxiv-paper-eval-20260727-105551-results.jsonl</x:v>
      </x:c>
      <x:c r="O162" s="24" t="str">
        <x:v>2</x:v>
      </x:c>
      <x:c r="P162" s="28" t="str">
        <x:v>以梯度消失统一解释过平滑和过挤压，并提供理论及实证缓解。</x:v>
      </x:c>
      <x:c r="Q162" s="25" t="str"/>
      <x:c r="R162" s="24" t="str">
        <x:f>IF(Q162&lt;&gt;"",Q162,O162)</x:f>
        <x:v>2</x:v>
      </x:c>
      <x:c r="S162" s="29" t="str"/>
    </x:row>
    <x:row r="163" ht="54" customHeight="1">
      <x:c r="A163" s="17" t="str">
        <x:v>csq009-r02</x:v>
      </x:c>
      <x:c r="B163" s="17" t="str">
        <x:v>csq009</x:v>
      </x:c>
      <x:c r="C163" s="17" t="str">
        <x:v>machine_learning</x:v>
      </x:c>
      <x:c r="D163" s="17" t="str">
        <x:v>graph_neural_networks</x:v>
      </x:c>
      <x:c r="E163" s="27" t="str">
        <x:v>What causes over-smoothing and over-squashing in graph neural networks, and which mitigation methods are supported by empirical and theoretical research?</x:v>
      </x:c>
      <x:c r="F163" s="22" t="n">
        <x:v>2</x:v>
      </x:c>
      <x:c r="G163" s="17" t="str">
        <x:v>arXiv:2510.08450</x:v>
      </x:c>
      <x:c r="H163" s="27" t="str">
        <x:v>gLSTM: Mitigating Over-Squashing by Increasing Storage Capacity</x:v>
      </x:c>
      <x:c r="I163" s="17" t="str">
        <x:v>Hugh Blayney; Álvaro Arroyo; Xiaowen Dong; Michael M. Bronstein</x:v>
      </x:c>
      <x:c r="J163" s="22" t="n">
        <x:v>2025</x:v>
      </x:c>
      <x:c r="K163" s="27" t="str">
        <x:v>Graph Neural Networks (GNNs) leverage the graph structure to transmit information between nodes, typically through the message-passing mechanism. While these models have found a wide variety of applications, they are known to suffer from over-squashing, where information from a large receptive field of node representations is collapsed into a single fixed sized vector, resulting in an information bottleneck. In this paper, we re-examine the over-squashing phenomenon through the lens of model storage and retrieval capacity, which we define as the amount of information that can be stored in a node's representation for later use. We study some of the limitations of existing tasks used to measure over-squashing and introduce a new synthetic task to demonstrate that an information bottleneck can saturate this capacity. Furthermore, we adapt ideas from the sequence modeling literature on associative memories, fast weight programmers, and the xLSTM model to develop a novel GNN architecture with improved capacity. We demonstrate strong performance of this architecture both on our capacity synthetic task, as well as a range of real-world graph benchmarks.</x:v>
      </x:c>
      <x:c r="L163" s="17" t="str">
        <x:v>http://arxiv.org/abs/2510.08450v2</x:v>
      </x:c>
      <x:c r="M163" s="23" t="n">
        <x:v>0.03278688524590164</x:v>
      </x:c>
      <x:c r="N163" s="17" t="str">
        <x:v>arxiv-paper-eval-20260727-105551-results.jsonl</x:v>
      </x:c>
      <x:c r="O163" s="24" t="str">
        <x:v>2</x:v>
      </x:c>
      <x:c r="P163" s="28" t="str">
        <x:v>从存储检索容量解释过挤压并提出高容量gLSTM图架构。</x:v>
      </x:c>
      <x:c r="Q163" s="25" t="str"/>
      <x:c r="R163" s="24" t="str">
        <x:f>IF(Q163&lt;&gt;"",Q163,O163)</x:f>
        <x:v>2</x:v>
      </x:c>
      <x:c r="S163" s="29" t="str"/>
    </x:row>
    <x:row r="164" ht="54" customHeight="1">
      <x:c r="A164" s="17" t="str">
        <x:v>csq009-r03</x:v>
      </x:c>
      <x:c r="B164" s="17" t="str">
        <x:v>csq009</x:v>
      </x:c>
      <x:c r="C164" s="17" t="str">
        <x:v>machine_learning</x:v>
      </x:c>
      <x:c r="D164" s="17" t="str">
        <x:v>graph_neural_networks</x:v>
      </x:c>
      <x:c r="E164" s="27" t="str">
        <x:v>What causes over-smoothing and over-squashing in graph neural networks, and which mitigation methods are supported by empirical and theoretical research?</x:v>
      </x:c>
      <x:c r="F164" s="22" t="n">
        <x:v>3</x:v>
      </x:c>
      <x:c r="G164" s="17" t="str">
        <x:v>arXiv:2308.15568</x:v>
      </x:c>
      <x:c r="H164" s="27" t="str">
        <x:v>Over-Squashing in Graph Neural Networks: A Comprehensive survey</x:v>
      </x:c>
      <x:c r="I164" s="17" t="str">
        <x:v>Singh Akansha</x:v>
      </x:c>
      <x:c r="J164" s="22" t="n">
        <x:v>2023</x:v>
      </x:c>
      <x:c r="K164" s="27" t="str">
        <x:v>Graph Neural Networks (GNNs) revolutionize machine learning for graph-structured data, effectively capturing complex relationships. They disseminate information through interconnected nodes, but long-range interactions face challenges known as "over-squashing". This survey delves into the challenge of over-squashing in Graph Neural Networks (GNNs), where long-range information dissemination is hindered, impacting tasks reliant on intricate long-distance interactions. It comprehensively explores the causes, consequences, and mitigation strategies for over-squashing. Various methodologies are reviewed, including graph rewiring, novel normalization, spectral analysis, and curvature-based strategies, with a focus on their trade-offs and effectiveness. The survey also discusses the interplay between over-squashing and other GNN limitations, such as over-smoothing, and provides a taxonomy of models designed to address these issues in node and graph-level tasks. Benchmark datasets for performance evaluation are also detailed, making this survey a valuable resource for researchers and practitioners in the GNN field.</x:v>
      </x:c>
      <x:c r="L164" s="17" t="str">
        <x:v>http://arxiv.org/abs/2308.15568v7</x:v>
      </x:c>
      <x:c r="M164" s="23" t="n">
        <x:v>0.03225806451612903</x:v>
      </x:c>
      <x:c r="N164" s="17" t="str">
        <x:v>arxiv-paper-eval-20260727-105551-results.jsonl</x:v>
      </x:c>
      <x:c r="O164" s="24" t="str">
        <x:v>2</x:v>
      </x:c>
      <x:c r="P164" s="28" t="str">
        <x:v>综述过挤压成因、后果、重连等缓解方法及与过平滑关系。</x:v>
      </x:c>
      <x:c r="Q164" s="25" t="str"/>
      <x:c r="R164" s="24" t="str">
        <x:f>IF(Q164&lt;&gt;"",Q164,O164)</x:f>
        <x:v>2</x:v>
      </x:c>
      <x:c r="S164" s="29" t="str"/>
    </x:row>
    <x:row r="165" ht="54" customHeight="1">
      <x:c r="A165" s="17" t="str">
        <x:v>csq009-r04</x:v>
      </x:c>
      <x:c r="B165" s="17" t="str">
        <x:v>csq009</x:v>
      </x:c>
      <x:c r="C165" s="17" t="str">
        <x:v>machine_learning</x:v>
      </x:c>
      <x:c r="D165" s="17" t="str">
        <x:v>graph_neural_networks</x:v>
      </x:c>
      <x:c r="E165" s="27" t="str">
        <x:v>What causes over-smoothing and over-squashing in graph neural networks, and which mitigation methods are supported by empirical and theoretical research?</x:v>
      </x:c>
      <x:c r="F165" s="22" t="n">
        <x:v>4</x:v>
      </x:c>
      <x:c r="G165" s="17" t="str">
        <x:v>arXiv:2305.16102</x:v>
      </x:c>
      <x:c r="H165" s="27" t="str">
        <x:v>Demystifying Oversmoothing in Attention-Based Graph Neural Networks</x:v>
      </x:c>
      <x:c r="I165" s="17" t="str">
        <x:v>Xinyi Wu; Amir Ajorlou; Zihui Wu; Ali Jadbabaie</x:v>
      </x:c>
      <x:c r="J165" s="22" t="n">
        <x:v>2023</x:v>
      </x:c>
      <x:c r="K165" s="27" t="str">
        <x:v>Oversmoothing in Graph Neural Networks (GNNs) refers to the phenomenon where increasing network depth leads to homogeneous node representations. While previous work has established that Graph Convolutional Networks (GCNs) exponentially lose expressive power, it remains controversial whether the graph attention mechanism can mitigate oversmoothing. In this work, we provide a definitive answer to this question through a rigorous mathematical analysis, by viewing attention-based GNNs as nonlinear time-varying dynamical systems and incorporating tools and techniques from the theory of products of inhomogeneous matrices and the joint spectral radius. We establish that, contrary to popular belief, the graph attention mechanism cannot prevent oversmoothing and loses expressive power exponentially. The proposed framework extends the existing results on oversmoothing for symmetric GCNs to a significantly broader class of GNN models, including random walk GCNs, Graph Attention Networks (GATs) and (graph) transformers. In particular, our analysis accounts for asymmetric, state-dependent and time-varying aggregation operators and a wide range of common nonlinear activation functions, such as ReLU, LeakyReLU, GELU and SiLU.</x:v>
      </x:c>
      <x:c r="L165" s="17" t="str">
        <x:v>http://arxiv.org/abs/2305.16102v4</x:v>
      </x:c>
      <x:c r="M165" s="23" t="n">
        <x:v>0.031754032258064516</x:v>
      </x:c>
      <x:c r="N165" s="17" t="str">
        <x:v>arxiv-paper-eval-20260727-105551-results.jsonl</x:v>
      </x:c>
      <x:c r="O165" s="24" t="str">
        <x:v>2</x:v>
      </x:c>
      <x:c r="P165" s="28" t="str">
        <x:v>理论证明注意力图网络仍会指数过平滑，澄清机制误解。</x:v>
      </x:c>
      <x:c r="Q165" s="25" t="str"/>
      <x:c r="R165" s="24" t="str">
        <x:f>IF(Q165&lt;&gt;"",Q165,O165)</x:f>
        <x:v>2</x:v>
      </x:c>
      <x:c r="S165" s="29" t="str"/>
    </x:row>
    <x:row r="166" ht="54" customHeight="1">
      <x:c r="A166" s="17" t="str">
        <x:v>csq009-r05</x:v>
      </x:c>
      <x:c r="B166" s="17" t="str">
        <x:v>csq009</x:v>
      </x:c>
      <x:c r="C166" s="17" t="str">
        <x:v>machine_learning</x:v>
      </x:c>
      <x:c r="D166" s="17" t="str">
        <x:v>graph_neural_networks</x:v>
      </x:c>
      <x:c r="E166" s="27" t="str">
        <x:v>What causes over-smoothing and over-squashing in graph neural networks, and which mitigation methods are supported by empirical and theoretical research?</x:v>
      </x:c>
      <x:c r="F166" s="22" t="n">
        <x:v>5</x:v>
      </x:c>
      <x:c r="G166" s="17" t="str">
        <x:v>arXiv:2212.10701</x:v>
      </x:c>
      <x:c r="H166" s="27" t="str">
        <x:v>A Non-Asymptotic Analysis of Oversmoothing in Graph Neural Networks</x:v>
      </x:c>
      <x:c r="I166" s="17" t="str">
        <x:v>Xinyi Wu; Zhengdao Chen; William Wang; Ali Jadbabaie</x:v>
      </x:c>
      <x:c r="J166" s="22" t="n">
        <x:v>2022</x:v>
      </x:c>
      <x:c r="K166" s="27" t="str">
        <x:v>Oversmoothing is a central challenge of building more powerful Graph Neural Networks (GNNs). While previous works have only demonstrated that oversmoothing is inevitable when the number of graph convolutions tends to infinity, in this paper, we precisely characterize the mechanism behind the phenomenon via a non-asymptotic analysis. Specifically, we distinguish between two different effects when applying graph convolutions -- an undesirable mixing effect that homogenizes node representations in different classes, and a desirable denoising effect that homogenizes node representations in the same class. By quantifying these two effects on random graphs sampled from the Contextual Stochastic Block Model (CSBM), we show that oversmoothing happens once the mixing effect starts to dominate the denoising effect, and the number of layers required for this transition is $O(\log N/\log (\log N))$ for sufficiently dense graphs with $N$ nodes. We also extend our analysis to study the effects of Personalized PageRank (PPR), or equivalently, the effects of initial residual connections on oversmoothing. Our results suggest that while PPR mitigates oversmoothing at deeper layers, PPR-based architectures still achieve their best performance at a shallow depth and are outperformed by the graph convolution approach on certain graphs. Finally, we support our theoretical results with numerical experiments, which further suggest that the oversmoothing phenomenon observed in practice can be magnified by the difficulty of optimizing deep GNN models.</x:v>
      </x:c>
      <x:c r="L166" s="17" t="str">
        <x:v>http://arxiv.org/abs/2212.10701v2</x:v>
      </x:c>
      <x:c r="M166" s="23" t="n">
        <x:v>0.031544957774465976</x:v>
      </x:c>
      <x:c r="N166" s="17" t="str">
        <x:v>arxiv-paper-eval-20260727-105551-results.jsonl</x:v>
      </x:c>
      <x:c r="O166" s="24" t="str">
        <x:v>2</x:v>
      </x:c>
      <x:c r="P166" s="28" t="str">
        <x:v>以混合与去噪效应非渐近解释过平滑，并分析PPR残差缓解边界。</x:v>
      </x:c>
      <x:c r="Q166" s="25" t="str"/>
      <x:c r="R166" s="24" t="str">
        <x:f>IF(Q166&lt;&gt;"",Q166,O166)</x:f>
        <x:v>2</x:v>
      </x:c>
      <x:c r="S166" s="29" t="str"/>
    </x:row>
    <x:row r="167" ht="54" customHeight="1">
      <x:c r="A167" s="17" t="str">
        <x:v>csq009-r06</x:v>
      </x:c>
      <x:c r="B167" s="17" t="str">
        <x:v>csq009</x:v>
      </x:c>
      <x:c r="C167" s="17" t="str">
        <x:v>machine_learning</x:v>
      </x:c>
      <x:c r="D167" s="17" t="str">
        <x:v>graph_neural_networks</x:v>
      </x:c>
      <x:c r="E167" s="27" t="str">
        <x:v>What causes over-smoothing and over-squashing in graph neural networks, and which mitigation methods are supported by empirical and theoretical research?</x:v>
      </x:c>
      <x:c r="F167" s="22" t="n">
        <x:v>6</x:v>
      </x:c>
      <x:c r="G167" s="17" t="str">
        <x:v>arXiv:2410.04824</x:v>
      </x:c>
      <x:c r="H167" s="27" t="str">
        <x:v>Taming Gradient Oversmoothing and Expansion in Graph Neural Networks</x:v>
      </x:c>
      <x:c r="I167" s="17" t="str">
        <x:v>MoonJeong Park; Dongwoo Kim</x:v>
      </x:c>
      <x:c r="J167" s="22" t="n">
        <x:v>2024</x:v>
      </x:c>
      <x:c r="K167" s="27" t="str">
        <x:v>Oversmoothing has been claimed as a primary bottleneck for multi-layered graph neural networks (GNNs). Multiple analyses have examined how and why oversmoothing occurs. However, none of the prior work addressed how optimization is performed under the oversmoothing regime. In this work, we show the presence of $\textit{gradient oversmoothing}$ preventing optimization during training. We further analyze that GNNs with residual connections, a well-known solution to help gradient flow in deep architecture, introduce $\textit{gradient expansion}$, a phenomenon of the gradient explosion in diverse directions. Therefore, adding residual connections cannot be a solution for making a GNN deep. Our analysis reveals that constraining the Lipschitz bound of each layer can neutralize the gradient expansion. To this end, we provide a simple yet effective normalization method to prevent the gradient expansion. An empirical study shows that the residual GNNs with hundreds of layers can be efficiently trained with the proposed normalization without compromising performance. Additional studies show that the empirical observations corroborate our theoretical analysis.</x:v>
      </x:c>
      <x:c r="L167" s="17" t="str">
        <x:v>http://arxiv.org/abs/2410.04824v1</x:v>
      </x:c>
      <x:c r="M167" s="23" t="n">
        <x:v>0.03125763125763126</x:v>
      </x:c>
      <x:c r="N167" s="17" t="str">
        <x:v>arxiv-paper-eval-20260727-105551-results.jsonl</x:v>
      </x:c>
      <x:c r="O167" s="24" t="str">
        <x:v>2</x:v>
      </x:c>
      <x:c r="P167" s="28" t="str">
        <x:v>识别梯度过平滑与残差梯度扩张，并提出Lipschitz归一化。</x:v>
      </x:c>
      <x:c r="Q167" s="25" t="str"/>
      <x:c r="R167" s="24" t="str">
        <x:f>IF(Q167&lt;&gt;"",Q167,O167)</x:f>
        <x:v>2</x:v>
      </x:c>
      <x:c r="S167" s="29" t="str"/>
    </x:row>
    <x:row r="168" ht="54" customHeight="1">
      <x:c r="A168" s="17" t="str">
        <x:v>csq009-r07</x:v>
      </x:c>
      <x:c r="B168" s="17" t="str">
        <x:v>csq009</x:v>
      </x:c>
      <x:c r="C168" s="17" t="str">
        <x:v>machine_learning</x:v>
      </x:c>
      <x:c r="D168" s="17" t="str">
        <x:v>graph_neural_networks</x:v>
      </x:c>
      <x:c r="E168" s="27" t="str">
        <x:v>What causes over-smoothing and over-squashing in graph neural networks, and which mitigation methods are supported by empirical and theoretical research?</x:v>
      </x:c>
      <x:c r="F168" s="22" t="n">
        <x:v>7</x:v>
      </x:c>
      <x:c r="G168" s="17" t="str">
        <x:v>arXiv:2302.06835</x:v>
      </x:c>
      <x:c r="H168" s="27" t="str">
        <x:v>Understanding Oversquashing in GNNs through the Lens of Effective Resistance</x:v>
      </x:c>
      <x:c r="I168" s="17" t="str">
        <x:v>Mitchell Black; Zhengchao Wan; Amir Nayyeri; Yusu Wang</x:v>
      </x:c>
      <x:c r="J168" s="22" t="n">
        <x:v>2023</x:v>
      </x:c>
      <x:c r="K168" s="27" t="str">
        <x:v>Message passing graph neural networks (GNNs) are a popular learning architectures for graph-structured data. However, one problem GNNs experience is oversquashing, where a GNN has difficulty sending information between distant nodes. Understanding and mitigating oversquashing has recently received significant attention from the research community. In this paper, we continue this line of work by analyzing oversquashing through the lens of the effective resistance between nodes in the input graph. Effective resistance intuitively captures the ``strength'' of connection between two nodes by paths in the graph, and has a rich literature spanning many areas of graph theory. We propose to use total effective resistance as a bound of the total amount of oversquashing in a graph and provide theoretical justification for its use. We further develop an algorithm to identify edges to be added to an input graph to minimize the total effective resistance, thereby alleviating oversquashing. We provide empirical evidence of the effectiveness of our total effective resistance based rewiring strategies for improving the performance of GNNs.</x:v>
      </x:c>
      <x:c r="L168" s="17" t="str">
        <x:v>http://arxiv.org/abs/2302.06835v2</x:v>
      </x:c>
      <x:c r="M168" s="23" t="n">
        <x:v>0.03125763125763126</x:v>
      </x:c>
      <x:c r="N168" s="17" t="str">
        <x:v>arxiv-paper-eval-20260727-105551-results.jsonl</x:v>
      </x:c>
      <x:c r="O168" s="24" t="str">
        <x:v>2</x:v>
      </x:c>
      <x:c r="P168" s="28" t="str">
        <x:v>用有效电阻界定过挤压并以理论支持的重连算法缓解。</x:v>
      </x:c>
      <x:c r="Q168" s="25" t="str"/>
      <x:c r="R168" s="24" t="str">
        <x:f>IF(Q168&lt;&gt;"",Q168,O168)</x:f>
        <x:v>2</x:v>
      </x:c>
      <x:c r="S168" s="29" t="str"/>
    </x:row>
    <x:row r="169" ht="54" customHeight="1">
      <x:c r="A169" s="17" t="str">
        <x:v>csq009-r08</x:v>
      </x:c>
      <x:c r="B169" s="17" t="str">
        <x:v>csq009</x:v>
      </x:c>
      <x:c r="C169" s="17" t="str">
        <x:v>machine_learning</x:v>
      </x:c>
      <x:c r="D169" s="17" t="str">
        <x:v>graph_neural_networks</x:v>
      </x:c>
      <x:c r="E169" s="27" t="str">
        <x:v>What causes over-smoothing and over-squashing in graph neural networks, and which mitigation methods are supported by empirical and theoretical research?</x:v>
      </x:c>
      <x:c r="F169" s="22" t="n">
        <x:v>8</x:v>
      </x:c>
      <x:c r="G169" s="17" t="str">
        <x:v>arXiv:2506.04653</x:v>
      </x:c>
      <x:c r="H169" s="27" t="str">
        <x:v>The Oversmoothing Fallacy: A Misguided Narrative in GNN Research</x:v>
      </x:c>
      <x:c r="I169" s="17" t="str">
        <x:v>MoonJeong Park; Sunghyun Choi; Jaeseung Heo; Eunhyeok Park; Dongwoo Kim</x:v>
      </x:c>
      <x:c r="J169" s="22" t="n">
        <x:v>2025</x:v>
      </x:c>
      <x:c r="K169" s="27" t="str">
        <x:v>Oversmoothing has been recognized as a main obstacle to building deep Graph Neural Networks (GNNs), limiting the performance. This position paper argues that the influence of oversmoothing has been overstated and advocates for a further exploration of deep GNN architectures. Given the three core operations of GNNs, aggregation, linear transformation, and non-linear activation, we show that prior studies have mistakenly confused oversmoothing with the vanishing gradient, caused by transformation and activation rather than aggregation. Our finding challenges prior beliefs about oversmoothing being unique to GNNs. Furthermore, we demonstrate that classical solutions such as skip connections and normalization enable the successful stacking of deep GNN layers without performance degradation. Our results clarify misconceptions about oversmoothing and shed new light on the potential of deep GNNs.</x:v>
      </x:c>
      <x:c r="L169" s="17" t="str">
        <x:v>http://arxiv.org/abs/2506.04653v1</x:v>
      </x:c>
      <x:c r="M169" s="23" t="n">
        <x:v>0.031009615384615385</x:v>
      </x:c>
      <x:c r="N169" s="17" t="str">
        <x:v>arxiv-paper-eval-20260727-105551-results.jsonl</x:v>
      </x:c>
      <x:c r="O169" s="24" t="str">
        <x:v>2</x:v>
      </x:c>
      <x:c r="P169" s="28" t="str">
        <x:v>挑战过平滑主流解释，将问题归因梯度消失并验证跳连和归一化。</x:v>
      </x:c>
      <x:c r="Q169" s="25" t="str"/>
      <x:c r="R169" s="24" t="str">
        <x:f>IF(Q169&lt;&gt;"",Q169,O169)</x:f>
        <x:v>2</x:v>
      </x:c>
      <x:c r="S169" s="29" t="str"/>
    </x:row>
    <x:row r="170" ht="54" customHeight="1">
      <x:c r="A170" s="17" t="str">
        <x:v>csq009-r09</x:v>
      </x:c>
      <x:c r="B170" s="17" t="str">
        <x:v>csq009</x:v>
      </x:c>
      <x:c r="C170" s="17" t="str">
        <x:v>machine_learning</x:v>
      </x:c>
      <x:c r="D170" s="17" t="str">
        <x:v>graph_neural_networks</x:v>
      </x:c>
      <x:c r="E170" s="27" t="str">
        <x:v>What causes over-smoothing and over-squashing in graph neural networks, and which mitigation methods are supported by empirical and theoretical research?</x:v>
      </x:c>
      <x:c r="F170" s="22" t="n">
        <x:v>9</x:v>
      </x:c>
      <x:c r="G170" s="17" t="str">
        <x:v>arXiv:2506.16110</x:v>
      </x:c>
      <x:c r="H170" s="27" t="str">
        <x:v>Mitigating Over-Squashing in Graph Neural Networks by Spectrum-Preserving Sparsification</x:v>
      </x:c>
      <x:c r="I170" s="17" t="str">
        <x:v>Langzhang Liang; Fanchen Bu; Zixing Song; Zenglin Xu; Shirui Pan; Kijung Shin</x:v>
      </x:c>
      <x:c r="J170" s="22" t="n">
        <x:v>2025</x:v>
      </x:c>
      <x:c r="K170" s="27" t="str">
        <x:v>The message-passing paradigm of Graph Neural Networks often struggles with exchanging information across distant nodes typically due to structural bottlenecks in certain graph regions, a limitation known as \textit{over-squashing}. To reduce such bottlenecks, \textit{graph rewiring}, which modifies graph topology, has been widely used. However, existing graph rewiring techniques often overlook the need to preserve critical properties of the original graph, e.g., \textit{spectral properties}. Moreover, many approaches rely on increasing edge count to improve connectivity, which introduces significant computational overhead and exacerbates the risk of over-smoothing. In this paper, we propose a novel graph rewiring method that leverages \textit{spectrum-preserving} graph \textit{sparsification}, for mitigating over-squashing. Our method generates graphs with enhanced connectivity while maintaining sparsity and largely preserving the original graph spectrum, effectively balancing structural bottleneck reduction and graph property preservation. Experimental results validate the effectiveness of our approach, demonstrating its superiority over strong baseline methods in classification accuracy and retention of the Laplacian spectrum.</x:v>
      </x:c>
      <x:c r="L170" s="17" t="str">
        <x:v>http://arxiv.org/abs/2506.16110v1</x:v>
      </x:c>
      <x:c r="M170" s="23" t="n">
        <x:v>0.03055037313432836</x:v>
      </x:c>
      <x:c r="N170" s="17" t="str">
        <x:v>arxiv-paper-eval-20260727-105551-results.jsonl</x:v>
      </x:c>
      <x:c r="O170" s="24" t="str">
        <x:v>2</x:v>
      </x:c>
      <x:c r="P170" s="28" t="str">
        <x:v>以保持谱的稀疏化重连平衡过挤压、过平滑和计算开销。</x:v>
      </x:c>
      <x:c r="Q170" s="25" t="str"/>
      <x:c r="R170" s="24" t="str">
        <x:f>IF(Q170&lt;&gt;"",Q170,O170)</x:f>
        <x:v>2</x:v>
      </x:c>
      <x:c r="S170" s="29" t="str"/>
    </x:row>
    <x:row r="171" ht="54" customHeight="1">
      <x:c r="A171" s="17" t="str">
        <x:v>csq009-r10</x:v>
      </x:c>
      <x:c r="B171" s="17" t="str">
        <x:v>csq009</x:v>
      </x:c>
      <x:c r="C171" s="17" t="str">
        <x:v>machine_learning</x:v>
      </x:c>
      <x:c r="D171" s="17" t="str">
        <x:v>graph_neural_networks</x:v>
      </x:c>
      <x:c r="E171" s="27" t="str">
        <x:v>What causes over-smoothing and over-squashing in graph neural networks, and which mitigation methods are supported by empirical and theoretical research?</x:v>
      </x:c>
      <x:c r="F171" s="22" t="n">
        <x:v>10</x:v>
      </x:c>
      <x:c r="G171" s="17" t="str">
        <x:v>arXiv:2508.20597</x:v>
      </x:c>
      <x:c r="H171" s="27" t="str">
        <x:v>Local Virtual Nodes for Alleviating Over-Squashing in Graph Neural Networks</x:v>
      </x:c>
      <x:c r="I171" s="17" t="str">
        <x:v>Tuğrul Hasan Karabulut; İnci M. Baytaş</x:v>
      </x:c>
      <x:c r="J171" s="22" t="n">
        <x:v>2025</x:v>
      </x:c>
      <x:c r="K171" s="27" t="str">
        <x:v>Over-squashing is a challenge in training graph neural networks for tasks involving long-range dependencies. In such tasks, a GNN's receptive field should be large enough to enable communication between distant nodes. However, gathering information from a wide range of neighborhoods and squashing its content into fixed-size node representations makes message-passing vulnerable to bottlenecks. Graph rewiring and adding virtual nodes are commonly studied remedies that create additional pathways around bottlenecks to mitigate over-squashing. However, these techniques alter the input graph's global topology and disrupt the domain knowledge encoded in the original graph structure, both of which could be essential to specific tasks and domains. This study presents Local Virtual Nodes (LVN) with trainable embeddings to alleviate the effects of over-squashing without significantly corrupting the global structure of the input graph. The position of the LVNs is determined by the node centrality, which indicates the existence of potential bottlenecks. Thus, the proposed approach aims to improve the connectivity in the regions with likely bottlenecks. Furthermore, trainable LVN embeddings shared across selected central regions facilitate communication between distant nodes without adding more layers. Extensive experiments on benchmark datasets demonstrate that LVNs can enhance structural connectivity and significantly improve performance on graph and node classification tasks. The code can be found at https://github.com/ALLab-Boun/LVN/}{https://github.com/ALLab-Boun/LVN/.</x:v>
      </x:c>
      <x:c r="L171" s="17" t="str">
        <x:v>http://arxiv.org/abs/2508.20597v1</x:v>
      </x:c>
      <x:c r="M171" s="23" t="n">
        <x:v>0.030330882352941176</x:v>
      </x:c>
      <x:c r="N171" s="17" t="str">
        <x:v>arxiv-paper-eval-20260727-105551-results.jsonl</x:v>
      </x:c>
      <x:c r="O171" s="24" t="str">
        <x:v>2</x:v>
      </x:c>
      <x:c r="P171" s="28" t="str">
        <x:v>以局部虚拟节点绕过结构瓶颈并实证改善图与节点分类。</x:v>
      </x:c>
      <x:c r="Q171" s="25" t="str"/>
      <x:c r="R171" s="24" t="str">
        <x:f>IF(Q171&lt;&gt;"",Q171,O171)</x:f>
        <x:v>2</x:v>
      </x:c>
      <x:c r="S171" s="29" t="str"/>
    </x:row>
    <x:row r="172" ht="54" customHeight="1">
      <x:c r="A172" s="17" t="str">
        <x:v>csq009-r11</x:v>
      </x:c>
      <x:c r="B172" s="17" t="str">
        <x:v>csq009</x:v>
      </x:c>
      <x:c r="C172" s="17" t="str">
        <x:v>machine_learning</x:v>
      </x:c>
      <x:c r="D172" s="17" t="str">
        <x:v>graph_neural_networks</x:v>
      </x:c>
      <x:c r="E172" s="27" t="str">
        <x:v>What causes over-smoothing and over-squashing in graph neural networks, and which mitigation methods are supported by empirical and theoretical research?</x:v>
      </x:c>
      <x:c r="F172" s="22" t="n">
        <x:v>11</x:v>
      </x:c>
      <x:c r="G172" s="17" t="str">
        <x:v>arXiv:2406.02269</x:v>
      </x:c>
      <x:c r="H172" s="27" t="str">
        <x:v>Graph Neural Networks Do Not Always Oversmooth</x:v>
      </x:c>
      <x:c r="I172" s="17" t="str">
        <x:v>Bastian Epping; Alexandre René; Moritz Helias; Michael T. Schaub</x:v>
      </x:c>
      <x:c r="J172" s="22" t="n">
        <x:v>2024</x:v>
      </x:c>
      <x:c r="K172" s="27" t="str">
        <x:v>Graph neural networks (GNNs) have emerged as powerful tools for processing relational data in applications. However, GNNs suffer from the problem of oversmoothing, the property that the features of all nodes exponentially converge to the same vector over layers, prohibiting the design of deep GNNs. In this work we study oversmoothing in graph convolutional networks (GCNs) by using their Gaussian process (GP) equivalence in the limit of infinitely many hidden features. By generalizing methods from conventional deep neural networks (DNNs), we can describe the distribution of features at the output layer of deep GCNs in terms of a GP: as expected, we find that typical parameter choices from the literature lead to oversmoothing. The theory, however, allows us to identify a new, non-oversmoothing phase: if the initial weights of the network have sufficiently large variance, GCNs do not oversmooth, and node features remain informative even at large depth. We demonstrate the validity of this prediction in finite-size GCNs by training a linear classifier on their output. Moreover, using the linearization of the GCN GP, we generalize the concept of propagation depth of information from DNNs to GCNs. This propagation depth diverges at the transition between the oversmoothing and non-oversmoothing phase. We test the predictions of our approach and find good agreement with finite-size GCNs. Initializing GCNs near the transition to the non-oversmoothing phase, we obtain networks which are both deep and expressive.</x:v>
      </x:c>
      <x:c r="L172" s="17" t="str">
        <x:v>http://arxiv.org/abs/2406.02269v2</x:v>
      </x:c>
      <x:c r="M172" s="23" t="n">
        <x:v>0.03007688828584351</x:v>
      </x:c>
      <x:c r="N172" s="17" t="str">
        <x:v>arxiv-paper-eval-20260727-105551-results.jsonl</x:v>
      </x:c>
      <x:c r="O172" s="24" t="str">
        <x:v>2</x:v>
      </x:c>
      <x:c r="P172" s="28" t="str">
        <x:v>高斯过程理论发现非过平滑相位并以权重初始化实现深层表达。</x:v>
      </x:c>
      <x:c r="Q172" s="25" t="str"/>
      <x:c r="R172" s="24" t="str">
        <x:f>IF(Q172&lt;&gt;"",Q172,O172)</x:f>
        <x:v>2</x:v>
      </x:c>
      <x:c r="S172" s="29" t="str"/>
    </x:row>
    <x:row r="173" ht="54" customHeight="1">
      <x:c r="A173" s="17" t="str">
        <x:v>csq009-r12</x:v>
      </x:c>
      <x:c r="B173" s="17" t="str">
        <x:v>csq009</x:v>
      </x:c>
      <x:c r="C173" s="17" t="str">
        <x:v>machine_learning</x:v>
      </x:c>
      <x:c r="D173" s="17" t="str">
        <x:v>graph_neural_networks</x:v>
      </x:c>
      <x:c r="E173" s="27" t="str">
        <x:v>What causes over-smoothing and over-squashing in graph neural networks, and which mitigation methods are supported by empirical and theoretical research?</x:v>
      </x:c>
      <x:c r="F173" s="22" t="n">
        <x:v>12</x:v>
      </x:c>
      <x:c r="G173" s="17" t="str">
        <x:v>arXiv:2508.09265</x:v>
      </x:c>
      <x:c r="H173" s="27" t="str">
        <x:v>Over-Squashing in GNNs and Causal Inference of Rewiring Strategies</x:v>
      </x:c>
      <x:c r="I173" s="17" t="str">
        <x:v>Danial Saber; Amirali Salehi-Abari</x:v>
      </x:c>
      <x:c r="J173" s="22" t="n">
        <x:v>2025</x:v>
      </x:c>
      <x:c r="K173" s="27" t="str">
        <x:v>Graph neural networks (GNNs) have exhibited state-of-the-art performance across wide-range of domains such as recommender systems, material design, and drug repurposing. Yet message-passing GNNs suffer from over-squashing -- exponential compression of long-range information from distant nodes -- which limits expressivity. Rewiring techniques can ease this bottleneck; but their practical impacts are unclear due to the lack of a direct empirical over-squashing metric. We propose a rigorous, topology-focused method for assessing over-squashing between node pairs using the decay rate of their mutual sensitivity. We then extend these pairwise assessments to four graph-level statistics (prevalence, intensity, variability, extremity). Coupling these metrics with a within-graph causal design, we quantify how rewiring strategies affect over-squashing on diverse graph- and node-classification benchmarks. Our extensive empirical analyses show that most graph classification datasets suffer from over-squashing (but to various extents), and rewiring effectively mitigates it -- though the degree of mitigation, and its translation into performance gains, varies by dataset and method. We also found that over-squashing is less notable in node classification datasets, where rewiring often increases over-squashing, and performance variations are uncorrelated with over-squashing changes. These findings suggest that rewiring is most beneficial when over-squashing is both substantial and corrected with restraint -- while overly aggressive rewiring, or rewiring applied to minimally over-squashed graphs, is unlikely to help and may even harm performance. Our plug-and-play diagnostic tool lets practitioners decide -- before any training -- whether rewiring is likely to pay off.</x:v>
      </x:c>
      <x:c r="L173" s="17" t="str">
        <x:v>http://arxiv.org/abs/2508.09265v1</x:v>
      </x:c>
      <x:c r="M173" s="23" t="n">
        <x:v>0.029857397504456328</x:v>
      </x:c>
      <x:c r="N173" s="17" t="str">
        <x:v>arxiv-paper-eval-20260727-105551-results.jsonl</x:v>
      </x:c>
      <x:c r="O173" s="24" t="str">
        <x:v>2</x:v>
      </x:c>
      <x:c r="P173" s="28" t="str">
        <x:v>提出过挤压直接指标并用因果协议揭示重连收益和反效果条件。</x:v>
      </x:c>
      <x:c r="Q173" s="25" t="str"/>
      <x:c r="R173" s="24" t="str">
        <x:f>IF(Q173&lt;&gt;"",Q173,O173)</x:f>
        <x:v>2</x:v>
      </x:c>
      <x:c r="S173" s="29" t="str"/>
    </x:row>
    <x:row r="174" ht="54" customHeight="1">
      <x:c r="A174" s="17" t="str">
        <x:v>csq009-r13</x:v>
      </x:c>
      <x:c r="B174" s="17" t="str">
        <x:v>csq009</x:v>
      </x:c>
      <x:c r="C174" s="17" t="str">
        <x:v>machine_learning</x:v>
      </x:c>
      <x:c r="D174" s="17" t="str">
        <x:v>graph_neural_networks</x:v>
      </x:c>
      <x:c r="E174" s="27" t="str">
        <x:v>What causes over-smoothing and over-squashing in graph neural networks, and which mitigation methods are supported by empirical and theoretical research?</x:v>
      </x:c>
      <x:c r="F174" s="22" t="n">
        <x:v>13</x:v>
      </x:c>
      <x:c r="G174" s="17" t="str">
        <x:v>arXiv:2410.23830</x:v>
      </x:c>
      <x:c r="H174" s="27" t="str">
        <x:v>Reducing Oversmoothing through Informed Weight Initialization in Graph Neural Networks</x:v>
      </x:c>
      <x:c r="I174" s="17" t="str">
        <x:v>Dimitrios Kelesis; Dimitris Fotakis; Georgios Paliouras</x:v>
      </x:c>
      <x:c r="J174" s="22" t="n">
        <x:v>2024</x:v>
      </x:c>
      <x:c r="K174" s="27" t="str">
        <x:v>In this work, we generalize the ideas of Kaiming initialization to Graph Neural Networks (GNNs) and propose a new scheme (G-Init) that reduces oversmoothing, leading to very good results in node and graph classification tasks. GNNs are commonly initialized using methods designed for other types of Neural Networks, overlooking the underlying graph topology. We analyze theoretically the variance of signals flowing forward and gradients flowing backward in the class of convolutional GNNs. We then simplify our analysis to the case of the GCN and propose a new initialization method. Our results indicate that the new method (G-Init) reduces oversmoothing in deep GNNs, facilitating their effective use. Experimental validation supports our theoretical findings, demonstrating the advantages of deep networks in scenarios with no feature information for unlabeled nodes (i.e., ``cold start'' scenario).</x:v>
      </x:c>
      <x:c r="L174" s="17" t="str">
        <x:v>http://arxiv.org/abs/2410.23830v1</x:v>
      </x:c>
      <x:c r="M174" s="23" t="n">
        <x:v>0.028985507246376812</x:v>
      </x:c>
      <x:c r="N174" s="17" t="str">
        <x:v>arxiv-paper-eval-20260727-105551-results.jsonl</x:v>
      </x:c>
      <x:c r="O174" s="24" t="str">
        <x:v>2</x:v>
      </x:c>
      <x:c r="P174" s="28" t="str">
        <x:v>理论推导图感知初始化并实证其减少深层GNN过平滑。</x:v>
      </x:c>
      <x:c r="Q174" s="25" t="str"/>
      <x:c r="R174" s="24" t="str">
        <x:f>IF(Q174&lt;&gt;"",Q174,O174)</x:f>
        <x:v>2</x:v>
      </x:c>
      <x:c r="S174" s="29" t="str"/>
    </x:row>
    <x:row r="175" ht="54" customHeight="1">
      <x:c r="A175" s="17" t="str">
        <x:v>csq009-r14</x:v>
      </x:c>
      <x:c r="B175" s="17" t="str">
        <x:v>csq009</x:v>
      </x:c>
      <x:c r="C175" s="17" t="str">
        <x:v>machine_learning</x:v>
      </x:c>
      <x:c r="D175" s="17" t="str">
        <x:v>graph_neural_networks</x:v>
      </x:c>
      <x:c r="E175" s="27" t="str">
        <x:v>What causes over-smoothing and over-squashing in graph neural networks, and which mitigation methods are supported by empirical and theoretical research?</x:v>
      </x:c>
      <x:c r="F175" s="22" t="n">
        <x:v>14</x:v>
      </x:c>
      <x:c r="G175" s="17" t="str">
        <x:v>arXiv:2412.07243</x:v>
      </x:c>
      <x:c r="H175" s="27" t="str">
        <x:v>A Dynamical Systems-Inspired Pruning Strategy for Addressing Oversmoothing in Graph Neural Networks</x:v>
      </x:c>
      <x:c r="I175" s="17" t="str">
        <x:v>Biswadeep Chakraborty; Harshit Kumar; Saibal Mukhopadhyay</x:v>
      </x:c>
      <x:c r="J175" s="22" t="n">
        <x:v>2024</x:v>
      </x:c>
      <x:c r="K175" s="27" t="str">
        <x:v>Oversmoothing in Graph Neural Networks (GNNs) poses a significant challenge as network depth increases, leading to homogenized node representations and a loss of expressiveness. In this work, we approach the oversmoothing problem from a dynamical systems perspective, providing a deeper understanding of the stability and convergence behavior of GNNs. Leveraging insights from dynamical systems theory, we identify the root causes of oversmoothing and propose \textbf{\textit{DYNAMO-GAT}}. This approach utilizes noise-driven covariance analysis and Anti-Hebbian principles to selectively prune redundant attention weights, dynamically adjusting the network's behavior to maintain node feature diversity and stability. Our theoretical analysis reveals how DYNAMO-GAT disrupts the convergence to oversmoothed states, while experimental results on benchmark datasets demonstrate its superior performance and efficiency compared to traditional and state-of-the-art methods. DYNAMO-GAT not only advances the theoretical understanding of oversmoothing through the lens of dynamical systems but also provides a practical and effective solution for improving the stability and expressiveness of deep GNNs.</x:v>
      </x:c>
      <x:c r="L175" s="17" t="str">
        <x:v>http://arxiv.org/abs/2412.07243v1</x:v>
      </x:c>
      <x:c r="M175" s="23" t="n">
        <x:v>0.028404512489927477</x:v>
      </x:c>
      <x:c r="N175" s="17" t="str">
        <x:v>arxiv-paper-eval-20260727-105551-results.jsonl</x:v>
      </x:c>
      <x:c r="O175" s="24" t="str">
        <x:v>2</x:v>
      </x:c>
      <x:c r="P175" s="28" t="str">
        <x:v>从动力系统解释过平滑并以反Hebbian注意力剪枝打破收敛。</x:v>
      </x:c>
      <x:c r="Q175" s="25" t="str"/>
      <x:c r="R175" s="24" t="str">
        <x:f>IF(Q175&lt;&gt;"",Q175,O175)</x:f>
        <x:v>2</x:v>
      </x:c>
      <x:c r="S175" s="29" t="str"/>
    </x:row>
    <x:row r="176" ht="54" customHeight="1">
      <x:c r="A176" s="17" t="str">
        <x:v>csq009-r15</x:v>
      </x:c>
      <x:c r="B176" s="17" t="str">
        <x:v>csq009</x:v>
      </x:c>
      <x:c r="C176" s="17" t="str">
        <x:v>machine_learning</x:v>
      </x:c>
      <x:c r="D176" s="17" t="str">
        <x:v>graph_neural_networks</x:v>
      </x:c>
      <x:c r="E176" s="27" t="str">
        <x:v>What causes over-smoothing and over-squashing in graph neural networks, and which mitigation methods are supported by empirical and theoretical research?</x:v>
      </x:c>
      <x:c r="F176" s="22" t="n">
        <x:v>15</x:v>
      </x:c>
      <x:c r="G176" s="17" t="str">
        <x:v>arXiv:2509.06777</x:v>
      </x:c>
      <x:c r="H176" s="27" t="str">
        <x:v>Asynchronous Message Passing for Addressing Oversquashing in Graph Neural Networks</x:v>
      </x:c>
      <x:c r="I176" s="17" t="str">
        <x:v>Kushal Bose; Swagatam Das</x:v>
      </x:c>
      <x:c r="J176" s="22" t="n">
        <x:v>2025</x:v>
      </x:c>
      <x:c r="K176" s="27" t="str">
        <x:v>Graph Neural Networks (GNNs) suffer from Oversquashing, which occurs when tasks require long-range interactions. The problem arises from the presence of bottlenecks that limit the propagation of messages among distant nodes. Recently, graph rewiring methods modify edge connectivity and are expected to perform well on long-range tasks. Yet, graph rewiring compromises the inductive bias, incurring significant information loss in solving the downstream task. Furthermore, increasing channel capacity may overcome information bottlenecks but enhance the parameter complexity of the model. To alleviate these shortcomings, we propose an efficient model-agnostic framework that asynchronously updates node features, unlike traditional synchronous message passing GNNs. Our framework creates node batches in every layer based on the node centrality values. The features of the nodes belonging to these batches will only get updated. Asynchronous message updates process information sequentially across layers, avoiding simultaneous compression into fixed-capacity channels. We also theoretically establish that our proposed framework maintains higher feature sensitivity bounds compared to standard synchronous approaches. Our framework is applied to six standard graph datasets and two long-range datasets to perform graph classification and achieves impressive performances with a $5\%$ and $4\%$ improvements on REDDIT-BINARY and Peptides-struct, respectively.</x:v>
      </x:c>
      <x:c r="L176" s="17" t="str">
        <x:v>http://arxiv.org/abs/2509.06777v1</x:v>
      </x:c>
      <x:c r="M176" s="23" t="n">
        <x:v>0.027984344422700584</x:v>
      </x:c>
      <x:c r="N176" s="17" t="str">
        <x:v>arxiv-paper-eval-20260727-105551-results.jsonl</x:v>
      </x:c>
      <x:c r="O176" s="24" t="str">
        <x:v>2</x:v>
      </x:c>
      <x:c r="P176" s="28" t="str">
        <x:v>异步消息更新避免固定通道同时压缩，具敏感度理论界和实证提升。</x:v>
      </x:c>
      <x:c r="Q176" s="25" t="str"/>
      <x:c r="R176" s="24" t="str">
        <x:f>IF(Q176&lt;&gt;"",Q176,O176)</x:f>
        <x:v>2</x:v>
      </x:c>
      <x:c r="S176" s="29" t="str"/>
    </x:row>
    <x:row r="177" ht="54" customHeight="1">
      <x:c r="A177" s="17" t="str">
        <x:v>csq009-r16</x:v>
      </x:c>
      <x:c r="B177" s="17" t="str">
        <x:v>csq009</x:v>
      </x:c>
      <x:c r="C177" s="17" t="str">
        <x:v>machine_learning</x:v>
      </x:c>
      <x:c r="D177" s="17" t="str">
        <x:v>graph_neural_networks</x:v>
      </x:c>
      <x:c r="E177" s="27" t="str">
        <x:v>What causes over-smoothing and over-squashing in graph neural networks, and which mitigation methods are supported by empirical and theoretical research?</x:v>
      </x:c>
      <x:c r="F177" s="22" t="n">
        <x:v>16</x:v>
      </x:c>
      <x:c r="G177" s="17" t="str">
        <x:v>arXiv:2211.06605</x:v>
      </x:c>
      <x:c r="H177" s="27" t="str">
        <x:v>Comprehensive Analysis of Over-smoothing in Graph Neural Networks from Markov Chains Perspective</x:v>
      </x:c>
      <x:c r="I177" s="17" t="str">
        <x:v>Weichen Zhao; Chenguang Wang; Congying Han; Tiande Guo</x:v>
      </x:c>
      <x:c r="J177" s="22" t="n">
        <x:v>2022</x:v>
      </x:c>
      <x:c r="K177" s="27" t="str">
        <x:v>The over-smoothing problem is an obstacle of developing deep graph neural network (GNN). Although many approaches to improve the over-smoothing problem have been proposed, there is still a lack of comprehensive understanding and conclusion of this problem. In this work, we analyze the over-smoothing problem from the Markov chain perspective. We focus on message passing of GNN and first establish a connection between GNNs and Markov chains on the graph. GNNs are divided into two classes of operator-consistent and operator-inconsistent based on whether the corresponding Markov chains are time-homogeneous. Next we attribute the over-smoothing problem to the convergence of an arbitrary initial distribution to a stationary distribution. Based on this, we prove that although the previously proposed methods can alleviate over-smoothing, but these methods cannot avoid the over-smoothing problem. In addition, we give the conclusion of the over-smoothing problem in two types of GNNs in the Markovian sense. On the one hand, operator-consistent GNN cannot avoid over-smoothing at an exponential rate. On the other hand, operator-inconsistent GNN is not always over-smoothing. Further, we investigate the existence of the limiting distribution of the time-inhomogeneous Markov chain, from which we derive a sufficient condition for operator-inconsistent GNN to avoid over-smoothing. Finally, we design experiments to verify our findings. Results show that our proposed sufficient condition can effectively improve over-smoothing problem in operator-inconsistent GNN and enhance the performance of the model.</x:v>
      </x:c>
      <x:c r="L177" s="17" t="str">
        <x:v>http://arxiv.org/abs/2211.06605v2</x:v>
      </x:c>
      <x:c r="M177" s="23" t="n">
        <x:v>0.027799227799227798</x:v>
      </x:c>
      <x:c r="N177" s="17" t="str">
        <x:v>arxiv-paper-eval-20260727-105551-results.jsonl</x:v>
      </x:c>
      <x:c r="O177" s="24" t="str">
        <x:v>2</x:v>
      </x:c>
      <x:c r="P177" s="28" t="str">
        <x:v>以马尔可夫链收敛解释过平滑并给出避免条件与实验验证。</x:v>
      </x:c>
      <x:c r="Q177" s="25" t="str"/>
      <x:c r="R177" s="24" t="str">
        <x:f>IF(Q177&lt;&gt;"",Q177,O177)</x:f>
        <x:v>2</x:v>
      </x:c>
      <x:c r="S177" s="29" t="str"/>
    </x:row>
    <x:row r="178" ht="54" customHeight="1">
      <x:c r="A178" s="17" t="str">
        <x:v>csq009-r17</x:v>
      </x:c>
      <x:c r="B178" s="17" t="str">
        <x:v>csq009</x:v>
      </x:c>
      <x:c r="C178" s="17" t="str">
        <x:v>machine_learning</x:v>
      </x:c>
      <x:c r="D178" s="17" t="str">
        <x:v>graph_neural_networks</x:v>
      </x:c>
      <x:c r="E178" s="27" t="str">
        <x:v>What causes over-smoothing and over-squashing in graph neural networks, and which mitigation methods are supported by empirical and theoretical research?</x:v>
      </x:c>
      <x:c r="F178" s="22" t="n">
        <x:v>17</x:v>
      </x:c>
      <x:c r="G178" s="17" t="str">
        <x:v>arXiv:2511.12709</x:v>
      </x:c>
      <x:c r="H178" s="27" t="str">
        <x:v>Adaptive Graph Rewiring to Mitigate Over-Squashing in Mesh-Based GNNs for Fluid Dynamics Simulations</x:v>
      </x:c>
      <x:c r="I178" s="17" t="str">
        <x:v>Sangwoo Seo; Hyunsung Kim; Jiwan Kim; Chanyoung Park</x:v>
      </x:c>
      <x:c r="J178" s="22" t="n">
        <x:v>2025</x:v>
      </x:c>
      <x:c r="K178" s="27" t="str">
        <x:v>Mesh-based simulation using Graph Neural Networks (GNNs) has been recognized as a promising approach for modeling fluid dynamics. However, the mesh refinement techniques which allocate finer resolution to regions with steep gradients can induce the over-squashing problem in mesh-based GNNs, which prevents the capture of long-range physical interactions. Conventional graph rewiring methods attempt to alleviate this issue by adding new edges, but they typically complete all rewiring operations before applying them to the GNN. These approaches are physically unrealistic, as they assume instantaneous interactions between distant nodes and disregard the distance information between particles. To address these limitations, we propose a novel framework, called Adaptive Graph Rewiring in Mesh-Based Graph Neural Networks (AdaMeshNet), that introduces an adaptive rewiring process into the message-passing procedure to model the gradual propagation of physical interactions. Our method computes a rewiring delay score for bottleneck nodes in the mesh graph, based on the shortest-path distance and the velocity difference. Using this score, it dynamically selects the message-passing layer at which new edges are rewired, which can lead to adaptive rewiring in a mesh graph. Extensive experiments on mesh-based fluid simulations demonstrate that AdaMeshNet outperforms conventional rewiring methods, effectively modeling the sequential nature of physical interactions and enabling more accurate predictions.</x:v>
      </x:c>
      <x:c r="L178" s="17" t="str">
        <x:v>http://arxiv.org/abs/2511.12709v1</x:v>
      </x:c>
      <x:c r="M178" s="23" t="n">
        <x:v>0.027402402402402402</x:v>
      </x:c>
      <x:c r="N178" s="17" t="str">
        <x:v>arxiv-paper-eval-20260727-105551-results.jsonl</x:v>
      </x:c>
      <x:c r="O178" s="24" t="str">
        <x:v>2</x:v>
      </x:c>
      <x:c r="P178" s="28" t="str">
        <x:v>针对网格结构瓶颈提出延迟感知自适应重连并在流体任务验证。</x:v>
      </x:c>
      <x:c r="Q178" s="25" t="str"/>
      <x:c r="R178" s="24" t="str">
        <x:f>IF(Q178&lt;&gt;"",Q178,O178)</x:f>
        <x:v>2</x:v>
      </x:c>
      <x:c r="S178" s="29" t="str"/>
    </x:row>
    <x:row r="179" ht="54" customHeight="1">
      <x:c r="A179" s="17" t="str">
        <x:v>csq009-r18</x:v>
      </x:c>
      <x:c r="B179" s="17" t="str">
        <x:v>csq009</x:v>
      </x:c>
      <x:c r="C179" s="17" t="str">
        <x:v>machine_learning</x:v>
      </x:c>
      <x:c r="D179" s="17" t="str">
        <x:v>graph_neural_networks</x:v>
      </x:c>
      <x:c r="E179" s="27" t="str">
        <x:v>What causes over-smoothing and over-squashing in graph neural networks, and which mitigation methods are supported by empirical and theoretical research?</x:v>
      </x:c>
      <x:c r="F179" s="22" t="n">
        <x:v>18</x:v>
      </x:c>
      <x:c r="G179" s="17" t="str">
        <x:v>arXiv:2511.06443</x:v>
      </x:c>
      <x:c r="H179" s="27" t="str">
        <x:v>How Wide and How Deep? Mitigating Over-Squashing of GNNs via Channel Capacity Constrained Estimation</x:v>
      </x:c>
      <x:c r="I179" s="17" t="str">
        <x:v>Zinuo You; Jin Zheng; John Cartlidge</x:v>
      </x:c>
      <x:c r="J179" s="22" t="n">
        <x:v>2025</x:v>
      </x:c>
      <x:c r="K179" s="27" t="str">
        <x:v>Existing graph neural networks typically rely on heuristic choices for hidden dimensions and propagation depths, which often lead to severe information loss during propagation, known as over-squashing. To address this issue, we propose Channel Capacity Constrained Estimation (C3E), a novel framework that formulates the selection of hidden dimensions and depth as a nonlinear programming problem grounded in information theory. Through modeling spectral graph neural networks as communication channels, our approach directly connects channel capacity to hidden dimensions, propagation depth, propagation mechanism, and graph structure. Extensive experiments on nine public datasets demonstrate that hidden dimensions and depths estimated by C3E can mitigate over-squashing and consistently improve representation learning. Experimental results show that over-squashing occurs due to the cumulative compression of information in representation matrices. Furthermore, our findings show that increasing hidden dimensions indeed mitigate information compression, while the role of propagation depth is more nuanced, uncovering a fundamental balance between information compression and representation complexity.</x:v>
      </x:c>
      <x:c r="L179" s="17" t="str">
        <x:v>http://arxiv.org/abs/2511.06443v1</x:v>
      </x:c>
      <x:c r="M179" s="23" t="n">
        <x:v>0.027222222222222224</x:v>
      </x:c>
      <x:c r="N179" s="17" t="str">
        <x:v>arxiv-paper-eval-20260727-105551-results.jsonl</x:v>
      </x:c>
      <x:c r="O179" s="24" t="str">
        <x:v>2</x:v>
      </x:c>
      <x:c r="P179" s="28" t="str">
        <x:v>以信息论通道容量解释累积压缩并联合选择宽度和深度缓解。</x:v>
      </x:c>
      <x:c r="Q179" s="25" t="str"/>
      <x:c r="R179" s="24" t="str">
        <x:f>IF(Q179&lt;&gt;"",Q179,O179)</x:f>
        <x:v>2</x:v>
      </x:c>
      <x:c r="S179" s="29" t="str"/>
    </x:row>
    <x:row r="180" ht="54" customHeight="1">
      <x:c r="A180" s="17" t="str">
        <x:v>csq009-r19</x:v>
      </x:c>
      <x:c r="B180" s="17" t="str">
        <x:v>csq009</x:v>
      </x:c>
      <x:c r="C180" s="17" t="str">
        <x:v>machine_learning</x:v>
      </x:c>
      <x:c r="D180" s="17" t="str">
        <x:v>graph_neural_networks</x:v>
      </x:c>
      <x:c r="E180" s="27" t="str">
        <x:v>What causes over-smoothing and over-squashing in graph neural networks, and which mitigation methods are supported by empirical and theoretical research?</x:v>
      </x:c>
      <x:c r="F180" s="22" t="n">
        <x:v>19</x:v>
      </x:c>
      <x:c r="G180" s="17" t="str">
        <x:v>arXiv:2501.00762</x:v>
      </x:c>
      <x:c r="H180" s="27" t="str">
        <x:v>Residual connections provably mitigate oversmoothing in graph neural networks</x:v>
      </x:c>
      <x:c r="I180" s="17" t="str">
        <x:v>Ziang Chen; Zhengjiang Lin; Shi Chen; Yury Polyanskiy; Philippe Rigollet</x:v>
      </x:c>
      <x:c r="J180" s="22" t="n">
        <x:v>2025</x:v>
      </x:c>
      <x:c r="K180" s="27" t="str">
        <x:v>Graph neural networks (GNNs) have achieved remarkable empirical success in processing and representing graph-structured data across various domains. However, a significant challenge known as "oversmoothing" persists, where vertex features become nearly indistinguishable in deep GNNs, severely restricting their expressive power and practical utility. In this work, we analyze the asymptotic oversmoothing rates of deep GNNs with and without residual connections by deriving explicit convergence rates for a normalized vertex similarity measure. Our analytical framework is grounded in the multiplicative ergodic theorem. Furthermore, we demonstrate that adding residual connections effectively mitigates or prevents oversmoothing across several broad families of parameter distributions. The theoretical findings are strongly supported by numerical experiments.</x:v>
      </x:c>
      <x:c r="L180" s="17" t="str">
        <x:v>http://arxiv.org/abs/2501.00762v2</x:v>
      </x:c>
      <x:c r="M180" s="23" t="n">
        <x:v>0.01639344262295082</x:v>
      </x:c>
      <x:c r="N180" s="17" t="str">
        <x:v>arxiv-paper-eval-20260727-105551-results.jsonl</x:v>
      </x:c>
      <x:c r="O180" s="24" t="str">
        <x:v>2</x:v>
      </x:c>
      <x:c r="P180" s="28" t="str">
        <x:v>推导残差连接降低过平滑收敛率的理论并以数值实验支持。</x:v>
      </x:c>
      <x:c r="Q180" s="25" t="str"/>
      <x:c r="R180" s="24" t="str">
        <x:f>IF(Q180&lt;&gt;"",Q180,O180)</x:f>
        <x:v>2</x:v>
      </x:c>
      <x:c r="S180" s="29" t="str"/>
    </x:row>
    <x:row r="181" ht="54" customHeight="1">
      <x:c r="A181" s="17" t="str">
        <x:v>csq009-r20</x:v>
      </x:c>
      <x:c r="B181" s="17" t="str">
        <x:v>csq009</x:v>
      </x:c>
      <x:c r="C181" s="17" t="str">
        <x:v>machine_learning</x:v>
      </x:c>
      <x:c r="D181" s="17" t="str">
        <x:v>graph_neural_networks</x:v>
      </x:c>
      <x:c r="E181" s="27" t="str">
        <x:v>What causes over-smoothing and over-squashing in graph neural networks, and which mitigation methods are supported by empirical and theoretical research?</x:v>
      </x:c>
      <x:c r="F181" s="22" t="n">
        <x:v>20</x:v>
      </x:c>
      <x:c r="G181" s="17" t="str">
        <x:v>arXiv:2301.02924</x:v>
      </x:c>
      <x:c r="H181" s="27" t="str">
        <x:v>Reducing Over-smoothing in Graph Neural Networks Using Relational Embeddings</x:v>
      </x:c>
      <x:c r="I181" s="17" t="str">
        <x:v>Yeskendir Koishekenov</x:v>
      </x:c>
      <x:c r="J181" s="22" t="n">
        <x:v>2023</x:v>
      </x:c>
      <x:c r="K181" s="27" t="str">
        <x:v>Graph Neural Networks (GNNs) have achieved a lot of success with graph-structured data. However, it is observed that the performance of GNNs does not improve (or even worsen) as the number of layers increases. This effect has known as over-smoothing, which means that the representations of the graph nodes of different classes would become indistinguishable when stacking multiple layers. In this work, we propose a new simple, and efficient method to alleviate the effect of the over-smoothing problem in GNNs by explicitly using relations between node embeddings. Experiments on real-world datasets demonstrate that utilizing node embedding relations makes GNN models such as Graph Attention Network more robust to over-smoothing and achieves better performance with deeper GNNs. Our method can be used in combination with other methods to give the best performance. GNN applications are endless and depend on the user's objective and the type of data that they possess. Solving over-smoothing issues can potentially improve the performance of models on all these tasks.</x:v>
      </x:c>
      <x:c r="L181" s="17" t="str">
        <x:v>http://arxiv.org/abs/2301.02924v1</x:v>
      </x:c>
      <x:c r="M181" s="23" t="n">
        <x:v>0.016129032258064516</x:v>
      </x:c>
      <x:c r="N181" s="17" t="str">
        <x:v>arxiv-paper-eval-20260727-105551-results.jsonl</x:v>
      </x:c>
      <x:c r="O181" s="24" t="str">
        <x:v>2</x:v>
      </x:c>
      <x:c r="P181" s="28" t="str">
        <x:v>利用节点嵌入关系缓解过平滑并在深层图网络中实证有效。</x:v>
      </x:c>
      <x:c r="Q181" s="25" t="str"/>
      <x:c r="R181" s="24" t="str">
        <x:f>IF(Q181&lt;&gt;"",Q181,O181)</x:f>
        <x:v>2</x:v>
      </x:c>
      <x:c r="S181" s="29" t="str"/>
    </x:row>
    <x:row r="182" ht="54" customHeight="1">
      <x:c r="A182" s="17" t="str">
        <x:v>csq010-r01</x:v>
      </x:c>
      <x:c r="B182" s="17" t="str">
        <x:v>csq010</x:v>
      </x:c>
      <x:c r="C182" s="17" t="str">
        <x:v>machine_learning</x:v>
      </x:c>
      <x:c r="D182" s="17" t="str">
        <x:v>self_supervised_learning</x:v>
      </x:c>
      <x:c r="E182" s="27" t="str">
        <x:v>How have self-supervised representation learning objectives evolved from contrastive learning to non-contrastive and masked-prediction approaches?</x:v>
      </x:c>
      <x:c r="F182" s="22" t="n">
        <x:v>1</x:v>
      </x:c>
      <x:c r="G182" s="17" t="str">
        <x:v>arXiv:2208.00173</x:v>
      </x:c>
      <x:c r="H182" s="27" t="str">
        <x:v>A Survey on Masked Autoencoder for Self-supervised Learning in Vision and Beyond</x:v>
      </x:c>
      <x:c r="I182" s="17" t="str">
        <x:v>Chaoning Zhang; Chenshuang Zhang; Junha Song; John Seon Keun Yi; Kang Zhang; In So Kweon</x:v>
      </x:c>
      <x:c r="J182" s="22" t="n">
        <x:v>2022</x:v>
      </x:c>
      <x:c r="K182" s="27" t="str">
        <x:v>Masked autoencoders are scalable vision learners, as the title of MAE \cite{he2022masked}, which suggests that self-supervised learning (SSL) in vision might undertake a similar trajectory as in NLP. Specifically, generative pretext tasks with the masked prediction (e.g., BERT) have become a de facto standard SSL practice in NLP. By contrast, early attempts at generative methods in vision have been buried by their discriminative counterparts (like contrastive learning); however, the success of mask image modeling has revived the masking autoencoder (often termed denoising autoencoder in the past). As a milestone to bridge the gap with BERT in NLP, masked autoencoder has attracted unprecedented attention for SSL in vision and beyond. This work conducts a comprehensive survey of masked autoencoders to shed insight on a promising direction of SSL. As the first to review SSL with masked autoencoders, this work focuses on its application in vision by discussing its historical developments, recent progress, and implications for diverse applications.</x:v>
      </x:c>
      <x:c r="L182" s="17" t="str">
        <x:v>http://arxiv.org/abs/2208.00173v1</x:v>
      </x:c>
      <x:c r="M182" s="23" t="n">
        <x:v>0.03278688524590164</x:v>
      </x:c>
      <x:c r="N182" s="17" t="str">
        <x:v>arxiv-paper-eval-20260727-105551-results.jsonl</x:v>
      </x:c>
      <x:c r="O182" s="24" t="str">
        <x:v>2</x:v>
      </x:c>
      <x:c r="P182" s="28" t="str">
        <x:v>综述从视觉对比学习到掩码自编码器复兴的历史与进展。</x:v>
      </x:c>
      <x:c r="Q182" s="25" t="str"/>
      <x:c r="R182" s="24" t="str">
        <x:f>IF(Q182&lt;&gt;"",Q182,O182)</x:f>
        <x:v>2</x:v>
      </x:c>
      <x:c r="S182" s="29" t="str"/>
    </x:row>
    <x:row r="183" ht="54" customHeight="1">
      <x:c r="A183" s="17" t="str">
        <x:v>csq010-r02</x:v>
      </x:c>
      <x:c r="B183" s="17" t="str">
        <x:v>csq010</x:v>
      </x:c>
      <x:c r="C183" s="17" t="str">
        <x:v>machine_learning</x:v>
      </x:c>
      <x:c r="D183" s="17" t="str">
        <x:v>self_supervised_learning</x:v>
      </x:c>
      <x:c r="E183" s="27" t="str">
        <x:v>How have self-supervised representation learning objectives evolved from contrastive learning to non-contrastive and masked-prediction approaches?</x:v>
      </x:c>
      <x:c r="F183" s="22" t="n">
        <x:v>2</x:v>
      </x:c>
      <x:c r="G183" s="17" t="str">
        <x:v>arXiv:2407.05862</x:v>
      </x:c>
      <x:c r="H183" s="27" t="str">
        <x:v>Bringing Masked Autoencoders Explicit Contrastive Properties for Point Cloud Self-Supervised Learning</x:v>
      </x:c>
      <x:c r="I183" s="17" t="str">
        <x:v>Bin Ren; Guofeng Mei; Danda Pani Paudel; Weijie Wang; Yawei Li; Mengyuan Liu; Rita Cucchiara; Luc Van Gool; Nicu Sebe</x:v>
      </x:c>
      <x:c r="J183" s="22" t="n">
        <x:v>2024</x:v>
      </x:c>
      <x:c r="K183" s="27" t="str">
        <x:v>Contrastive learning (CL) for Vision Transformers (ViTs) in image domains has achieved performance comparable to CL for traditional convolutional backbones. However, in 3D point cloud pretraining with ViTs, masked autoencoder (MAE) modeling remains dominant. This raises the question: Can we take the best of both worlds? To answer this question, we first empirically validate that integrating MAE-based point cloud pre-training with the standard contrastive learning paradigm, even with meticulous design, can lead to a decrease in performance. To address this limitation, we reintroduce CL into the MAE-based point cloud pre-training paradigm by leveraging the inherent contrastive properties of MAE. Specifically, rather than relying on extensive data augmentation as commonly used in the image domain, we randomly mask the input tokens twice to generate contrastive input pairs. Subsequently, a weight-sharing encoder and two identically structured decoders are utilized to perform masked token reconstruction. Additionally, we propose that for an input token masked by both masks simultaneously, the reconstructed features should be as similar as possible. This naturally establishes an explicit contrastive constraint within the generative MAE-based pre-training paradigm, resulting in our proposed method, Point-CMAE. Consequently, Point-CMAE effectively enhances the representation quality and transfer performance compared to its MAE counterpart. Experimental evaluations across various downstream applications, including classification, part segmentation, and few-shot learning, demonstrate the efficacy of our framework in surpassing state-of-the-art techniques under standard ViTs and single-modal settings. The source code and trained models are available at: https://github.com/Amazingren/Point-CMAE.</x:v>
      </x:c>
      <x:c r="L183" s="17" t="str">
        <x:v>http://arxiv.org/abs/2407.05862v1</x:v>
      </x:c>
      <x:c r="M183" s="23" t="n">
        <x:v>0.03021353930031804</x:v>
      </x:c>
      <x:c r="N183" s="17" t="str">
        <x:v>arxiv-paper-eval-20260727-105551-results.jsonl</x:v>
      </x:c>
      <x:c r="O183" s="24" t="str">
        <x:v>2</x:v>
      </x:c>
      <x:c r="P183" s="28" t="str">
        <x:v>显式融合对比约束与掩码重建，分析两类目标结合的成败。</x:v>
      </x:c>
      <x:c r="Q183" s="25" t="str"/>
      <x:c r="R183" s="24" t="str">
        <x:f>IF(Q183&lt;&gt;"",Q183,O183)</x:f>
        <x:v>2</x:v>
      </x:c>
      <x:c r="S183" s="29" t="str"/>
    </x:row>
    <x:row r="184" ht="54" customHeight="1">
      <x:c r="A184" s="17" t="str">
        <x:v>csq010-r03</x:v>
      </x:c>
      <x:c r="B184" s="17" t="str">
        <x:v>csq010</x:v>
      </x:c>
      <x:c r="C184" s="17" t="str">
        <x:v>machine_learning</x:v>
      </x:c>
      <x:c r="D184" s="17" t="str">
        <x:v>self_supervised_learning</x:v>
      </x:c>
      <x:c r="E184" s="27" t="str">
        <x:v>How have self-supervised representation learning objectives evolved from contrastive learning to non-contrastive and masked-prediction approaches?</x:v>
      </x:c>
      <x:c r="F184" s="22" t="n">
        <x:v>3</x:v>
      </x:c>
      <x:c r="G184" s="17" t="str">
        <x:v>arXiv:2208.05445</x:v>
      </x:c>
      <x:c r="H184" s="27" t="str">
        <x:v>Non-Contrastive Self-supervised Learning for Utterance-Level Information Extraction from Speech</x:v>
      </x:c>
      <x:c r="I184" s="17" t="str">
        <x:v>Jaejin Cho; Jes'us Villalba; Laureano Moro-Velazquez; Najim Dehak</x:v>
      </x:c>
      <x:c r="J184" s="22" t="n">
        <x:v>2022</x:v>
      </x:c>
      <x:c r="K184" s="27" t="str">
        <x:v>In recent studies, self-supervised pre-trained models tend to outperform supervised pre-trained models in transfer learning. In particular, self-supervised learning (SSL) of utterance-level speech representation can be used in speech applications that require discriminative representation of consistent attributes within an utterance: speaker, language, emotion, and age. Existing frame-level self-supervised speech representation, e.g., wav2vec, can be used as utterance-level representation with pooling, but the models are usually large. There are also SSL techniques to learn utterance-level representation. One of the most successful is a contrastive method, which requires negative sampling: selecting alternative samples to contrast with the current sample (anchor). However, this does not ensure that all the negative samples belong to classes different from the anchor class without labels. This paper applies a non-contrastive self-supervised method to learn utterance-level embeddings. We adapted DIstillation with NO labels (DINO) from computer vision to speech. Unlike contrastive methods, DINO does not require negative sampling. We compared DINO to x-vector trained in a supervised manner. When transferred to down-stream tasks (speaker verification, speech emotion recognition (SER), and Alzheimer's disease detection), DINO outperformed x-vector. We studied the influence of several aspects during transfer learning such as dividing the fine-tuning process into steps, chunk lengths, or augmentation. During fine-tuning, tuning the last affine layers first and then the whole network surpassed fine-tuning all at once. Using shorter chunk lengths, although they generate more diverse inputs, did not necessarily improve performance, implying speech segments at least with a specific length are required for better performance per application. Augmentation was helpful in SER.</x:v>
      </x:c>
      <x:c r="L184" s="17" t="str">
        <x:v>http://arxiv.org/abs/2208.05445v1</x:v>
      </x:c>
      <x:c r="M184" s="23" t="n">
        <x:v>0.01639344262295082</x:v>
      </x:c>
      <x:c r="N184" s="17" t="str">
        <x:v>arxiv-paper-eval-20260727-105551-results.jsonl</x:v>
      </x:c>
      <x:c r="O184" s="24" t="str">
        <x:v>2</x:v>
      </x:c>
      <x:c r="P184" s="28" t="str">
        <x:v>将免负样本DINO非对比目标用于语音并与既有表征方法比较。</x:v>
      </x:c>
      <x:c r="Q184" s="25" t="str"/>
      <x:c r="R184" s="24" t="str">
        <x:f>IF(Q184&lt;&gt;"",Q184,O184)</x:f>
        <x:v>2</x:v>
      </x:c>
      <x:c r="S184" s="29" t="str"/>
    </x:row>
    <x:row r="185" ht="54" customHeight="1">
      <x:c r="A185" s="17" t="str">
        <x:v>csq010-r04</x:v>
      </x:c>
      <x:c r="B185" s="17" t="str">
        <x:v>csq010</x:v>
      </x:c>
      <x:c r="C185" s="17" t="str">
        <x:v>machine_learning</x:v>
      </x:c>
      <x:c r="D185" s="17" t="str">
        <x:v>self_supervised_learning</x:v>
      </x:c>
      <x:c r="E185" s="27" t="str">
        <x:v>How have self-supervised representation learning objectives evolved from contrastive learning to non-contrastive and masked-prediction approaches?</x:v>
      </x:c>
      <x:c r="F185" s="22" t="n">
        <x:v>4</x:v>
      </x:c>
      <x:c r="G185" s="17" t="str">
        <x:v>arXiv:2112.01642</x:v>
      </x:c>
      <x:c r="H185" s="27" t="str">
        <x:v>Probabilistic Contrastive Loss for Self-Supervised Learning</x:v>
      </x:c>
      <x:c r="I185" s="17" t="str">
        <x:v>Shen Li; Jianqing Xu; Bryan Hooi</x:v>
      </x:c>
      <x:c r="J185" s="22" t="n">
        <x:v>2021</x:v>
      </x:c>
      <x:c r="K185" s="27" t="str">
        <x:v>This paper proposes a probabilistic contrastive loss function for self-supervised learning. The well-known contrastive loss is deterministic and involves a temperature hyperparameter that scales the inner product between two normed feature embeddings. By reinterpreting the temperature hyperparameter as a quantity related to the radius of the hypersphere, we derive a new loss function that involves a confidence measure which quantifies uncertainty in a mathematically grounding manner. Some intriguing properties of the proposed loss function are empirically demonstrated, which agree with human-like predictions. We believe the present work brings up a new prospective to the area of contrastive learning.</x:v>
      </x:c>
      <x:c r="L185" s="17" t="str">
        <x:v>http://arxiv.org/abs/2112.01642v1</x:v>
      </x:c>
      <x:c r="M185" s="23" t="n">
        <x:v>0.01639344262295082</x:v>
      </x:c>
      <x:c r="N185" s="17" t="str">
        <x:v>arxiv-paper-eval-20260727-105551-results.jsonl</x:v>
      </x:c>
      <x:c r="O185" s="24" t="str">
        <x:v>2</x:v>
      </x:c>
      <x:c r="P185" s="28" t="str">
        <x:v>提出带不确定置信度的新概率对比损失，属于对比目标演进。</x:v>
      </x:c>
      <x:c r="Q185" s="25" t="str"/>
      <x:c r="R185" s="24" t="str">
        <x:f>IF(Q185&lt;&gt;"",Q185,O185)</x:f>
        <x:v>2</x:v>
      </x:c>
      <x:c r="S185" s="29" t="str"/>
    </x:row>
    <x:row r="186" ht="54" customHeight="1">
      <x:c r="A186" s="17" t="str">
        <x:v>csq010-r05</x:v>
      </x:c>
      <x:c r="B186" s="17" t="str">
        <x:v>csq010</x:v>
      </x:c>
      <x:c r="C186" s="17" t="str">
        <x:v>machine_learning</x:v>
      </x:c>
      <x:c r="D186" s="17" t="str">
        <x:v>self_supervised_learning</x:v>
      </x:c>
      <x:c r="E186" s="27" t="str">
        <x:v>How have self-supervised representation learning objectives evolved from contrastive learning to non-contrastive and masked-prediction approaches?</x:v>
      </x:c>
      <x:c r="F186" s="22" t="n">
        <x:v>5</x:v>
      </x:c>
      <x:c r="G186" s="17" t="str">
        <x:v>arXiv:2410.04959</x:v>
      </x:c>
      <x:c r="H186" s="27" t="str">
        <x:v>Collapse-Proof Non-Contrastive Self-Supervised Learning</x:v>
      </x:c>
      <x:c r="I186" s="17" t="str">
        <x:v>Emanuele Sansone; Tim Lebailly; Tinne Tuytelaars</x:v>
      </x:c>
      <x:c r="J186" s="22" t="n">
        <x:v>2024</x:v>
      </x:c>
      <x:c r="K186" s="27" t="str">
        <x:v>We present a principled and simplified design of the projector and loss function for non-contrastive self-supervised learning based on hyperdimensional computing. We theoretically demonstrate that this design introduces an inductive bias that encourages representations to be simultaneously decorrelated and clustered, without explicitly enforcing these properties. This bias provably enhances generalization and suffices to avoid known training failure modes, such as representation, dimensional, cluster, and intracluster collapses. We validate our theoretical findings on image datasets, including SVHN, CIFAR-10, CIFAR-100, and ImageNet-100. Our approach effectively combines the strengths of feature decorrelation and cluster-based self-supervised learning methods, overcoming training failure modes while achieving strong generalization in clustering and linear classification tasks.</x:v>
      </x:c>
      <x:c r="L186" s="17" t="str">
        <x:v>http://arxiv.org/abs/2410.04959v4</x:v>
      </x:c>
      <x:c r="M186" s="23" t="n">
        <x:v>0.016129032258064516</x:v>
      </x:c>
      <x:c r="N186" s="17" t="str">
        <x:v>arxiv-paper-eval-20260727-105551-results.jsonl</x:v>
      </x:c>
      <x:c r="O186" s="24" t="str">
        <x:v>2</x:v>
      </x:c>
      <x:c r="P186" s="28" t="str">
        <x:v>设计可证明防坍塌的非对比投影头与损失并验证泛化。</x:v>
      </x:c>
      <x:c r="Q186" s="25" t="str"/>
      <x:c r="R186" s="24" t="str">
        <x:f>IF(Q186&lt;&gt;"",Q186,O186)</x:f>
        <x:v>2</x:v>
      </x:c>
      <x:c r="S186" s="29" t="str"/>
    </x:row>
    <x:row r="187" ht="54" customHeight="1">
      <x:c r="A187" s="17" t="str">
        <x:v>csq010-r06</x:v>
      </x:c>
      <x:c r="B187" s="17" t="str">
        <x:v>csq010</x:v>
      </x:c>
      <x:c r="C187" s="17" t="str">
        <x:v>machine_learning</x:v>
      </x:c>
      <x:c r="D187" s="17" t="str">
        <x:v>self_supervised_learning</x:v>
      </x:c>
      <x:c r="E187" s="27" t="str">
        <x:v>How have self-supervised representation learning objectives evolved from contrastive learning to non-contrastive and masked-prediction approaches?</x:v>
      </x:c>
      <x:c r="F187" s="22" t="n">
        <x:v>6</x:v>
      </x:c>
      <x:c r="G187" s="17" t="str">
        <x:v>arXiv:2402.14789</x:v>
      </x:c>
      <x:c r="H187" s="27" t="str">
        <x:v>Self-Guided Masked Autoencoders for Domain-Agnostic Self-Supervised Learning</x:v>
      </x:c>
      <x:c r="I187" s="17" t="str">
        <x:v>Johnathan Xie; Yoonho Lee; Annie S. Chen; Chelsea Finn</x:v>
      </x:c>
      <x:c r="J187" s="22" t="n">
        <x:v>2024</x:v>
      </x:c>
      <x:c r="K187" s="27" t="str">
        <x:v>Self-supervised learning excels in learning representations from large amounts of unlabeled data, demonstrating success across multiple data modalities. Yet, extending self-supervised learning to new modalities is non-trivial because the specifics of existing methods are tailored to each domain, such as domain-specific augmentations which reflect the invariances in the target task. While masked modeling is promising as a domain-agnostic framework for self-supervised learning because it does not rely on input augmentations, its mask sampling procedure remains domain-specific. We present Self-guided Masked Autoencoders (SMA), a fully domain-agnostic masked modeling method. SMA trains an attention based model using a masked modeling objective, by learning masks to sample without any domain-specific assumptions. We evaluate SMA on three self-supervised learning benchmarks in protein biology, chemical property prediction, and particle physics. We find SMA is capable of learning representations without domain-specific knowledge and achieves state-of-the-art performance on these three benchmarks.</x:v>
      </x:c>
      <x:c r="L187" s="17" t="str">
        <x:v>http://arxiv.org/abs/2402.14789v1</x:v>
      </x:c>
      <x:c r="M187" s="23" t="n">
        <x:v>0.016129032258064516</x:v>
      </x:c>
      <x:c r="N187" s="17" t="str">
        <x:v>arxiv-paper-eval-20260727-105551-results.jsonl</x:v>
      </x:c>
      <x:c r="O187" s="24" t="str">
        <x:v>2</x:v>
      </x:c>
      <x:c r="P187" s="28" t="str">
        <x:v>以学习掩码的领域无关掩码建模目标扩展预测式自监督。</x:v>
      </x:c>
      <x:c r="Q187" s="25" t="str"/>
      <x:c r="R187" s="24" t="str">
        <x:f>IF(Q187&lt;&gt;"",Q187,O187)</x:f>
        <x:v>2</x:v>
      </x:c>
      <x:c r="S187" s="29" t="str"/>
    </x:row>
    <x:row r="188" ht="54" customHeight="1">
      <x:c r="A188" s="17" t="str">
        <x:v>csq010-r07</x:v>
      </x:c>
      <x:c r="B188" s="17" t="str">
        <x:v>csq010</x:v>
      </x:c>
      <x:c r="C188" s="17" t="str">
        <x:v>machine_learning</x:v>
      </x:c>
      <x:c r="D188" s="17" t="str">
        <x:v>self_supervised_learning</x:v>
      </x:c>
      <x:c r="E188" s="27" t="str">
        <x:v>How have self-supervised representation learning objectives evolved from contrastive learning to non-contrastive and masked-prediction approaches?</x:v>
      </x:c>
      <x:c r="F188" s="22" t="n">
        <x:v>7</x:v>
      </x:c>
      <x:c r="G188" s="17" t="str">
        <x:v>arXiv:2212.11187</x:v>
      </x:c>
      <x:c r="H188" s="27" t="str">
        <x:v>Similarity Contrastive Estimation for Image and Video Soft Contrastive Self-Supervised Learning</x:v>
      </x:c>
      <x:c r="I188" s="17" t="str">
        <x:v>Julien Denize; Jaonary Rabarisoa; Astrid Orcesi; Romain Hérault</x:v>
      </x:c>
      <x:c r="J188" s="22" t="n">
        <x:v>2022</x:v>
      </x:c>
      <x:c r="K188" s="27" t="str">
        <x:v>Contrastive representation learning has proven to be an effective self-supervised learning method for images and videos. Most successful approaches are based on Noise Contrastive Estimation (NCE) and use different views of an instance as positives that should be contrasted with other instances, called negatives, that are considered as noise. However, several instances in a dataset are drawn from the same distribution and share underlying semantic information. A good data representation should contain relations between the instances, or semantic similarity and dissimilarity, that contrastive learning harms by considering all negatives as noise. To circumvent this issue, we propose a novel formulation of contrastive learning using semantic similarity between instances called Similarity Contrastive Estimation (SCE). Our training objective is a soft contrastive one that brings the positives closer and estimates a continuous distribution to push or pull negative instances based on their learned similarities. We validate empirically our approach on both image and video representation learning. We show that SCE performs competitively with the state of the art on the ImageNet linear evaluation protocol for fewer pretraining epochs and that it generalizes to several downstream image tasks. We also show that SCE reaches state-of-the-art results for pretraining video representation and that the learned representation can generalize to video downstream tasks.</x:v>
      </x:c>
      <x:c r="L188" s="17" t="str">
        <x:v>http://arxiv.org/abs/2212.11187v1</x:v>
      </x:c>
      <x:c r="M188" s="23" t="n">
        <x:v>0.016129032258064516</x:v>
      </x:c>
      <x:c r="N188" s="17" t="str">
        <x:v>arxiv-paper-eval-20260727-105551-results.jsonl</x:v>
      </x:c>
      <x:c r="O188" s="24" t="str">
        <x:v>2</x:v>
      </x:c>
      <x:c r="P188" s="28" t="str">
        <x:v>针对硬负样本缺陷提出连续语义相似度的软对比目标。</x:v>
      </x:c>
      <x:c r="Q188" s="25" t="str"/>
      <x:c r="R188" s="24" t="str">
        <x:f>IF(Q188&lt;&gt;"",Q188,O188)</x:f>
        <x:v>2</x:v>
      </x:c>
      <x:c r="S188" s="29" t="str"/>
    </x:row>
    <x:row r="189" ht="54" customHeight="1">
      <x:c r="A189" s="17" t="str">
        <x:v>csq010-r08</x:v>
      </x:c>
      <x:c r="B189" s="17" t="str">
        <x:v>csq010</x:v>
      </x:c>
      <x:c r="C189" s="17" t="str">
        <x:v>machine_learning</x:v>
      </x:c>
      <x:c r="D189" s="17" t="str">
        <x:v>self_supervised_learning</x:v>
      </x:c>
      <x:c r="E189" s="27" t="str">
        <x:v>How have self-supervised representation learning objectives evolved from contrastive learning to non-contrastive and masked-prediction approaches?</x:v>
      </x:c>
      <x:c r="F189" s="22" t="n">
        <x:v>8</x:v>
      </x:c>
      <x:c r="G189" s="17" t="str">
        <x:v>arXiv:2310.18653</x:v>
      </x:c>
      <x:c r="H189" s="27" t="str">
        <x:v>Feature Guided Masked Autoencoder for Self-supervised Learning in Remote Sensing</x:v>
      </x:c>
      <x:c r="I189" s="17" t="str">
        <x:v>Yi Wang; Hugo Hernández Hernández; Conrad M Albrecht; Xiao Xiang Zhu</x:v>
      </x:c>
      <x:c r="J189" s="22" t="n">
        <x:v>2023</x:v>
      </x:c>
      <x:c r="K189" s="27" t="str">
        <x:v>Self-supervised learning guided by masked image modelling, such as Masked AutoEncoder (MAE), has attracted wide attention for pretraining vision transformers in remote sensing. However, MAE tends to excessively focus on pixel details, thereby limiting the model's capacity for semantic understanding, in particular for noisy SAR images. In this paper, we explore spectral and spatial remote sensing image features as improved MAE-reconstruction targets. We first conduct a study on reconstructing various image features, all performing comparably well or better than raw pixels. Based on such observations, we propose Feature Guided Masked Autoencoder (FG-MAE): reconstructing a combination of Histograms of Oriented Graidents (HOG) and Normalized Difference Indices (NDI) for multispectral images, and reconstructing HOG for SAR images. Experimental results on three downstream tasks illustrate the effectiveness of FG-MAE with a particular boost for SAR imagery. Furthermore, we demonstrate the well-inherited scalability of FG-MAE and release a first series of pretrained vision transformers for medium resolution SAR and multispectral images.</x:v>
      </x:c>
      <x:c r="L189" s="17" t="str">
        <x:v>http://arxiv.org/abs/2310.18653v1</x:v>
      </x:c>
      <x:c r="M189" s="23" t="n">
        <x:v>0.015873015873015872</x:v>
      </x:c>
      <x:c r="N189" s="17" t="str">
        <x:v>arxiv-paper-eval-20260727-105551-results.jsonl</x:v>
      </x:c>
      <x:c r="O189" s="24" t="str">
        <x:v>2</x:v>
      </x:c>
      <x:c r="P189" s="28" t="str">
        <x:v>将掩码重建目标从原始像素推进到光谱和空间特征。</x:v>
      </x:c>
      <x:c r="Q189" s="25" t="str"/>
      <x:c r="R189" s="24" t="str">
        <x:f>IF(Q189&lt;&gt;"",Q189,O189)</x:f>
        <x:v>2</x:v>
      </x:c>
      <x:c r="S189" s="29" t="str"/>
    </x:row>
    <x:row r="190" ht="54" customHeight="1">
      <x:c r="A190" s="17" t="str">
        <x:v>csq010-r09</x:v>
      </x:c>
      <x:c r="B190" s="17" t="str">
        <x:v>csq010</x:v>
      </x:c>
      <x:c r="C190" s="17" t="str">
        <x:v>machine_learning</x:v>
      </x:c>
      <x:c r="D190" s="17" t="str">
        <x:v>self_supervised_learning</x:v>
      </x:c>
      <x:c r="E190" s="27" t="str">
        <x:v>How have self-supervised representation learning objectives evolved from contrastive learning to non-contrastive and masked-prediction approaches?</x:v>
      </x:c>
      <x:c r="F190" s="22" t="n">
        <x:v>9</x:v>
      </x:c>
      <x:c r="G190" s="17" t="str">
        <x:v>arXiv:2305.04075</x:v>
      </x:c>
      <x:c r="H190" s="27" t="str">
        <x:v>PointCMP: Contrastive Mask Prediction for Self-supervised Learning on Point Cloud Videos</x:v>
      </x:c>
      <x:c r="I190" s="17" t="str">
        <x:v>Zhiqiang Shen; Xiaoxiao Sheng; Longguang Wang; Yulan Guo; Qiong Liu; Xi Zhou</x:v>
      </x:c>
      <x:c r="J190" s="22" t="n">
        <x:v>2023</x:v>
      </x:c>
      <x:c r="K190" s="27" t="str">
        <x:v>Self-supervised learning can extract representations of good quality from solely unlabeled data, which is appealing for point cloud videos due to their high labelling cost. In this paper, we propose a contrastive mask prediction (PointCMP) framework for self-supervised learning on point cloud videos. Specifically, our PointCMP employs a two-branch structure to achieve simultaneous learning of both local and global spatio-temporal information. On top of this two-branch structure, a mutual similarity based augmentation module is developed to synthesize hard samples at the feature level. By masking dominant tokens and erasing principal channels, we generate hard samples to facilitate learning representations with better discrimination and generalization performance. Extensive experiments show that our PointCMP achieves the state-of-the-art performance on benchmark datasets and outperforms existing full-supervised counterparts. Transfer learning results demonstrate the superiority of the learned representations across different datasets and tasks.</x:v>
      </x:c>
      <x:c r="L190" s="17" t="str">
        <x:v>http://arxiv.org/abs/2305.04075v1</x:v>
      </x:c>
      <x:c r="M190" s="23" t="n">
        <x:v>0.015873015873015872</x:v>
      </x:c>
      <x:c r="N190" s="17" t="str">
        <x:v>arxiv-paper-eval-20260727-105551-results.jsonl</x:v>
      </x:c>
      <x:c r="O190" s="24" t="str">
        <x:v>2</x:v>
      </x:c>
      <x:c r="P190" s="28" t="str">
        <x:v>融合掩码与对比预测目标学习点云视频局部和全局表征。</x:v>
      </x:c>
      <x:c r="Q190" s="25" t="str"/>
      <x:c r="R190" s="24" t="str">
        <x:f>IF(Q190&lt;&gt;"",Q190,O190)</x:f>
        <x:v>2</x:v>
      </x:c>
      <x:c r="S190" s="29" t="str"/>
    </x:row>
    <x:row r="191" ht="54" customHeight="1">
      <x:c r="A191" s="17" t="str">
        <x:v>csq010-r10</x:v>
      </x:c>
      <x:c r="B191" s="17" t="str">
        <x:v>csq010</x:v>
      </x:c>
      <x:c r="C191" s="17" t="str">
        <x:v>machine_learning</x:v>
      </x:c>
      <x:c r="D191" s="17" t="str">
        <x:v>self_supervised_learning</x:v>
      </x:c>
      <x:c r="E191" s="27" t="str">
        <x:v>How have self-supervised representation learning objectives evolved from contrastive learning to non-contrastive and masked-prediction approaches?</x:v>
      </x:c>
      <x:c r="F191" s="22" t="n">
        <x:v>10</x:v>
      </x:c>
      <x:c r="G191" s="17" t="str">
        <x:v>arXiv:2206.02574</x:v>
      </x:c>
      <x:c r="H191" s="27" t="str">
        <x:v>On the duality between contrastive and non-contrastive self-supervised learning</x:v>
      </x:c>
      <x:c r="I191" s="17" t="str">
        <x:v>Quentin Garrido; Yubei Chen; Adrien Bardes; Laurent Najman; Yann Lecun</x:v>
      </x:c>
      <x:c r="J191" s="22" t="n">
        <x:v>2022</x:v>
      </x:c>
      <x:c r="K191" s="27" t="str">
        <x:v>Recent approaches in self-supervised learning of image representations can be categorized into different families of methods and, in particular, can be divided into contrastive and non-contrastive approaches. While differences between the two families have been thoroughly discussed to motivate new approaches, we focus more on the theoretical similarities between them. By designing contrastive and covariance based non-contrastive criteria that can be related algebraically and shown to be equivalent under limited assumptions, we show how close those families can be. We further study popular methods and introduce variations of them, allowing us to relate this theoretical result to current practices and show the influence (or lack thereof) of design choices on downstream performance. Motivated by our equivalence result, we investigate the low performance of SimCLR and show how it can match VICReg's with careful hyperparameter tuning, improving significantly over known baselines. We also challenge the popular assumption that non-contrastive methods need large output dimensions. Our theoretical and quantitative results suggest that the numerical gaps between contrastive and non-contrastive methods in certain regimes can be closed given better network design choices and hyperparameter tuning. The evidence shows that unifying different SOTA methods is an important direction to build a better understanding of self-supervised learning.</x:v>
      </x:c>
      <x:c r="L191" s="17" t="str">
        <x:v>http://arxiv.org/abs/2206.02574v3</x:v>
      </x:c>
      <x:c r="M191" s="23" t="n">
        <x:v>0.015873015873015872</x:v>
      </x:c>
      <x:c r="N191" s="17" t="str">
        <x:v>arxiv-paper-eval-20260727-105551-results.jsonl</x:v>
      </x:c>
      <x:c r="O191" s="24" t="str">
        <x:v>2</x:v>
      </x:c>
      <x:c r="P191" s="28" t="str">
        <x:v>理论和实验统一对比与协方差非对比目标并解释设计差异。</x:v>
      </x:c>
      <x:c r="Q191" s="25" t="str"/>
      <x:c r="R191" s="24" t="str">
        <x:f>IF(Q191&lt;&gt;"",Q191,O191)</x:f>
        <x:v>2</x:v>
      </x:c>
      <x:c r="S191" s="29" t="str"/>
    </x:row>
    <x:row r="192" ht="54" customHeight="1">
      <x:c r="A192" s="17" t="str">
        <x:v>csq010-r11</x:v>
      </x:c>
      <x:c r="B192" s="17" t="str">
        <x:v>csq010</x:v>
      </x:c>
      <x:c r="C192" s="17" t="str">
        <x:v>machine_learning</x:v>
      </x:c>
      <x:c r="D192" s="17" t="str">
        <x:v>self_supervised_learning</x:v>
      </x:c>
      <x:c r="E192" s="27" t="str">
        <x:v>How have self-supervised representation learning objectives evolved from contrastive learning to non-contrastive and masked-prediction approaches?</x:v>
      </x:c>
      <x:c r="F192" s="22" t="n">
        <x:v>11</x:v>
      </x:c>
      <x:c r="G192" s="17" t="str">
        <x:v>arXiv:2111.10794</x:v>
      </x:c>
      <x:c r="H192" s="27" t="str">
        <x:v>HoughCL: Finding Better Positive Pairs in Dense Self-supervised Learning</x:v>
      </x:c>
      <x:c r="I192" s="17" t="str">
        <x:v>Yunsung Lee; Teakgyu Hong; Han-Cheol Cho; Junbum Cha; Seungryong Kim</x:v>
      </x:c>
      <x:c r="J192" s="22" t="n">
        <x:v>2021</x:v>
      </x:c>
      <x:c r="K192" s="27" t="str">
        <x:v>Recently, self-supervised methods show remarkable achievements in image-level representation learning. Nevertheless, their image-level self-supervisions lead the learned representation to sub-optimal for dense prediction tasks, such as object detection, instance segmentation, etc. To tackle this issue, several recent self-supervised learning methods have extended image-level single embedding to pixel-level dense embeddings. Unlike image-level representation learning, due to the spatial deformation of augmentation, it is difficult to sample pixel-level positive pairs. Previous studies have sampled pixel-level positive pairs using the winner-takes-all among similarity or thresholding warped distance between dense embeddings. However, these naive methods can be struggled by background clutter and outliers problems. In this paper, we introduce Hough Contrastive Learning (HoughCL), a Hough space based method that enforces geometric consistency between two dense features. HoughCL achieves robustness against background clutter and outliers. Furthermore, compared to baseline, our dense positive pairing method has no additional learnable parameters and has a small extra computation cost. Compared to previous works, our method shows better or comparable performance on dense prediction fine-tuning tasks.</x:v>
      </x:c>
      <x:c r="L192" s="17" t="str">
        <x:v>http://arxiv.org/abs/2111.10794v1</x:v>
      </x:c>
      <x:c r="M192" s="23" t="n">
        <x:v>0.015873015873015872</x:v>
      </x:c>
      <x:c r="N192" s="17" t="str">
        <x:v>arxiv-paper-eval-20260727-105551-results.jsonl</x:v>
      </x:c>
      <x:c r="O192" s="24" t="str">
        <x:v>2</x:v>
      </x:c>
      <x:c r="P192" s="28" t="str">
        <x:v>改进密集对比学习的正样本配对，体现对比目标专门化。</x:v>
      </x:c>
      <x:c r="Q192" s="25" t="str"/>
      <x:c r="R192" s="24" t="str">
        <x:f>IF(Q192&lt;&gt;"",Q192,O192)</x:f>
        <x:v>2</x:v>
      </x:c>
      <x:c r="S192" s="29" t="str"/>
    </x:row>
    <x:row r="193" ht="54" customHeight="1">
      <x:c r="A193" s="17" t="str">
        <x:v>csq010-r12</x:v>
      </x:c>
      <x:c r="B193" s="17" t="str">
        <x:v>csq010</x:v>
      </x:c>
      <x:c r="C193" s="17" t="str">
        <x:v>machine_learning</x:v>
      </x:c>
      <x:c r="D193" s="17" t="str">
        <x:v>self_supervised_learning</x:v>
      </x:c>
      <x:c r="E193" s="27" t="str">
        <x:v>How have self-supervised representation learning objectives evolved from contrastive learning to non-contrastive and masked-prediction approaches?</x:v>
      </x:c>
      <x:c r="F193" s="22" t="n">
        <x:v>12</x:v>
      </x:c>
      <x:c r="G193" s="17" t="str">
        <x:v>arXiv:2306.00543</x:v>
      </x:c>
      <x:c r="H193" s="27" t="str">
        <x:v>A Novel Driver Distraction Behavior Detection Method Based on Self-supervised Learning with Masked Image Modeling</x:v>
      </x:c>
      <x:c r="I193" s="17" t="str">
        <x:v>Yingzhi Zhang; Taiguo Li; Chao Li; Xinghong Zhou</x:v>
      </x:c>
      <x:c r="J193" s="22" t="n">
        <x:v>2023</x:v>
      </x:c>
      <x:c r="K193" s="27" t="str">
        <x:v>Driver distraction causes a significant number of traffic accidents every year, resulting in economic losses and casualties. Currently, the level of automation in commercial vehicles is far from completely unmanned, and drivers still play an important role in operating and controlling the vehicle. Therefore, driver distraction behavior detection is crucial for road safety. At present, driver distraction detection primarily relies on traditional convolutional neural networks (CNN) and supervised learning methods. However, there are still challenges such as the high cost of labeled datasets, limited ability to capture high-level semantic information, and weak generalization performance. In order to solve these problems, this paper proposes a new self-supervised learning method based on masked image modeling for driver distraction behavior detection. Firstly, a self-supervised learning framework for masked image modeling (MIM) is introduced to solve the serious human and material consumption issues caused by dataset labeling. Secondly, the Swin Transformer is employed as an encoder. Performance is enhanced by reconfiguring the Swin Transformer block and adjusting the distribution of the number of window multi-head self-attention (W-MSA) and shifted window multi-head self-attention (SW-MSA) detection heads across all stages, which leads to model more lightening. Finally, various data augmentation strategies are used along with the best random masking strategy to strengthen the model's recognition and generalization ability. Test results on a large-scale driver distraction behavior dataset show that the self-supervised learning method proposed in this paper achieves an accuracy of 99.60%, approximating the excellent performance of advanced supervised learning methods. Our code is publicly available at github.com/Rocky1salady-killer/SL-DDBD.</x:v>
      </x:c>
      <x:c r="L193" s="17" t="str">
        <x:v>http://arxiv.org/abs/2306.00543v4</x:v>
      </x:c>
      <x:c r="M193" s="23" t="n">
        <x:v>0.015625</x:v>
      </x:c>
      <x:c r="N193" s="17" t="str">
        <x:v>arxiv-paper-eval-20260727-105551-results.jsonl</x:v>
      </x:c>
      <x:c r="O193" s="24" t="str">
        <x:v>1</x:v>
      </x:c>
      <x:c r="P193" s="28" t="str">
        <x:v>主要是掩码图像建模在驾驶分心检测的领域应用。</x:v>
      </x:c>
      <x:c r="Q193" s="25" t="str"/>
      <x:c r="R193" s="24" t="str">
        <x:f>IF(Q193&lt;&gt;"",Q193,O193)</x:f>
        <x:v>1</x:v>
      </x:c>
      <x:c r="S193" s="29" t="str"/>
    </x:row>
    <x:row r="194" ht="54" customHeight="1">
      <x:c r="A194" s="17" t="str">
        <x:v>csq010-r13</x:v>
      </x:c>
      <x:c r="B194" s="17" t="str">
        <x:v>csq010</x:v>
      </x:c>
      <x:c r="C194" s="17" t="str">
        <x:v>machine_learning</x:v>
      </x:c>
      <x:c r="D194" s="17" t="str">
        <x:v>self_supervised_learning</x:v>
      </x:c>
      <x:c r="E194" s="27" t="str">
        <x:v>How have self-supervised representation learning objectives evolved from contrastive learning to non-contrastive and masked-prediction approaches?</x:v>
      </x:c>
      <x:c r="F194" s="22" t="n">
        <x:v>13</x:v>
      </x:c>
      <x:c r="G194" s="17" t="str">
        <x:v>arXiv:2310.01994</x:v>
      </x:c>
      <x:c r="H194" s="27" t="str">
        <x:v>Understanding Masked Autoencoders From a Local Contrastive Perspective</x:v>
      </x:c>
      <x:c r="I194" s="17" t="str">
        <x:v>Xiaoyu Yue; Lei Bai; Meng Wei; Jiangmiao Pang; Xihui Liu; Luping Zhou; Wanli Ouyang</x:v>
      </x:c>
      <x:c r="J194" s="22" t="n">
        <x:v>2023</x:v>
      </x:c>
      <x:c r="K194" s="27" t="str">
        <x:v>Masked AutoEncoder (MAE) has revolutionized the field of self-supervised learning with its simple yet effective masking and reconstruction strategies. However, despite achieving state-of-the-art performance across various downstream vision tasks, the underlying mechanisms that drive MAE's efficacy are less well-explored compared to the canonical contrastive learning paradigm. In this paper, we first propose a local perspective to explicitly extract a local contrastive form from MAE's reconstructive objective at the patch level. And then we introduce a new empirical framework, called Local Contrastive MAE (LC-MAE), to analyze both reconstructive and contrastive aspects of MAE. LC-MAE reveals that MAE learns invariance to random masking and ensures distribution consistency between the learned token embeddings and the original images. Furthermore, we dissect the contribution of the decoder and random masking to MAE's success, revealing both the decoder's learning mechanism and the dual role of random masking as data augmentation and effective receptive field restriction. Our experimental analysis sheds light on the intricacies of MAE and summarizes some useful design methodologies, which can inspire more powerful visual self-supervised methods.</x:v>
      </x:c>
      <x:c r="L194" s="17" t="str">
        <x:v>http://arxiv.org/abs/2310.01994v2</x:v>
      </x:c>
      <x:c r="M194" s="23" t="n">
        <x:v>0.015625</x:v>
      </x:c>
      <x:c r="N194" s="17" t="str">
        <x:v>arxiv-paper-eval-20260727-105551-results.jsonl</x:v>
      </x:c>
      <x:c r="O194" s="24" t="str">
        <x:v>2</x:v>
      </x:c>
      <x:c r="P194" s="28" t="str">
        <x:v>从局部对比视角解析掩码自编码目标及随机掩码机制。</x:v>
      </x:c>
      <x:c r="Q194" s="25" t="str"/>
      <x:c r="R194" s="24" t="str">
        <x:f>IF(Q194&lt;&gt;"",Q194,O194)</x:f>
        <x:v>2</x:v>
      </x:c>
      <x:c r="S194" s="29" t="str"/>
    </x:row>
    <x:row r="195" ht="54" customHeight="1">
      <x:c r="A195" s="17" t="str">
        <x:v>csq010-r14</x:v>
      </x:c>
      <x:c r="B195" s="17" t="str">
        <x:v>csq010</x:v>
      </x:c>
      <x:c r="C195" s="17" t="str">
        <x:v>machine_learning</x:v>
      </x:c>
      <x:c r="D195" s="17" t="str">
        <x:v>self_supervised_learning</x:v>
      </x:c>
      <x:c r="E195" s="27" t="str">
        <x:v>How have self-supervised representation learning objectives evolved from contrastive learning to non-contrastive and masked-prediction approaches?</x:v>
      </x:c>
      <x:c r="F195" s="22" t="n">
        <x:v>14</x:v>
      </x:c>
      <x:c r="G195" s="17" t="str">
        <x:v>arXiv:2211.05442</x:v>
      </x:c>
      <x:c r="H195" s="27" t="str">
        <x:v>Self-supervised learning of audio representations using angular contrastive loss</x:v>
      </x:c>
      <x:c r="I195" s="17" t="str">
        <x:v>Shanshan Wang; Soumya Tripathy; Annamaria Mesaros</x:v>
      </x:c>
      <x:c r="J195" s="22" t="n">
        <x:v>2022</x:v>
      </x:c>
      <x:c r="K195" s="27" t="str">
        <x:v>In Self-Supervised Learning (SSL), various pretext tasks are designed for learning feature representations through contrastive loss. However, previous studies have shown that this loss is less tolerant to semantically similar samples due to the inherent defect of instance discrimination objectives, which may harm the quality of learned feature embeddings used in downstream tasks. To improve the discriminative ability of feature embeddings in SSL, we propose a new loss function called Angular Contrastive Loss (ACL), a linear combination of angular margin and contrastive loss. ACL improves contrastive learning by explicitly adding an angular margin between positive and negative augmented pairs in SSL. Experimental results show that using ACL for both supervised and unsupervised learning significantly improves performance. We validated our new loss function using the FSDnoisy18k dataset, where we achieved 73.6% and 77.1% accuracy in sound event classification using supervised and self-supervised learning, respectively.</x:v>
      </x:c>
      <x:c r="L195" s="17" t="str">
        <x:v>http://arxiv.org/abs/2211.05442v2</x:v>
      </x:c>
      <x:c r="M195" s="23" t="n">
        <x:v>0.015625</x:v>
      </x:c>
      <x:c r="N195" s="17" t="str">
        <x:v>arxiv-paper-eval-20260727-105551-results.jsonl</x:v>
      </x:c>
      <x:c r="O195" s="24" t="str">
        <x:v>2</x:v>
      </x:c>
      <x:c r="P195" s="28" t="str">
        <x:v>针对实例判别缺陷提出角度间隔与对比损失的组合目标。</x:v>
      </x:c>
      <x:c r="Q195" s="25" t="str"/>
      <x:c r="R195" s="24" t="str">
        <x:f>IF(Q195&lt;&gt;"",Q195,O195)</x:f>
        <x:v>2</x:v>
      </x:c>
      <x:c r="S195" s="29" t="str"/>
    </x:row>
    <x:row r="196" ht="54" customHeight="1">
      <x:c r="A196" s="17" t="str">
        <x:v>csq010-r15</x:v>
      </x:c>
      <x:c r="B196" s="17" t="str">
        <x:v>csq010</x:v>
      </x:c>
      <x:c r="C196" s="17" t="str">
        <x:v>machine_learning</x:v>
      </x:c>
      <x:c r="D196" s="17" t="str">
        <x:v>self_supervised_learning</x:v>
      </x:c>
      <x:c r="E196" s="27" t="str">
        <x:v>How have self-supervised representation learning objectives evolved from contrastive learning to non-contrastive and masked-prediction approaches?</x:v>
      </x:c>
      <x:c r="F196" s="22" t="n">
        <x:v>15</x:v>
      </x:c>
      <x:c r="G196" s="17" t="str">
        <x:v>arXiv:2205.06226</x:v>
      </x:c>
      <x:c r="H196" s="27" t="str">
        <x:v>The Mechanism of Prediction Head in Non-contrastive Self-supervised Learning</x:v>
      </x:c>
      <x:c r="I196" s="17" t="str">
        <x:v>Zixin Wen; Yuanzhi Li</x:v>
      </x:c>
      <x:c r="J196" s="22" t="n">
        <x:v>2022</x:v>
      </x:c>
      <x:c r="K196" s="27" t="str">
        <x:v>Recently the surprising discovery of the Bootstrap Your Own Latent (BYOL) method by Grill et al. shows the negative term in contrastive loss can be removed if we add the so-called prediction head to the network. This initiated the research of non-contrastive self-supervised learning. It is mysterious why even when there exist trivial collapsed global optimal solutions, neural networks trained by (stochastic) gradient descent can still learn competitive representations. This phenomenon is a typical example of implicit bias in deep learning and remains little understood. In this work, we present our empirical and theoretical discoveries on non-contrastive self-supervised learning. Empirically, we find that when the prediction head is initialized as an identity matrix with only its off-diagonal entries being trainable, the network can learn competitive representations even though the trivial optima still exist in the training objective. Theoretically, we present a framework to understand the behavior of the trainable, but identity-initialized prediction head. Under a simple setting, we characterized the substitution effect and acceleration effect of the prediction head. The substitution effect happens when learning the stronger features in some neurons can substitute for learning these features in other neurons through updating the prediction head. And the acceleration effect happens when the substituted features can accelerate the learning of other weaker features to prevent them from being ignored. These two effects enable the neural networks to learn all the features rather than focus only on learning the stronger features, which is likely the cause of the dimensional collapse phenomenon. To the best of our knowledge, this is also the first end-to-end optimization guarantee for non-contrastive methods using nonlinear neural networks with a trainable prediction head and normalization.</x:v>
      </x:c>
      <x:c r="L196" s="17" t="str">
        <x:v>http://arxiv.org/abs/2205.06226v3</x:v>
      </x:c>
      <x:c r="M196" s="23" t="n">
        <x:v>0.015625</x:v>
      </x:c>
      <x:c r="N196" s="17" t="str">
        <x:v>arxiv-paper-eval-20260727-105551-results.jsonl</x:v>
      </x:c>
      <x:c r="O196" s="24" t="str">
        <x:v>2</x:v>
      </x:c>
      <x:c r="P196" s="28" t="str">
        <x:v>理论解释BYOL式非对比预测头如何防止维度坍塌。</x:v>
      </x:c>
      <x:c r="Q196" s="25" t="str"/>
      <x:c r="R196" s="24" t="str">
        <x:f>IF(Q196&lt;&gt;"",Q196,O196)</x:f>
        <x:v>2</x:v>
      </x:c>
      <x:c r="S196" s="29" t="str"/>
    </x:row>
    <x:row r="197" ht="54" customHeight="1">
      <x:c r="A197" s="17" t="str">
        <x:v>csq010-r16</x:v>
      </x:c>
      <x:c r="B197" s="17" t="str">
        <x:v>csq010</x:v>
      </x:c>
      <x:c r="C197" s="17" t="str">
        <x:v>machine_learning</x:v>
      </x:c>
      <x:c r="D197" s="17" t="str">
        <x:v>self_supervised_learning</x:v>
      </x:c>
      <x:c r="E197" s="27" t="str">
        <x:v>How have self-supervised representation learning objectives evolved from contrastive learning to non-contrastive and masked-prediction approaches?</x:v>
      </x:c>
      <x:c r="F197" s="22" t="n">
        <x:v>16</x:v>
      </x:c>
      <x:c r="G197" s="17" t="str">
        <x:v>arXiv:2502.06380</x:v>
      </x:c>
      <x:c r="H197" s="27" t="str">
        <x:v>Structure-preserving contrastive learning for spatial time series</x:v>
      </x:c>
      <x:c r="I197" s="17" t="str">
        <x:v>Yiru Jiao; Sander van Cranenburgh; Simeon Calvert; Hans van Lint</x:v>
      </x:c>
      <x:c r="J197" s="22" t="n">
        <x:v>2025</x:v>
      </x:c>
      <x:c r="K197" s="27" t="str">
        <x:v>The effectiveness of neural network models largely relies on learning meaningful latent patterns from data, where self-supervised learning of informative representations can enhance model performance and generalisability. However, self-supervised representation learning for spatially characterised time series, which are ubiquitous in transportation domain, poses unique challenges due to the necessity of maintaining fine-grained spatio-temporal similarities in the latent space. In this study, we introduce two structure-preserving regularisers for the contrastive learning of spatial time series: one regulariser preserves the topology of similarities between instances, and the other preserves the graph geometry of similarities across spatial and temporal dimensions. To balance the contrastive learning objective and the need for structure preservation, we propose a dynamic weighting mechanism that adaptively manages this trade-off and stabilises training. We validate the proposed method through extensive experiments, including multivariate time series classification to demonstrate its general applicability, as well as macroscopic and microscopic traffic prediction to highlight its particular usefulness in encoding traffic interactions. Across all tasks, our method preserves the similarity structures more effectively and improves state-of-the-art task performances. This method can be integrated with an arbitrary neural network model and is particularly beneficial for time series data with spatial or geographical features. Furthermore, our findings suggest that well-preserved similarity structures in the latent space indicate more informative and useful representations. This provides insights to design more effective neural networks for data-driven transportation research. Our code is made openly accessible with all resulting data at https://github.com/yiru-jiao/spclt</x:v>
      </x:c>
      <x:c r="L197" s="17" t="str">
        <x:v>http://arxiv.org/abs/2502.06380v5</x:v>
      </x:c>
      <x:c r="M197" s="23" t="n">
        <x:v>0.015384615384615385</x:v>
      </x:c>
      <x:c r="N197" s="17" t="str">
        <x:v>arxiv-paper-eval-20260727-105551-results.jsonl</x:v>
      </x:c>
      <x:c r="O197" s="24" t="str">
        <x:v>2</x:v>
      </x:c>
      <x:c r="P197" s="28" t="str">
        <x:v>为时空序列提出保结构正则的对比学习目标及动态权衡。</x:v>
      </x:c>
      <x:c r="Q197" s="25" t="str"/>
      <x:c r="R197" s="24" t="str">
        <x:f>IF(Q197&lt;&gt;"",Q197,O197)</x:f>
        <x:v>2</x:v>
      </x:c>
      <x:c r="S197" s="29" t="str"/>
    </x:row>
    <x:row r="198" ht="54" customHeight="1">
      <x:c r="A198" s="17" t="str">
        <x:v>csq010-r17</x:v>
      </x:c>
      <x:c r="B198" s="17" t="str">
        <x:v>csq010</x:v>
      </x:c>
      <x:c r="C198" s="17" t="str">
        <x:v>machine_learning</x:v>
      </x:c>
      <x:c r="D198" s="17" t="str">
        <x:v>self_supervised_learning</x:v>
      </x:c>
      <x:c r="E198" s="27" t="str">
        <x:v>How have self-supervised representation learning objectives evolved from contrastive learning to non-contrastive and masked-prediction approaches?</x:v>
      </x:c>
      <x:c r="F198" s="22" t="n">
        <x:v>17</x:v>
      </x:c>
      <x:c r="G198" s="17" t="str">
        <x:v>arXiv:2505.09160</x:v>
      </x:c>
      <x:c r="H198" s="27" t="str">
        <x:v>A Multi-Task Foundation Model for Wireless Channel Representation Using Contrastive and Masked Autoencoder Learning</x:v>
      </x:c>
      <x:c r="I198" s="17" t="str">
        <x:v>Berkay Guler; Giovanni Geraci; Hamid Jafarkhani</x:v>
      </x:c>
      <x:c r="J198" s="22" t="n">
        <x:v>2025</x:v>
      </x:c>
      <x:c r="K198" s="27" t="str">
        <x:v>Current applications of self-supervised learning to wireless channel representation often borrow paradigms developed for text and image processing, without fully addressing the unique characteristics and constraints of wireless communications. To bridge this gap, we introduce ContraWiMAE, Wireless Contrastive Masked Autoencoder, a transformer-based foundation model that unifies masked reconstruction and masked contrastive learning for wireless channel representation. Our key innovation is a new wireless-inspired contrastive objective that exploits the inherent characteristics of wireless environment, including noise, fading, and partial observability, as natural augmentation. Through extensive evaluation on unseen scenarios and conditions, we demonstrate our method's effectiveness in multiple downstream tasks, including cross-frequency beam selection, line-of-sight detection, and channel estimation. ContraWiMAE exhibits superior linear separability and adaptability in diverse wireless environments, demonstrating exceptional data efficiency and competitive performance compared with supervised baselines under challenging conditions. Comparative evaluations against a state-of-the-art wireless channel foundation model confirm the superior performance and data efficiency of our approach, highlighting its potential as a powerful baseline for future research in self-supervised wireless channel representation learning. To foster further work in this direction, we release the model weights and training pipeline for ContraWiMAE.</x:v>
      </x:c>
      <x:c r="L198" s="17" t="str">
        <x:v>http://arxiv.org/abs/2505.09160v2</x:v>
      </x:c>
      <x:c r="M198" s="23" t="n">
        <x:v>0.015384615384615385</x:v>
      </x:c>
      <x:c r="N198" s="17" t="str">
        <x:v>arxiv-paper-eval-20260727-105551-results.jsonl</x:v>
      </x:c>
      <x:c r="O198" s="24" t="str">
        <x:v>2</x:v>
      </x:c>
      <x:c r="P198" s="28" t="str">
        <x:v>统一无线领域掩码重建与掩码对比目标并验证下游性能。</x:v>
      </x:c>
      <x:c r="Q198" s="25" t="str"/>
      <x:c r="R198" s="24" t="str">
        <x:f>IF(Q198&lt;&gt;"",Q198,O198)</x:f>
        <x:v>2</x:v>
      </x:c>
      <x:c r="S198" s="29" t="str"/>
    </x:row>
    <x:row r="199" ht="54" customHeight="1">
      <x:c r="A199" s="17" t="str">
        <x:v>csq010-r18</x:v>
      </x:c>
      <x:c r="B199" s="17" t="str">
        <x:v>csq010</x:v>
      </x:c>
      <x:c r="C199" s="17" t="str">
        <x:v>machine_learning</x:v>
      </x:c>
      <x:c r="D199" s="17" t="str">
        <x:v>self_supervised_learning</x:v>
      </x:c>
      <x:c r="E199" s="27" t="str">
        <x:v>How have self-supervised representation learning objectives evolved from contrastive learning to non-contrastive and masked-prediction approaches?</x:v>
      </x:c>
      <x:c r="F199" s="22" t="n">
        <x:v>18</x:v>
      </x:c>
      <x:c r="G199" s="17" t="str">
        <x:v>arXiv:2403.06432</x:v>
      </x:c>
      <x:c r="H199" s="27" t="str">
        <x:v>Joint-Embedding Masked Autoencoder for Self-supervised Learning of Dynamic Functional Connectivity from the Human Brain</x:v>
      </x:c>
      <x:c r="I199" s="17" t="str">
        <x:v>Jungwon Choi; Hyungi Lee; Byung-Hoon Kim; Juho Lee</x:v>
      </x:c>
      <x:c r="J199" s="22" t="n">
        <x:v>2024</x:v>
      </x:c>
      <x:c r="K199" s="27" t="str">
        <x:v>Graph Neural Networks (GNNs) have shown promise in learning dynamic functional connectivity for distinguishing phenotypes from human brain networks. However, obtaining extensive labeled clinical data for training is often resource-intensive, making practical application difficult. Leveraging unlabeled data thus becomes crucial for representation learning in a label-scarce setting. Although generative self-supervised learning techniques, especially masked autoencoders, have shown promising results in representation learning in various domains, their application to dynamic graphs for dynamic functional connectivity remains underexplored, facing challenges in capturing high-level semantic representations. Here, we introduce the Spatio-Temporal Joint Embedding Masked Autoencoder (ST-JEMA), drawing inspiration from the Joint Embedding Predictive Architecture (JEPA) in computer vision. ST-JEMA employs a JEPA-inspired strategy for reconstructing dynamic graphs, which enables the learning of higher-level semantic representations considering temporal perspectives, addressing the challenges in fMRI data representation learning. Utilizing the large-scale UK Biobank dataset for self-supervised learning, ST-JEMA shows exceptional representation learning performance on dynamic functional connectivity demonstrating superiority over previous methods in predicting phenotypes and psychiatric diagnoses across eight benchmark fMRI datasets even with limited samples and effectiveness of temporal reconstruction on missing data scenarios. These findings highlight the potential of our approach as a robust representation learning method for leveraging label-scarce fMRI data.</x:v>
      </x:c>
      <x:c r="L199" s="17" t="str">
        <x:v>http://arxiv.org/abs/2403.06432v2</x:v>
      </x:c>
      <x:c r="M199" s="23" t="n">
        <x:v>0.015384615384615385</x:v>
      </x:c>
      <x:c r="N199" s="17" t="str">
        <x:v>arxiv-paper-eval-20260727-105551-results.jsonl</x:v>
      </x:c>
      <x:c r="O199" s="24" t="str">
        <x:v>2</x:v>
      </x:c>
      <x:c r="P199" s="28" t="str">
        <x:v>以JEPA式联合嵌入推进动态图掩码自编码和语义预测。</x:v>
      </x:c>
      <x:c r="Q199" s="25" t="str"/>
      <x:c r="R199" s="24" t="str">
        <x:f>IF(Q199&lt;&gt;"",Q199,O199)</x:f>
        <x:v>2</x:v>
      </x:c>
      <x:c r="S199" s="29" t="str"/>
    </x:row>
    <x:row r="200" ht="54" customHeight="1">
      <x:c r="A200" s="17" t="str">
        <x:v>csq010-r19</x:v>
      </x:c>
      <x:c r="B200" s="17" t="str">
        <x:v>csq010</x:v>
      </x:c>
      <x:c r="C200" s="17" t="str">
        <x:v>machine_learning</x:v>
      </x:c>
      <x:c r="D200" s="17" t="str">
        <x:v>self_supervised_learning</x:v>
      </x:c>
      <x:c r="E200" s="27" t="str">
        <x:v>How have self-supervised representation learning objectives evolved from contrastive learning to non-contrastive and masked-prediction approaches?</x:v>
      </x:c>
      <x:c r="F200" s="22" t="n">
        <x:v>19</x:v>
      </x:c>
      <x:c r="G200" s="17" t="str">
        <x:v>arXiv:2303.05556</x:v>
      </x:c>
      <x:c r="H200" s="27" t="str">
        <x:v>An Evaluation of Non-Contrastive Self-Supervised Learning for Federated Medical Image Analysis</x:v>
      </x:c>
      <x:c r="I200" s="17" t="str">
        <x:v>Soumitri Chattopadhyay; Soham Ganguly; Sreejit Chaudhury; Sayan Nag; Samiran Chattopadhyay</x:v>
      </x:c>
      <x:c r="J200" s="22" t="n">
        <x:v>2023</x:v>
      </x:c>
      <x:c r="K200" s="27" t="str">
        <x:v>Privacy and annotation bottlenecks are two major issues that profoundly affect the practicality of machine learning-based medical image analysis. Although significant progress has been made in these areas, these issues are not yet fully resolved. In this paper, we seek to tackle these concerns head-on and systematically explore the applicability of non-contrastive self-supervised learning (SSL) algorithms under federated learning (FL) simulations for medical image analysis. We conduct thorough experimentation of recently proposed state-of-the-art non-contrastive frameworks under standard FL setups. With the SoTA Contrastive Learning algorithm, SimCLR as our comparative baseline, we benchmark the performances of our 4 chosen non-contrastive algorithms under non-i.i.d. data conditions and with a varying number of clients. We present a holistic evaluation of these techniques on 6 standardized medical imaging datasets. We further analyse different trends inferred from the findings of our research, with the aim to find directions for further research based on ours. To the best of our knowledge, ours is the first to perform such a thorough analysis of federated self-supervised learning for medical imaging. All of our source code will be made public upon acceptance of the paper.</x:v>
      </x:c>
      <x:c r="L200" s="17" t="str">
        <x:v>http://arxiv.org/abs/2303.05556v1</x:v>
      </x:c>
      <x:c r="M200" s="23" t="n">
        <x:v>0.015384615384615385</x:v>
      </x:c>
      <x:c r="N200" s="17" t="str">
        <x:v>arxiv-paper-eval-20260727-105551-results.jsonl</x:v>
      </x:c>
      <x:c r="O200" s="24" t="str">
        <x:v>2</x:v>
      </x:c>
      <x:c r="P200" s="28" t="str">
        <x:v>系统比较四种非对比算法与SimCLR对比基线在联邦医学数据表现。</x:v>
      </x:c>
      <x:c r="Q200" s="25" t="str"/>
      <x:c r="R200" s="24" t="str">
        <x:f>IF(Q200&lt;&gt;"",Q200,O200)</x:f>
        <x:v>2</x:v>
      </x:c>
      <x:c r="S200" s="29" t="str"/>
    </x:row>
    <x:row r="201" ht="54" customHeight="1">
      <x:c r="A201" s="17" t="str">
        <x:v>csq010-r20</x:v>
      </x:c>
      <x:c r="B201" s="17" t="str">
        <x:v>csq010</x:v>
      </x:c>
      <x:c r="C201" s="17" t="str">
        <x:v>machine_learning</x:v>
      </x:c>
      <x:c r="D201" s="17" t="str">
        <x:v>self_supervised_learning</x:v>
      </x:c>
      <x:c r="E201" s="27" t="str">
        <x:v>How have self-supervised representation learning objectives evolved from contrastive learning to non-contrastive and masked-prediction approaches?</x:v>
      </x:c>
      <x:c r="F201" s="22" t="n">
        <x:v>20</x:v>
      </x:c>
      <x:c r="G201" s="17" t="str">
        <x:v>arXiv:2507.01028</x:v>
      </x:c>
      <x:c r="H201" s="27" t="str">
        <x:v>Dual Perspectives on Non-Contrastive Self-Supervised Learning</x:v>
      </x:c>
      <x:c r="I201" s="17" t="str">
        <x:v>Jean Ponce; Basile Terver; Martial Hebert; Michael Arbel</x:v>
      </x:c>
      <x:c r="J201" s="22" t="n">
        <x:v>2025</x:v>
      </x:c>
      <x:c r="K201" s="27" t="str">
        <x:v>The {\em stop gradient} and {\em exponential moving average} iterative procedures are commonly used in non-contrastive approaches to self-supervised learning to avoid representation collapse, with excellent performance in downstream applications in practice. This presentation investigates these procedures from the dual viewpoints of optimization and dynamical systems. We show that, in general, although they {\em do not} optimize the original objective, or {\em any} other smooth function, they {\em do} avoid collapse Following~\citet{Tian21}, but without any of the extra assumptions used in their proofs, we then show using a dynamical system perspective that, in the linear case, minimizing the original objective function without the use of a stop gradient or exponential moving average {\em always} leads to collapse. Conversely, we characterize explicitly the equilibria of the dynamical systems associated with these two procedures in this linear setting as algebraic varieties in their parameter space, and show that they are, in general, {\em asymptotically stable}. Our theoretical findings are illustrated by empirical experiments with real and synthetic data.</x:v>
      </x:c>
      <x:c r="L201" s="17" t="str">
        <x:v>http://arxiv.org/abs/2507.01028v3</x:v>
      </x:c>
      <x:c r="M201" s="23" t="n">
        <x:v>0.015151515151515152</x:v>
      </x:c>
      <x:c r="N201" s="17" t="str">
        <x:v>arxiv-paper-eval-20260727-105551-results.jsonl</x:v>
      </x:c>
      <x:c r="O201" s="24" t="str">
        <x:v>2</x:v>
      </x:c>
      <x:c r="P201" s="28" t="str">
        <x:v>从优化和动力系统解释非对比停止梯度与EMA避免坍塌。</x:v>
      </x:c>
      <x:c r="Q201" s="25" t="str"/>
      <x:c r="R201" s="24" t="str">
        <x:f>IF(Q201&lt;&gt;"",Q201,O201)</x:f>
        <x:v>2</x:v>
      </x:c>
      <x:c r="S201" s="29" t="str"/>
    </x:row>
    <x:row r="202" ht="54" customHeight="1">
      <x:c r="A202" s="17" t="str">
        <x:v>csq011-r01</x:v>
      </x:c>
      <x:c r="B202" s="17" t="str">
        <x:v>csq011</x:v>
      </x:c>
      <x:c r="C202" s="17" t="str">
        <x:v>computer_vision</x:v>
      </x:c>
      <x:c r="D202" s="17" t="str">
        <x:v>neural_3d_representation</x:v>
      </x:c>
      <x:c r="E202" s="27" t="str">
        <x:v>What are the main neural representations for novel-view synthesis, including neural radiance fields and 3D Gaussian splatting, and what are their computational trade-offs?</x:v>
      </x:c>
      <x:c r="F202" s="22" t="n">
        <x:v>1</x:v>
      </x:c>
      <x:c r="G202" s="17" t="str">
        <x:v>arXiv:2012.15838</x:v>
      </x:c>
      <x:c r="H202" s="27" t="str">
        <x:v>Neural Body: Implicit Neural Representations with Structured Latent Codes for Novel View Synthesis of Dynamic Humans</x:v>
      </x:c>
      <x:c r="I202" s="17" t="str">
        <x:v>Sida Peng; Yuanqing Zhang; Yinghao Xu; Qianqian Wang; Qing Shuai; Hujun Bao; Xiaowei Zhou</x:v>
      </x:c>
      <x:c r="J202" s="22" t="n">
        <x:v>2020</x:v>
      </x:c>
      <x:c r="K202" s="27" t="str">
        <x:v>This paper addresses the challenge of novel view synthesis for a human performer from a very sparse set of camera views. Some recent works have shown that learning implicit neural representations of 3D scenes achieves remarkable view synthesis quality given dense input views. However, the representation learning will be ill-posed if the views are highly sparse. To solve this ill-posed problem, our key idea is to integrate observations over video frames. To this end, we propose Neural Body, a new human body representation which assumes that the learned neural representations at different frames share the same set of latent codes anchored to a deformable mesh, so that the observations across frames can be naturally integrated. The deformable mesh also provides geometric guidance for the network to learn 3D representations more efficiently. To evaluate our approach, we create a multi-view dataset named ZJU-MoCap that captures performers with complex motions. Experiments on ZJU-MoCap show that our approach outperforms prior works by a large margin in terms of novel view synthesis quality. We also demonstrate the capability of our approach to reconstruct a moving person from a monocular video on the People-Snapshot dataset. The code and dataset are available at https://zju3dv.github.io/neuralbody/.</x:v>
      </x:c>
      <x:c r="L202" s="17" t="str">
        <x:v>http://arxiv.org/abs/2012.15838v2</x:v>
      </x:c>
      <x:c r="M202" s="23" t="n">
        <x:v>0.032266458495966696</x:v>
      </x:c>
      <x:c r="N202" s="17" t="str">
        <x:v>arxiv-paper-eval-20260727-105551-results.jsonl</x:v>
      </x:c>
      <x:c r="O202" s="24" t="str">
        <x:v>2</x:v>
      </x:c>
      <x:c r="P202" s="28" t="str">
        <x:v>提出用于动态人体新视角合成的结构化隐式神经表示。</x:v>
      </x:c>
      <x:c r="Q202" s="25" t="str"/>
      <x:c r="R202" s="24" t="str">
        <x:f>IF(Q202&lt;&gt;"",Q202,O202)</x:f>
        <x:v>2</x:v>
      </x:c>
      <x:c r="S202" s="29" t="str"/>
    </x:row>
    <x:row r="203" ht="54" customHeight="1">
      <x:c r="A203" s="17" t="str">
        <x:v>csq011-r02</x:v>
      </x:c>
      <x:c r="B203" s="17" t="str">
        <x:v>csq011</x:v>
      </x:c>
      <x:c r="C203" s="17" t="str">
        <x:v>computer_vision</x:v>
      </x:c>
      <x:c r="D203" s="17" t="str">
        <x:v>neural_3d_representation</x:v>
      </x:c>
      <x:c r="E203" s="27" t="str">
        <x:v>What are the main neural representations for novel-view synthesis, including neural radiance fields and 3D Gaussian splatting, and what are their computational trade-offs?</x:v>
      </x:c>
      <x:c r="F203" s="22" t="n">
        <x:v>2</x:v>
      </x:c>
      <x:c r="G203" s="17" t="str">
        <x:v>arXiv:2406.01042</x:v>
      </x:c>
      <x:c r="H203" s="27" t="str">
        <x:v>Self-Calibrating 4D Novel View Synthesis from Monocular Videos Using Gaussian Splatting</x:v>
      </x:c>
      <x:c r="I203" s="17" t="str">
        <x:v>Fang Li; Hao Zhang; Narendra Ahuja</x:v>
      </x:c>
      <x:c r="J203" s="22" t="n">
        <x:v>2024</x:v>
      </x:c>
      <x:c r="K203" s="27" t="str">
        <x:v>Gaussian Splatting (GS) has significantly elevated scene reconstruction efficiency and novel view synthesis (NVS) accuracy compared to Neural Radiance Fields (NeRF), particularly for dynamic scenes. However, current 4D NVS methods, whether based on GS or NeRF, primarily rely on camera parameters provided by COLMAP and even utilize sparse point clouds generated by COLMAP for initialization, which lack accuracy as well are time-consuming. This sometimes results in poor dynamic scene representation, especially in scenes with large object movements, or extreme camera conditions e.g. small translations combined with large rotations. Some studies simultaneously optimize the estimation of camera parameters and scenes, supervised by additional information like depth, optical flow, etc. obtained from off-the-shelf models. Using this unverified information as ground truth can reduce robustness and accuracy, which does frequently occur for long monocular videos (with e.g. &gt; hundreds of frames). We propose a novel approach that learns a high-fidelity 4D GS scene representation with self-calibration of camera parameters. It includes the extraction of 2D point features that robustly represent 3D structure, and their use for subsequent joint optimization of camera parameters and 3D structure towards overall 4D scene optimization. We demonstrate the accuracy and time efficiency of our method through extensive quantitative and qualitative experimental results on several standard benchmarks. The results show significant improvements over state-of-the-art methods for 4D novel view synthesis. The source code will be released soon at https://github.com/fangli333/SC-4DGS.</x:v>
      </x:c>
      <x:c r="L203" s="17" t="str">
        <x:v>http://arxiv.org/abs/2406.01042v3</x:v>
      </x:c>
      <x:c r="M203" s="23" t="n">
        <x:v>0.03036576949620428</x:v>
      </x:c>
      <x:c r="N203" s="17" t="str">
        <x:v>arxiv-paper-eval-20260727-105551-results.jsonl</x:v>
      </x:c>
      <x:c r="O203" s="24" t="str">
        <x:v>2</x:v>
      </x:c>
      <x:c r="P203" s="28" t="str">
        <x:v>以4D高斯泼溅进行新视角合成并比较NeRF效率。</x:v>
      </x:c>
      <x:c r="Q203" s="25" t="str"/>
      <x:c r="R203" s="24" t="str">
        <x:f>IF(Q203&lt;&gt;"",Q203,O203)</x:f>
        <x:v>2</x:v>
      </x:c>
      <x:c r="S203" s="29" t="str"/>
    </x:row>
    <x:row r="204" ht="54" customHeight="1">
      <x:c r="A204" s="17" t="str">
        <x:v>csq011-r03</x:v>
      </x:c>
      <x:c r="B204" s="17" t="str">
        <x:v>csq011</x:v>
      </x:c>
      <x:c r="C204" s="17" t="str">
        <x:v>computer_vision</x:v>
      </x:c>
      <x:c r="D204" s="17" t="str">
        <x:v>neural_3d_representation</x:v>
      </x:c>
      <x:c r="E204" s="27" t="str">
        <x:v>What are the main neural representations for novel-view synthesis, including neural radiance fields and 3D Gaussian splatting, and what are their computational trade-offs?</x:v>
      </x:c>
      <x:c r="F204" s="22" t="n">
        <x:v>3</x:v>
      </x:c>
      <x:c r="G204" s="17" t="str">
        <x:v>arXiv:2205.08908</x:v>
      </x:c>
      <x:c r="H204" s="27" t="str">
        <x:v>Remote Sensing Novel View Synthesis with Implicit Multiplane Representations</x:v>
      </x:c>
      <x:c r="I204" s="17" t="str">
        <x:v>Yongchang Wu; Zhengxia Zou; Zhenwei Shi</x:v>
      </x:c>
      <x:c r="J204" s="22" t="n">
        <x:v>2022</x:v>
      </x:c>
      <x:c r="K204" s="27" t="str">
        <x:v>Novel view synthesis of remote sensing scenes is of great significance for scene visualization, human-computer interaction, and various downstream applications. Despite the recent advances in computer graphics and photogrammetry technology, generating novel views is still challenging particularly for remote sensing images due to its high complexity, view sparsity and limited view-perspective variations. In this paper, we propose a novel remote sensing view synthesis method by leveraging the recent advances in implicit neural representations. Considering the overhead and far depth imaging of remote sensing images, we represent the 3D space by combining implicit multiplane images (MPI) representation and deep neural networks. The 3D scene is reconstructed under a self-supervised optimization paradigm through a differentiable multiplane renderer with multi-view input constraints. Images from any novel views thus can be freely rendered on the basis of the reconstructed model. As a by-product, the depth maps corresponding to the given viewpoint can be generated along with the rendering output. We refer to our method as Implicit Multiplane Images (ImMPI). To further improve the view synthesis under sparse-view inputs, we explore the learning-based initialization of remote sensing 3D scenes and proposed a neural network based Prior extractor to accelerate the optimization process. In addition, we propose a new dataset for remote sensing novel view synthesis with multi-view real-world google earth images. Extensive experiments demonstrate the superiority of the ImMPI over previous state-of-the-art methods in terms of reconstruction accuracy, visual fidelity, and time efficiency. Ablation experiments also suggest the effectiveness of our methodology design. Our dataset and code can be found at https://github.com/wyc-Chang/ImMPI</x:v>
      </x:c>
      <x:c r="L204" s="17" t="str">
        <x:v>http://arxiv.org/abs/2205.08908v1</x:v>
      </x:c>
      <x:c r="M204" s="23" t="n">
        <x:v>0.029631255487269532</x:v>
      </x:c>
      <x:c r="N204" s="17" t="str">
        <x:v>arxiv-paper-eval-20260727-105551-results.jsonl</x:v>
      </x:c>
      <x:c r="O204" s="24" t="str">
        <x:v>2</x:v>
      </x:c>
      <x:c r="P204" s="28" t="str">
        <x:v>提出隐式多平面神经表示并讨论合成效率。</x:v>
      </x:c>
      <x:c r="Q204" s="25" t="str"/>
      <x:c r="R204" s="24" t="str">
        <x:f>IF(Q204&lt;&gt;"",Q204,O204)</x:f>
        <x:v>2</x:v>
      </x:c>
      <x:c r="S204" s="29" t="str"/>
    </x:row>
    <x:row r="205" ht="54" customHeight="1">
      <x:c r="A205" s="17" t="str">
        <x:v>csq011-r04</x:v>
      </x:c>
      <x:c r="B205" s="17" t="str">
        <x:v>csq011</x:v>
      </x:c>
      <x:c r="C205" s="17" t="str">
        <x:v>computer_vision</x:v>
      </x:c>
      <x:c r="D205" s="17" t="str">
        <x:v>neural_3d_representation</x:v>
      </x:c>
      <x:c r="E205" s="27" t="str">
        <x:v>What are the main neural representations for novel-view synthesis, including neural radiance fields and 3D Gaussian splatting, and what are their computational trade-offs?</x:v>
      </x:c>
      <x:c r="F205" s="22" t="n">
        <x:v>4</x:v>
      </x:c>
      <x:c r="G205" s="17" t="str">
        <x:v>arXiv:2410.11080</x:v>
      </x:c>
      <x:c r="H205" s="27" t="str">
        <x:v>Few-shot Novel View Synthesis using Depth Aware 3D Gaussian Splatting</x:v>
      </x:c>
      <x:c r="I205" s="17" t="str">
        <x:v>Raja Kumar; Vanshika Vats</x:v>
      </x:c>
      <x:c r="J205" s="22" t="n">
        <x:v>2024</x:v>
      </x:c>
      <x:c r="K205" s="27" t="str">
        <x:v>3D Gaussian splatting has surpassed neural radiance field methods in novel view synthesis by achieving lower computational costs and real-time high-quality rendering. Although it produces a high-quality rendering with a lot of input views, its performance drops significantly when only a few views are available. In this work, we address this by proposing a depth-aware Gaussian splatting method for few-shot novel view synthesis. We use monocular depth prediction as a prior, along with a scale-invariant depth loss, to constrain the 3D shape under just a few input views. We also model color using lower-order spherical harmonics to avoid overfitting. Further, we observe that removing splats with lower opacity periodically, as performed in the original work, leads to a very sparse point cloud and, hence, a lower-quality rendering. To mitigate this, we retain all the splats, leading to a better reconstruction in a few view settings. Experimental results show that our method outperforms the traditional 3D Gaussian splatting methods by achieving improvements of 10.5% in peak signal-to-noise ratio, 6% in structural similarity index, and 14.1% in perceptual similarity, thereby validating the effectiveness of our approach. The code will be made available at: https://github.com/raja-kumar/depth-aware-3DGS</x:v>
      </x:c>
      <x:c r="L205" s="17" t="str">
        <x:v>http://arxiv.org/abs/2410.11080v1</x:v>
      </x:c>
      <x:c r="M205" s="23" t="n">
        <x:v>0.02684684684684685</x:v>
      </x:c>
      <x:c r="N205" s="17" t="str">
        <x:v>arxiv-paper-eval-20260727-105551-results.jsonl</x:v>
      </x:c>
      <x:c r="O205" s="24" t="str">
        <x:v>2</x:v>
      </x:c>
      <x:c r="P205" s="28" t="str">
        <x:v>直接研究少视图3D高斯泼溅的质量与计算优势。</x:v>
      </x:c>
      <x:c r="Q205" s="25" t="str"/>
      <x:c r="R205" s="24" t="str">
        <x:f>IF(Q205&lt;&gt;"",Q205,O205)</x:f>
        <x:v>2</x:v>
      </x:c>
      <x:c r="S205" s="29" t="str"/>
    </x:row>
    <x:row r="206" ht="54" customHeight="1">
      <x:c r="A206" s="17" t="str">
        <x:v>csq011-r05</x:v>
      </x:c>
      <x:c r="B206" s="17" t="str">
        <x:v>csq011</x:v>
      </x:c>
      <x:c r="C206" s="17" t="str">
        <x:v>computer_vision</x:v>
      </x:c>
      <x:c r="D206" s="17" t="str">
        <x:v>neural_3d_representation</x:v>
      </x:c>
      <x:c r="E206" s="27" t="str">
        <x:v>What are the main neural representations for novel-view synthesis, including neural radiance fields and 3D Gaussian splatting, and what are their computational trade-offs?</x:v>
      </x:c>
      <x:c r="F206" s="22" t="n">
        <x:v>5</x:v>
      </x:c>
      <x:c r="G206" s="17" t="str">
        <x:v>arXiv:2308.02840</x:v>
      </x:c>
      <x:c r="H206" s="27" t="str">
        <x:v>Learning Unified Decompositional and Compositional NeRF for Editable Novel View Synthesis</x:v>
      </x:c>
      <x:c r="I206" s="17" t="str">
        <x:v>Yuxin Wang; Wayne Wu; Dan Xu</x:v>
      </x:c>
      <x:c r="J206" s="22" t="n">
        <x:v>2023</x:v>
      </x:c>
      <x:c r="K206" s="27" t="str">
        <x:v>Implicit neural representations have shown powerful capacity in modeling real-world 3D scenes, offering superior performance in novel view synthesis. In this paper, we target a more challenging scenario, i.e., joint scene novel view synthesis and editing based on implicit neural scene representations. State-of-the-art methods in this direction typically consider building separate networks for these two tasks (i.e., view synthesis and editing). Thus, the modeling of interactions and correlations between these two tasks is very limited, which, however, is critical for learning high-quality scene representations. To tackle this problem, in this paper, we propose a unified Neural Radiance Field (NeRF) framework to effectively perform joint scene decomposition and composition for modeling real-world scenes. The decomposition aims at learning disentangled 3D representations of different objects and the background, allowing for scene editing, while scene composition models an entire scene representation for novel view synthesis. Specifically, with a two-stage NeRF framework, we learn a coarse stage for predicting a global radiance field as guidance for point sampling, and in the second fine-grained stage, we perform scene decomposition by a novel one-hot object radiance field regularization module and a pseudo supervision via inpainting to handle ambiguous background regions occluded by objects. The decomposed object-level radiance fields are further composed by using activations from the decomposition module. Extensive quantitative and qualitative results show the effectiveness of our method for scene decomposition and composition, outperforming state-of-the-art methods for both novel-view synthesis and editing tasks.</x:v>
      </x:c>
      <x:c r="L206" s="17" t="str">
        <x:v>http://arxiv.org/abs/2308.02840v1</x:v>
      </x:c>
      <x:c r="M206" s="23" t="n">
        <x:v>0.01639344262295082</x:v>
      </x:c>
      <x:c r="N206" s="17" t="str">
        <x:v>arxiv-paper-eval-20260727-105551-results.jsonl</x:v>
      </x:c>
      <x:c r="O206" s="24" t="str">
        <x:v>2</x:v>
      </x:c>
      <x:c r="P206" s="28" t="str">
        <x:v>提出可编辑新视角合成的NeRF场景表示。</x:v>
      </x:c>
      <x:c r="Q206" s="25" t="str"/>
      <x:c r="R206" s="24" t="str">
        <x:f>IF(Q206&lt;&gt;"",Q206,O206)</x:f>
        <x:v>2</x:v>
      </x:c>
      <x:c r="S206" s="29" t="str"/>
    </x:row>
    <x:row r="207" ht="54" customHeight="1">
      <x:c r="A207" s="17" t="str">
        <x:v>csq011-r06</x:v>
      </x:c>
      <x:c r="B207" s="17" t="str">
        <x:v>csq011</x:v>
      </x:c>
      <x:c r="C207" s="17" t="str">
        <x:v>computer_vision</x:v>
      </x:c>
      <x:c r="D207" s="17" t="str">
        <x:v>neural_3d_representation</x:v>
      </x:c>
      <x:c r="E207" s="27" t="str">
        <x:v>What are the main neural representations for novel-view synthesis, including neural radiance fields and 3D Gaussian splatting, and what are their computational trade-offs?</x:v>
      </x:c>
      <x:c r="F207" s="22" t="n">
        <x:v>6</x:v>
      </x:c>
      <x:c r="G207" s="17" t="str">
        <x:v>arXiv:2210.00379</x:v>
      </x:c>
      <x:c r="H207" s="27" t="str">
        <x:v>NeRF: Neural Radiance Field in 3D Vision: A Comprehensive Review (Updated Post-Gaussian Splatting)</x:v>
      </x:c>
      <x:c r="I207" s="17" t="str">
        <x:v>Kyle Gao; Yina Gao; Hongjie He; Dening Lu; Linlin Xu; Jonathan Li</x:v>
      </x:c>
      <x:c r="J207" s="22" t="n">
        <x:v>2022</x:v>
      </x:c>
      <x:c r="K207" s="27" t="str">
        <x:v>In March 2020, Neural Radiance Field (NeRF) revolutionized Computer Vision, allowing for implicit, neural network-based scene representation and novel view synthesis. NeRF models have found diverse applications in robotics, urban mapping, autonomous navigation, virtual reality/augmented reality, and more. In August 2023, Gaussian Splatting, a direct competitor to the NeRF-based framework, was proposed, gaining tremendous momentum and overtaking NeRF-based research in terms of interest as the dominant framework for novel view synthesis. We present a comprehensive survey of NeRF papers from the past five years (2020-2025). These include papers from the pre-Gaussian Splatting era, where NeRF dominated the field for novel view synthesis and 3D implicit and hybrid representation neural field learning. We also include works from the post-Gaussian Splatting era where NeRF and implicit/hybrid neural fields found more niche applications. Our survey is organized into architecture and application-based taxonomies in the pre-Gaussian Splatting era, as well as a categorization of active research areas for NeRF, neural field, and implicit/hybrid neural representation methods. We provide an introduction to the theory of NeRF and its training via differentiable volume rendering. We also present a benchmark comparison of the performance and speed of classical NeRF, implicit and hybrid neural representation, and neural field models, and an overview of key datasets.</x:v>
      </x:c>
      <x:c r="L207" s="17" t="str">
        <x:v>http://arxiv.org/abs/2210.00379v8</x:v>
      </x:c>
      <x:c r="M207" s="23" t="n">
        <x:v>0.01639344262295082</x:v>
      </x:c>
      <x:c r="N207" s="17" t="str">
        <x:v>arxiv-paper-eval-20260727-105551-results.jsonl</x:v>
      </x:c>
      <x:c r="O207" s="24" t="str">
        <x:v>2</x:v>
      </x:c>
      <x:c r="P207" s="28" t="str">
        <x:v>综述NeRF及高斯泼溅后表示并比较性能与速度。</x:v>
      </x:c>
      <x:c r="Q207" s="25" t="str"/>
      <x:c r="R207" s="24" t="str">
        <x:f>IF(Q207&lt;&gt;"",Q207,O207)</x:f>
        <x:v>2</x:v>
      </x:c>
      <x:c r="S207" s="29" t="str"/>
    </x:row>
    <x:row r="208" ht="54" customHeight="1">
      <x:c r="A208" s="17" t="str">
        <x:v>csq011-r07</x:v>
      </x:c>
      <x:c r="B208" s="17" t="str">
        <x:v>csq011</x:v>
      </x:c>
      <x:c r="C208" s="17" t="str">
        <x:v>computer_vision</x:v>
      </x:c>
      <x:c r="D208" s="17" t="str">
        <x:v>neural_3d_representation</x:v>
      </x:c>
      <x:c r="E208" s="27" t="str">
        <x:v>What are the main neural representations for novel-view synthesis, including neural radiance fields and 3D Gaussian splatting, and what are their computational trade-offs?</x:v>
      </x:c>
      <x:c r="F208" s="22" t="n">
        <x:v>7</x:v>
      </x:c>
      <x:c r="G208" s="17" t="str">
        <x:v>arXiv:2204.03476</x:v>
      </x:c>
      <x:c r="H208" s="27" t="str">
        <x:v>ProbNVS: Fast Novel View Synthesis with Learned Probability-Guided Sampling</x:v>
      </x:c>
      <x:c r="I208" s="17" t="str">
        <x:v>Yuemei Zhou; Tao Yu; Zerong Zheng; Ying Fu; Yebin Liu</x:v>
      </x:c>
      <x:c r="J208" s="22" t="n">
        <x:v>2022</x:v>
      </x:c>
      <x:c r="K208" s="27" t="str">
        <x:v>Existing state-of-the-art novel view synthesis methods rely on either fairly accurate 3D geometry estimation or sampling of the entire space for neural volumetric rendering, which limit the overall efficiency. In order to improve the rendering efficiency by reducing sampling points without sacrificing rendering quality, we propose to build a novel view synthesis framework based on learned MVS priors that enables general, fast and photo-realistic view synthesis simultaneously. Specifically, fewer but important points are sampled under the guidance of depth probability distributions extracted from the learned MVS architecture. Based on the learned probability-guided sampling, a neural volume rendering module is elaborately devised to fully aggregate source view information as well as the learned scene structures to synthesize photorealistic target view images. Finally, the rendering results in uncertain, occluded and unreferenced regions can be further improved by incorporating a confidence-aware refinement module. Experiments show that our method achieves 15 to 40 times faster rendering compared to state-of-the-art baselines, with strong generalization capacity and comparable high-quality novel view synthesis performance.</x:v>
      </x:c>
      <x:c r="L208" s="17" t="str">
        <x:v>http://arxiv.org/abs/2204.03476v1</x:v>
      </x:c>
      <x:c r="M208" s="23" t="n">
        <x:v>0.01639344262295082</x:v>
      </x:c>
      <x:c r="N208" s="17" t="str">
        <x:v>arxiv-paper-eval-20260727-105551-results.jsonl</x:v>
      </x:c>
      <x:c r="O208" s="24" t="str">
        <x:v>2</x:v>
      </x:c>
      <x:c r="P208" s="28" t="str">
        <x:v>以概率引导采样降低神经体渲染成本并量化加速。</x:v>
      </x:c>
      <x:c r="Q208" s="25" t="str"/>
      <x:c r="R208" s="24" t="str">
        <x:f>IF(Q208&lt;&gt;"",Q208,O208)</x:f>
        <x:v>2</x:v>
      </x:c>
      <x:c r="S208" s="29" t="str"/>
    </x:row>
    <x:row r="209" ht="54" customHeight="1">
      <x:c r="A209" s="17" t="str">
        <x:v>csq011-r08</x:v>
      </x:c>
      <x:c r="B209" s="17" t="str">
        <x:v>csq011</x:v>
      </x:c>
      <x:c r="C209" s="17" t="str">
        <x:v>computer_vision</x:v>
      </x:c>
      <x:c r="D209" s="17" t="str">
        <x:v>neural_3d_representation</x:v>
      </x:c>
      <x:c r="E209" s="27" t="str">
        <x:v>What are the main neural representations for novel-view synthesis, including neural radiance fields and 3D Gaussian splatting, and what are their computational trade-offs?</x:v>
      </x:c>
      <x:c r="F209" s="22" t="n">
        <x:v>8</x:v>
      </x:c>
      <x:c r="G209" s="17" t="str">
        <x:v>arXiv:2509.17083</x:v>
      </x:c>
      <x:c r="H209" s="27" t="str">
        <x:v>HyRF: Hybrid Radiance Fields for Memory-efficient and High-quality Novel View Synthesis</x:v>
      </x:c>
      <x:c r="I209" s="17" t="str">
        <x:v>Zipeng Wang; Dan Xu</x:v>
      </x:c>
      <x:c r="J209" s="22" t="n">
        <x:v>2025</x:v>
      </x:c>
      <x:c r="K209" s="27" t="str">
        <x:v>Recently, 3D Gaussian Splatting (3DGS) has emerged as a powerful alternative to NeRF-based approaches, enabling real-time, high-quality novel view synthesis through explicit, optimizable 3D Gaussians. However, 3DGS suffers from significant memory overhead due to its reliance on per-Gaussian parameters to model view-dependent effects and anisotropic shapes. While recent works propose compressing 3DGS with neural fields, these methods struggle to capture high-frequency spatial variations in Gaussian properties, leading to degraded reconstruction of fine details. We present Hybrid Radiance Fields (HyRF), a novel scene representation that combines the strengths of explicit Gaussians and neural fields. HyRF decomposes the scene into (1) a compact set of explicit Gaussians storing only critical high-frequency parameters and (2) grid-based neural fields that predict remaining properties. To enhance representational capacity, we introduce a decoupled neural field architecture, separately modeling geometry (scale, opacity, rotation) and view-dependent color. Additionally, we propose a hybrid rendering scheme that composites Gaussian splatting with a neural field-predicted background, addressing limitations in distant scene representation. Experiments demonstrate that HyRF achieves state-of-the-art rendering quality while reducing model size by over 20 times compared to 3DGS and maintaining real-time performance. Our project page is available at https://wzpscott.github.io/hyrf/.</x:v>
      </x:c>
      <x:c r="L209" s="17" t="str">
        <x:v>http://arxiv.org/abs/2509.17083v2</x:v>
      </x:c>
      <x:c r="M209" s="23" t="n">
        <x:v>0.016129032258064516</x:v>
      </x:c>
      <x:c r="N209" s="17" t="str">
        <x:v>arxiv-paper-eval-20260727-105551-results.jsonl</x:v>
      </x:c>
      <x:c r="O209" s="24" t="str">
        <x:v>2</x:v>
      </x:c>
      <x:c r="P209" s="28" t="str">
        <x:v>混合高斯与神经场，直接权衡内存、质量和实时性。</x:v>
      </x:c>
      <x:c r="Q209" s="25" t="str"/>
      <x:c r="R209" s="24" t="str">
        <x:f>IF(Q209&lt;&gt;"",Q209,O209)</x:f>
        <x:v>2</x:v>
      </x:c>
      <x:c r="S209" s="29" t="str"/>
    </x:row>
    <x:row r="210" ht="54" customHeight="1">
      <x:c r="A210" s="17" t="str">
        <x:v>csq011-r09</x:v>
      </x:c>
      <x:c r="B210" s="17" t="str">
        <x:v>csq011</x:v>
      </x:c>
      <x:c r="C210" s="17" t="str">
        <x:v>computer_vision</x:v>
      </x:c>
      <x:c r="D210" s="17" t="str">
        <x:v>neural_3d_representation</x:v>
      </x:c>
      <x:c r="E210" s="27" t="str">
        <x:v>What are the main neural representations for novel-view synthesis, including neural radiance fields and 3D Gaussian splatting, and what are their computational trade-offs?</x:v>
      </x:c>
      <x:c r="F210" s="22" t="n">
        <x:v>9</x:v>
      </x:c>
      <x:c r="G210" s="17" t="str">
        <x:v>arXiv:2402.13827</x:v>
      </x:c>
      <x:c r="H210" s="27" t="str">
        <x:v>Identifying Unnecessary 3D Gaussians using Clustering for Fast Rendering of 3D Gaussian Splatting</x:v>
      </x:c>
      <x:c r="I210" s="17" t="str">
        <x:v>Joongho Jo; Hyeongwon Kim; Jongsun Park</x:v>
      </x:c>
      <x:c r="J210" s="22" t="n">
        <x:v>2024</x:v>
      </x:c>
      <x:c r="K210" s="27" t="str">
        <x:v>3D Gaussian splatting (3D-GS) is a new rendering approach that outperforms the neural radiance field (NeRF) in terms of both speed and image quality. 3D-GS represents 3D scenes by utilizing millions of 3D Gaussians and projects these Gaussians onto the 2D image plane for rendering. However, during the rendering process, a substantial number of unnecessary 3D Gaussians exist for the current view direction, resulting in significant computation costs associated with their identification. In this paper, we propose a computational reduction technique that quickly identifies unnecessary 3D Gaussians in real-time for rendering the current view without compromising image quality. This is accomplished through the offline clustering of 3D Gaussians that are close in distance, followed by the projection of these clusters onto a 2D image plane during runtime. Additionally, we analyze the bottleneck associated with the proposed technique when executed on GPUs and propose an efficient hardware architecture that seamlessly supports the proposed scheme. For the Mip-NeRF360 dataset, the proposed technique excludes 63% of 3D Gaussians on average before the 2D image projection, which reduces the overall rendering computation by almost 38.3% without sacrificing peak-signal-to-noise-ratio (PSNR). The proposed accelerator also achieves a speedup of 10.7x compared to a GPU.</x:v>
      </x:c>
      <x:c r="L210" s="17" t="str">
        <x:v>http://arxiv.org/abs/2402.13827v2</x:v>
      </x:c>
      <x:c r="M210" s="23" t="n">
        <x:v>0.016129032258064516</x:v>
      </x:c>
      <x:c r="N210" s="17" t="str">
        <x:v>arxiv-paper-eval-20260727-105551-results.jsonl</x:v>
      </x:c>
      <x:c r="O210" s="24" t="str">
        <x:v>2</x:v>
      </x:c>
      <x:c r="P210" s="28" t="str">
        <x:v>分析3D高斯表示的计算瓶颈并提出渲染加速。</x:v>
      </x:c>
      <x:c r="Q210" s="25" t="str"/>
      <x:c r="R210" s="24" t="str">
        <x:f>IF(Q210&lt;&gt;"",Q210,O210)</x:f>
        <x:v>2</x:v>
      </x:c>
      <x:c r="S210" s="29" t="str"/>
    </x:row>
    <x:row r="211" ht="54" customHeight="1">
      <x:c r="A211" s="17" t="str">
        <x:v>csq011-r10</x:v>
      </x:c>
      <x:c r="B211" s="17" t="str">
        <x:v>csq011</x:v>
      </x:c>
      <x:c r="C211" s="17" t="str">
        <x:v>computer_vision</x:v>
      </x:c>
      <x:c r="D211" s="17" t="str">
        <x:v>neural_3d_representation</x:v>
      </x:c>
      <x:c r="E211" s="27" t="str">
        <x:v>What are the main neural representations for novel-view synthesis, including neural radiance fields and 3D Gaussian splatting, and what are their computational trade-offs?</x:v>
      </x:c>
      <x:c r="F211" s="22" t="n">
        <x:v>10</x:v>
      </x:c>
      <x:c r="G211" s="17" t="str">
        <x:v>arXiv:2410.22817</x:v>
      </x:c>
      <x:c r="H211" s="27" t="str">
        <x:v>Epipolar-Free 3D Gaussian Splatting for Generalizable Novel View Synthesis</x:v>
      </x:c>
      <x:c r="I211" s="17" t="str">
        <x:v>Zhiyuan Min; Yawei Luo; Jianwen Sun; Yi Yang</x:v>
      </x:c>
      <x:c r="J211" s="22" t="n">
        <x:v>2024</x:v>
      </x:c>
      <x:c r="K211" s="27" t="str">
        <x:v>Generalizable 3D Gaussian splitting (3DGS) can reconstruct new scenes from sparse-view observations in a feed-forward inference manner, eliminating the need for scene-specific retraining required in conventional 3DGS. However, existing methods rely heavily on epipolar priors, which can be unreliable in complex realworld scenes, particularly in non-overlapping and occluded regions. In this paper, we propose eFreeSplat, an efficient feed-forward 3DGS-based model for generalizable novel view synthesis that operates independently of epipolar line constraints. To enhance multiview feature extraction with 3D perception, we employ a selfsupervised Vision Transformer (ViT) with cross-view completion pre-training on large-scale datasets. Additionally, we introduce an Iterative Cross-view Gaussians Alignment method to ensure consistent depth scales across different views. Our eFreeSplat represents an innovative approach for generalizable novel view synthesis. Different from the existing pure geometry-free methods, eFreeSplat focuses more on achieving epipolar-free feature matching and encoding by providing 3D priors through cross-view pretraining. We evaluate eFreeSplat on wide-baseline novel view synthesis tasks using the RealEstate10K and ACID datasets. Extensive experiments demonstrate that eFreeSplat surpasses state-of-the-art baselines that rely on epipolar priors, achieving superior geometry reconstruction and novel view synthesis quality. Project page: https://tatakai1.github.io/efreesplat/.</x:v>
      </x:c>
      <x:c r="L211" s="17" t="str">
        <x:v>http://arxiv.org/abs/2410.22817v2</x:v>
      </x:c>
      <x:c r="M211" s="23" t="n">
        <x:v>0.016129032258064516</x:v>
      </x:c>
      <x:c r="N211" s="17" t="str">
        <x:v>arxiv-paper-eval-20260727-105551-results.jsonl</x:v>
      </x:c>
      <x:c r="O211" s="24" t="str">
        <x:v>2</x:v>
      </x:c>
      <x:c r="P211" s="28" t="str">
        <x:v>提出可泛化的3DGS新视角合成表示。</x:v>
      </x:c>
      <x:c r="Q211" s="25" t="str"/>
      <x:c r="R211" s="24" t="str">
        <x:f>IF(Q211&lt;&gt;"",Q211,O211)</x:f>
        <x:v>2</x:v>
      </x:c>
      <x:c r="S211" s="29" t="str"/>
    </x:row>
    <x:row r="212" ht="54" customHeight="1">
      <x:c r="A212" s="17" t="str">
        <x:v>csq011-r11</x:v>
      </x:c>
      <x:c r="B212" s="17" t="str">
        <x:v>csq011</x:v>
      </x:c>
      <x:c r="C212" s="17" t="str">
        <x:v>computer_vision</x:v>
      </x:c>
      <x:c r="D212" s="17" t="str">
        <x:v>neural_3d_representation</x:v>
      </x:c>
      <x:c r="E212" s="27" t="str">
        <x:v>What are the main neural representations for novel-view synthesis, including neural radiance fields and 3D Gaussian splatting, and what are their computational trade-offs?</x:v>
      </x:c>
      <x:c r="F212" s="22" t="n">
        <x:v>11</x:v>
      </x:c>
      <x:c r="G212" s="17" t="str">
        <x:v>arXiv:2312.16109</x:v>
      </x:c>
      <x:c r="H212" s="27" t="str">
        <x:v>fMPI: Fast Novel View Synthesis in the Wild with Layered Scene Representations</x:v>
      </x:c>
      <x:c r="I212" s="17" t="str">
        <x:v>Jonas Kohler; Nicolas Griffiths Sanchez; Luca Cavalli; Catherine Herold; Albert Pumarola; Alberto Garcia Garcia; Ali Thabet</x:v>
      </x:c>
      <x:c r="J212" s="22" t="n">
        <x:v>2023</x:v>
      </x:c>
      <x:c r="K212" s="27" t="str">
        <x:v>In this study, we propose two novel input processing paradigms for novel view synthesis (NVS) methods based on layered scene representations that significantly improve their runtime without compromising quality. Our approach identifies and mitigates the two most time-consuming aspects of traditional pipelines: building and processing the so-called plane sweep volume (PSV), which is a high-dimensional tensor of planar re-projections of the input camera views. In particular, we propose processing this tensor in parallel groups for improved compute efficiency as well as super-sampling adjacent input planes to generate denser, and hence more accurate scene representation. The proposed enhancements offer significant flexibility, allowing for a balance between performance and speed, thus making substantial steps toward real-time applications. Furthermore, they are very general in the sense that any PSV-based method can make use of them, including methods that employ multiplane images, multisphere images, and layered depth images. In a comprehensive set of experiments, we demonstrate that our proposed paradigms enable the design of an NVS method that achieves state-of-the-art on public benchmarks while being up to $50x$ faster than existing state-of-the-art methods. It also beats the current forerunner in terms of speed by over $3x$, while achieving significantly better rendering quality.</x:v>
      </x:c>
      <x:c r="L212" s="17" t="str">
        <x:v>http://arxiv.org/abs/2312.16109v1</x:v>
      </x:c>
      <x:c r="M212" s="23" t="n">
        <x:v>0.016129032258064516</x:v>
      </x:c>
      <x:c r="N212" s="17" t="str">
        <x:v>arxiv-paper-eval-20260727-105551-results.jsonl</x:v>
      </x:c>
      <x:c r="O212" s="24" t="str">
        <x:v>2</x:v>
      </x:c>
      <x:c r="P212" s="28" t="str">
        <x:v>研究分层场景表示并明确质量与运行时间权衡。</x:v>
      </x:c>
      <x:c r="Q212" s="25" t="str"/>
      <x:c r="R212" s="24" t="str">
        <x:f>IF(Q212&lt;&gt;"",Q212,O212)</x:f>
        <x:v>2</x:v>
      </x:c>
      <x:c r="S212" s="29" t="str"/>
    </x:row>
    <x:row r="213" ht="54" customHeight="1">
      <x:c r="A213" s="17" t="str">
        <x:v>csq011-r12</x:v>
      </x:c>
      <x:c r="B213" s="17" t="str">
        <x:v>csq011</x:v>
      </x:c>
      <x:c r="C213" s="17" t="str">
        <x:v>computer_vision</x:v>
      </x:c>
      <x:c r="D213" s="17" t="str">
        <x:v>neural_3d_representation</x:v>
      </x:c>
      <x:c r="E213" s="27" t="str">
        <x:v>What are the main neural representations for novel-view synthesis, including neural radiance fields and 3D Gaussian splatting, and what are their computational trade-offs?</x:v>
      </x:c>
      <x:c r="F213" s="22" t="n">
        <x:v>12</x:v>
      </x:c>
      <x:c r="G213" s="17" t="str">
        <x:v>arXiv:2507.23374</x:v>
      </x:c>
      <x:c r="H213" s="27" t="str">
        <x:v>NeRF Is a Valuable Assistant for 3D Gaussian Splatting</x:v>
      </x:c>
      <x:c r="I213" s="17" t="str">
        <x:v>Shuangkang Fang; I-Chao Shen; Takeo Igarashi; Yufeng Wang; ZeSheng Wang; Yi Yang; Wenrui Ding; Shuchang Zhou</x:v>
      </x:c>
      <x:c r="J213" s="22" t="n">
        <x:v>2025</x:v>
      </x:c>
      <x:c r="K213" s="27" t="str">
        <x:v>We introduce NeRF-GS, a novel framework that jointly optimizes Neural Radiance Fields (NeRF) and 3D Gaussian Splatting (3DGS). This framework leverages the inherent continuous spatial representation of NeRF to mitigate several limitations of 3DGS, including sensitivity to Gaussian initialization, limited spatial awareness, and weak inter-Gaussian correlations, thereby enhancing its performance. In NeRF-GS, we revisit the design of 3DGS and progressively align its spatial features with NeRF, enabling both representations to be optimized within the same scene through shared 3D spatial information. We further address the formal distinctions between the two approaches by optimizing residual vectors for both implicit features and Gaussian positions to enhance the personalized capabilities of 3DGS. Experimental results on benchmark datasets show that NeRF-GS surpasses existing methods and achieves state-of-the-art performance. This outcome confirms that NeRF and 3DGS are complementary rather than competing, offering new insights into hybrid approaches that combine 3DGS and NeRF for efficient 3D scene representation.</x:v>
      </x:c>
      <x:c r="L213" s="17" t="str">
        <x:v>http://arxiv.org/abs/2507.23374v1</x:v>
      </x:c>
      <x:c r="M213" s="23" t="n">
        <x:v>0.015873015873015872</x:v>
      </x:c>
      <x:c r="N213" s="17" t="str">
        <x:v>arxiv-paper-eval-20260727-105551-results.jsonl</x:v>
      </x:c>
      <x:c r="O213" s="24" t="str">
        <x:v>2</x:v>
      </x:c>
      <x:c r="P213" s="28" t="str">
        <x:v>联合NeRF与3DGS并针对两类表示差异优化。</x:v>
      </x:c>
      <x:c r="Q213" s="25" t="str"/>
      <x:c r="R213" s="24" t="str">
        <x:f>IF(Q213&lt;&gt;"",Q213,O213)</x:f>
        <x:v>2</x:v>
      </x:c>
      <x:c r="S213" s="29" t="str"/>
    </x:row>
    <x:row r="214" ht="54" customHeight="1">
      <x:c r="A214" s="17" t="str">
        <x:v>csq011-r13</x:v>
      </x:c>
      <x:c r="B214" s="17" t="str">
        <x:v>csq011</x:v>
      </x:c>
      <x:c r="C214" s="17" t="str">
        <x:v>computer_vision</x:v>
      </x:c>
      <x:c r="D214" s="17" t="str">
        <x:v>neural_3d_representation</x:v>
      </x:c>
      <x:c r="E214" s="27" t="str">
        <x:v>What are the main neural representations for novel-view synthesis, including neural radiance fields and 3D Gaussian splatting, and what are their computational trade-offs?</x:v>
      </x:c>
      <x:c r="F214" s="22" t="n">
        <x:v>13</x:v>
      </x:c>
      <x:c r="G214" s="17" t="str">
        <x:v>arXiv:2401.02436</x:v>
      </x:c>
      <x:c r="H214" s="27" t="str">
        <x:v>Compressed 3D Gaussian Splatting for Accelerated Novel View Synthesis</x:v>
      </x:c>
      <x:c r="I214" s="17" t="str">
        <x:v>Simon Niedermayr; Josef Stumpfegger; Rüdiger Westermann</x:v>
      </x:c>
      <x:c r="J214" s="22" t="n">
        <x:v>2023</x:v>
      </x:c>
      <x:c r="K214" s="27" t="str">
        <x:v>Recently, high-fidelity scene reconstruction with an optimized 3D Gaussian splat representation has been introduced for novel view synthesis from sparse image sets. Making such representations suitable for applications like network streaming and rendering on low-power devices requires significantly reduced memory consumption as well as improved rendering efficiency. We propose a compressed 3D Gaussian splat representation that utilizes sensitivity-aware vector clustering with quantization-aware training to compress directional colors and Gaussian parameters. The learned codebooks have low bitrates and achieve a compression rate of up to $31\times$ on real-world scenes with only minimal degradation of visual quality. We demonstrate that the compressed splat representation can be efficiently rendered with hardware rasterization on lightweight GPUs at up to $4\times$ higher framerates than reported via an optimized GPU compute pipeline. Extensive experiments across multiple datasets demonstrate the robustness and rendering speed of the proposed approach.</x:v>
      </x:c>
      <x:c r="L214" s="17" t="str">
        <x:v>http://arxiv.org/abs/2401.02436v2</x:v>
      </x:c>
      <x:c r="M214" s="23" t="n">
        <x:v>0.015873015873015872</x:v>
      </x:c>
      <x:c r="N214" s="17" t="str">
        <x:v>arxiv-paper-eval-20260727-105551-results.jsonl</x:v>
      </x:c>
      <x:c r="O214" s="24" t="str">
        <x:v>2</x:v>
      </x:c>
      <x:c r="P214" s="28" t="str">
        <x:v>压缩3D高斯表示并量化内存、质量和帧率权衡。</x:v>
      </x:c>
      <x:c r="Q214" s="25" t="str"/>
      <x:c r="R214" s="24" t="str">
        <x:f>IF(Q214&lt;&gt;"",Q214,O214)</x:f>
        <x:v>2</x:v>
      </x:c>
      <x:c r="S214" s="29" t="str"/>
    </x:row>
    <x:row r="215" ht="54" customHeight="1">
      <x:c r="A215" s="17" t="str">
        <x:v>csq011-r14</x:v>
      </x:c>
      <x:c r="B215" s="17" t="str">
        <x:v>csq011</x:v>
      </x:c>
      <x:c r="C215" s="17" t="str">
        <x:v>computer_vision</x:v>
      </x:c>
      <x:c r="D215" s="17" t="str">
        <x:v>neural_3d_representation</x:v>
      </x:c>
      <x:c r="E215" s="27" t="str">
        <x:v>What are the main neural representations for novel-view synthesis, including neural radiance fields and 3D Gaussian splatting, and what are their computational trade-offs?</x:v>
      </x:c>
      <x:c r="F215" s="22" t="n">
        <x:v>14</x:v>
      </x:c>
      <x:c r="G215" s="17" t="str">
        <x:v>arXiv:2405.15518</x:v>
      </x:c>
      <x:c r="H215" s="27" t="str">
        <x:v>Feature Splatting for Better Novel View Synthesis with Low Overlap</x:v>
      </x:c>
      <x:c r="I215" s="17" t="str">
        <x:v>T. Berriel Martins; Javier Civera</x:v>
      </x:c>
      <x:c r="J215" s="22" t="n">
        <x:v>2024</x:v>
      </x:c>
      <x:c r="K215" s="27" t="str">
        <x:v>3D Gaussian Splatting has emerged as a very promising scene representation, achieving state-of-the-art quality in novel view synthesis significantly faster than competing alternatives. However, its use of spherical harmonics to represent scene colors limits the expressivity of 3D Gaussians and, as a consequence, the capability of the representation to generalize as we move away from the training views. In this paper, we propose to encode the color information of 3D Gaussians into per-Gaussian feature vectors, which we denote as Feature Splatting (FeatSplat). To synthesize a novel view, Gaussians are first "splatted" into the image plane, then the corresponding feature vectors are alpha-blended, and finally the blended vector is decoded by a small MLP to render the RGB pixel values. To further inform the model, we concatenate a camera embedding to the blended feature vector, to condition the decoding also on the viewpoint information. Our experiments show that these novel model for encoding the radiance considerably improves novel view synthesis for low overlap views that are distant from the training views. Finally, we also show the capacity and convenience of our feature vector representation, demonstrating its capability not only to generate RGB values for novel views, but also their per-pixel semantic labels. Code available at https://github.com/tberriel/FeatSplat . Keywords: Gaussian Splatting, Novel View Synthesis, Feature Splatting</x:v>
      </x:c>
      <x:c r="L215" s="17" t="str">
        <x:v>http://arxiv.org/abs/2405.15518v2</x:v>
      </x:c>
      <x:c r="M215" s="23" t="n">
        <x:v>0.015625</x:v>
      </x:c>
      <x:c r="N215" s="17" t="str">
        <x:v>arxiv-paper-eval-20260727-105551-results.jsonl</x:v>
      </x:c>
      <x:c r="O215" s="24" t="str">
        <x:v>2</x:v>
      </x:c>
      <x:c r="P215" s="28" t="str">
        <x:v>改造高斯颜色表示以提升低重叠视角合成。</x:v>
      </x:c>
      <x:c r="Q215" s="25" t="str"/>
      <x:c r="R215" s="24" t="str">
        <x:f>IF(Q215&lt;&gt;"",Q215,O215)</x:f>
        <x:v>2</x:v>
      </x:c>
      <x:c r="S215" s="29" t="str"/>
    </x:row>
    <x:row r="216" ht="54" customHeight="1">
      <x:c r="A216" s="17" t="str">
        <x:v>csq011-r15</x:v>
      </x:c>
      <x:c r="B216" s="17" t="str">
        <x:v>csq011</x:v>
      </x:c>
      <x:c r="C216" s="17" t="str">
        <x:v>computer_vision</x:v>
      </x:c>
      <x:c r="D216" s="17" t="str">
        <x:v>neural_3d_representation</x:v>
      </x:c>
      <x:c r="E216" s="27" t="str">
        <x:v>What are the main neural representations for novel-view synthesis, including neural radiance fields and 3D Gaussian splatting, and what are their computational trade-offs?</x:v>
      </x:c>
      <x:c r="F216" s="22" t="n">
        <x:v>15</x:v>
      </x:c>
      <x:c r="G216" s="17" t="str">
        <x:v>arXiv:2403.11134</x:v>
      </x:c>
      <x:c r="H216" s="27" t="str">
        <x:v>Recent Advances in 3D Gaussian Splatting</x:v>
      </x:c>
      <x:c r="I216" s="17" t="str">
        <x:v>Tong Wu; Yu-Jie Yuan; Ling-Xiao Zhang; Jie Yang; Yan-Pei Cao; Ling-Qi Yan; Lin Gao</x:v>
      </x:c>
      <x:c r="J216" s="22" t="n">
        <x:v>2024</x:v>
      </x:c>
      <x:c r="K216" s="27" t="str">
        <x:v>The emergence of 3D Gaussian Splatting (3DGS) has greatly accelerated the rendering speed of novel view synthesis. Unlike neural implicit representations like Neural Radiance Fields (NeRF) that represent a 3D scene with position and viewpoint-conditioned neural networks, 3D Gaussian Splatting utilizes a set of Gaussian ellipsoids to model the scene so that efficient rendering can be accomplished by rasterizing Gaussian ellipsoids into images. Apart from the fast rendering speed, the explicit representation of 3D Gaussian Splatting facilitates editing tasks like dynamic reconstruction, geometry editing, and physical simulation. Considering the rapid change and growing number of works in this field, we present a literature review of recent 3D Gaussian Splatting methods, which can be roughly classified into 3D reconstruction, 3D editing, and other downstream applications by functionality. Traditional point-based rendering methods and the rendering formulation of 3D Gaussian Splatting are also illustrated for a better understanding of this technique. This survey aims to help beginners get into this field quickly and provide experienced researchers with a comprehensive overview, which can stimulate the future development of the 3D Gaussian Splatting representation.</x:v>
      </x:c>
      <x:c r="L216" s="17" t="str">
        <x:v>http://arxiv.org/abs/2403.11134v2</x:v>
      </x:c>
      <x:c r="M216" s="23" t="n">
        <x:v>0.015625</x:v>
      </x:c>
      <x:c r="N216" s="17" t="str">
        <x:v>arxiv-paper-eval-20260727-105551-results.jsonl</x:v>
      </x:c>
      <x:c r="O216" s="24" t="str">
        <x:v>2</x:v>
      </x:c>
      <x:c r="P216" s="28" t="str">
        <x:v>综述3DGS与NeRF表示差异及渲染优势。</x:v>
      </x:c>
      <x:c r="Q216" s="25" t="str"/>
      <x:c r="R216" s="24" t="str">
        <x:f>IF(Q216&lt;&gt;"",Q216,O216)</x:f>
        <x:v>2</x:v>
      </x:c>
      <x:c r="S216" s="29" t="str"/>
    </x:row>
    <x:row r="217" ht="54" customHeight="1">
      <x:c r="A217" s="17" t="str">
        <x:v>csq011-r16</x:v>
      </x:c>
      <x:c r="B217" s="17" t="str">
        <x:v>csq011</x:v>
      </x:c>
      <x:c r="C217" s="17" t="str">
        <x:v>computer_vision</x:v>
      </x:c>
      <x:c r="D217" s="17" t="str">
        <x:v>neural_3d_representation</x:v>
      </x:c>
      <x:c r="E217" s="27" t="str">
        <x:v>What are the main neural representations for novel-view synthesis, including neural radiance fields and 3D Gaussian splatting, and what are their computational trade-offs?</x:v>
      </x:c>
      <x:c r="F217" s="22" t="n">
        <x:v>16</x:v>
      </x:c>
      <x:c r="G217" s="17" t="str">
        <x:v>arXiv:2302.14859</x:v>
      </x:c>
      <x:c r="H217" s="27" t="str">
        <x:v>BakedSDF: Meshing Neural SDFs for Real-Time View Synthesis</x:v>
      </x:c>
      <x:c r="I217" s="17" t="str">
        <x:v>Lior Yariv; Peter Hedman; Christian Reiser; Dor Verbin; Pratul P. Srinivasan; Richard Szeliski; Jonathan T. Barron; Ben Mildenhall</x:v>
      </x:c>
      <x:c r="J217" s="22" t="n">
        <x:v>2023</x:v>
      </x:c>
      <x:c r="K217" s="27" t="str">
        <x:v>We present a method for reconstructing high-quality meshes of large unbounded real-world scenes suitable for photorealistic novel view synthesis. We first optimize a hybrid neural volume-surface scene representation designed to have well-behaved level sets that correspond to surfaces in the scene. We then bake this representation into a high-quality triangle mesh, which we equip with a simple and fast view-dependent appearance model based on spherical Gaussians. Finally, we optimize this baked representation to best reproduce the captured viewpoints, resulting in a model that can leverage accelerated polygon rasterization pipelines for real-time view synthesis on commodity hardware. Our approach outperforms previous scene representations for real-time rendering in terms of accuracy, speed, and power consumption, and produces high quality meshes that enable applications such as appearance editing and physical simulation.</x:v>
      </x:c>
      <x:c r="L217" s="17" t="str">
        <x:v>http://arxiv.org/abs/2302.14859v2</x:v>
      </x:c>
      <x:c r="M217" s="23" t="n">
        <x:v>0.015625</x:v>
      </x:c>
      <x:c r="N217" s="17" t="str">
        <x:v>arxiv-paper-eval-20260727-105551-results.jsonl</x:v>
      </x:c>
      <x:c r="O217" s="24" t="str">
        <x:v>2</x:v>
      </x:c>
      <x:c r="P217" s="28" t="str">
        <x:v>将神经SDF烘焙为网格以实现实时新视角合成。</x:v>
      </x:c>
      <x:c r="Q217" s="25" t="str"/>
      <x:c r="R217" s="24" t="str">
        <x:f>IF(Q217&lt;&gt;"",Q217,O217)</x:f>
        <x:v>2</x:v>
      </x:c>
      <x:c r="S217" s="29" t="str"/>
    </x:row>
    <x:row r="218" ht="54" customHeight="1">
      <x:c r="A218" s="17" t="str">
        <x:v>csq011-r17</x:v>
      </x:c>
      <x:c r="B218" s="17" t="str">
        <x:v>csq011</x:v>
      </x:c>
      <x:c r="C218" s="17" t="str">
        <x:v>computer_vision</x:v>
      </x:c>
      <x:c r="D218" s="17" t="str">
        <x:v>neural_3d_representation</x:v>
      </x:c>
      <x:c r="E218" s="27" t="str">
        <x:v>What are the main neural representations for novel-view synthesis, including neural radiance fields and 3D Gaussian splatting, and what are their computational trade-offs?</x:v>
      </x:c>
      <x:c r="F218" s="22" t="n">
        <x:v>17</x:v>
      </x:c>
      <x:c r="G218" s="17" t="str">
        <x:v>arXiv:2105.07112</x:v>
      </x:c>
      <x:c r="H218" s="27" t="str">
        <x:v>NeuLF: Efficient Novel View Synthesis with Neural 4D Light Field</x:v>
      </x:c>
      <x:c r="I218" s="17" t="str">
        <x:v>Zhong Li; Liangchen Song; Celong Liu; Junsong Yuan; Yi Xu</x:v>
      </x:c>
      <x:c r="J218" s="22" t="n">
        <x:v>2021</x:v>
      </x:c>
      <x:c r="K218" s="27" t="str">
        <x:v>In this paper, we present an efficient and robust deep learning solution for novel view synthesis of complex scenes. In our approach, a 3D scene is represented as a light field, i.e., a set of rays, each of which has a corresponding color when reaching the image plane. For efficient novel view rendering, we adopt a two-plane parameterization of the light field, where each ray is characterized by a 4D parameter. We then formulate the light field as a 4D function that maps 4D coordinates to corresponding color values. We train a deep fully connected network to optimize this implicit function and memorize the 3D scene. Then, the scene-specific model is used to synthesize novel views. Different from previous light field approaches which require dense view sampling to reliably render novel views, our method can render novel views by sampling rays and querying the color for each ray from the network directly, thus enabling high-quality light field rendering with a sparser set of training images. Per-ray depth can be optionally predicted by the network, thus enabling applications such as auto refocus. Our novel view synthesis results are comparable to the state-of-the-arts, and even superior in some challenging scenes with refraction and reflection. We achieve this while maintaining an interactive frame rate and a small memory footprint.</x:v>
      </x:c>
      <x:c r="L218" s="17" t="str">
        <x:v>http://arxiv.org/abs/2105.07112v7</x:v>
      </x:c>
      <x:c r="M218" s="23" t="n">
        <x:v>0.015625</x:v>
      </x:c>
      <x:c r="N218" s="17" t="str">
        <x:v>arxiv-paper-eval-20260727-105551-results.jsonl</x:v>
      </x:c>
      <x:c r="O218" s="24" t="str">
        <x:v>2</x:v>
      </x:c>
      <x:c r="P218" s="28" t="str">
        <x:v>以神经4D光场表示场景并强调高效渲染。</x:v>
      </x:c>
      <x:c r="Q218" s="25" t="str"/>
      <x:c r="R218" s="24" t="str">
        <x:f>IF(Q218&lt;&gt;"",Q218,O218)</x:f>
        <x:v>2</x:v>
      </x:c>
      <x:c r="S218" s="29" t="str"/>
    </x:row>
    <x:row r="219" ht="54" customHeight="1">
      <x:c r="A219" s="17" t="str">
        <x:v>csq011-r18</x:v>
      </x:c>
      <x:c r="B219" s="17" t="str">
        <x:v>csq011</x:v>
      </x:c>
      <x:c r="C219" s="17" t="str">
        <x:v>computer_vision</x:v>
      </x:c>
      <x:c r="D219" s="17" t="str">
        <x:v>neural_3d_representation</x:v>
      </x:c>
      <x:c r="E219" s="27" t="str">
        <x:v>What are the main neural representations for novel-view synthesis, including neural radiance fields and 3D Gaussian splatting, and what are their computational trade-offs?</x:v>
      </x:c>
      <x:c r="F219" s="22" t="n">
        <x:v>18</x:v>
      </x:c>
      <x:c r="G219" s="17" t="str">
        <x:v>arXiv:2510.06694</x:v>
      </x:c>
      <x:c r="H219" s="27" t="str">
        <x:v>SCas4D: Structural Cascaded Optimization for Boosting Persistent 4D Novel View Synthesis</x:v>
      </x:c>
      <x:c r="I219" s="17" t="str">
        <x:v>Jipeng Lyu; Jiahua Dong; Yu-Xiong Wang</x:v>
      </x:c>
      <x:c r="J219" s="22" t="n">
        <x:v>2025</x:v>
      </x:c>
      <x:c r="K219" s="27" t="str">
        <x:v>Persistent dynamic scene modeling for tracking and novel-view synthesis remains challenging due to the difficulty of capturing accurate deformations while maintaining computational efficiency. We propose SCas4D, a cascaded optimization framework that leverages structural patterns in 3D Gaussian Splatting for dynamic scenes. The key idea is that real-world deformations often exhibit hierarchical patterns, where groups of Gaussians share similar transformations. By progressively refining deformations from coarse part-level to fine point-level, SCas4D achieves convergence within 100 iterations per time frame and produces results comparable to existing methods with only one-twentieth of the training iterations. The approach also demonstrates effectiveness in self-supervised articulated object segmentation, novel view synthesis, and dense point tracking tasks.</x:v>
      </x:c>
      <x:c r="L219" s="17" t="str">
        <x:v>http://arxiv.org/abs/2510.06694v1</x:v>
      </x:c>
      <x:c r="M219" s="23" t="n">
        <x:v>0.015384615384615385</x:v>
      </x:c>
      <x:c r="N219" s="17" t="str">
        <x:v>arxiv-paper-eval-20260727-105551-results.jsonl</x:v>
      </x:c>
      <x:c r="O219" s="24" t="str">
        <x:v>2</x:v>
      </x:c>
      <x:c r="P219" s="28" t="str">
        <x:v>基于动态3DGS层级形变降低优化迭代成本。</x:v>
      </x:c>
      <x:c r="Q219" s="25" t="str"/>
      <x:c r="R219" s="24" t="str">
        <x:f>IF(Q219&lt;&gt;"",Q219,O219)</x:f>
        <x:v>2</x:v>
      </x:c>
      <x:c r="S219" s="29" t="str"/>
    </x:row>
    <x:row r="220" ht="54" customHeight="1">
      <x:c r="A220" s="17" t="str">
        <x:v>csq011-r19</x:v>
      </x:c>
      <x:c r="B220" s="17" t="str">
        <x:v>csq011</x:v>
      </x:c>
      <x:c r="C220" s="17" t="str">
        <x:v>computer_vision</x:v>
      </x:c>
      <x:c r="D220" s="17" t="str">
        <x:v>neural_3d_representation</x:v>
      </x:c>
      <x:c r="E220" s="27" t="str">
        <x:v>What are the main neural representations for novel-view synthesis, including neural radiance fields and 3D Gaussian splatting, and what are their computational trade-offs?</x:v>
      </x:c>
      <x:c r="F220" s="22" t="n">
        <x:v>19</x:v>
      </x:c>
      <x:c r="G220" s="17" t="str">
        <x:v>arXiv:2405.15125</x:v>
      </x:c>
      <x:c r="H220" s="27" t="str">
        <x:v>HDR-GS: Efficient High Dynamic Range Novel View Synthesis at 1000x Speed via Gaussian Splatting</x:v>
      </x:c>
      <x:c r="I220" s="17" t="str">
        <x:v>Yuanhao Cai; Zihao Xiao; Yixun Liang; Minghan Qin; Yulun Zhang; Xiaokang Yang; Yaoyao Liu; Alan Yuille</x:v>
      </x:c>
      <x:c r="J220" s="22" t="n">
        <x:v>2024</x:v>
      </x:c>
      <x:c r="K220" s="27" t="str">
        <x:v>High dynamic range (HDR) novel view synthesis (NVS) aims to create photorealistic images from novel viewpoints using HDR imaging techniques. The rendered HDR images capture a wider range of brightness levels containing more details of the scene than normal low dynamic range (LDR) images. Existing HDR NVS methods are mainly based on NeRF. They suffer from long training time and slow inference speed. In this paper, we propose a new framework, High Dynamic Range Gaussian Splatting (HDR-GS), which can efficiently render novel HDR views and reconstruct LDR images with a user input exposure time. Specifically, we design a Dual Dynamic Range (DDR) Gaussian point cloud model that uses spherical harmonics to fit HDR color and employs an MLP-based tone-mapper to render LDR color. The HDR and LDR colors are then fed into two Parallel Differentiable Rasterization (PDR) processes to reconstruct HDR and LDR views. To establish the data foundation for the research of 3D Gaussian splatting-based methods in HDR NVS, we recalibrate the camera parameters and compute the initial positions for Gaussian point clouds. Experiments demonstrate that our HDR-GS surpasses the state-of-the-art NeRF-based method by 3.84 and 1.91 dB on LDR and HDR NVS while enjoying 1000x inference speed and only requiring 6.3% training time. Code and recalibrated data will be publicly available at https://github.com/caiyuanhao1998/HDR-GS . A brief video introduction of our work is available at https://youtu.be/wtU7Kcwe7ck</x:v>
      </x:c>
      <x:c r="L220" s="17" t="str">
        <x:v>http://arxiv.org/abs/2405.15125v4</x:v>
      </x:c>
      <x:c r="M220" s="23" t="n">
        <x:v>0.015384615384615385</x:v>
      </x:c>
      <x:c r="N220" s="17" t="str">
        <x:v>arxiv-paper-eval-20260727-105551-results.jsonl</x:v>
      </x:c>
      <x:c r="O220" s="24" t="str">
        <x:v>2</x:v>
      </x:c>
      <x:c r="P220" s="28" t="str">
        <x:v>用高斯泼溅替代NeRF实现高速HDR新视角合成。</x:v>
      </x:c>
      <x:c r="Q220" s="25" t="str"/>
      <x:c r="R220" s="24" t="str">
        <x:f>IF(Q220&lt;&gt;"",Q220,O220)</x:f>
        <x:v>2</x:v>
      </x:c>
      <x:c r="S220" s="29" t="str"/>
    </x:row>
    <x:row r="221" ht="54" customHeight="1">
      <x:c r="A221" s="17" t="str">
        <x:v>csq011-r20</x:v>
      </x:c>
      <x:c r="B221" s="17" t="str">
        <x:v>csq011</x:v>
      </x:c>
      <x:c r="C221" s="17" t="str">
        <x:v>computer_vision</x:v>
      </x:c>
      <x:c r="D221" s="17" t="str">
        <x:v>neural_3d_representation</x:v>
      </x:c>
      <x:c r="E221" s="27" t="str">
        <x:v>What are the main neural representations for novel-view synthesis, including neural radiance fields and 3D Gaussian splatting, and what are their computational trade-offs?</x:v>
      </x:c>
      <x:c r="F221" s="22" t="n">
        <x:v>20</x:v>
      </x:c>
      <x:c r="G221" s="17" t="str">
        <x:v>arXiv:2408.05635</x:v>
      </x:c>
      <x:c r="H221" s="27" t="str">
        <x:v>Visual SLAM with 3D Gaussian Primitives and Depth Priors Enabling Novel View Synthesis</x:v>
      </x:c>
      <x:c r="I221" s="17" t="str">
        <x:v>Zhongche Qu; Zhi Zhang; Cong Liu; Jianhua Yin</x:v>
      </x:c>
      <x:c r="J221" s="22" t="n">
        <x:v>2024</x:v>
      </x:c>
      <x:c r="K221" s="27" t="str">
        <x:v>Conventional geometry-based SLAM systems lack dense 3D reconstruction capabilities since their data association usually relies on feature correspondences. Additionally, learning-based SLAM systems often fall short in terms of real-time performance and accuracy. Balancing real-time performance with dense 3D reconstruction capabilities is a challenging problem. In this paper, we propose a real-time RGB-D SLAM system that incorporates a novel view synthesis technique, 3D Gaussian Splatting, for 3D scene representation and pose estimation. This technique leverages the real-time rendering performance of 3D Gaussian Splatting with rasterization and allows for differentiable optimization in real time through CUDA implementation. We also enable mesh reconstruction from 3D Gaussians for explicit dense 3D reconstruction. To estimate accurate camera poses, we utilize a rotation-translation decoupled strategy with inverse optimization. This involves iteratively updating both in several iterations through gradient-based optimization. This process includes differentiably rendering RGB, depth, and silhouette maps and updating the camera parameters to minimize a combined loss of photometric loss, depth geometry loss, and visibility loss, given the existing 3D Gaussian map. However, 3D Gaussian Splatting (3DGS) struggles to accurately represent surfaces due to the multi-view inconsistency of 3D Gaussians, which can lead to reduced accuracy in both camera pose estimation and scene reconstruction. To address this, we utilize depth priors as additional regularization to enforce geometric constraints, thereby improving the accuracy of both pose estimation and 3D reconstruction. We also provide extensive experimental results on public benchmark datasets to demonstrate the effectiveness of our proposed methods in terms of pose accuracy, geometric accuracy, and rendering performance.</x:v>
      </x:c>
      <x:c r="L221" s="17" t="str">
        <x:v>http://arxiv.org/abs/2408.05635v2</x:v>
      </x:c>
      <x:c r="M221" s="23" t="n">
        <x:v>0.015384615384615385</x:v>
      </x:c>
      <x:c r="N221" s="17" t="str">
        <x:v>arxiv-paper-eval-20260727-105551-results.jsonl</x:v>
      </x:c>
      <x:c r="O221" s="24" t="str">
        <x:v>1</x:v>
      </x:c>
      <x:c r="P221" s="28" t="str">
        <x:v>主要贡献是SLAM，3DGS新视角合成仅为系统组件。</x:v>
      </x:c>
      <x:c r="Q221" s="25" t="str"/>
      <x:c r="R221" s="24" t="str">
        <x:f>IF(Q221&lt;&gt;"",Q221,O221)</x:f>
        <x:v>1</x:v>
      </x:c>
      <x:c r="S221" s="29" t="str"/>
    </x:row>
    <x:row r="222" ht="54" customHeight="1">
      <x:c r="A222" s="17" t="str">
        <x:v>csq012-r01</x:v>
      </x:c>
      <x:c r="B222" s="17" t="str">
        <x:v>csq012</x:v>
      </x:c>
      <x:c r="C222" s="17" t="str">
        <x:v>computer_vision</x:v>
      </x:c>
      <x:c r="D222" s="17" t="str">
        <x:v>image_generation</x:v>
      </x:c>
      <x:c r="E222" s="27" t="str">
        <x:v>How do diffusion-based and autoregressive image generation models compare in training objectives, sampling cost, controllability, and output quality?</x:v>
      </x:c>
      <x:c r="F222" s="22" t="n">
        <x:v>1</x:v>
      </x:c>
      <x:c r="G222" s="17" t="str">
        <x:v>arXiv:2504.18391</x:v>
      </x:c>
      <x:c r="H222" s="27" t="str">
        <x:v>Fast Autoregressive Models for Continuous Latent Generation</x:v>
      </x:c>
      <x:c r="I222" s="17" t="str">
        <x:v>Tiankai Hang; Jianmin Bao; Fangyun Wei; Dong Chen</x:v>
      </x:c>
      <x:c r="J222" s="22" t="n">
        <x:v>2025</x:v>
      </x:c>
      <x:c r="K222" s="27" t="str">
        <x:v>Autoregressive models have demonstrated remarkable success in sequential data generation, particularly in NLP, but their extension to continuous-domain image generation presents significant challenges. Recent work, the masked autoregressive model (MAR), bypasses quantization by modeling per-token distributions in continuous spaces using a diffusion head but suffers from slow inference due to the high computational cost of the iterative denoising process. To address this, we propose the Fast AutoRegressive model (FAR), a novel framework that replaces MAR's diffusion head with a lightweight shortcut head, enabling efficient few-step sampling while preserving autoregressive principles. Additionally, FAR seamlessly integrates with causal Transformers, extending them from discrete to continuous token generation without requiring architectural modifications. Experiments demonstrate that FAR achieves $2.3\times$ faster inference than MAR while maintaining competitive FID and IS scores. This work establishes the first efficient autoregressive paradigm for high-fidelity continuous-space image generation, bridging the critical gap between quality and scalability in visual autoregressive modeling.</x:v>
      </x:c>
      <x:c r="L222" s="17" t="str">
        <x:v>http://arxiv.org/abs/2504.18391v1</x:v>
      </x:c>
      <x:c r="M222" s="23" t="n">
        <x:v>0.04628776241679467</x:v>
      </x:c>
      <x:c r="N222" s="17" t="str">
        <x:v>arxiv-paper-eval-20260727-105551-results.jsonl</x:v>
      </x:c>
      <x:c r="O222" s="24" t="str">
        <x:v>2</x:v>
      </x:c>
      <x:c r="P222" s="28" t="str">
        <x:v>直接降低连续潜变量自回归图像生成的扩散采样成本。</x:v>
      </x:c>
      <x:c r="Q222" s="25" t="str"/>
      <x:c r="R222" s="24" t="str">
        <x:f>IF(Q222&lt;&gt;"",Q222,O222)</x:f>
        <x:v>2</x:v>
      </x:c>
      <x:c r="S222" s="29" t="str"/>
    </x:row>
    <x:row r="223" ht="54" customHeight="1">
      <x:c r="A223" s="17" t="str">
        <x:v>csq012-r02</x:v>
      </x:c>
      <x:c r="B223" s="17" t="str">
        <x:v>csq012</x:v>
      </x:c>
      <x:c r="C223" s="17" t="str">
        <x:v>computer_vision</x:v>
      </x:c>
      <x:c r="D223" s="17" t="str">
        <x:v>image_generation</x:v>
      </x:c>
      <x:c r="E223" s="27" t="str">
        <x:v>How do diffusion-based and autoregressive image generation models compare in training objectives, sampling cost, controllability, and output quality?</x:v>
      </x:c>
      <x:c r="F223" s="22" t="n">
        <x:v>2</x:v>
      </x:c>
      <x:c r="G223" s="17" t="str">
        <x:v>arXiv:2505.12274</x:v>
      </x:c>
      <x:c r="H223" s="27" t="str">
        <x:v>Context-Aware Autoregressive Models for Multi-Conditional Image Generation</x:v>
      </x:c>
      <x:c r="I223" s="17" t="str">
        <x:v>Yixiao Chen; Zhiyuan Ma; Guoli Jia; Che Jiang; Jianjun Li; Bowen Zhou</x:v>
      </x:c>
      <x:c r="J223" s="22" t="n">
        <x:v>2025</x:v>
      </x:c>
      <x:c r="K223" s="27" t="str">
        <x:v>Autoregressive transformers have recently shown impressive image generation quality and efficiency on par with state-of-the-art diffusion models. Unlike diffusion architectures, autoregressive models can naturally incorporate arbitrary modalities into a single, unified token sequence--offering a concise solution for multi-conditional image generation tasks. In this work, we propose $\textbf{ContextAR}$, a flexible and effective framework for multi-conditional image generation. ContextAR embeds diverse conditions (e.g., canny edges, depth maps, poses) directly into the token sequence, preserving modality-specific semantics. To maintain spatial alignment while enhancing discrimination among different condition types, we introduce hybrid positional encodings that fuse Rotary Position Embedding with Learnable Positional Embedding. We design Conditional Context-aware Attention to reduces computational complexity while preserving effective intra-condition perception. Without any fine-tuning, ContextAR supports arbitrary combinations of conditions during inference time. Experimental results demonstrate the powerful controllability and versatility of our approach, and show that the competitive perpormance than diffusion-based multi-conditional control approaches the existing autoregressive baseline across diverse multi-condition driven scenarios. Project page: $\href{https://context-ar.github.io/}{https://context-ar.github.io/.}$</x:v>
      </x:c>
      <x:c r="L223" s="17" t="str">
        <x:v>http://arxiv.org/abs/2505.12274v1</x:v>
      </x:c>
      <x:c r="M223" s="23" t="n">
        <x:v>0.04355921855921856</x:v>
      </x:c>
      <x:c r="N223" s="17" t="str">
        <x:v>arxiv-paper-eval-20260727-105551-results.jsonl</x:v>
      </x:c>
      <x:c r="O223" s="24" t="str">
        <x:v>2</x:v>
      </x:c>
      <x:c r="P223" s="28" t="str">
        <x:v>比较自回归与扩散图像生成并改进多条件控制。</x:v>
      </x:c>
      <x:c r="Q223" s="25" t="str"/>
      <x:c r="R223" s="24" t="str">
        <x:f>IF(Q223&lt;&gt;"",Q223,O223)</x:f>
        <x:v>2</x:v>
      </x:c>
      <x:c r="S223" s="29" t="str"/>
    </x:row>
    <x:row r="224" ht="54" customHeight="1">
      <x:c r="A224" s="17" t="str">
        <x:v>csq012-r03</x:v>
      </x:c>
      <x:c r="B224" s="17" t="str">
        <x:v>csq012</x:v>
      </x:c>
      <x:c r="C224" s="17" t="str">
        <x:v>computer_vision</x:v>
      </x:c>
      <x:c r="D224" s="17" t="str">
        <x:v>image_generation</x:v>
      </x:c>
      <x:c r="E224" s="27" t="str">
        <x:v>How do diffusion-based and autoregressive image generation models compare in training objectives, sampling cost, controllability, and output quality?</x:v>
      </x:c>
      <x:c r="F224" s="22" t="n">
        <x:v>3</x:v>
      </x:c>
      <x:c r="G224" s="17" t="str">
        <x:v>arXiv:2510.16751</x:v>
      </x:c>
      <x:c r="H224" s="27" t="str">
        <x:v>Visual Autoregressive Models Beat Diffusion Models on Inference Time Scaling</x:v>
      </x:c>
      <x:c r="I224" s="17" t="str">
        <x:v>Erik Riise; Mehmet Onurcan Kaya; Dim P. Papadopoulos</x:v>
      </x:c>
      <x:c r="J224" s="22" t="n">
        <x:v>2025</x:v>
      </x:c>
      <x:c r="K224" s="27" t="str">
        <x:v>While inference-time scaling through search has revolutionized Large Language Models, translating these gains to image generation has proven difficult. Recent attempts to apply search strategies to continuous diffusion models show limited benefits, with simple random sampling often performing best. We demonstrate that the discrete, sequential nature of visual autoregressive models enables effective search for image generation. We show that beam search substantially improves text-to-image generation, enabling a 2B parameter autoregressive model to outperform a 12B parameter diffusion model across benchmarks. Systematic ablations show that this advantage comes from the discrete token space, which allows early pruning and computational reuse, and our verifier analysis highlights trade-offs between speed and reasoning capability. These findings suggest that model architecture, not just scale, is critical for inference-time optimization in visual generation.</x:v>
      </x:c>
      <x:c r="L224" s="17" t="str">
        <x:v>http://arxiv.org/abs/2510.16751v2</x:v>
      </x:c>
      <x:c r="M224" s="23" t="n">
        <x:v>0.03278688524590164</x:v>
      </x:c>
      <x:c r="N224" s="17" t="str">
        <x:v>arxiv-paper-eval-20260727-105551-results.jsonl</x:v>
      </x:c>
      <x:c r="O224" s="24" t="str">
        <x:v>2</x:v>
      </x:c>
      <x:c r="P224" s="28" t="str">
        <x:v>直接比较视觉自回归与扩散模型的推理扩展和质量。</x:v>
      </x:c>
      <x:c r="Q224" s="25" t="str"/>
      <x:c r="R224" s="24" t="str">
        <x:f>IF(Q224&lt;&gt;"",Q224,O224)</x:f>
        <x:v>2</x:v>
      </x:c>
      <x:c r="S224" s="29" t="str"/>
    </x:row>
    <x:row r="225" ht="54" customHeight="1">
      <x:c r="A225" s="17" t="str">
        <x:v>csq012-r04</x:v>
      </x:c>
      <x:c r="B225" s="17" t="str">
        <x:v>csq012</x:v>
      </x:c>
      <x:c r="C225" s="17" t="str">
        <x:v>computer_vision</x:v>
      </x:c>
      <x:c r="D225" s="17" t="str">
        <x:v>image_generation</x:v>
      </x:c>
      <x:c r="E225" s="27" t="str">
        <x:v>How do diffusion-based and autoregressive image generation models compare in training objectives, sampling cost, controllability, and output quality?</x:v>
      </x:c>
      <x:c r="F225" s="22" t="n">
        <x:v>4</x:v>
      </x:c>
      <x:c r="G225" s="17" t="str">
        <x:v>arXiv:2410.04671</x:v>
      </x:c>
      <x:c r="H225" s="27" t="str">
        <x:v>CAR: Controllable Autoregressive Modeling for Visual Generation</x:v>
      </x:c>
      <x:c r="I225" s="17" t="str">
        <x:v>Ziyu Yao; Jialin Li; Yifeng Zhou; Yong Liu; Xi Jiang; Chengjie Wang; Feng Zheng; Yuexian Zou; Lei Li</x:v>
      </x:c>
      <x:c r="J225" s="22" t="n">
        <x:v>2024</x:v>
      </x:c>
      <x:c r="K225" s="27" t="str">
        <x:v>Controllable generation, which enables fine-grained control over generated outputs, has emerged as a critical focus in visual generative models. Currently, there are two primary technical approaches in visual generation: diffusion models and autoregressive models. Diffusion models, as exemplified by ControlNet and T2I-Adapter, offer advanced control mechanisms, whereas autoregressive models, despite showcasing impressive generative quality and scalability, remain underexplored in terms of controllability and flexibility. In this study, we introduce Controllable AutoRegressive Modeling (CAR), a novel, plug-and-play framework that integrates conditional control into multi-scale latent variable modeling, enabling efficient control generation within a pre-trained visual autoregressive model. CAR progressively refines and captures control representations, which are injected into each autoregressive step of the pre-trained model to guide the generation process. Our approach demonstrates excellent controllability across various types of conditions and delivers higher image quality compared to previous methods. Additionally, CAR achieves robust generalization with significantly fewer training resources compared to those required for pre-training the model. To the best of our knowledge, we are the first to propose a control framework for pre-trained autoregressive visual generation models.</x:v>
      </x:c>
      <x:c r="L225" s="17" t="str">
        <x:v>http://arxiv.org/abs/2410.04671v1</x:v>
      </x:c>
      <x:c r="M225" s="23" t="n">
        <x:v>0.031754032258064516</x:v>
      </x:c>
      <x:c r="N225" s="17" t="str">
        <x:v>arxiv-paper-eval-20260727-105551-results.jsonl</x:v>
      </x:c>
      <x:c r="O225" s="24" t="str">
        <x:v>2</x:v>
      </x:c>
      <x:c r="P225" s="28" t="str">
        <x:v>针对扩散与自回归两路线的可控图像生成差异。</x:v>
      </x:c>
      <x:c r="Q225" s="25" t="str"/>
      <x:c r="R225" s="24" t="str">
        <x:f>IF(Q225&lt;&gt;"",Q225,O225)</x:f>
        <x:v>2</x:v>
      </x:c>
      <x:c r="S225" s="29" t="str"/>
    </x:row>
    <x:row r="226" ht="54" customHeight="1">
      <x:c r="A226" s="17" t="str">
        <x:v>csq012-r05</x:v>
      </x:c>
      <x:c r="B226" s="17" t="str">
        <x:v>csq012</x:v>
      </x:c>
      <x:c r="C226" s="17" t="str">
        <x:v>computer_vision</x:v>
      </x:c>
      <x:c r="D226" s="17" t="str">
        <x:v>image_generation</x:v>
      </x:c>
      <x:c r="E226" s="27" t="str">
        <x:v>How do diffusion-based and autoregressive image generation models compare in training objectives, sampling cost, controllability, and output quality?</x:v>
      </x:c>
      <x:c r="F226" s="22" t="n">
        <x:v>5</x:v>
      </x:c>
      <x:c r="G226" s="17" t="str">
        <x:v>arXiv:2505.23660</x:v>
      </x:c>
      <x:c r="H226" s="27" t="str">
        <x:v>D-AR: Diffusion via Autoregressive Models</x:v>
      </x:c>
      <x:c r="I226" s="17" t="str">
        <x:v>Ziteng Gao; Mike Zheng Shou</x:v>
      </x:c>
      <x:c r="J226" s="22" t="n">
        <x:v>2025</x:v>
      </x:c>
      <x:c r="K226" s="27" t="str">
        <x:v>This paper presents Diffusion via Autoregressive models (D-AR), a new paradigm recasting the image diffusion process as a vanilla autoregressive procedure in the standard next-token-prediction fashion. We start by designing the tokenizer that converts images into sequences of discrete tokens, where tokens in different positions can be decoded into different diffusion denoising steps in the pixel space. Thanks to the diffusion properties, these tokens naturally follow a coarse-to-fine order, which directly lends itself to autoregressive modeling. Therefore, we apply standard next-token prediction on these tokens, without modifying any underlying designs (either causal masks or training/inference strategies), and such sequential autoregressive token generation directly mirrors the diffusion procedure in image space. That is, once the autoregressive model generates an increment of tokens, we can directly decode these tokens into the corresponding diffusion denoising step in the streaming manner. Our pipeline naturally reveals several intriguing properties, for example, it supports consistent previews when generating only a subset of tokens and enables zero-shot layout-controlled synthesis. On the standard ImageNet benchmark, our method achieves 2.09 FID using a 775M Llama backbone with 256 discrete tokens. We hope our work can inspire future research on unified autoregressive architectures of visual synthesis, especially with large language models. Code and models will be available at https://github.com/showlab/D-AR</x:v>
      </x:c>
      <x:c r="L226" s="17" t="str">
        <x:v>http://arxiv.org/abs/2505.23660v1</x:v>
      </x:c>
      <x:c r="M226" s="23" t="n">
        <x:v>0.031544957774465976</x:v>
      </x:c>
      <x:c r="N226" s="17" t="str">
        <x:v>arxiv-paper-eval-20260727-105551-results.jsonl</x:v>
      </x:c>
      <x:c r="O226" s="24" t="str">
        <x:v>2</x:v>
      </x:c>
      <x:c r="P226" s="28" t="str">
        <x:v>将图像扩散重写为下一词元自回归过程。</x:v>
      </x:c>
      <x:c r="Q226" s="25" t="str"/>
      <x:c r="R226" s="24" t="str">
        <x:f>IF(Q226&lt;&gt;"",Q226,O226)</x:f>
        <x:v>2</x:v>
      </x:c>
      <x:c r="S226" s="29" t="str"/>
    </x:row>
    <x:row r="227" ht="54" customHeight="1">
      <x:c r="A227" s="17" t="str">
        <x:v>csq012-r06</x:v>
      </x:c>
      <x:c r="B227" s="17" t="str">
        <x:v>csq012</x:v>
      </x:c>
      <x:c r="C227" s="17" t="str">
        <x:v>computer_vision</x:v>
      </x:c>
      <x:c r="D227" s="17" t="str">
        <x:v>image_generation</x:v>
      </x:c>
      <x:c r="E227" s="27" t="str">
        <x:v>How do diffusion-based and autoregressive image generation models compare in training objectives, sampling cost, controllability, and output quality?</x:v>
      </x:c>
      <x:c r="F227" s="22" t="n">
        <x:v>6</x:v>
      </x:c>
      <x:c r="G227" s="17" t="str">
        <x:v>arXiv:2406.06525</x:v>
      </x:c>
      <x:c r="H227" s="27" t="str">
        <x:v>Autoregressive Model Beats Diffusion: Llama for Scalable Image Generation</x:v>
      </x:c>
      <x:c r="I227" s="17" t="str">
        <x:v>Peize Sun; Yi Jiang; Shoufa Chen; Shilong Zhang; Bingyue Peng; Ping Luo; Zehuan Yuan</x:v>
      </x:c>
      <x:c r="J227" s="22" t="n">
        <x:v>2024</x:v>
      </x:c>
      <x:c r="K227" s="27" t="str">
        <x:v>We introduce LlamaGen, a new family of image generation models that apply original ``next-token prediction'' paradigm of large language models to visual generation domain. It is an affirmative answer to whether vanilla autoregressive models, e.g., Llama, without inductive biases on visual signals can achieve state-of-the-art image generation performance if scaling properly. We reexamine design spaces of image tokenizers, scalability properties of image generation models, and their training data quality. The outcome of this exploration consists of: (1) An image tokenizer with downsample ratio of 16, reconstruction quality of 0.94 rFID and codebook usage of 97% on ImageNet benchmark. (2) A series of class-conditional image generation models ranging from 111M to 3.1B parameters, achieving 2.18 FID on ImageNet 256x256 benchmarks, outperforming the popular diffusion models such as LDM, DiT. (3) A text-conditional image generation model with 775M parameters, from two-stage training on LAION-COCO and high aesthetics quality images, demonstrating competitive performance of visual quality and text alignment. (4) We verify the effectiveness of LLM serving frameworks in optimizing the inference speed of image generation models and achieve 326% - 414% speedup. We release all models and codes to facilitate open-source community of visual generation and multimodal foundation models.</x:v>
      </x:c>
      <x:c r="L227" s="17" t="str">
        <x:v>http://arxiv.org/abs/2406.06525v1</x:v>
      </x:c>
      <x:c r="M227" s="23" t="n">
        <x:v>0.03128054740957967</x:v>
      </x:c>
      <x:c r="N227" s="17" t="str">
        <x:v>arxiv-paper-eval-20260727-105551-results.jsonl</x:v>
      </x:c>
      <x:c r="O227" s="24" t="str">
        <x:v>2</x:v>
      </x:c>
      <x:c r="P227" s="28" t="str">
        <x:v>以标准下一词元目标验证自回归图像质量可超越扩散。</x:v>
      </x:c>
      <x:c r="Q227" s="25" t="str"/>
      <x:c r="R227" s="24" t="str">
        <x:f>IF(Q227&lt;&gt;"",Q227,O227)</x:f>
        <x:v>2</x:v>
      </x:c>
      <x:c r="S227" s="29" t="str"/>
    </x:row>
    <x:row r="228" ht="54" customHeight="1">
      <x:c r="A228" s="17" t="str">
        <x:v>csq012-r07</x:v>
      </x:c>
      <x:c r="B228" s="17" t="str">
        <x:v>csq012</x:v>
      </x:c>
      <x:c r="C228" s="17" t="str">
        <x:v>computer_vision</x:v>
      </x:c>
      <x:c r="D228" s="17" t="str">
        <x:v>image_generation</x:v>
      </x:c>
      <x:c r="E228" s="27" t="str">
        <x:v>How do diffusion-based and autoregressive image generation models compare in training objectives, sampling cost, controllability, and output quality?</x:v>
      </x:c>
      <x:c r="F228" s="22" t="n">
        <x:v>7</x:v>
      </x:c>
      <x:c r="G228" s="17" t="str">
        <x:v>arXiv:2101.12072</x:v>
      </x:c>
      <x:c r="H228" s="27" t="str">
        <x:v>Autoregressive Denoising Diffusion Models for Multivariate Probabilistic Time Series Forecasting</x:v>
      </x:c>
      <x:c r="I228" s="17" t="str">
        <x:v>Kashif Rasul; Calvin Seward; Ingmar Schuster; Roland Vollgraf</x:v>
      </x:c>
      <x:c r="J228" s="22" t="n">
        <x:v>2021</x:v>
      </x:c>
      <x:c r="K228" s="27" t="str">
        <x:v>In this work, we propose \texttt{TimeGrad}, an autoregressive model for multivariate probabilistic time series forecasting which samples from the data distribution at each time step by estimating its gradient. To this end, we use diffusion probabilistic models, a class of latent variable models closely connected to score matching and energy-based methods. Our model learns gradients by optimizing a variational bound on the data likelihood and at inference time converts white noise into a sample of the distribution of interest through a Markov chain using Langevin sampling. We demonstrate experimentally that the proposed autoregressive denoising diffusion model is the new state-of-the-art multivariate probabilistic forecasting method on real-world data sets with thousands of correlated dimensions. We hope that this method is a useful tool for practitioners and lays the foundation for future research in this area.</x:v>
      </x:c>
      <x:c r="L228" s="17" t="str">
        <x:v>http://arxiv.org/abs/2101.12072v2</x:v>
      </x:c>
      <x:c r="M228" s="23" t="n">
        <x:v>0.03125763125763126</x:v>
      </x:c>
      <x:c r="N228" s="17" t="str">
        <x:v>arxiv-paper-eval-20260727-105551-results.jsonl</x:v>
      </x:c>
      <x:c r="O228" s="24" t="str">
        <x:v>0</x:v>
      </x:c>
      <x:c r="P228" s="28" t="str">
        <x:v>研究时间序列预测而非图像生成。</x:v>
      </x:c>
      <x:c r="Q228" s="25" t="str"/>
      <x:c r="R228" s="24" t="str">
        <x:f>IF(Q228&lt;&gt;"",Q228,O228)</x:f>
        <x:v>0</x:v>
      </x:c>
      <x:c r="S228" s="29" t="str"/>
    </x:row>
    <x:row r="229" ht="54" customHeight="1">
      <x:c r="A229" s="17" t="str">
        <x:v>csq012-r08</x:v>
      </x:c>
      <x:c r="B229" s="17" t="str">
        <x:v>csq012</x:v>
      </x:c>
      <x:c r="C229" s="17" t="str">
        <x:v>computer_vision</x:v>
      </x:c>
      <x:c r="D229" s="17" t="str">
        <x:v>image_generation</x:v>
      </x:c>
      <x:c r="E229" s="27" t="str">
        <x:v>How do diffusion-based and autoregressive image generation models compare in training objectives, sampling cost, controllability, and output quality?</x:v>
      </x:c>
      <x:c r="F229" s="22" t="n">
        <x:v>8</x:v>
      </x:c>
      <x:c r="G229" s="17" t="str">
        <x:v>arXiv:2410.02705</x:v>
      </x:c>
      <x:c r="H229" s="27" t="str">
        <x:v>ControlAR: Controllable Image Generation with Autoregressive Models</x:v>
      </x:c>
      <x:c r="I229" s="17" t="str">
        <x:v>Zongming Li; Tianheng Cheng; Shoufa Chen; Peize Sun; Haocheng Shen; Longjin Ran; Xiaoxin Chen; Wenyu Liu; Xinggang Wang</x:v>
      </x:c>
      <x:c r="J229" s="22" t="n">
        <x:v>2024</x:v>
      </x:c>
      <x:c r="K229" s="27" t="str">
        <x:v>Autoregressive (AR) models have reformulated image generation as next-token prediction, demonstrating remarkable potential and emerging as strong competitors to diffusion models. However, control-to-image generation, akin to ControlNet, remains largely unexplored within AR models. Although a natural approach, inspired by advancements in Large Language Models, is to tokenize control images into tokens and prefill them into the autoregressive model before decoding image tokens, it still falls short in generation quality compared to ControlNet and suffers from inefficiency. To this end, we introduce ControlAR, an efficient and effective framework for integrating spatial controls into autoregressive image generation models. Firstly, we explore control encoding for AR models and propose a lightweight control encoder to transform spatial inputs (e.g., canny edges or depth maps) into control tokens. Then ControlAR exploits the conditional decoding method to generate the next image token conditioned on the per-token fusion between control and image tokens, similar to positional encodings. Compared to prefilling tokens, using conditional decoding significantly strengthens the control capability of AR models but also maintains the model's efficiency. Furthermore, the proposed ControlAR surprisingly empowers AR models with arbitrary-resolution image generation via conditional decoding and specific controls. Extensive experiments can demonstrate the controllability of the proposed ControlAR for the autoregressive control-to-image generation across diverse inputs, including edges, depths, and segmentation masks. Furthermore, both quantitative and qualitative results indicate that ControlAR surpasses previous state-of-the-art controllable diffusion models, e.g., ControlNet++. Code, models, and demo will soon be available at https://github.com/hustvl/ControlAR.</x:v>
      </x:c>
      <x:c r="L229" s="17" t="str">
        <x:v>http://arxiv.org/abs/2410.02705v3</x:v>
      </x:c>
      <x:c r="M229" s="23" t="n">
        <x:v>0.030798389007344232</x:v>
      </x:c>
      <x:c r="N229" s="17" t="str">
        <x:v>arxiv-paper-eval-20260727-105551-results.jsonl</x:v>
      </x:c>
      <x:c r="O229" s="24" t="str">
        <x:v>2</x:v>
      </x:c>
      <x:c r="P229" s="28" t="str">
        <x:v>直接比较自回归与ControlNet的控制能力、效率和质量。</x:v>
      </x:c>
      <x:c r="Q229" s="25" t="str"/>
      <x:c r="R229" s="24" t="str">
        <x:f>IF(Q229&lt;&gt;"",Q229,O229)</x:f>
        <x:v>2</x:v>
      </x:c>
      <x:c r="S229" s="29" t="str"/>
    </x:row>
    <x:row r="230" ht="54" customHeight="1">
      <x:c r="A230" s="17" t="str">
        <x:v>csq012-r09</x:v>
      </x:c>
      <x:c r="B230" s="17" t="str">
        <x:v>csq012</x:v>
      </x:c>
      <x:c r="C230" s="17" t="str">
        <x:v>computer_vision</x:v>
      </x:c>
      <x:c r="D230" s="17" t="str">
        <x:v>image_generation</x:v>
      </x:c>
      <x:c r="E230" s="27" t="str">
        <x:v>How do diffusion-based and autoregressive image generation models compare in training objectives, sampling cost, controllability, and output quality?</x:v>
      </x:c>
      <x:c r="F230" s="22" t="n">
        <x:v>9</x:v>
      </x:c>
      <x:c r="G230" s="17" t="str">
        <x:v>arXiv:2411.00776</x:v>
      </x:c>
      <x:c r="H230" s="27" t="str">
        <x:v>Randomized Autoregressive Visual Generation</x:v>
      </x:c>
      <x:c r="I230" s="17" t="str">
        <x:v>Qihang Yu; Ju He; Xueqing Deng; Xiaohui Shen; Liang-Chieh Chen</x:v>
      </x:c>
      <x:c r="J230" s="22" t="n">
        <x:v>2024</x:v>
      </x:c>
      <x:c r="K230" s="27" t="str">
        <x:v>This paper presents Randomized AutoRegressive modeling (RAR) for visual generation, which sets a new state-of-the-art performance on the image generation task while maintaining full compatibility with language modeling frameworks. The proposed RAR is simple: during a standard autoregressive training process with a next-token prediction objective, the input sequence-typically ordered in raster form-is randomly permuted into different factorization orders with a probability r, where r starts at 1 and linearly decays to 0 over the course of training. This annealing training strategy enables the model to learn to maximize the expected likelihood over all factorization orders and thus effectively improve the model's capability of modeling bidirectional contexts. Importantly, RAR preserves the integrity of the autoregressive modeling framework, ensuring full compatibility with language modeling while significantly improving performance in image generation. On the ImageNet-256 benchmark, RAR achieves an FID score of 1.48, not only surpassing prior state-of-the-art autoregressive image generators but also outperforming leading diffusion-based and masked transformer-based methods. Code and models will be made available at https://github.com/bytedance/1d-tokenizer</x:v>
      </x:c>
      <x:c r="L230" s="17" t="str">
        <x:v>http://arxiv.org/abs/2411.00776v1</x:v>
      </x:c>
      <x:c r="M230" s="23" t="n">
        <x:v>0.030621785881252923</x:v>
      </x:c>
      <x:c r="N230" s="17" t="str">
        <x:v>arxiv-paper-eval-20260727-105551-results.jsonl</x:v>
      </x:c>
      <x:c r="O230" s="24" t="str">
        <x:v>2</x:v>
      </x:c>
      <x:c r="P230" s="28" t="str">
        <x:v>提出自回归训练目标并与扩散图像质量比较。</x:v>
      </x:c>
      <x:c r="Q230" s="25" t="str"/>
      <x:c r="R230" s="24" t="str">
        <x:f>IF(Q230&lt;&gt;"",Q230,O230)</x:f>
        <x:v>2</x:v>
      </x:c>
      <x:c r="S230" s="29" t="str"/>
    </x:row>
    <x:row r="231" ht="54" customHeight="1">
      <x:c r="A231" s="17" t="str">
        <x:v>csq012-r10</x:v>
      </x:c>
      <x:c r="B231" s="17" t="str">
        <x:v>csq012</x:v>
      </x:c>
      <x:c r="C231" s="17" t="str">
        <x:v>computer_vision</x:v>
      </x:c>
      <x:c r="D231" s="17" t="str">
        <x:v>image_generation</x:v>
      </x:c>
      <x:c r="E231" s="27" t="str">
        <x:v>How do diffusion-based and autoregressive image generation models compare in training objectives, sampling cost, controllability, and output quality?</x:v>
      </x:c>
      <x:c r="F231" s="22" t="n">
        <x:v>10</x:v>
      </x:c>
      <x:c r="G231" s="17" t="str">
        <x:v>arXiv:2505.16862</x:v>
      </x:c>
      <x:c r="H231" s="27" t="str">
        <x:v>Conditional Panoramic Image Generation via Masked Autoregressive Modeling</x:v>
      </x:c>
      <x:c r="I231" s="17" t="str">
        <x:v>Chaoyang Wang; Xiangtai Li; Lu Qi; Xiaofan Lin; Jinbin Bai; Qianyu Zhou; Yunhai Tong</x:v>
      </x:c>
      <x:c r="J231" s="22" t="n">
        <x:v>2025</x:v>
      </x:c>
      <x:c r="K231" s="27" t="str">
        <x:v>Recent progress in panoramic image generation has underscored two critical limitations in existing approaches. First, most methods are built upon diffusion models, which are inherently ill-suited for equirectangular projection (ERP) panoramas due to the violation of the identically and independently distributed (i.i.d.) Gaussian noise assumption caused by their spherical mapping. Second, these methods often treat text-conditioned generation (text-to-panorama) and image-conditioned generation (panorama outpainting) as separate tasks, relying on distinct architectures and task-specific data. In this work, we propose a unified framework, Panoramic AutoRegressive model (PAR), which leverages masked autoregressive modeling to address these challenges. PAR avoids the i.i.d. assumption constraint and integrates text and image conditioning into a cohesive architecture, enabling seamless generation across tasks. To address the inherent discontinuity in existing generative models, we introduce circular padding to enhance spatial coherence and propose a consistency alignment strategy to improve generation quality. Extensive experiments demonstrate competitive performance in text-to-image generation and panorama outpainting tasks while showcasing promising scalability and generalization capabilities.</x:v>
      </x:c>
      <x:c r="L231" s="17" t="str">
        <x:v>http://arxiv.org/abs/2505.16862v2</x:v>
      </x:c>
      <x:c r="M231" s="23" t="n">
        <x:v>0.030117753623188408</x:v>
      </x:c>
      <x:c r="N231" s="17" t="str">
        <x:v>arxiv-paper-eval-20260727-105551-results.jsonl</x:v>
      </x:c>
      <x:c r="O231" s="24" t="str">
        <x:v>2</x:v>
      </x:c>
      <x:c r="P231" s="28" t="str">
        <x:v>讨论扩散假设局限并提出自回归全景图生成。</x:v>
      </x:c>
      <x:c r="Q231" s="25" t="str"/>
      <x:c r="R231" s="24" t="str">
        <x:f>IF(Q231&lt;&gt;"",Q231,O231)</x:f>
        <x:v>2</x:v>
      </x:c>
      <x:c r="S231" s="29" t="str"/>
    </x:row>
    <x:row r="232" ht="54" customHeight="1">
      <x:c r="A232" s="17" t="str">
        <x:v>csq012-r11</x:v>
      </x:c>
      <x:c r="B232" s="17" t="str">
        <x:v>csq012</x:v>
      </x:c>
      <x:c r="C232" s="17" t="str">
        <x:v>computer_vision</x:v>
      </x:c>
      <x:c r="D232" s="17" t="str">
        <x:v>image_generation</x:v>
      </x:c>
      <x:c r="E232" s="27" t="str">
        <x:v>How do diffusion-based and autoregressive image generation models compare in training objectives, sampling cost, controllability, and output quality?</x:v>
      </x:c>
      <x:c r="F232" s="22" t="n">
        <x:v>11</x:v>
      </x:c>
      <x:c r="G232" s="17" t="str">
        <x:v>arXiv:2405.21048</x:v>
      </x:c>
      <x:c r="H232" s="27" t="str">
        <x:v>Kaleido Diffusion: Improving Conditional Diffusion Models with Autoregressive Latent Modeling</x:v>
      </x:c>
      <x:c r="I232" s="17" t="str">
        <x:v>Jiatao Gu; Ying Shen; Shuangfei Zhai; Yizhe Zhang; Navdeep Jaitly; Joshua M. Susskind</x:v>
      </x:c>
      <x:c r="J232" s="22" t="n">
        <x:v>2024</x:v>
      </x:c>
      <x:c r="K232" s="27" t="str">
        <x:v>Diffusion models have emerged as a powerful tool for generating high-quality images from textual descriptions. Despite their successes, these models often exhibit limited diversity in the sampled images, particularly when sampling with a high classifier-free guidance weight. To address this issue, we present Kaleido, a novel approach that enhances the diversity of samples by incorporating autoregressive latent priors. Kaleido integrates an autoregressive language model that encodes the original caption and generates latent variables, serving as abstract and intermediary representations for guiding and facilitating the image generation process. In this paper, we explore a variety of discrete latent representations, including textual descriptions, detection bounding boxes, object blobs, and visual tokens. These representations diversify and enrich the input conditions to the diffusion models, enabling more diverse outputs. Our experimental results demonstrate that Kaleido effectively broadens the diversity of the generated image samples from a given textual description while maintaining high image quality. Furthermore, we show that Kaleido adheres closely to the guidance provided by the generated latent variables, demonstrating its capability to effectively control and direct the image generation process.</x:v>
      </x:c>
      <x:c r="L232" s="17" t="str">
        <x:v>http://arxiv.org/abs/2405.21048v1</x:v>
      </x:c>
      <x:c r="M232" s="23" t="n">
        <x:v>0.029211087420042643</x:v>
      </x:c>
      <x:c r="N232" s="17" t="str">
        <x:v>arxiv-paper-eval-20260727-105551-results.jsonl</x:v>
      </x:c>
      <x:c r="O232" s="24" t="str">
        <x:v>2</x:v>
      </x:c>
      <x:c r="P232" s="28" t="str">
        <x:v>融合自回归潜变量与扩散图像模型以改善控制和多样性。</x:v>
      </x:c>
      <x:c r="Q232" s="25" t="str"/>
      <x:c r="R232" s="24" t="str">
        <x:f>IF(Q232&lt;&gt;"",Q232,O232)</x:f>
        <x:v>2</x:v>
      </x:c>
      <x:c r="S232" s="29" t="str"/>
    </x:row>
    <x:row r="233" ht="54" customHeight="1">
      <x:c r="A233" s="17" t="str">
        <x:v>csq012-r12</x:v>
      </x:c>
      <x:c r="B233" s="17" t="str">
        <x:v>csq012</x:v>
      </x:c>
      <x:c r="C233" s="17" t="str">
        <x:v>computer_vision</x:v>
      </x:c>
      <x:c r="D233" s="17" t="str">
        <x:v>image_generation</x:v>
      </x:c>
      <x:c r="E233" s="27" t="str">
        <x:v>How do diffusion-based and autoregressive image generation models compare in training objectives, sampling cost, controllability, and output quality?</x:v>
      </x:c>
      <x:c r="F233" s="22" t="n">
        <x:v>12</x:v>
      </x:c>
      <x:c r="G233" s="17" t="str">
        <x:v>arXiv:2505.20297</x:v>
      </x:c>
      <x:c r="H233" s="27" t="str">
        <x:v>DiSA: Diffusion Step Annealing in Autoregressive Image Generation</x:v>
      </x:c>
      <x:c r="I233" s="17" t="str">
        <x:v>Qinyu Zhao; Jaskirat Singh; Ming Xu; Akshay Asthana; Stephen Gould; Liang Zheng</x:v>
      </x:c>
      <x:c r="J233" s="22" t="n">
        <x:v>2025</x:v>
      </x:c>
      <x:c r="K233" s="27" t="str">
        <x:v>An increasing number of autoregressive models, such as MAR, FlowAR, xAR, and Harmon adopt diffusion sampling to improve the quality of image generation. However, this strategy leads to low inference efficiency, because it usually takes 50 to 100 steps for diffusion to sample a token. This paper explores how to effectively address this issue. Our key motivation is that as more tokens are generated during the autoregressive process, subsequent tokens follow more constrained distributions and are easier to sample. To intuitively explain, if a model has generated part of a dog, the remaining tokens must complete the dog and thus are more constrained. Empirical evidence supports our motivation: at later generation stages, the next tokens can be well predicted by a multilayer perceptron, exhibit low variance, and follow closer-to-straight-line denoising paths from noise to tokens. Based on our finding, we introduce diffusion step annealing (DiSA), a training-free method which gradually uses fewer diffusion steps as more tokens are generated, e.g., using 50 steps at the beginning and gradually decreasing to 5 steps at later stages. Because DiSA is derived from our finding specific to diffusion in autoregressive models, it is complementary to existing acceleration methods designed for diffusion alone. DiSA can be implemented in only a few lines of code on existing models, and albeit simple, achieves $5-10\times$ faster inference for MAR and Harmon and $1.4-2.5\times$ for FlowAR and xAR, while maintaining the generation quality.</x:v>
      </x:c>
      <x:c r="L233" s="17" t="str">
        <x:v>http://arxiv.org/abs/2505.20297v1</x:v>
      </x:c>
      <x:c r="M233" s="23" t="n">
        <x:v>0.02684684684684685</x:v>
      </x:c>
      <x:c r="N233" s="17" t="str">
        <x:v>arxiv-paper-eval-20260727-105551-results.jsonl</x:v>
      </x:c>
      <x:c r="O233" s="24" t="str">
        <x:v>2</x:v>
      </x:c>
      <x:c r="P233" s="28" t="str">
        <x:v>直接分析混合自回归扩散的采样成本和质量。</x:v>
      </x:c>
      <x:c r="Q233" s="25" t="str"/>
      <x:c r="R233" s="24" t="str">
        <x:f>IF(Q233&lt;&gt;"",Q233,O233)</x:f>
        <x:v>2</x:v>
      </x:c>
      <x:c r="S233" s="29" t="str"/>
    </x:row>
    <x:row r="234" ht="54" customHeight="1">
      <x:c r="A234" s="17" t="str">
        <x:v>csq012-r13</x:v>
      </x:c>
      <x:c r="B234" s="17" t="str">
        <x:v>csq012</x:v>
      </x:c>
      <x:c r="C234" s="17" t="str">
        <x:v>computer_vision</x:v>
      </x:c>
      <x:c r="D234" s="17" t="str">
        <x:v>image_generation</x:v>
      </x:c>
      <x:c r="E234" s="27" t="str">
        <x:v>How do diffusion-based and autoregressive image generation models compare in training objectives, sampling cost, controllability, and output quality?</x:v>
      </x:c>
      <x:c r="F234" s="22" t="n">
        <x:v>13</x:v>
      </x:c>
      <x:c r="G234" s="17" t="str">
        <x:v>arXiv:2407.01392</x:v>
      </x:c>
      <x:c r="H234" s="27" t="str">
        <x:v>Diffusion Forcing: Next-token Prediction Meets Full-Sequence Diffusion</x:v>
      </x:c>
      <x:c r="I234" s="17" t="str">
        <x:v>Boyuan Chen; Diego Marti Monso; Yilun Du; Max Simchowitz; Russ Tedrake; Vincent Sitzmann</x:v>
      </x:c>
      <x:c r="J234" s="22" t="n">
        <x:v>2024</x:v>
      </x:c>
      <x:c r="K234" s="27" t="str">
        <x:v>This paper presents Diffusion Forcing, a new training paradigm where a diffusion model is trained to denoise a set of tokens with independent per-token noise levels. We apply Diffusion Forcing to sequence generative modeling by training a causal next-token prediction model to generate one or several future tokens without fully diffusing past ones. Our approach is shown to combine the strengths of next-token prediction models, such as variable-length generation, with the strengths of full-sequence diffusion models, such as the ability to guide sampling to desirable trajectories. Our method offers a range of additional capabilities, such as (1) rolling-out sequences of continuous tokens, such as video, with lengths past the training horizon, where baselines diverge and (2) new sampling and guiding schemes that uniquely profit from Diffusion Forcing's variable-horizon and causal architecture, and which lead to marked performance gains in decision-making and planning tasks. In addition to its empirical success, our method is proven to optimize a variational lower bound on the likelihoods of all subsequences of tokens drawn from the true joint distribution. Project website: https://boyuan.space/diffusion-forcing</x:v>
      </x:c>
      <x:c r="L234" s="17" t="str">
        <x:v>http://arxiv.org/abs/2407.01392v4</x:v>
      </x:c>
      <x:c r="M234" s="23" t="n">
        <x:v>0.01639344262295082</x:v>
      </x:c>
      <x:c r="N234" s="17" t="str">
        <x:v>arxiv-paper-eval-20260727-105551-results.jsonl</x:v>
      </x:c>
      <x:c r="O234" s="24" t="str">
        <x:v>1</x:v>
      </x:c>
      <x:c r="P234" s="28" t="str">
        <x:v>融合下一词元与扩散目标，但主要实验为视频和规划。</x:v>
      </x:c>
      <x:c r="Q234" s="25" t="str"/>
      <x:c r="R234" s="24" t="str">
        <x:f>IF(Q234&lt;&gt;"",Q234,O234)</x:f>
        <x:v>1</x:v>
      </x:c>
      <x:c r="S234" s="29" t="str"/>
    </x:row>
    <x:row r="235" ht="54" customHeight="1">
      <x:c r="A235" s="17" t="str">
        <x:v>csq012-r14</x:v>
      </x:c>
      <x:c r="B235" s="17" t="str">
        <x:v>csq012</x:v>
      </x:c>
      <x:c r="C235" s="17" t="str">
        <x:v>computer_vision</x:v>
      </x:c>
      <x:c r="D235" s="17" t="str">
        <x:v>image_generation</x:v>
      </x:c>
      <x:c r="E235" s="27" t="str">
        <x:v>How do diffusion-based and autoregressive image generation models compare in training objectives, sampling cost, controllability, and output quality?</x:v>
      </x:c>
      <x:c r="F235" s="22" t="n">
        <x:v>14</x:v>
      </x:c>
      <x:c r="G235" s="17" t="str">
        <x:v>arXiv:2412.10193</x:v>
      </x:c>
      <x:c r="H235" s="27" t="str">
        <x:v>Simple Guidance Mechanisms for Discrete Diffusion Models</x:v>
      </x:c>
      <x:c r="I235" s="17" t="str">
        <x:v>Yair Schiff; Subham Sekhar Sahoo; Hao Phung; Guanghan Wang; Sam Boshar; Hugo Dalla-torre; Bernardo P. de Almeida; Alexander Rush; Thomas Pierrot; Volodymyr Kuleshov</x:v>
      </x:c>
      <x:c r="J235" s="22" t="n">
        <x:v>2024</x:v>
      </x:c>
      <x:c r="K235" s="27" t="str">
        <x:v>Diffusion models for continuous data gained widespread adoption owing to their high quality generation and control mechanisms. However, controllable diffusion on discrete data faces challenges given that continuous guidance methods do not directly apply to discrete diffusion. Here, we provide a straightforward derivation of classifier-free and classifier-based guidance for discrete diffusion, as well as a new class of diffusion models that leverage uniform noise and that are more guidable because they can continuously edit their outputs. We improve the quality of these models with a novel continuous-time variational lower bound that yields state-of-the-art performance, especially in settings involving guidance or fast generation. Empirically, we demonstrate that our guidance mechanisms combined with uniform noise diffusion improve controllable generation relative to autoregressive and diffusion baselines on several discrete data domains, including genomic sequences, small molecule design, and discretized image generation.</x:v>
      </x:c>
      <x:c r="L235" s="17" t="str">
        <x:v>http://arxiv.org/abs/2412.10193v3</x:v>
      </x:c>
      <x:c r="M235" s="23" t="n">
        <x:v>0.01639344262295082</x:v>
      </x:c>
      <x:c r="N235" s="17" t="str">
        <x:v>arxiv-paper-eval-20260727-105551-results.jsonl</x:v>
      </x:c>
      <x:c r="O235" s="24" t="str">
        <x:v>2</x:v>
      </x:c>
      <x:c r="P235" s="28" t="str">
        <x:v>比较离散扩散与自回归基线的控制、质量和快速生成。</x:v>
      </x:c>
      <x:c r="Q235" s="25" t="str"/>
      <x:c r="R235" s="24" t="str">
        <x:f>IF(Q235&lt;&gt;"",Q235,O235)</x:f>
        <x:v>2</x:v>
      </x:c>
      <x:c r="S235" s="29" t="str"/>
    </x:row>
    <x:row r="236" ht="54" customHeight="1">
      <x:c r="A236" s="17" t="str">
        <x:v>csq012-r15</x:v>
      </x:c>
      <x:c r="B236" s="17" t="str">
        <x:v>csq012</x:v>
      </x:c>
      <x:c r="C236" s="17" t="str">
        <x:v>computer_vision</x:v>
      </x:c>
      <x:c r="D236" s="17" t="str">
        <x:v>image_generation</x:v>
      </x:c>
      <x:c r="E236" s="27" t="str">
        <x:v>How do diffusion-based and autoregressive image generation models compare in training objectives, sampling cost, controllability, and output quality?</x:v>
      </x:c>
      <x:c r="F236" s="22" t="n">
        <x:v>15</x:v>
      </x:c>
      <x:c r="G236" s="17" t="str">
        <x:v>arXiv:2010.12810</x:v>
      </x:c>
      <x:c r="H236" s="27" t="str">
        <x:v>Autoregressive Score Matching</x:v>
      </x:c>
      <x:c r="I236" s="17" t="str">
        <x:v>Chenlin Meng; Lantao Yu; Yang Song; Jiaming Song; Stefano Ermon</x:v>
      </x:c>
      <x:c r="J236" s="22" t="n">
        <x:v>2020</x:v>
      </x:c>
      <x:c r="K236" s="27" t="str">
        <x:v>Autoregressive models use chain rule to define a joint probability distribution as a product of conditionals. These conditionals need to be normalized, imposing constraints on the functional families that can be used. To increase flexibility, we propose autoregressive conditional score models (AR-CSM) where we parameterize the joint distribution in terms of the derivatives of univariate log-conditionals (scores), which need not be normalized. To train AR-CSM, we introduce a new divergence between distributions named Composite Score Matching (CSM). For AR-CSM models, this divergence between data and model distributions can be computed and optimized efficiently, requiring no expensive sampling or adversarial training. Compared to previous score matching algorithms, our method is more scalable to high dimensional data and more stable to optimize. We show with extensive experimental results that it can be applied to density estimation on synthetic data, image generation, image denoising, and training latent variable models with implicit encoders.</x:v>
      </x:c>
      <x:c r="L236" s="17" t="str">
        <x:v>http://arxiv.org/abs/2010.12810v1</x:v>
      </x:c>
      <x:c r="M236" s="23" t="n">
        <x:v>0.016129032258064516</x:v>
      </x:c>
      <x:c r="N236" s="17" t="str">
        <x:v>arxiv-paper-eval-20260727-105551-results.jsonl</x:v>
      </x:c>
      <x:c r="O236" s="24" t="str">
        <x:v>1</x:v>
      </x:c>
      <x:c r="P236" s="28" t="str">
        <x:v>自回归得分匹配可用于图像生成，但非两路线系统比较。</x:v>
      </x:c>
      <x:c r="Q236" s="25" t="str"/>
      <x:c r="R236" s="24" t="str">
        <x:f>IF(Q236&lt;&gt;"",Q236,O236)</x:f>
        <x:v>1</x:v>
      </x:c>
      <x:c r="S236" s="29" t="str"/>
    </x:row>
    <x:row r="237" ht="54" customHeight="1">
      <x:c r="A237" s="17" t="str">
        <x:v>csq012-r16</x:v>
      </x:c>
      <x:c r="B237" s="17" t="str">
        <x:v>csq012</x:v>
      </x:c>
      <x:c r="C237" s="17" t="str">
        <x:v>computer_vision</x:v>
      </x:c>
      <x:c r="D237" s="17" t="str">
        <x:v>image_generation</x:v>
      </x:c>
      <x:c r="E237" s="27" t="str">
        <x:v>How do diffusion-based and autoregressive image generation models compare in training objectives, sampling cost, controllability, and output quality?</x:v>
      </x:c>
      <x:c r="F237" s="22" t="n">
        <x:v>16</x:v>
      </x:c>
      <x:c r="G237" s="17" t="str">
        <x:v>arXiv:2402.03687</x:v>
      </x:c>
      <x:c r="H237" s="27" t="str">
        <x:v>Pard: Permutation-Invariant Autoregressive Diffusion for Graph Generation</x:v>
      </x:c>
      <x:c r="I237" s="17" t="str">
        <x:v>Lingxiao Zhao; Xueying Ding; Leman Akoglu</x:v>
      </x:c>
      <x:c r="J237" s="22" t="n">
        <x:v>2024</x:v>
      </x:c>
      <x:c r="K237" s="27" t="str">
        <x:v>Graph generation has been dominated by autoregressive models due to their simplicity and effectiveness, despite their sensitivity to ordering. Yet diffusion models have garnered increasing attention, as they offer comparable performance while being permutation-invariant. Current graph diffusion models generate graphs in a one-shot fashion, but they require extra features and thousands of denoising steps to achieve optimal performance. We introduce PARD, a Permutation-invariant Auto Regressive Diffusion model that integrates diffusion models with autoregressive methods. PARD harnesses the effectiveness and efficiency of the autoregressive model while maintaining permutation invariance without ordering sensitivity. Specifically, we show that contrary to sets, elements in a graph are not entirely unordered and there is a unique partial order for nodes and edges. With this partial order, PARD generates a graph in a block-by-block, autoregressive fashion, where each block's probability is conditionally modeled by a shared diffusion model with an equivariant network. To ensure efficiency while being expressive, we further propose a higher-order graph transformer, which integrates transformer with PPGN. Like GPT, we extend the higher-order graph transformer to support parallel training of all blocks. Without any extra features, PARD achieves state-of-the-art performance on molecular and non-molecular datasets, and scales to large datasets like MOSES containing 1.9M molecules. Pard is open-sourced at https://github.com/LingxiaoShawn/Pard.</x:v>
      </x:c>
      <x:c r="L237" s="17" t="str">
        <x:v>http://arxiv.org/abs/2402.03687v3</x:v>
      </x:c>
      <x:c r="M237" s="23" t="n">
        <x:v>0.015873015873015872</x:v>
      </x:c>
      <x:c r="N237" s="17" t="str">
        <x:v>arxiv-paper-eval-20260727-105551-results.jsonl</x:v>
      </x:c>
      <x:c r="O237" s="24" t="str">
        <x:v>0</x:v>
      </x:c>
      <x:c r="P237" s="28" t="str">
        <x:v>研究图生成而非图像生成。</x:v>
      </x:c>
      <x:c r="Q237" s="25" t="str"/>
      <x:c r="R237" s="24" t="str">
        <x:f>IF(Q237&lt;&gt;"",Q237,O237)</x:f>
        <x:v>0</x:v>
      </x:c>
      <x:c r="S237" s="29" t="str"/>
    </x:row>
    <x:row r="238" ht="54" customHeight="1">
      <x:c r="A238" s="17" t="str">
        <x:v>csq012-r17</x:v>
      </x:c>
      <x:c r="B238" s="17" t="str">
        <x:v>csq012</x:v>
      </x:c>
      <x:c r="C238" s="17" t="str">
        <x:v>computer_vision</x:v>
      </x:c>
      <x:c r="D238" s="17" t="str">
        <x:v>image_generation</x:v>
      </x:c>
      <x:c r="E238" s="27" t="str">
        <x:v>How do diffusion-based and autoregressive image generation models compare in training objectives, sampling cost, controllability, and output quality?</x:v>
      </x:c>
      <x:c r="F238" s="22" t="n">
        <x:v>17</x:v>
      </x:c>
      <x:c r="G238" s="17" t="str">
        <x:v>arXiv:2306.05043</x:v>
      </x:c>
      <x:c r="H238" s="27" t="str">
        <x:v>Non-autoregressive Conditional Diffusion Models for Time Series Prediction</x:v>
      </x:c>
      <x:c r="I238" s="17" t="str">
        <x:v>Lifeng Shen; James Kwok</x:v>
      </x:c>
      <x:c r="J238" s="22" t="n">
        <x:v>2023</x:v>
      </x:c>
      <x:c r="K238" s="27" t="str">
        <x:v>Recently, denoising diffusion models have led to significant breakthroughs in the generation of images, audio and text. However, it is still an open question on how to adapt their strong modeling ability to model time series. In this paper, we propose TimeDiff, a non-autoregressive diffusion model that achieves high-quality time series prediction with the introduction of two novel conditioning mechanisms: future mixup and autoregressive initialization. Similar to teacher forcing, future mixup allows parts of the ground-truth future predictions for conditioning, while autoregressive initialization helps better initialize the model with basic time series patterns such as short-term trends. Extensive experiments are performed on nine real-world datasets. Results show that TimeDiff consistently outperforms existing time series diffusion models, and also achieves the best overall performance across a variety of the existing strong baselines (including transformers and FiLM).</x:v>
      </x:c>
      <x:c r="L238" s="17" t="str">
        <x:v>http://arxiv.org/abs/2306.05043v1</x:v>
      </x:c>
      <x:c r="M238" s="23" t="n">
        <x:v>0.015873015873015872</x:v>
      </x:c>
      <x:c r="N238" s="17" t="str">
        <x:v>arxiv-paper-eval-20260727-105551-results.jsonl</x:v>
      </x:c>
      <x:c r="O238" s="24" t="str">
        <x:v>0</x:v>
      </x:c>
      <x:c r="P238" s="28" t="str">
        <x:v>研究时间序列预测而非图像生成。</x:v>
      </x:c>
      <x:c r="Q238" s="25" t="str"/>
      <x:c r="R238" s="24" t="str">
        <x:f>IF(Q238&lt;&gt;"",Q238,O238)</x:f>
        <x:v>0</x:v>
      </x:c>
      <x:c r="S238" s="29" t="str"/>
    </x:row>
    <x:row r="239" ht="54" customHeight="1">
      <x:c r="A239" s="17" t="str">
        <x:v>csq012-r18</x:v>
      </x:c>
      <x:c r="B239" s="17" t="str">
        <x:v>csq012</x:v>
      </x:c>
      <x:c r="C239" s="17" t="str">
        <x:v>computer_vision</x:v>
      </x:c>
      <x:c r="D239" s="17" t="str">
        <x:v>image_generation</x:v>
      </x:c>
      <x:c r="E239" s="27" t="str">
        <x:v>How do diffusion-based and autoregressive image generation models compare in training objectives, sampling cost, controllability, and output quality?</x:v>
      </x:c>
      <x:c r="F239" s="22" t="n">
        <x:v>18</x:v>
      </x:c>
      <x:c r="G239" s="17" t="str">
        <x:v>arXiv:2509.18928</x:v>
      </x:c>
      <x:c r="H239" s="27" t="str">
        <x:v>Direct Preference Optimization for Speech Autoregressive Diffusion Models</x:v>
      </x:c>
      <x:c r="I239" s="17" t="str">
        <x:v>Zhijun Liu; Dongya Jia; Xiaoqiang Wang; Chenpeng Du; Shuai Wang; Zhuo Chen; Haizhou Li</x:v>
      </x:c>
      <x:c r="J239" s="22" t="n">
        <x:v>2025</x:v>
      </x:c>
      <x:c r="K239" s="27" t="str">
        <x:v>Autoregressive diffusion models (ARDMs) have recently been applied to speech generation, achieving state-of-the-art (SOTA) performance in zero-shot text-to-speech. By autoregressively generating continuous speech tokens with next-token diffusion, these models offer a promising alternative to next-token prediction, avoiding the technical complexities associated with discrete speech tokenization. As a relatively new paradigm, research on reinforcement learning (RL)-based fine-tuning of speech ARDMs remains limited. In this paper, we propose Autoregressive Diffusion-Direct Preference Optimization (ARDM-DPO) to advance this research. By fine-tuning the recently proposed zero-shot text-to-speech model DiTAR with DPO, we achieve significant improvements in terms of speech expressiveness and robustness for long texts.</x:v>
      </x:c>
      <x:c r="L239" s="17" t="str">
        <x:v>http://arxiv.org/abs/2509.18928v1</x:v>
      </x:c>
      <x:c r="M239" s="23" t="n">
        <x:v>0.015625</x:v>
      </x:c>
      <x:c r="N239" s="17" t="str">
        <x:v>arxiv-paper-eval-20260727-105551-results.jsonl</x:v>
      </x:c>
      <x:c r="O239" s="24" t="str">
        <x:v>0</x:v>
      </x:c>
      <x:c r="P239" s="28" t="str">
        <x:v>研究语音生成而非图像生成。</x:v>
      </x:c>
      <x:c r="Q239" s="25" t="str"/>
      <x:c r="R239" s="24" t="str">
        <x:f>IF(Q239&lt;&gt;"",Q239,O239)</x:f>
        <x:v>0</x:v>
      </x:c>
      <x:c r="S239" s="29" t="str"/>
    </x:row>
    <x:row r="240" ht="54" customHeight="1">
      <x:c r="A240" s="17" t="str">
        <x:v>csq012-r19</x:v>
      </x:c>
      <x:c r="B240" s="17" t="str">
        <x:v>csq012</x:v>
      </x:c>
      <x:c r="C240" s="17" t="str">
        <x:v>computer_vision</x:v>
      </x:c>
      <x:c r="D240" s="17" t="str">
        <x:v>image_generation</x:v>
      </x:c>
      <x:c r="E240" s="27" t="str">
        <x:v>How do diffusion-based and autoregressive image generation models compare in training objectives, sampling cost, controllability, and output quality?</x:v>
      </x:c>
      <x:c r="F240" s="22" t="n">
        <x:v>19</x:v>
      </x:c>
      <x:c r="G240" s="17" t="str">
        <x:v>arXiv:2503.00307</x:v>
      </x:c>
      <x:c r="H240" s="27" t="str">
        <x:v>Remasking Discrete Diffusion Models with Inference-Time Scaling</x:v>
      </x:c>
      <x:c r="I240" s="17" t="str">
        <x:v>Guanghan Wang; Yair Schiff; Subham Sekhar Sahoo; Volodymyr Kuleshov</x:v>
      </x:c>
      <x:c r="J240" s="22" t="n">
        <x:v>2025</x:v>
      </x:c>
      <x:c r="K240" s="27" t="str">
        <x:v>Part of the success of diffusion models stems from their ability to perform iterative refinement, i.e., repeatedly correcting outputs during generation. However, modern masked discrete diffusion lacks this capability: when a token is generated, it cannot be updated again, even when it introduces an error. Here, we address this limitation by introducing the remasking diffusion model (ReMDM) sampler, a method that can be applied to pretrained masked diffusion models in a principled way and that is derived from a discrete diffusion model with a custom remasking backward process. Most interestingly, ReMDM endows discrete diffusion with a form of inference-time compute scaling. By increasing the number of sampling steps, ReMDM generates natural language outputs that approach the quality of autoregressive models, whereas when the computation budget is limited, ReMDM better maintains quality. ReMDM also improves sample quality of masked diffusion models for discretized images, and in scientific domains such as molecule design, ReMDM facilitates diffusion guidance and pushes the Pareto frontier of controllability relative to classical masking and uniform noise diffusion. We provide the code along with a blog post on the project page: https://guanghanwang.com/remdm</x:v>
      </x:c>
      <x:c r="L240" s="17" t="str">
        <x:v>http://arxiv.org/abs/2503.00307v4</x:v>
      </x:c>
      <x:c r="M240" s="23" t="n">
        <x:v>0.015625</x:v>
      </x:c>
      <x:c r="N240" s="17" t="str">
        <x:v>arxiv-paper-eval-20260727-105551-results.jsonl</x:v>
      </x:c>
      <x:c r="O240" s="24" t="str">
        <x:v>2</x:v>
      </x:c>
      <x:c r="P240" s="28" t="str">
        <x:v>离散扩散采样器覆盖图像质量、计算扩展和可控性。</x:v>
      </x:c>
      <x:c r="Q240" s="25" t="str"/>
      <x:c r="R240" s="24" t="str">
        <x:f>IF(Q240&lt;&gt;"",Q240,O240)</x:f>
        <x:v>2</x:v>
      </x:c>
      <x:c r="S240" s="29" t="str"/>
    </x:row>
    <x:row r="241" ht="54" customHeight="1">
      <x:c r="A241" s="17" t="str">
        <x:v>csq012-r20</x:v>
      </x:c>
      <x:c r="B241" s="17" t="str">
        <x:v>csq012</x:v>
      </x:c>
      <x:c r="C241" s="17" t="str">
        <x:v>computer_vision</x:v>
      </x:c>
      <x:c r="D241" s="17" t="str">
        <x:v>image_generation</x:v>
      </x:c>
      <x:c r="E241" s="27" t="str">
        <x:v>How do diffusion-based and autoregressive image generation models compare in training objectives, sampling cost, controllability, and output quality?</x:v>
      </x:c>
      <x:c r="F241" s="22" t="n">
        <x:v>20</x:v>
      </x:c>
      <x:c r="G241" s="17" t="str">
        <x:v>arXiv:2310.15817</x:v>
      </x:c>
      <x:c r="H241" s="27" t="str">
        <x:v>Discriminator Guidance for Autoregressive Diffusion Models</x:v>
      </x:c>
      <x:c r="I241" s="17" t="str">
        <x:v>Filip Ekström Kelvinius; Fredrik Lindsten</x:v>
      </x:c>
      <x:c r="J241" s="22" t="n">
        <x:v>2023</x:v>
      </x:c>
      <x:c r="K241" s="27" t="str">
        <x:v>We introduce discriminator guidance in the setting of Autoregressive Diffusion Models. The use of a discriminator to guide a diffusion process has previously been used for continuous diffusion models, and in this work we derive ways of using a discriminator together with a pretrained generative model in the discrete case. First, we show that using an optimal discriminator will correct the pretrained model and enable exact sampling from the underlying data distribution. Second, to account for the realistic scenario of using a sub-optimal discriminator, we derive a sequential Monte Carlo algorithm which iteratively takes the predictions from the discriminator into account during the generation process. We test these approaches on the task of generating molecular graphs and show how the discriminator improves the generative performance over using only the pretrained model.</x:v>
      </x:c>
      <x:c r="L241" s="17" t="str">
        <x:v>http://arxiv.org/abs/2310.15817v2</x:v>
      </x:c>
      <x:c r="M241" s="23" t="n">
        <x:v>0.015625</x:v>
      </x:c>
      <x:c r="N241" s="17" t="str">
        <x:v>arxiv-paper-eval-20260727-105551-results.jsonl</x:v>
      </x:c>
      <x:c r="O241" s="24" t="str">
        <x:v>0</x:v>
      </x:c>
      <x:c r="P241" s="28" t="str">
        <x:v>实验任务为分子图生成，不是图像生成。</x:v>
      </x:c>
      <x:c r="Q241" s="25" t="str"/>
      <x:c r="R241" s="24" t="str">
        <x:f>IF(Q241&lt;&gt;"",Q241,O241)</x:f>
        <x:v>0</x:v>
      </x:c>
      <x:c r="S241" s="29" t="str"/>
    </x:row>
    <x:row r="242" ht="54" customHeight="1">
      <x:c r="A242" s="17" t="str">
        <x:v>csq013-r01</x:v>
      </x:c>
      <x:c r="B242" s="17" t="str">
        <x:v>csq013</x:v>
      </x:c>
      <x:c r="C242" s="17" t="str">
        <x:v>computer_vision</x:v>
      </x:c>
      <x:c r="D242" s="17" t="str">
        <x:v>vision_language_evaluation</x:v>
      </x:c>
      <x:c r="E242" s="27" t="str">
        <x:v>Which benchmarks and metrics have been proposed to evaluate hallucination in vision-language models, and what aspects of model behavior does each benchmark test?</x:v>
      </x:c>
      <x:c r="F242" s="22" t="n">
        <x:v>1</x:v>
      </x:c>
      <x:c r="G242" s="17" t="str">
        <x:v>arXiv:2509.20379</x:v>
      </x:c>
      <x:c r="H242" s="27" t="str">
        <x:v>Leveraging NTPs for Efficient Hallucination Detection in VLMs</x:v>
      </x:c>
      <x:c r="I242" s="17" t="str">
        <x:v>Ofir Azachi; Kfir Eliyahu; Eyal El Ani; Rom Himelstein; Roi Reichart; Yuval Pinter; Nitay Calderon</x:v>
      </x:c>
      <x:c r="J242" s="22" t="n">
        <x:v>2025</x:v>
      </x:c>
      <x:c r="K242" s="27" t="str">
        <x:v>Hallucinations of vision-language models (VLMs), which are misalignments between visual content and generated text, undermine the reliability of VLMs. One common approach for detecting them employs the same VLM, or a different one, to assess generated outputs. This process is computationally intensive and increases model latency. In this paper, we explore an efficient on-the-fly method for hallucination detection by training traditional ML models over signals based on the VLM's next-token probabilities (NTPs). NTPs provide a direct quantification of model uncertainty. We hypothesize that high uncertainty (i.e., a low NTP value) is strongly associated with hallucinations. To test this, we introduce a dataset of 1,400 human-annotated statements derived from VLM-generated content, each labeled as hallucinated or not, and use it to test our NTP-based lightweight method. Our results demonstrate that NTP-based features are valuable predictors of hallucinations, enabling fast and simple ML models to achieve performance comparable to that of strong VLMs. Furthermore, augmenting these NTPs with linguistic NTPs, computed by feeding only the generated text back into the VLM, enhances hallucination detection performance. Finally, integrating hallucination prediction scores from VLMs into the NTP-based models led to better performance than using either VLMs or NTPs alone. We hope this study paves the way for simple, lightweight solutions that enhance the reliability of VLMs.</x:v>
      </x:c>
      <x:c r="L242" s="17" t="str">
        <x:v>http://arxiv.org/abs/2509.20379v2</x:v>
      </x:c>
      <x:c r="M242" s="23" t="n">
        <x:v>0.03252247488101534</x:v>
      </x:c>
      <x:c r="N242" s="17" t="str">
        <x:v>arxiv-paper-eval-20260727-105551-results.jsonl</x:v>
      </x:c>
      <x:c r="O242" s="24" t="str">
        <x:v>2</x:v>
      </x:c>
      <x:c r="P242" s="28" t="str">
        <x:v>提出基于下一词元概率的VLM幻觉检测指标。</x:v>
      </x:c>
      <x:c r="Q242" s="25" t="str"/>
      <x:c r="R242" s="24" t="str">
        <x:f>IF(Q242&lt;&gt;"",Q242,O242)</x:f>
        <x:v>2</x:v>
      </x:c>
      <x:c r="S242" s="29" t="str"/>
    </x:row>
    <x:row r="243" ht="54" customHeight="1">
      <x:c r="A243" s="17" t="str">
        <x:v>csq013-r02</x:v>
      </x:c>
      <x:c r="B243" s="17" t="str">
        <x:v>csq013</x:v>
      </x:c>
      <x:c r="C243" s="17" t="str">
        <x:v>computer_vision</x:v>
      </x:c>
      <x:c r="D243" s="17" t="str">
        <x:v>vision_language_evaluation</x:v>
      </x:c>
      <x:c r="E243" s="27" t="str">
        <x:v>Which benchmarks and metrics have been proposed to evaluate hallucination in vision-language models, and what aspects of model behavior does each benchmark test?</x:v>
      </x:c>
      <x:c r="F243" s="22" t="n">
        <x:v>2</x:v>
      </x:c>
      <x:c r="G243" s="17" t="str">
        <x:v>arXiv:2407.06192</x:v>
      </x:c>
      <x:c r="H243" s="27" t="str">
        <x:v>Multi-Object Hallucination in Vision-Language Models</x:v>
      </x:c>
      <x:c r="I243" s="17" t="str">
        <x:v>Xuweiyi Chen; Ziqiao Ma; Xuejun Zhang; Sihan Xu; Shengyi Qian; Jianing Yang; David F. Fouhey; Joyce Chai</x:v>
      </x:c>
      <x:c r="J243" s="22" t="n">
        <x:v>2024</x:v>
      </x:c>
      <x:c r="K243" s="27" t="str">
        <x:v>Large vision language models (LVLMs) often suffer from object hallucination, producing objects not present in the given images. While current benchmarks for object hallucination primarily concentrate on the presence of a single object class rather than individual entities, this work systematically investigates multi-object hallucination, examining how models misperceive (e.g., invent nonexistent objects or become distracted) when tasked with focusing on multiple objects simultaneously. We introduce Recognition-based Object Probing Evaluation (ROPE), an automated evaluation protocol that considers the distribution of object classes within a single image during testing and uses visual referring prompts to eliminate ambiguity. With comprehensive empirical studies and analysis of potential factors leading to multi-object hallucination, we found that (1). LVLMs suffer more hallucinations when focusing on multiple objects compared to a single object. (2). The tested object class distribution affects hallucination behaviors, indicating that LVLMs may follow shortcuts and spurious correlations. (3). Hallucinatory behaviors are influenced by data-specific factors, salience and frequency, and model intrinsic behaviors. We hope to enable LVLMs to recognize and reason about multiple objects that often occur in realistic visual scenes, provide insights, and quantify our progress towards mitigating the issues.</x:v>
      </x:c>
      <x:c r="L243" s="17" t="str">
        <x:v>http://arxiv.org/abs/2407.06192v2</x:v>
      </x:c>
      <x:c r="M243" s="23" t="n">
        <x:v>0.031544957774465976</x:v>
      </x:c>
      <x:c r="N243" s="17" t="str">
        <x:v>arxiv-paper-eval-20260727-105551-results.jsonl</x:v>
      </x:c>
      <x:c r="O243" s="24" t="str">
        <x:v>2</x:v>
      </x:c>
      <x:c r="P243" s="28" t="str">
        <x:v>提出多对象幻觉基准及自动评测协议。</x:v>
      </x:c>
      <x:c r="Q243" s="25" t="str"/>
      <x:c r="R243" s="24" t="str">
        <x:f>IF(Q243&lt;&gt;"",Q243,O243)</x:f>
        <x:v>2</x:v>
      </x:c>
      <x:c r="S243" s="29" t="str"/>
    </x:row>
    <x:row r="244" ht="54" customHeight="1">
      <x:c r="A244" s="17" t="str">
        <x:v>csq013-r03</x:v>
      </x:c>
      <x:c r="B244" s="17" t="str">
        <x:v>csq013</x:v>
      </x:c>
      <x:c r="C244" s="17" t="str">
        <x:v>computer_vision</x:v>
      </x:c>
      <x:c r="D244" s="17" t="str">
        <x:v>vision_language_evaluation</x:v>
      </x:c>
      <x:c r="E244" s="27" t="str">
        <x:v>Which benchmarks and metrics have been proposed to evaluate hallucination in vision-language models, and what aspects of model behavior does each benchmark test?</x:v>
      </x:c>
      <x:c r="F244" s="22" t="n">
        <x:v>3</x:v>
      </x:c>
      <x:c r="G244" s="17" t="str">
        <x:v>arXiv:2410.23114</x:v>
      </x:c>
      <x:c r="H244" s="27" t="str">
        <x:v>Unified Triplet-Level Hallucination Evaluation for Large Vision-Language Models</x:v>
      </x:c>
      <x:c r="I244" s="17" t="str">
        <x:v>Junjie Wu; Tsz Ting Chung; Kai Chen; Dit-Yan Yeung</x:v>
      </x:c>
      <x:c r="J244" s="22" t="n">
        <x:v>2024</x:v>
      </x:c>
      <x:c r="K244" s="27" t="str">
        <x:v>Despite the outstanding performance in vision-language reasoning, Large Vision-Language Models (LVLMs) might generate hallucinated contents that do not exist in the given image. Most existing LVLM hallucination benchmarks are constrained to evaluate the object-related hallucinations. However, the potential hallucination on the relations between two objects, i.e., relation hallucination, still lacks investigation. To remedy that, we design a unified framework to measure the object and relation hallucination in LVLMs simultaneously. The core idea of our framework is to evaluate hallucinations via (object, relation, object) triplets extracted from LVLMs' responses, making it easily generalizable to different vision-language tasks. Based on our framework, we further introduce Tri-HE, a novel Triplet-level Hallucination Evaluation benchmark which can be used to study both object and relation hallucination at the same time. With comprehensive evaluations on Tri-HE, we observe that the relation hallucination issue is even more serious than object hallucination among existing LVLMs, highlighting a previously neglected problem towards reliable LVLMs. Moreover, based on our findings, we design a simple training-free approach that effectively mitigates hallucinations for LVLMs. Our dataset and code for the reproduction of our experiments are available publicly at https://github.com/wujunjie1998/Tri-HE.</x:v>
      </x:c>
      <x:c r="L244" s="17" t="str">
        <x:v>http://arxiv.org/abs/2410.23114v4</x:v>
      </x:c>
      <x:c r="M244" s="23" t="n">
        <x:v>0.031009615384615385</x:v>
      </x:c>
      <x:c r="N244" s="17" t="str">
        <x:v>arxiv-paper-eval-20260727-105551-results.jsonl</x:v>
      </x:c>
      <x:c r="O244" s="24" t="str">
        <x:v>2</x:v>
      </x:c>
      <x:c r="P244" s="28" t="str">
        <x:v>提出对象与关系三元组级统一幻觉评测。</x:v>
      </x:c>
      <x:c r="Q244" s="25" t="str"/>
      <x:c r="R244" s="24" t="str">
        <x:f>IF(Q244&lt;&gt;"",Q244,O244)</x:f>
        <x:v>2</x:v>
      </x:c>
      <x:c r="S244" s="29" t="str"/>
    </x:row>
    <x:row r="245" ht="54" customHeight="1">
      <x:c r="A245" s="17" t="str">
        <x:v>csq013-r04</x:v>
      </x:c>
      <x:c r="B245" s="17" t="str">
        <x:v>csq013</x:v>
      </x:c>
      <x:c r="C245" s="17" t="str">
        <x:v>computer_vision</x:v>
      </x:c>
      <x:c r="D245" s="17" t="str">
        <x:v>vision_language_evaluation</x:v>
      </x:c>
      <x:c r="E245" s="27" t="str">
        <x:v>Which benchmarks and metrics have been proposed to evaluate hallucination in vision-language models, and what aspects of model behavior does each benchmark test?</x:v>
      </x:c>
      <x:c r="F245" s="22" t="n">
        <x:v>4</x:v>
      </x:c>
      <x:c r="G245" s="17" t="str">
        <x:v>arXiv:2402.00253</x:v>
      </x:c>
      <x:c r="H245" s="27" t="str">
        <x:v>A Survey on Hallucination in Large Vision-Language Models</x:v>
      </x:c>
      <x:c r="I245" s="17" t="str">
        <x:v>Hanchao Liu; Wenyuan Xue; Yifei Chen; Dapeng Chen; Xiutian Zhao; Ke Wang; Liping Hou; Rongjun Li; Wei Peng</x:v>
      </x:c>
      <x:c r="J245" s="22" t="n">
        <x:v>2024</x:v>
      </x:c>
      <x:c r="K245" s="27" t="str">
        <x:v>Recent development of Large Vision-Language Models (LVLMs) has attracted growing attention within the AI landscape for its practical implementation potential. However, ``hallucination'', or more specifically, the misalignment between factual visual content and corresponding textual generation, poses a significant challenge of utilizing LVLMs. In this comprehensive survey, we dissect LVLM-related hallucinations in an attempt to establish an overview and facilitate future mitigation. Our scrutiny starts with a clarification of the concept of hallucinations in LVLMs, presenting a variety of hallucination symptoms and highlighting the unique challenges inherent in LVLM hallucinations. Subsequently, we outline the benchmarks and methodologies tailored specifically for evaluating hallucinations unique to LVLMs. Additionally, we delve into an investigation of the root causes of these hallucinations, encompassing insights from the training data and model components. We also critically review existing methods for mitigating hallucinations. The open questions and future directions pertaining to hallucinations within LVLMs are discussed to conclude this survey.</x:v>
      </x:c>
      <x:c r="L245" s="17" t="str">
        <x:v>http://arxiv.org/abs/2402.00253v2</x:v>
      </x:c>
      <x:c r="M245" s="23" t="n">
        <x:v>0.029957522915269395</x:v>
      </x:c>
      <x:c r="N245" s="17" t="str">
        <x:v>arxiv-paper-eval-20260727-105551-results.jsonl</x:v>
      </x:c>
      <x:c r="O245" s="24" t="str">
        <x:v>2</x:v>
      </x:c>
      <x:c r="P245" s="28" t="str">
        <x:v>系统综述LVLM幻觉类型、评测与缓解。</x:v>
      </x:c>
      <x:c r="Q245" s="25" t="str"/>
      <x:c r="R245" s="24" t="str">
        <x:f>IF(Q245&lt;&gt;"",Q245,O245)</x:f>
        <x:v>2</x:v>
      </x:c>
      <x:c r="S245" s="29" t="str"/>
    </x:row>
    <x:row r="246" ht="54" customHeight="1">
      <x:c r="A246" s="17" t="str">
        <x:v>csq013-r05</x:v>
      </x:c>
      <x:c r="B246" s="17" t="str">
        <x:v>csq013</x:v>
      </x:c>
      <x:c r="C246" s="17" t="str">
        <x:v>computer_vision</x:v>
      </x:c>
      <x:c r="D246" s="17" t="str">
        <x:v>vision_language_evaluation</x:v>
      </x:c>
      <x:c r="E246" s="27" t="str">
        <x:v>Which benchmarks and metrics have been proposed to evaluate hallucination in vision-language models, and what aspects of model behavior does each benchmark test?</x:v>
      </x:c>
      <x:c r="F246" s="22" t="n">
        <x:v>5</x:v>
      </x:c>
      <x:c r="G246" s="17" t="str">
        <x:v>arXiv:2504.12137</x:v>
      </x:c>
      <x:c r="H246" s="27" t="str">
        <x:v>Efficient Contrastive Decoding with Probabilistic Hallucination Detection - Mitigating Hallucinations in Large Vision Language Models -</x:v>
      </x:c>
      <x:c r="I246" s="17" t="str">
        <x:v>Laura Fieback; Nishilkumar Balar; Jakob Spiegelberg; Hanno Gottschalk</x:v>
      </x:c>
      <x:c r="J246" s="22" t="n">
        <x:v>2025</x:v>
      </x:c>
      <x:c r="K246" s="27" t="str">
        <x:v>Despite recent advances in Large Vision Language Models (LVLMs), these models still suffer from generating hallucinatory responses that do not align with the visual input provided. To mitigate such hallucinations, we introduce Efficient Contrastive Decoding (ECD), a simple method that leverages probabilistic hallucination detection to shift the output distribution towards contextually accurate answers at inference time. By contrasting token probabilities and hallucination scores, ECD subtracts hallucinated concepts from the original distribution, effectively suppressing hallucinations. Notably, our proposed method can be applied to any open-source LVLM and does not require additional LVLM training. We evaluate our method on several benchmark datasets and across different LVLMs. Our experiments show that ECD effectively mitigates hallucinations, outperforming state-of-the-art methods with respect to performance on LVLM benchmarks and computation time.</x:v>
      </x:c>
      <x:c r="L246" s="17" t="str">
        <x:v>http://arxiv.org/abs/2504.12137v1</x:v>
      </x:c>
      <x:c r="M246" s="23" t="n">
        <x:v>0.029877369007803793</x:v>
      </x:c>
      <x:c r="N246" s="17" t="str">
        <x:v>arxiv-paper-eval-20260727-105551-results.jsonl</x:v>
      </x:c>
      <x:c r="O246" s="24" t="str">
        <x:v>1</x:v>
      </x:c>
      <x:c r="P246" s="28" t="str">
        <x:v>主要贡献为解码缓解，概率检测仅作为机制。</x:v>
      </x:c>
      <x:c r="Q246" s="25" t="str"/>
      <x:c r="R246" s="24" t="str">
        <x:f>IF(Q246&lt;&gt;"",Q246,O246)</x:f>
        <x:v>1</x:v>
      </x:c>
      <x:c r="S246" s="29" t="str"/>
    </x:row>
    <x:row r="247" ht="54" customHeight="1">
      <x:c r="A247" s="17" t="str">
        <x:v>csq013-r06</x:v>
      </x:c>
      <x:c r="B247" s="17" t="str">
        <x:v>csq013</x:v>
      </x:c>
      <x:c r="C247" s="17" t="str">
        <x:v>computer_vision</x:v>
      </x:c>
      <x:c r="D247" s="17" t="str">
        <x:v>vision_language_evaluation</x:v>
      </x:c>
      <x:c r="E247" s="27" t="str">
        <x:v>Which benchmarks and metrics have been proposed to evaluate hallucination in vision-language models, and what aspects of model behavior does each benchmark test?</x:v>
      </x:c>
      <x:c r="F247" s="22" t="n">
        <x:v>6</x:v>
      </x:c>
      <x:c r="G247" s="17" t="str">
        <x:v>arXiv:2502.20780</x:v>
      </x:c>
      <x:c r="H247" s="27" t="str">
        <x:v>MedHallTune: An Instruction-Tuning Benchmark for Mitigating Medical Hallucination in Vision-Language Models</x:v>
      </x:c>
      <x:c r="I247" s="17" t="str">
        <x:v>Qiao Yan; Yuchen Yuan; Xiaowei Hu; Yihan Wang; Jiaqi Xu; Jinpeng Li; Chi-Wing Fu; Pheng-Ann Heng</x:v>
      </x:c>
      <x:c r="J247" s="22" t="n">
        <x:v>2025</x:v>
      </x:c>
      <x:c r="K247" s="27" t="str">
        <x:v>The increasing use of vision-language models (VLMs) in healthcare applications presents great challenges related to hallucinations, in which the models may generate seemingly plausible results that are in fact incorrect. Such hallucinations can jeopardize clinical decision making, potentially harming the diagnosis and treatments. In this work, we propose MedHallTune, a large-scale benchmark designed specifically to evaluate and mitigate hallucinations in medical VLMs. Comprising over 100,000 images and 1,000,000 instruction pairs, MedHallTune includes both hallucination and non-hallucination samples, each with ground-truth annotations. We conduct a comprehensive evaluation of current medical and general VLMs using MedHallTune, assessing their performance across key metrics, including clinical accuracy, relevance, detail level, and risk level. The experimental results show that fine-tuning with MedHallTune successfully improves the ability of several existing models to manage hallucinations and boost their zero-shot performance on downstream visual-question-answering (VQA) tasks, making them more reliable for practical medical applications. Our work contributes to the development of more trustworthy VLMs. Codes and dataset will be available at \href{https://github.com/russellyq/MedHallTune}{MedHallTune}.</x:v>
      </x:c>
      <x:c r="L247" s="17" t="str">
        <x:v>http://arxiv.org/abs/2502.20780v1</x:v>
      </x:c>
      <x:c r="M247" s="23" t="n">
        <x:v>0.029211087420042643</x:v>
      </x:c>
      <x:c r="N247" s="17" t="str">
        <x:v>arxiv-paper-eval-20260727-105551-results.jsonl</x:v>
      </x:c>
      <x:c r="O247" s="24" t="str">
        <x:v>2</x:v>
      </x:c>
      <x:c r="P247" s="28" t="str">
        <x:v>提出医疗VLM幻觉评测与缓解基准。</x:v>
      </x:c>
      <x:c r="Q247" s="25" t="str"/>
      <x:c r="R247" s="24" t="str">
        <x:f>IF(Q247&lt;&gt;"",Q247,O247)</x:f>
        <x:v>2</x:v>
      </x:c>
      <x:c r="S247" s="29" t="str"/>
    </x:row>
    <x:row r="248" ht="54" customHeight="1">
      <x:c r="A248" s="17" t="str">
        <x:v>csq013-r07</x:v>
      </x:c>
      <x:c r="B248" s="17" t="str">
        <x:v>csq013</x:v>
      </x:c>
      <x:c r="C248" s="17" t="str">
        <x:v>computer_vision</x:v>
      </x:c>
      <x:c r="D248" s="17" t="str">
        <x:v>vision_language_evaluation</x:v>
      </x:c>
      <x:c r="E248" s="27" t="str">
        <x:v>Which benchmarks and metrics have been proposed to evaluate hallucination in vision-language models, and what aspects of model behavior does each benchmark test?</x:v>
      </x:c>
      <x:c r="F248" s="22" t="n">
        <x:v>7</x:v>
      </x:c>
      <x:c r="G248" s="17" t="str">
        <x:v>arXiv:2511.11502</x:v>
      </x:c>
      <x:c r="H248" s="27" t="str">
        <x:v>PAS : Prelim Attention Score for Detecting Object Hallucinations in Large Vision--Language Models</x:v>
      </x:c>
      <x:c r="I248" s="17" t="str">
        <x:v>Nhat Hoang-Xuan; Minh Vu; My T. Thai; Manish Bhattarai</x:v>
      </x:c>
      <x:c r="J248" s="22" t="n">
        <x:v>2025</x:v>
      </x:c>
      <x:c r="K248" s="27" t="str">
        <x:v>Large vision-language models (LVLMs) are powerful, yet they remain unreliable due to object hallucinations. In this work, we show that in many hallucinatory predictions the LVLM effectively ignores the image and instead relies on previously generated output (prelim) tokens to infer new objects. We quantify this behavior via the mutual information between the image and the predicted object conditioned on the prelim, demonstrating that weak image dependence strongly correlates with hallucination. Building on this finding, we introduce the Prelim Attention Score (PAS), a lightweight, training-free signal computed from attention weights over prelim tokens. PAS requires no additional forward passes and can be computed on the fly during inference. Exploiting this previously overlooked signal, PAS achieves state-of-the-art object-hallucination detection across multiple models and datasets, enabling real-time filtering and intervention.</x:v>
      </x:c>
      <x:c r="L248" s="17" t="str">
        <x:v>http://arxiv.org/abs/2511.11502v1</x:v>
      </x:c>
      <x:c r="M248" s="23" t="n">
        <x:v>0.01639344262295082</x:v>
      </x:c>
      <x:c r="N248" s="17" t="str">
        <x:v>arxiv-paper-eval-20260727-105551-results.jsonl</x:v>
      </x:c>
      <x:c r="O248" s="24" t="str">
        <x:v>2</x:v>
      </x:c>
      <x:c r="P248" s="28" t="str">
        <x:v>提出基于注意力的对象幻觉检测分数。</x:v>
      </x:c>
      <x:c r="Q248" s="25" t="str"/>
      <x:c r="R248" s="24" t="str">
        <x:f>IF(Q248&lt;&gt;"",Q248,O248)</x:f>
        <x:v>2</x:v>
      </x:c>
      <x:c r="S248" s="29" t="str"/>
    </x:row>
    <x:row r="249" ht="54" customHeight="1">
      <x:c r="A249" s="17" t="str">
        <x:v>csq013-r08</x:v>
      </x:c>
      <x:c r="B249" s="17" t="str">
        <x:v>csq013</x:v>
      </x:c>
      <x:c r="C249" s="17" t="str">
        <x:v>computer_vision</x:v>
      </x:c>
      <x:c r="D249" s="17" t="str">
        <x:v>vision_language_evaluation</x:v>
      </x:c>
      <x:c r="E249" s="27" t="str">
        <x:v>Which benchmarks and metrics have been proposed to evaluate hallucination in vision-language models, and what aspects of model behavior does each benchmark test?</x:v>
      </x:c>
      <x:c r="F249" s="22" t="n">
        <x:v>8</x:v>
      </x:c>
      <x:c r="G249" s="17" t="str">
        <x:v>arXiv:2505.01958</x:v>
      </x:c>
      <x:c r="H249" s="27" t="str">
        <x:v>A Comprehensive Analysis for Visual Object Hallucination in Large Vision-Language Models</x:v>
      </x:c>
      <x:c r="I249" s="17" t="str">
        <x:v>Liqiang Jing; Guiming Hardy Chen; Ehsan Aghazadeh; Xin Eric Wang; Xinya Du</x:v>
      </x:c>
      <x:c r="J249" s="22" t="n">
        <x:v>2025</x:v>
      </x:c>
      <x:c r="K249" s="27" t="str">
        <x:v>Large Vision-Language Models (LVLMs) demonstrate remarkable capabilities in multimodal tasks, but visual object hallucination remains a persistent issue. It refers to scenarios where models generate inaccurate visual object-related information based on the query input, potentially leading to misinformation and concerns about safety and reliability. Previous works focus on the evaluation and mitigation of visual hallucinations, but the underlying causes have not been comprehensively investigated. In this paper, we analyze each component of LLaVA-like LVLMs -- the large language model, the vision backbone, and the projector -- to identify potential sources of error and their impact. Based on our observations, we propose methods to mitigate hallucination for each problematic component. Additionally, we developed two hallucination benchmarks: QA-VisualGenome, which emphasizes attribute and relation hallucinations, and QA-FB15k, which focuses on cognition-based hallucinations.</x:v>
      </x:c>
      <x:c r="L249" s="17" t="str">
        <x:v>http://arxiv.org/abs/2505.01958v1</x:v>
      </x:c>
      <x:c r="M249" s="23" t="n">
        <x:v>0.016129032258064516</x:v>
      </x:c>
      <x:c r="N249" s="17" t="str">
        <x:v>arxiv-paper-eval-20260727-105551-results.jsonl</x:v>
      </x:c>
      <x:c r="O249" s="24" t="str">
        <x:v>1</x:v>
      </x:c>
      <x:c r="P249" s="28" t="str">
        <x:v>主要分析幻觉成因，可为评测行为维度提供背景。</x:v>
      </x:c>
      <x:c r="Q249" s="25" t="str"/>
      <x:c r="R249" s="24" t="str">
        <x:f>IF(Q249&lt;&gt;"",Q249,O249)</x:f>
        <x:v>1</x:v>
      </x:c>
      <x:c r="S249" s="29" t="str"/>
    </x:row>
    <x:row r="250" ht="54" customHeight="1">
      <x:c r="A250" s="17" t="str">
        <x:v>csq013-r09</x:v>
      </x:c>
      <x:c r="B250" s="17" t="str">
        <x:v>csq013</x:v>
      </x:c>
      <x:c r="C250" s="17" t="str">
        <x:v>computer_vision</x:v>
      </x:c>
      <x:c r="D250" s="17" t="str">
        <x:v>vision_language_evaluation</x:v>
      </x:c>
      <x:c r="E250" s="27" t="str">
        <x:v>Which benchmarks and metrics have been proposed to evaluate hallucination in vision-language models, and what aspects of model behavior does each benchmark test?</x:v>
      </x:c>
      <x:c r="F250" s="22" t="n">
        <x:v>9</x:v>
      </x:c>
      <x:c r="G250" s="17" t="str">
        <x:v>arXiv:2406.10900</x:v>
      </x:c>
      <x:c r="H250" s="27" t="str">
        <x:v>AutoHallusion: Automatic Generation of Hallucination Benchmarks for Vision-Language Models</x:v>
      </x:c>
      <x:c r="I250" s="17" t="str">
        <x:v>Xiyang Wu; Tianrui Guan; Dianqi Li; Shuaiyi Huang; Xiaoyu Liu; Xijun Wang; Ruiqi Xian; Abhinav Shrivastava; Furong Huang; Jordan Lee Boyd-Graber; Tianyi Zhou; Dinesh Manocha</x:v>
      </x:c>
      <x:c r="J250" s="22" t="n">
        <x:v>2024</x:v>
      </x:c>
      <x:c r="K250" s="27" t="str">
        <x:v>Large vision-language models (LVLMs) are prone to hallucinations, where certain contextual cues in an image can trigger the language module to produce overconfident and incorrect reasoning about abnormal or hypothetical objects. While some benchmarks have been developed to investigate LVLM hallucinations, they often rely on hand-crafted corner cases whose failure patterns may not generalize well. Additionally, fine-tuning on these examples could undermine their validity. To address this, we aim to scale up the number of cases through an automated approach, reducing human bias in crafting such corner cases. This motivates the development of AutoHallusion, the first automated benchmark generation approach that employs several key strategies to create a diverse range of hallucination examples. Our generated visual-question pairs pose significant challenges to LVLMs, requiring them to overcome contextual biases and distractions to arrive at correct answers. AutoHallusion enables us to create new benchmarks at the minimum cost and thus overcomes the fragility of hand-crafted benchmarks. It also reveals common failure patterns and reasons, providing key insights to detect, avoid, or control hallucinations. Comprehensive evaluations of top-tier LVLMs, e.g., GPT-4V(ision), Gemini Pro Vision, Claude 3, and LLaVA-1.5, show a 97.7% and 98.7% success rate of hallucination induction on synthetic and real-world datasets of AutoHallusion, paving the way for a long battle against hallucinations. The codebase and data can be accessed at https://github.com/wuxiyang1996/AutoHallusion.</x:v>
      </x:c>
      <x:c r="L250" s="17" t="str">
        <x:v>http://arxiv.org/abs/2406.10900v2</x:v>
      </x:c>
      <x:c r="M250" s="23" t="n">
        <x:v>0.016129032258064516</x:v>
      </x:c>
      <x:c r="N250" s="17" t="str">
        <x:v>arxiv-paper-eval-20260727-105551-results.jsonl</x:v>
      </x:c>
      <x:c r="O250" s="24" t="str">
        <x:v>2</x:v>
      </x:c>
      <x:c r="P250" s="28" t="str">
        <x:v>提出自动生成VLM幻觉测试案例的基准方法。</x:v>
      </x:c>
      <x:c r="Q250" s="25" t="str"/>
      <x:c r="R250" s="24" t="str">
        <x:f>IF(Q250&lt;&gt;"",Q250,O250)</x:f>
        <x:v>2</x:v>
      </x:c>
      <x:c r="S250" s="29" t="str"/>
    </x:row>
    <x:row r="251" ht="54" customHeight="1">
      <x:c r="A251" s="17" t="str">
        <x:v>csq013-r10</x:v>
      </x:c>
      <x:c r="B251" s="17" t="str">
        <x:v>csq013</x:v>
      </x:c>
      <x:c r="C251" s="17" t="str">
        <x:v>computer_vision</x:v>
      </x:c>
      <x:c r="D251" s="17" t="str">
        <x:v>vision_language_evaluation</x:v>
      </x:c>
      <x:c r="E251" s="27" t="str">
        <x:v>Which benchmarks and metrics have been proposed to evaluate hallucination in vision-language models, and what aspects of model behavior does each benchmark test?</x:v>
      </x:c>
      <x:c r="F251" s="22" t="n">
        <x:v>10</x:v>
      </x:c>
      <x:c r="G251" s="17" t="str">
        <x:v>arXiv:2406.10185</x:v>
      </x:c>
      <x:c r="H251" s="27" t="str">
        <x:v>Detecting and Evaluating Medical Hallucinations in Large Vision Language Models</x:v>
      </x:c>
      <x:c r="I251" s="17" t="str">
        <x:v>Jiawei Chen; Dingkang Yang; Tong Wu; Yue Jiang; Xiaolu Hou; Mingcheng Li; Shunli Wang; Dongling Xiao; Ke Li; Lihua Zhang</x:v>
      </x:c>
      <x:c r="J251" s="22" t="n">
        <x:v>2024</x:v>
      </x:c>
      <x:c r="K251" s="27" t="str">
        <x:v>Large Vision Language Models (LVLMs) are increasingly integral to healthcare applications, including medical visual question answering and imaging report generation. While these models inherit the robust capabilities of foundational Large Language Models (LLMs), they also inherit susceptibility to hallucinations-a significant concern in high-stakes medical contexts where the margin for error is minimal. However, currently, there are no dedicated methods or benchmarks for hallucination detection and evaluation in the medical field. To bridge this gap, we introduce Med-HallMark, the first benchmark specifically designed for hallucination detection and evaluation within the medical multimodal domain. This benchmark provides multi-tasking hallucination support, multifaceted hallucination data, and hierarchical hallucination categorization. Furthermore, we propose the MediHall Score, a new medical evaluative metric designed to assess LVLMs' hallucinations through a hierarchical scoring system that considers the severity and type of hallucination, thereby enabling a granular assessment of potential clinical impacts. We also present MediHallDetector, a novel Medical LVLM engineered for precise hallucination detection, which employs multitask training for hallucination detection. Through extensive experimental evaluations, we establish baselines for popular LVLMs using our benchmark. The findings indicate that MediHall Score provides a more nuanced understanding of hallucination impacts compared to traditional metrics and demonstrate the enhanced performance of MediHallDetector. We hope this work can significantly improve the reliability of LVLMs in medical applications. All resources of this work have been released at https://github.com/ydk122024/Med-HallMark.</x:v>
      </x:c>
      <x:c r="L251" s="17" t="str">
        <x:v>http://arxiv.org/abs/2406.10185v2</x:v>
      </x:c>
      <x:c r="M251" s="23" t="n">
        <x:v>0.015873015873015872</x:v>
      </x:c>
      <x:c r="N251" s="17" t="str">
        <x:v>arxiv-paper-eval-20260727-105551-results.jsonl</x:v>
      </x:c>
      <x:c r="O251" s="24" t="str">
        <x:v>2</x:v>
      </x:c>
      <x:c r="P251" s="28" t="str">
        <x:v>提出医疗LVLM幻觉检测评测基准。</x:v>
      </x:c>
      <x:c r="Q251" s="25" t="str"/>
      <x:c r="R251" s="24" t="str">
        <x:f>IF(Q251&lt;&gt;"",Q251,O251)</x:f>
        <x:v>2</x:v>
      </x:c>
      <x:c r="S251" s="29" t="str"/>
    </x:row>
    <x:row r="252" ht="54" customHeight="1">
      <x:c r="A252" s="17" t="str">
        <x:v>csq013-r11</x:v>
      </x:c>
      <x:c r="B252" s="17" t="str">
        <x:v>csq013</x:v>
      </x:c>
      <x:c r="C252" s="17" t="str">
        <x:v>computer_vision</x:v>
      </x:c>
      <x:c r="D252" s="17" t="str">
        <x:v>vision_language_evaluation</x:v>
      </x:c>
      <x:c r="E252" s="27" t="str">
        <x:v>Which benchmarks and metrics have been proposed to evaluate hallucination in vision-language models, and what aspects of model behavior does each benchmark test?</x:v>
      </x:c>
      <x:c r="F252" s="22" t="n">
        <x:v>11</x:v>
      </x:c>
      <x:c r="G252" s="17" t="str">
        <x:v>arXiv:2410.06795</x:v>
      </x:c>
      <x:c r="H252" s="27" t="str">
        <x:v>From Pixels to Tokens: Revisiting Object Hallucinations in Large Vision-Language Models</x:v>
      </x:c>
      <x:c r="I252" s="17" t="str">
        <x:v>Yuying Shang; Xinyi Zeng; Yutao Zhu; Xiao Yang; Zhengwei Fang; Jingyuan Zhang; Jiawei Chen; Zinan Liu; Yu Tian</x:v>
      </x:c>
      <x:c r="J252" s="22" t="n">
        <x:v>2024</x:v>
      </x:c>
      <x:c r="K252" s="27" t="str">
        <x:v>Hallucinations in large vision-language models (LVLMs) are a significant challenge, i.e., generating objects that are not presented in the visual input, which impairs their reliability. Recent studies often attribute hallucinations to a lack of understanding of visual input, yet ignore a more fundamental issue: the model's inability to effectively extract or decouple visual features. In this paper, we revisit the hallucinations in LVLMs from an architectural perspective, investigating whether the primary cause lies in the visual encoder (feature extraction) or the modal alignment module (feature decoupling). Motivated by our findings on the preliminary investigation, we propose a novel tuning strategy, PATCH, to mitigate hallucinations in LVLMs. This plug-and-play method can be integrated into various LVLMs, utilizing adaptive virtual tokens to extract object features from bounding boxes, thereby addressing hallucinations caused by insufficient decoupling of visual features. PATCH achieves state-of-the-art performance on multiple multi-modal hallucination datasets. We hope this approach provides researchers with deeper insights into the underlying causes of hallucinations in LVLMs, fostering further advancements and innovation in this field.</x:v>
      </x:c>
      <x:c r="L252" s="17" t="str">
        <x:v>http://arxiv.org/abs/2410.06795v2</x:v>
      </x:c>
      <x:c r="M252" s="23" t="n">
        <x:v>0.015873015873015872</x:v>
      </x:c>
      <x:c r="N252" s="17" t="str">
        <x:v>arxiv-paper-eval-20260727-105551-results.jsonl</x:v>
      </x:c>
      <x:c r="O252" s="24" t="str">
        <x:v>1</x:v>
      </x:c>
      <x:c r="P252" s="28" t="str">
        <x:v>主要研究对象幻觉的架构成因而非新基准。</x:v>
      </x:c>
      <x:c r="Q252" s="25" t="str"/>
      <x:c r="R252" s="24" t="str">
        <x:f>IF(Q252&lt;&gt;"",Q252,O252)</x:f>
        <x:v>1</x:v>
      </x:c>
      <x:c r="S252" s="29" t="str"/>
    </x:row>
    <x:row r="253" ht="54" customHeight="1">
      <x:c r="A253" s="17" t="str">
        <x:v>csq013-r12</x:v>
      </x:c>
      <x:c r="B253" s="17" t="str">
        <x:v>csq013</x:v>
      </x:c>
      <x:c r="C253" s="17" t="str">
        <x:v>computer_vision</x:v>
      </x:c>
      <x:c r="D253" s="17" t="str">
        <x:v>vision_language_evaluation</x:v>
      </x:c>
      <x:c r="E253" s="27" t="str">
        <x:v>Which benchmarks and metrics have been proposed to evaluate hallucination in vision-language models, and what aspects of model behavior does each benchmark test?</x:v>
      </x:c>
      <x:c r="F253" s="22" t="n">
        <x:v>12</x:v>
      </x:c>
      <x:c r="G253" s="17" t="str">
        <x:v>arXiv:2403.16167</x:v>
      </x:c>
      <x:c r="H253" s="27" t="str">
        <x:v>ESREAL: Exploiting Semantic Reconstruction to Mitigate Hallucinations in Vision-Language Models</x:v>
      </x:c>
      <x:c r="I253" s="17" t="str">
        <x:v>Minchan Kim; Minyeong Kim; Junik Bae; Suhwan Choi; Sungkyung Kim; Buru Chang</x:v>
      </x:c>
      <x:c r="J253" s="22" t="n">
        <x:v>2024</x:v>
      </x:c>
      <x:c r="K253" s="27" t="str">
        <x:v>Hallucinations in vision-language models pose a significant challenge to their reliability, particularly in the generation of long captions. Current methods fall short of accurately identifying and mitigating these hallucinations. To address this issue, we introduce ESREAL, a novel unsupervised learning framework designed to suppress the generation of hallucinations through accurate localization and penalization of hallucinated tokens. Initially, ESREAL creates a reconstructed image based on the generated caption and aligns its corresponding regions with those of the original image. This semantic reconstruction aids in identifying both the presence and type of token-level hallucinations within the generated caption. Subsequently, ESREAL computes token-level hallucination scores by assessing the semantic similarity of aligned regions based on the type of hallucination. Finally, ESREAL employs a proximal policy optimization algorithm, where it selectively penalizes hallucinated tokens according to their token-level hallucination scores. Our framework notably reduces hallucinations in LLaVA, InstructBLIP, and mPLUG-Owl2 by 32.81%, 27.08%, and 7.46% on the CHAIR metric. This improvement is achieved solely through signals derived from the image itself, without the need for any image-text pairs.</x:v>
      </x:c>
      <x:c r="L253" s="17" t="str">
        <x:v>http://arxiv.org/abs/2403.16167v4</x:v>
      </x:c>
      <x:c r="M253" s="23" t="n">
        <x:v>0.015625</x:v>
      </x:c>
      <x:c r="N253" s="17" t="str">
        <x:v>arxiv-paper-eval-20260727-105551-results.jsonl</x:v>
      </x:c>
      <x:c r="O253" s="24" t="str">
        <x:v>1</x:v>
      </x:c>
      <x:c r="P253" s="28" t="str">
        <x:v>主要缓解幻觉，语义重建用于定位幻觉词元。</x:v>
      </x:c>
      <x:c r="Q253" s="25" t="str"/>
      <x:c r="R253" s="24" t="str">
        <x:f>IF(Q253&lt;&gt;"",Q253,O253)</x:f>
        <x:v>1</x:v>
      </x:c>
      <x:c r="S253" s="29" t="str"/>
    </x:row>
    <x:row r="254" ht="54" customHeight="1">
      <x:c r="A254" s="17" t="str">
        <x:v>csq013-r13</x:v>
      </x:c>
      <x:c r="B254" s="17" t="str">
        <x:v>csq013</x:v>
      </x:c>
      <x:c r="C254" s="17" t="str">
        <x:v>computer_vision</x:v>
      </x:c>
      <x:c r="D254" s="17" t="str">
        <x:v>vision_language_evaluation</x:v>
      </x:c>
      <x:c r="E254" s="27" t="str">
        <x:v>Which benchmarks and metrics have been proposed to evaluate hallucination in vision-language models, and what aspects of model behavior does each benchmark test?</x:v>
      </x:c>
      <x:c r="F254" s="22" t="n">
        <x:v>13</x:v>
      </x:c>
      <x:c r="G254" s="17" t="str">
        <x:v>arXiv:2406.16449</x:v>
      </x:c>
      <x:c r="H254" s="27" t="str">
        <x:v>Evaluating and Analyzing Relationship Hallucinations in Large Vision-Language Models</x:v>
      </x:c>
      <x:c r="I254" s="17" t="str">
        <x:v>Mingrui Wu; Jiayi Ji; Oucheng Huang; Jiale Li; Yuhang Wu; Xiaoshuai Sun; Rongrong Ji</x:v>
      </x:c>
      <x:c r="J254" s="22" t="n">
        <x:v>2024</x:v>
      </x:c>
      <x:c r="K254" s="27" t="str">
        <x:v>The issue of hallucinations is a prevalent concern in existing Large Vision-Language Models (LVLMs). Previous efforts have primarily focused on investigating object hallucinations, which can be easily alleviated by introducing object detectors. However, these efforts neglect hallucinations in inter-object relationships, which is essential for visual comprehension. In this work, we introduce R-Bench, a novel benchmark for evaluating Vision Relationship Hallucination. R-Bench features image-level questions that focus on the existence of relationships and instance-level questions that assess local visual comprehension. We identify three types of relationship co-occurrences that lead to hallucinations: relationship-relationship, subject-relationship, and relationship-object. The visual instruction tuning dataset's long-tail distribution significantly impacts LVLMs' understanding of visual relationships. Furthermore, our analysis reveals that current LVLMs tend to disregard visual content and overly rely on the common sense knowledge of Large Language Models. They also struggle with reasoning about spatial relationships based on contextual information.</x:v>
      </x:c>
      <x:c r="L254" s="17" t="str">
        <x:v>http://arxiv.org/abs/2406.16449v4</x:v>
      </x:c>
      <x:c r="M254" s="23" t="n">
        <x:v>0.015625</x:v>
      </x:c>
      <x:c r="N254" s="17" t="str">
        <x:v>arxiv-paper-eval-20260727-105551-results.jsonl</x:v>
      </x:c>
      <x:c r="O254" s="24" t="str">
        <x:v>2</x:v>
      </x:c>
      <x:c r="P254" s="28" t="str">
        <x:v>提出关系幻觉R-Bench并区分评测行为。</x:v>
      </x:c>
      <x:c r="Q254" s="25" t="str"/>
      <x:c r="R254" s="24" t="str">
        <x:f>IF(Q254&lt;&gt;"",Q254,O254)</x:f>
        <x:v>2</x:v>
      </x:c>
      <x:c r="S254" s="29" t="str"/>
    </x:row>
    <x:row r="255" ht="54" customHeight="1">
      <x:c r="A255" s="17" t="str">
        <x:v>csq013-r14</x:v>
      </x:c>
      <x:c r="B255" s="17" t="str">
        <x:v>csq013</x:v>
      </x:c>
      <x:c r="C255" s="17" t="str">
        <x:v>computer_vision</x:v>
      </x:c>
      <x:c r="D255" s="17" t="str">
        <x:v>vision_language_evaluation</x:v>
      </x:c>
      <x:c r="E255" s="27" t="str">
        <x:v>Which benchmarks and metrics have been proposed to evaluate hallucination in vision-language models, and what aspects of model behavior does each benchmark test?</x:v>
      </x:c>
      <x:c r="F255" s="22" t="n">
        <x:v>14</x:v>
      </x:c>
      <x:c r="G255" s="17" t="str">
        <x:v>arXiv:2408.00555</x:v>
      </x:c>
      <x:c r="H255" s="27" t="str">
        <x:v>Alleviating Hallucination in Large Vision-Language Models with Active Retrieval Augmentation</x:v>
      </x:c>
      <x:c r="I255" s="17" t="str">
        <x:v>Xiaoye Qu; Qiyuan Chen; Wei Wei; Jishuo Sun; Jianfeng Dong</x:v>
      </x:c>
      <x:c r="J255" s="22" t="n">
        <x:v>2024</x:v>
      </x:c>
      <x:c r="K255" s="27" t="str">
        <x:v>Despite the remarkable ability of large vision-language models (LVLMs) in image comprehension, these models frequently generate plausible yet factually incorrect responses, a phenomenon known as hallucination.Recently, in large language models (LLMs), augmenting LLMs by retrieving information from external knowledge resources has been proven as a promising solution to mitigate hallucinations.However, the retrieval augmentation in LVLM significantly lags behind the widespread applications of LVLM. Moreover, when transferred to augmenting LVLMs, sometimes the hallucination degree of the model is even exacerbated.Motivated by the research gap and counter-intuitive phenomenon, we introduce a novel framework, the Active Retrieval-Augmented large vision-language model (ARA), specifically designed to address hallucinations by incorporating three critical dimensions: (i) dissecting the retrieval targets based on the inherent hierarchical structures of images. (ii) pinpointing the most effective retrieval methods and filtering out the reliable retrieval results. (iii) timing the retrieval process to coincide with episodes of low certainty, while circumventing unnecessary retrieval during periods of high certainty. To assess the capability of our proposed ARA model in reducing hallucination, we employ three widely used LVLM models (LLaVA-1.5, Qwen-VL, and mPLUG-Owl2) across four benchmarks. Our empirical observations suggest that by utilizing fitting retrieval mechanisms and timing the retrieval judiciously, we can effectively mitigate the hallucination problem. We hope that this study can provide deeper insights into how to adapt the retrieval augmentation to LVLMs for reducing hallucinations with more effective retrieval and minimal retrieval occurrences.</x:v>
      </x:c>
      <x:c r="L255" s="17" t="str">
        <x:v>http://arxiv.org/abs/2408.00555v1</x:v>
      </x:c>
      <x:c r="M255" s="23" t="n">
        <x:v>0.015384615384615385</x:v>
      </x:c>
      <x:c r="N255" s="17" t="str">
        <x:v>arxiv-paper-eval-20260727-105551-results.jsonl</x:v>
      </x:c>
      <x:c r="O255" s="24" t="str">
        <x:v>1</x:v>
      </x:c>
      <x:c r="P255" s="28" t="str">
        <x:v>主要研究检索增强缓解幻觉，评测仅用于验证。</x:v>
      </x:c>
      <x:c r="Q255" s="25" t="str"/>
      <x:c r="R255" s="24" t="str">
        <x:f>IF(Q255&lt;&gt;"",Q255,O255)</x:f>
        <x:v>1</x:v>
      </x:c>
      <x:c r="S255" s="29" t="str"/>
    </x:row>
    <x:row r="256" ht="54" customHeight="1">
      <x:c r="A256" s="17" t="str">
        <x:v>csq013-r15</x:v>
      </x:c>
      <x:c r="B256" s="17" t="str">
        <x:v>csq013</x:v>
      </x:c>
      <x:c r="C256" s="17" t="str">
        <x:v>computer_vision</x:v>
      </x:c>
      <x:c r="D256" s="17" t="str">
        <x:v>vision_language_evaluation</x:v>
      </x:c>
      <x:c r="E256" s="27" t="str">
        <x:v>Which benchmarks and metrics have been proposed to evaluate hallucination in vision-language models, and what aspects of model behavior does each benchmark test?</x:v>
      </x:c>
      <x:c r="F256" s="22" t="n">
        <x:v>15</x:v>
      </x:c>
      <x:c r="G256" s="17" t="str">
        <x:v>arXiv:2410.15778</x:v>
      </x:c>
      <x:c r="H256" s="27" t="str">
        <x:v>Reducing Hallucinations in Vision-Language Models via Latent Space Steering</x:v>
      </x:c>
      <x:c r="I256" s="17" t="str">
        <x:v>Sheng Liu; Haotian Ye; Lei Xing; James Zou</x:v>
      </x:c>
      <x:c r="J256" s="22" t="n">
        <x:v>2024</x:v>
      </x:c>
      <x:c r="K256" s="27" t="str">
        <x:v>Hallucination poses a challenge to the deployment of large vision-language models (LVLMs) in applications. Unlike in large language models (LLMs), hallucination in LVLMs often arises from misalignments between visual inputs and textual outputs. This paper investigates the underlying mechanisms of hallucination, focusing on the unique structure of LVLMs that distinguishes them from large language models (LLMs). We identify that hallucinations often arise from the sensitivity of text decoders to vision inputs, a natural phenomenon when image encoders and text decoders are pre-trained separately. Inspired by this, we introduce Visual and Textual Intervention (VTI), a novel technique designed to reduce hallucinations by steering latent space representations during inference to enhance the stability of vision features. As a task-agnostic test-time intervention, VTI can be easily applied to any problem without additional cost. Extensive experiments demonstrate that it can effectively reduce hallucinations and outperform baseline methods across multiple metrics, highlighting the critical role of vision feature stability in LVLMs.</x:v>
      </x:c>
      <x:c r="L256" s="17" t="str">
        <x:v>http://arxiv.org/abs/2410.15778v2</x:v>
      </x:c>
      <x:c r="M256" s="23" t="n">
        <x:v>0.015151515151515152</x:v>
      </x:c>
      <x:c r="N256" s="17" t="str">
        <x:v>arxiv-paper-eval-20260727-105551-results.jsonl</x:v>
      </x:c>
      <x:c r="O256" s="24" t="str">
        <x:v>1</x:v>
      </x:c>
      <x:c r="P256" s="28" t="str">
        <x:v>主要提出潜空间干预缓解幻觉。</x:v>
      </x:c>
      <x:c r="Q256" s="25" t="str"/>
      <x:c r="R256" s="24" t="str">
        <x:f>IF(Q256&lt;&gt;"",Q256,O256)</x:f>
        <x:v>1</x:v>
      </x:c>
      <x:c r="S256" s="29" t="str"/>
    </x:row>
    <x:row r="257" ht="54" customHeight="1">
      <x:c r="A257" s="17" t="str">
        <x:v>csq013-r16</x:v>
      </x:c>
      <x:c r="B257" s="17" t="str">
        <x:v>csq013</x:v>
      </x:c>
      <x:c r="C257" s="17" t="str">
        <x:v>computer_vision</x:v>
      </x:c>
      <x:c r="D257" s="17" t="str">
        <x:v>vision_language_evaluation</x:v>
      </x:c>
      <x:c r="E257" s="27" t="str">
        <x:v>Which benchmarks and metrics have been proposed to evaluate hallucination in vision-language models, and what aspects of model behavior does each benchmark test?</x:v>
      </x:c>
      <x:c r="F257" s="22" t="n">
        <x:v>16</x:v>
      </x:c>
      <x:c r="G257" s="17" t="str">
        <x:v>arXiv:2305.10355</x:v>
      </x:c>
      <x:c r="H257" s="27" t="str">
        <x:v>Evaluating Object Hallucination in Large Vision-Language Models</x:v>
      </x:c>
      <x:c r="I257" s="17" t="str">
        <x:v>Yifan Li; Yifan Du; Kun Zhou; Jinpeng Wang; Wayne Xin Zhao; Ji-Rong Wen</x:v>
      </x:c>
      <x:c r="J257" s="22" t="n">
        <x:v>2023</x:v>
      </x:c>
      <x:c r="K257" s="27" t="str">
        <x:v>Inspired by the superior language abilities of large language models (LLM), large vision-language models (LVLM) have been recently explored by integrating powerful LLMs for improving the performance on complex multimodal tasks. Despite the promising progress on LVLMs, we find that LVLMs suffer from the hallucination problem, i.e. they tend to generate objects that are inconsistent with the target images in the descriptions. To investigate it, this work presents the first systematic study on object hallucination of LVLMs. We conduct the evaluation experiments on several representative LVLMs, and show that they mostly suffer from severe object hallucination issue. We further discuss that the visual instructions may influence the hallucination, and find that: objects that frequently occur in the visual instructions or co-occur with the image objects, are obviously prone to be hallucinated by LVLMs. Besides, we find that existing evaluation methods might be affected by the input instructions and generation styles of LVLMs. Thus, we further design an improved evaluation method for object hallucination by proposing a polling-based query method called POPE. Experiment results demonstrate that our POPE can evaluate the object hallucination in a more stable and flexible way. Our codes and data are publicly available at https://github.com/RUCAIBox/POPE.</x:v>
      </x:c>
      <x:c r="L257" s="17" t="str">
        <x:v>http://arxiv.org/abs/2305.10355v3</x:v>
      </x:c>
      <x:c r="M257" s="23" t="n">
        <x:v>0.015151515151515152</x:v>
      </x:c>
      <x:c r="N257" s="17" t="str">
        <x:v>arxiv-paper-eval-20260727-105551-results.jsonl</x:v>
      </x:c>
      <x:c r="O257" s="24" t="str">
        <x:v>2</x:v>
      </x:c>
      <x:c r="P257" s="28" t="str">
        <x:v>对LVLM对象幻觉开展系统评测研究。</x:v>
      </x:c>
      <x:c r="Q257" s="25" t="str"/>
      <x:c r="R257" s="24" t="str">
        <x:f>IF(Q257&lt;&gt;"",Q257,O257)</x:f>
        <x:v>2</x:v>
      </x:c>
      <x:c r="S257" s="29" t="str"/>
    </x:row>
    <x:row r="258" ht="54" customHeight="1">
      <x:c r="A258" s="17" t="str">
        <x:v>csq013-r17</x:v>
      </x:c>
      <x:c r="B258" s="17" t="str">
        <x:v>csq013</x:v>
      </x:c>
      <x:c r="C258" s="17" t="str">
        <x:v>computer_vision</x:v>
      </x:c>
      <x:c r="D258" s="17" t="str">
        <x:v>vision_language_evaluation</x:v>
      </x:c>
      <x:c r="E258" s="27" t="str">
        <x:v>Which benchmarks and metrics have been proposed to evaluate hallucination in vision-language models, and what aspects of model behavior does each benchmark test?</x:v>
      </x:c>
      <x:c r="F258" s="22" t="n">
        <x:v>17</x:v>
      </x:c>
      <x:c r="G258" s="17" t="str">
        <x:v>arXiv:2504.13123</x:v>
      </x:c>
      <x:c r="H258" s="27" t="str">
        <x:v>Low-hallucination Synthetic Captions for Large-Scale Vision-Language Model Pre-training</x:v>
      </x:c>
      <x:c r="I258" s="17" t="str">
        <x:v>Xinsong Zhang; Yarong Zeng; Xinting Huang; Hu Hu; Runquan Xie; Han Hu; Zhanhui Kang</x:v>
      </x:c>
      <x:c r="J258" s="22" t="n">
        <x:v>2025</x:v>
      </x:c>
      <x:c r="K258" s="27" t="str">
        <x:v>In recent years, the field of vision-language model pre-training has experienced rapid advancements, driven primarily by the continuous enhancement of textual capabilities in large language models. However, existing training paradigms for multimodal large language models heavily rely on high-quality image-text pairs. As models and data scales grow exponentially, the availability of such meticulously curated data has become increasingly scarce and saturated, thereby severely limiting further advancements in this domain. This study investigates scalable caption generation techniques for vision-language model pre-training and demonstrates that large-scale low-hallucination synthetic captions can serve dual purposes: 1) acting as a viable alternative to real-world data for pre-training paradigms and 2) achieving superior performance enhancement when integrated into vision-language models through empirical validation. This paper presents following key contributions: 1) a novel pipeline for generating high-quality, low-hallucination, and knowledge-rich synthetic captions. Our continuous DPO methodology yields remarkable results in reducing hallucinations. Specifically, the non-hallucination caption rate on a held-out test set increases from 48.3% to 77.9% for a 7B-size model. 2) Comprehensive empirical validation reveals that our synthetic captions confer superior pre-training advantages over their counterparts. Across 15 vision language tasks, the model trained with our data achieves a significant performance gain of at least 6.2% compared to identical images with alt-text. In 20 common cognitive domains, the model trained with our data outperforms the alt-text data by at least 7.5%. Meanwhile, it also offers considerable support in the text-to-image domain. With our dataset, the FID score is reduced by 17.1 on a real-world validation benchmark and 13.3 on the MSCOCO validation benchmark.</x:v>
      </x:c>
      <x:c r="L258" s="17" t="str">
        <x:v>http://arxiv.org/abs/2504.13123v2</x:v>
      </x:c>
      <x:c r="M258" s="23" t="n">
        <x:v>0.014925373134328358</x:v>
      </x:c>
      <x:c r="N258" s="17" t="str">
        <x:v>arxiv-paper-eval-20260727-105551-results.jsonl</x:v>
      </x:c>
      <x:c r="O258" s="24" t="str">
        <x:v>1</x:v>
      </x:c>
      <x:c r="P258" s="28" t="str">
        <x:v>聚焦低幻觉合成字幕预训练，评测非主要贡献。</x:v>
      </x:c>
      <x:c r="Q258" s="25" t="str"/>
      <x:c r="R258" s="24" t="str">
        <x:f>IF(Q258&lt;&gt;"",Q258,O258)</x:f>
        <x:v>1</x:v>
      </x:c>
      <x:c r="S258" s="29" t="str"/>
    </x:row>
    <x:row r="259" ht="54" customHeight="1">
      <x:c r="A259" s="17" t="str">
        <x:v>csq013-r18</x:v>
      </x:c>
      <x:c r="B259" s="17" t="str">
        <x:v>csq013</x:v>
      </x:c>
      <x:c r="C259" s="17" t="str">
        <x:v>computer_vision</x:v>
      </x:c>
      <x:c r="D259" s="17" t="str">
        <x:v>vision_language_evaluation</x:v>
      </x:c>
      <x:c r="E259" s="27" t="str">
        <x:v>Which benchmarks and metrics have been proposed to evaluate hallucination in vision-language models, and what aspects of model behavior does each benchmark test?</x:v>
      </x:c>
      <x:c r="F259" s="22" t="n">
        <x:v>18</x:v>
      </x:c>
      <x:c r="G259" s="17" t="str">
        <x:v>arXiv:2406.14492</x:v>
      </x:c>
      <x:c r="H259" s="27" t="str">
        <x:v>Does Object Grounding Really Reduce Hallucination of Large Vision-Language Models?</x:v>
      </x:c>
      <x:c r="I259" s="17" t="str">
        <x:v>Gregor Geigle; Radu Timofte; Goran Glavaš</x:v>
      </x:c>
      <x:c r="J259" s="22" t="n">
        <x:v>2024</x:v>
      </x:c>
      <x:c r="K259" s="27" t="str">
        <x:v>Large vision-language models (LVLMs) have recently dramatically pushed the state of the art in image captioning and many image understanding tasks (e.g., visual question answering). LVLMs, however, often \textit{hallucinate} and produce captions that mention concepts that cannot be found in the image. These hallucinations erode the trustworthiness of LVLMs and are arguably among the main obstacles to their ubiquitous adoption. Recent work suggests that addition of grounding objectives -- those that explicitly align image regions or objects to text spans -- reduces the amount of LVLM hallucination. Although intuitive, this claim is not empirically justified as the reduction effects have been established, we argue, with flawed evaluation protocols that (i) rely on data (i.e., MSCOCO) that has been extensively used in LVLM training and (ii) measure hallucination via question answering rather than open-ended caption generation. In this work, in contrast, we offer the first systematic analysis of the effect of fine-grained object grounding on LVLM hallucination under an evaluation protocol that more realistically captures LVLM hallucination in open generation. Our extensive experiments over three backbone LLMs reveal that grounding objectives have little to no effect on object hallucination in open caption generation.</x:v>
      </x:c>
      <x:c r="L259" s="17" t="str">
        <x:v>http://arxiv.org/abs/2406.14492v1</x:v>
      </x:c>
      <x:c r="M259" s="23" t="n">
        <x:v>0.014925373134328358</x:v>
      </x:c>
      <x:c r="N259" s="17" t="str">
        <x:v>arxiv-paper-eval-20260727-105551-results.jsonl</x:v>
      </x:c>
      <x:c r="O259" s="24" t="str">
        <x:v>1</x:v>
      </x:c>
      <x:c r="P259" s="28" t="str">
        <x:v>评估接地目标对幻觉的影响，可作相邻实证证据。</x:v>
      </x:c>
      <x:c r="Q259" s="25" t="str"/>
      <x:c r="R259" s="24" t="str">
        <x:f>IF(Q259&lt;&gt;"",Q259,O259)</x:f>
        <x:v>1</x:v>
      </x:c>
      <x:c r="S259" s="29" t="str"/>
    </x:row>
    <x:row r="260" ht="54" customHeight="1">
      <x:c r="A260" s="17" t="str">
        <x:v>csq013-r19</x:v>
      </x:c>
      <x:c r="B260" s="17" t="str">
        <x:v>csq013</x:v>
      </x:c>
      <x:c r="C260" s="17" t="str">
        <x:v>computer_vision</x:v>
      </x:c>
      <x:c r="D260" s="17" t="str">
        <x:v>vision_language_evaluation</x:v>
      </x:c>
      <x:c r="E260" s="27" t="str">
        <x:v>Which benchmarks and metrics have been proposed to evaluate hallucination in vision-language models, and what aspects of model behavior does each benchmark test?</x:v>
      </x:c>
      <x:c r="F260" s="22" t="n">
        <x:v>19</x:v>
      </x:c>
      <x:c r="G260" s="17" t="str">
        <x:v>arXiv:2502.14908</x:v>
      </x:c>
      <x:c r="H260" s="27" t="str">
        <x:v>SegSub: Evaluating Robustness to Knowledge Conflicts and Hallucinations in Vision-Language Models</x:v>
      </x:c>
      <x:c r="I260" s="17" t="str">
        <x:v>Peter Carragher; Nikitha Rao; Abhinand Jha; R Raghav; Kathleen M. Carley</x:v>
      </x:c>
      <x:c r="J260" s="22" t="n">
        <x:v>2025</x:v>
      </x:c>
      <x:c r="K260" s="27" t="str">
        <x:v>Vision language models (VLM) demonstrate sophisticated multimodal reasoning yet are prone to hallucination when confronted with knowledge conflicts, impeding their deployment in information-sensitive contexts. While existing research addresses robustness in unimodal models, the multimodal domain lacks systematic investigation of cross-modal knowledge conflicts. This research introduces \segsub, a framework for applying targeted image perturbations to investigate VLM resilience against knowledge conflicts. Our analysis reveals distinct vulnerability patterns: while VLMs are robust to parametric conflicts (20% adherence rates), they exhibit significant weaknesses in identifying counterfactual conditions (&lt;30% accuracy) and resolving source conflicts (&lt;1% accuracy). Correlations between contextual richness and hallucination rate (r = -0.368, p = 0.003) reveal the kinds of images that are likely to cause hallucinations. Through targeted fine-tuning on our benchmark dataset, we demonstrate improvements in VLM knowledge conflict detection, establishing a foundation for developing hallucination-resilient multimodal systems in information-sensitive environments.</x:v>
      </x:c>
      <x:c r="L260" s="17" t="str">
        <x:v>http://arxiv.org/abs/2502.14908v2</x:v>
      </x:c>
      <x:c r="M260" s="23" t="n">
        <x:v>0.014705882352941176</x:v>
      </x:c>
      <x:c r="N260" s="17" t="str">
        <x:v>arxiv-paper-eval-20260727-105551-results.jsonl</x:v>
      </x:c>
      <x:c r="O260" s="24" t="str">
        <x:v>2</x:v>
      </x:c>
      <x:c r="P260" s="28" t="str">
        <x:v>提出知识冲突与幻觉鲁棒性评测框架。</x:v>
      </x:c>
      <x:c r="Q260" s="25" t="str"/>
      <x:c r="R260" s="24" t="str">
        <x:f>IF(Q260&lt;&gt;"",Q260,O260)</x:f>
        <x:v>2</x:v>
      </x:c>
      <x:c r="S260" s="29" t="str"/>
    </x:row>
    <x:row r="261" ht="54" customHeight="1">
      <x:c r="A261" s="17" t="str">
        <x:v>csq013-r20</x:v>
      </x:c>
      <x:c r="B261" s="17" t="str">
        <x:v>csq013</x:v>
      </x:c>
      <x:c r="C261" s="17" t="str">
        <x:v>computer_vision</x:v>
      </x:c>
      <x:c r="D261" s="17" t="str">
        <x:v>vision_language_evaluation</x:v>
      </x:c>
      <x:c r="E261" s="27" t="str">
        <x:v>Which benchmarks and metrics have been proposed to evaluate hallucination in vision-language models, and what aspects of model behavior does each benchmark test?</x:v>
      </x:c>
      <x:c r="F261" s="22" t="n">
        <x:v>20</x:v>
      </x:c>
      <x:c r="G261" s="17" t="str">
        <x:v>arXiv:2407.13442</x:v>
      </x:c>
      <x:c r="H261" s="27" t="str">
        <x:v>BEAF: Observing BEfore-AFter Changes to Evaluate Hallucination in Vision-language Models</x:v>
      </x:c>
      <x:c r="I261" s="17" t="str">
        <x:v>Moon Ye-Bin; Nam Hyeon-Woo; Wonseok Choi; Tae-Hyun Oh</x:v>
      </x:c>
      <x:c r="J261" s="22" t="n">
        <x:v>2024</x:v>
      </x:c>
      <x:c r="K261" s="27" t="str">
        <x:v>Vision language models (VLMs) perceive the world through a combination of a visual encoder and a large language model (LLM). The visual encoder, pre-trained on large-scale vision-text datasets, provides zero-shot generalization to visual data, and the LLM endows its high reasoning ability to VLMs. It leads VLMs to achieve high performance on wide benchmarks without fine-tuning, exhibiting zero or few-shot capability. However, recent studies show that VLMs are vulnerable to hallucination. This undesirable behavior degrades reliability and credibility, thereby making users unable to fully trust the output from VLMs. To enhance trustworthiness and better tackle the hallucination of VLMs, we curate a new evaluation dataset, called the BEfore-AFter hallucination dataset (BEAF), and introduce new metrics: True Understanding (TU), IGnorance (IG), StuBbornness (SB), and InDecision (ID). Unlike prior works that focus only on constructing questions and answers, the key idea of our benchmark is to manipulate visual scene information by image editing models and to design the metrics based on scene changes. This allows us to clearly assess whether VLMs correctly understand a given scene by observing the ability to perceive changes. We also visualize image-wise object relationship by virtue of our two-axis view: vision and text. Upon evaluating VLMs with our dataset, we observed that our metrics reveal different aspects of VLM hallucination that have not been reported before. Project page: \url{https://beafbench.github.io/}</x:v>
      </x:c>
      <x:c r="L261" s="17" t="str">
        <x:v>http://arxiv.org/abs/2407.13442v1</x:v>
      </x:c>
      <x:c r="M261" s="23" t="n">
        <x:v>0.014705882352941176</x:v>
      </x:c>
      <x:c r="N261" s="17" t="str">
        <x:v>arxiv-paper-eval-20260727-105551-results.jsonl</x:v>
      </x:c>
      <x:c r="O261" s="24" t="str">
        <x:v>2</x:v>
      </x:c>
      <x:c r="P261" s="28" t="str">
        <x:v>提出基于前后变化的VLM幻觉评测。</x:v>
      </x:c>
      <x:c r="Q261" s="25" t="str"/>
      <x:c r="R261" s="24" t="str">
        <x:f>IF(Q261&lt;&gt;"",Q261,O261)</x:f>
        <x:v>2</x:v>
      </x:c>
      <x:c r="S261" s="29" t="str"/>
    </x:row>
    <x:row r="262" ht="54" customHeight="1">
      <x:c r="A262" s="17" t="str">
        <x:v>csq014-r01</x:v>
      </x:c>
      <x:c r="B262" s="17" t="str">
        <x:v>csq014</x:v>
      </x:c>
      <x:c r="C262" s="17" t="str">
        <x:v>computer_vision</x:v>
      </x:c>
      <x:c r="D262" s="17" t="str">
        <x:v>adversarial_robustness</x:v>
      </x:c>
      <x:c r="E262" s="27" t="str">
        <x:v>What limitations of adversarial training as a defense for image classifiers have been established, particularly regarding accuracy, computational cost, and generalization to unseen attacks?</x:v>
      </x:c>
      <x:c r="F262" s="22" t="n">
        <x:v>1</x:v>
      </x:c>
      <x:c r="G262" s="17" t="str">
        <x:v>arXiv:2007.05869</x:v>
      </x:c>
      <x:c r="H262" s="27" t="str">
        <x:v>Adversarially-Trained Deep Nets Transfer Better: Illustration on Image Classification</x:v>
      </x:c>
      <x:c r="I262" s="17" t="str">
        <x:v>Francisco Utrera; Evan Kravitz; N. Benjamin Erichson; Rajiv Khanna; Michael W. Mahoney</x:v>
      </x:c>
      <x:c r="J262" s="22" t="n">
        <x:v>2020</x:v>
      </x:c>
      <x:c r="K262" s="27" t="str">
        <x:v>Transfer learning has emerged as a powerful methodology for adapting pre-trained deep neural networks on image recognition tasks to new domains. This process consists of taking a neural network pre-trained on a large feature-rich source dataset, freezing the early layers that encode essential generic image properties, and then fine-tuning the last few layers in order to capture specific information related to the target situation. This approach is particularly useful when only limited or weakly labeled data are available for the new task. In this work, we demonstrate that adversarially-trained models transfer better than non-adversarially-trained models, especially if only limited data are available for the new domain task. Further, we observe that adversarial training biases the learnt representations to retaining shapes, as opposed to textures, which impacts the transferability of the source models. Finally, through the lens of influence functions, we discover that transferred adversarially-trained models contain more human-identifiable semantic information, which explains -- at least partly -- why adversarially-trained models transfer better.</x:v>
      </x:c>
      <x:c r="L262" s="17" t="str">
        <x:v>http://arxiv.org/abs/2007.05869v2</x:v>
      </x:c>
      <x:c r="M262" s="23" t="n">
        <x:v>0.031754032258064516</x:v>
      </x:c>
      <x:c r="N262" s="17" t="str">
        <x:v>arxiv-paper-eval-20260727-105551-results.jsonl</x:v>
      </x:c>
      <x:c r="O262" s="24" t="str">
        <x:v>1</x:v>
      </x:c>
      <x:c r="P262" s="28" t="str">
        <x:v>研究对抗训练的迁移收益，而非其局限本身。</x:v>
      </x:c>
      <x:c r="Q262" s="25" t="str"/>
      <x:c r="R262" s="24" t="str">
        <x:f>IF(Q262&lt;&gt;"",Q262,O262)</x:f>
        <x:v>1</x:v>
      </x:c>
      <x:c r="S262" s="29" t="str"/>
    </x:row>
    <x:row r="263" ht="54" customHeight="1">
      <x:c r="A263" s="17" t="str">
        <x:v>csq014-r02</x:v>
      </x:c>
      <x:c r="B263" s="17" t="str">
        <x:v>csq014</x:v>
      </x:c>
      <x:c r="C263" s="17" t="str">
        <x:v>computer_vision</x:v>
      </x:c>
      <x:c r="D263" s="17" t="str">
        <x:v>adversarial_robustness</x:v>
      </x:c>
      <x:c r="E263" s="27" t="str">
        <x:v>What limitations of adversarial training as a defense for image classifiers have been established, particularly regarding accuracy, computational cost, and generalization to unseen attacks?</x:v>
      </x:c>
      <x:c r="F263" s="22" t="n">
        <x:v>2</x:v>
      </x:c>
      <x:c r="G263" s="17" t="str">
        <x:v>arXiv:2509.07673</x:v>
      </x:c>
      <x:c r="H263" s="27" t="str">
        <x:v>Nearest Neighbor Projection Removal Adversarial Training</x:v>
      </x:c>
      <x:c r="I263" s="17" t="str">
        <x:v>Himanshu Singh; A. V. Subramanyam; Shivank Rajput; Mohan Kankanhalli</x:v>
      </x:c>
      <x:c r="J263" s="22" t="n">
        <x:v>2025</x:v>
      </x:c>
      <x:c r="K263" s="27" t="str">
        <x:v>Deep neural networks have exhibited impressive performance in image classification tasks but remain vulnerable to adversarial examples. Standard adversarial training enhances robustness but typically fails to explicitly address inter-class feature overlap, a significant contributor to adversarial susceptibility. In this work, we introduce a novel adversarial training framework that actively mitigates inter-class proximity by projecting out inter-class dependencies from adversarial and clean samples in the feature space. Specifically, our approach first identifies the nearest inter-class neighbors for each adversarial sample and subsequently removes projections onto these neighbors to enforce stronger feature separability. Theoretically, we demonstrate that our proposed logits correction reduces the Lipschitz constant of neural networks, thereby lowering the Rademacher complexity, which directly contributes to improved generalization and robustness. Extensive experiments across standard benchmarks including CIFAR-10, CIFAR-100, SVHN, and TinyImagenet show that our method demonstrates strong performance that is competitive with leading adversarial training techniques, highlighting significant achievements in both robust and clean accuracy. Our findings reveal the importance of addressing inter-class feature proximity explicitly to bolster adversarial robustness in DNNs. The code is available in the supplementary material.</x:v>
      </x:c>
      <x:c r="L263" s="17" t="str">
        <x:v>http://arxiv.org/abs/2509.07673v4</x:v>
      </x:c>
      <x:c r="M263" s="23" t="n">
        <x:v>0.030679156908665108</x:v>
      </x:c>
      <x:c r="N263" s="17" t="str">
        <x:v>arxiv-paper-eval-20260727-105551-results.jsonl</x:v>
      </x:c>
      <x:c r="O263" s="24" t="str">
        <x:v>2</x:v>
      </x:c>
      <x:c r="P263" s="28" t="str">
        <x:v>明确指出标准对抗训练未处理类间特征重叠。</x:v>
      </x:c>
      <x:c r="Q263" s="25" t="str"/>
      <x:c r="R263" s="24" t="str">
        <x:f>IF(Q263&lt;&gt;"",Q263,O263)</x:f>
        <x:v>2</x:v>
      </x:c>
      <x:c r="S263" s="29" t="str"/>
    </x:row>
    <x:row r="264" ht="54" customHeight="1">
      <x:c r="A264" s="17" t="str">
        <x:v>csq014-r03</x:v>
      </x:c>
      <x:c r="B264" s="17" t="str">
        <x:v>csq014</x:v>
      </x:c>
      <x:c r="C264" s="17" t="str">
        <x:v>computer_vision</x:v>
      </x:c>
      <x:c r="D264" s="17" t="str">
        <x:v>adversarial_robustness</x:v>
      </x:c>
      <x:c r="E264" s="27" t="str">
        <x:v>What limitations of adversarial training as a defense for image classifiers have been established, particularly regarding accuracy, computational cost, and generalization to unseen attacks?</x:v>
      </x:c>
      <x:c r="F264" s="22" t="n">
        <x:v>3</x:v>
      </x:c>
      <x:c r="G264" s="17" t="str">
        <x:v>arXiv:2506.17133</x:v>
      </x:c>
      <x:c r="H264" s="27" t="str">
        <x:v>Robust Training with Data Augmentation for Medical Imaging Classification</x:v>
      </x:c>
      <x:c r="I264" s="17" t="str">
        <x:v>Josué Martínez-Martínez; Olivia Brown; Mostafa Karami; Sheida Nabavi</x:v>
      </x:c>
      <x:c r="J264" s="22" t="n">
        <x:v>2025</x:v>
      </x:c>
      <x:c r="K264" s="27" t="str">
        <x:v>Deep neural networks are increasingly being used to detect and diagnose medical conditions using medical imaging. Despite their utility, these models are highly vulnerable to adversarial attacks and distribution shifts, which can affect diagnostic reliability and undermine trust among healthcare professionals. In this study, we propose a robust training algorithm with data augmentation (RTDA) to mitigate these vulnerabilities in medical image classification. We benchmark classifier robustness against adversarial perturbations and natural variations of RTDA and six competing baseline techniques, including adversarial training and data augmentation approaches in isolation and combination, using experimental data sets with three different imaging technologies (mammograms, X-rays, and ultrasound). We demonstrate that RTDA achieves superior robustness against adversarial attacks and improved generalization performance in the presence of distribution shift in each image classification task while maintaining high clean accuracy.</x:v>
      </x:c>
      <x:c r="L264" s="17" t="str">
        <x:v>http://arxiv.org/abs/2506.17133v1</x:v>
      </x:c>
      <x:c r="M264" s="23" t="n">
        <x:v>0.030017921146953404</x:v>
      </x:c>
      <x:c r="N264" s="17" t="str">
        <x:v>arxiv-paper-eval-20260727-105551-results.jsonl</x:v>
      </x:c>
      <x:c r="O264" s="24" t="str">
        <x:v>1</x:v>
      </x:c>
      <x:c r="P264" s="28" t="str">
        <x:v>医疗图像鲁棒训练比较可作应用证据，但不聚焦AT局限。</x:v>
      </x:c>
      <x:c r="Q264" s="25" t="str"/>
      <x:c r="R264" s="24" t="str">
        <x:f>IF(Q264&lt;&gt;"",Q264,O264)</x:f>
        <x:v>1</x:v>
      </x:c>
      <x:c r="S264" s="29" t="str"/>
    </x:row>
    <x:row r="265" ht="54" customHeight="1">
      <x:c r="A265" s="17" t="str">
        <x:v>csq014-r04</x:v>
      </x:c>
      <x:c r="B265" s="17" t="str">
        <x:v>csq014</x:v>
      </x:c>
      <x:c r="C265" s="17" t="str">
        <x:v>computer_vision</x:v>
      </x:c>
      <x:c r="D265" s="17" t="str">
        <x:v>adversarial_robustness</x:v>
      </x:c>
      <x:c r="E265" s="27" t="str">
        <x:v>What limitations of adversarial training as a defense for image classifiers have been established, particularly regarding accuracy, computational cost, and generalization to unseen attacks?</x:v>
      </x:c>
      <x:c r="F265" s="22" t="n">
        <x:v>4</x:v>
      </x:c>
      <x:c r="G265" s="17" t="str">
        <x:v>arXiv:1909.09552</x:v>
      </x:c>
      <x:c r="H265" s="27" t="str">
        <x:v>Defending Against Physically Realizable Attacks on Image Classification</x:v>
      </x:c>
      <x:c r="I265" s="17" t="str">
        <x:v>Tong Wu; Liang Tong; Yevgeniy Vorobeychik</x:v>
      </x:c>
      <x:c r="J265" s="22" t="n">
        <x:v>2019</x:v>
      </x:c>
      <x:c r="K265" s="27" t="str">
        <x:v>We study the problem of defending deep neural network approaches for image classification from physically realizable attacks. First, we demonstrate that the two most scalable and effective methods for learning robust models, adversarial training with PGD attacks and randomized smoothing, exhibit very limited effectiveness against three of the highest profile physical attacks. Next, we propose a new abstract adversarial model, rectangular occlusion attacks, in which an adversary places a small adversarially crafted rectangle in an image, and develop two approaches for efficiently computing the resulting adversarial examples. Finally, we demonstrate that adversarial training using our new attack yields image classification models that exhibit high robustness against the physically realizable attacks we study, offering the first effective generic defense against such attacks.</x:v>
      </x:c>
      <x:c r="L265" s="17" t="str">
        <x:v>http://arxiv.org/abs/1909.09552v2</x:v>
      </x:c>
      <x:c r="M265" s="23" t="n">
        <x:v>0.029827662395050816</x:v>
      </x:c>
      <x:c r="N265" s="17" t="str">
        <x:v>arxiv-paper-eval-20260727-105551-results.jsonl</x:v>
      </x:c>
      <x:c r="O265" s="24" t="str">
        <x:v>2</x:v>
      </x:c>
      <x:c r="P265" s="28" t="str">
        <x:v>直接证明PGD对抗训练对未见物理攻击效果有限。</x:v>
      </x:c>
      <x:c r="Q265" s="25" t="str"/>
      <x:c r="R265" s="24" t="str">
        <x:f>IF(Q265&lt;&gt;"",Q265,O265)</x:f>
        <x:v>2</x:v>
      </x:c>
      <x:c r="S265" s="29" t="str"/>
    </x:row>
    <x:row r="266" ht="54" customHeight="1">
      <x:c r="A266" s="17" t="str">
        <x:v>csq014-r05</x:v>
      </x:c>
      <x:c r="B266" s="17" t="str">
        <x:v>csq014</x:v>
      </x:c>
      <x:c r="C266" s="17" t="str">
        <x:v>computer_vision</x:v>
      </x:c>
      <x:c r="D266" s="17" t="str">
        <x:v>adversarial_robustness</x:v>
      </x:c>
      <x:c r="E266" s="27" t="str">
        <x:v>What limitations of adversarial training as a defense for image classifiers have been established, particularly regarding accuracy, computational cost, and generalization to unseen attacks?</x:v>
      </x:c>
      <x:c r="F266" s="22" t="n">
        <x:v>5</x:v>
      </x:c>
      <x:c r="G266" s="17" t="str">
        <x:v>arXiv:2210.15318</x:v>
      </x:c>
      <x:c r="H266" s="27" t="str">
        <x:v>Efficient and Effective Augmentation Strategy for Adversarial Training</x:v>
      </x:c>
      <x:c r="I266" s="17" t="str">
        <x:v>Sravanti Addepalli; Samyak Jain; R. Venkatesh Babu</x:v>
      </x:c>
      <x:c r="J266" s="22" t="n">
        <x:v>2022</x:v>
      </x:c>
      <x:c r="K266" s="27" t="str">
        <x:v>Adversarial training of Deep Neural Networks is known to be significantly more data-hungry when compared to standard training. Furthermore, complex data augmentations such as AutoAugment, which have led to substantial gains in standard training of image classifiers, have not been successful with Adversarial Training. We first explain this contrasting behavior by viewing augmentation during training as a problem of domain generalization, and further propose Diverse Augmentation-based Joint Adversarial Training (DAJAT) to use data augmentations effectively in adversarial training. We aim to handle the conflicting goals of enhancing the diversity of the training dataset and training with data that is close to the test distribution by using a combination of simple and complex augmentations with separate batch normalization layers during training. We further utilize the popular Jensen-Shannon divergence loss to encourage the joint learning of the diverse augmentations, thereby allowing simple augmentations to guide the learning of complex ones. Lastly, to improve the computational efficiency of the proposed method, we propose and utilize a two-step defense, Ascending Constraint Adversarial Training (ACAT), that uses an increasing epsilon schedule and weight-space smoothing to prevent gradient masking. The proposed method DAJAT achieves substantially better robustness-accuracy trade-off when compared to existing methods on the RobustBench Leaderboard on ResNet-18 and WideResNet-34-10. The code for implementing DAJAT is available here: https://github.com/val-iisc/DAJAT.</x:v>
      </x:c>
      <x:c r="L266" s="17" t="str">
        <x:v>http://arxiv.org/abs/2210.15318v1</x:v>
      </x:c>
      <x:c r="M266" s="23" t="n">
        <x:v>0.029206349206349208</x:v>
      </x:c>
      <x:c r="N266" s="17" t="str">
        <x:v>arxiv-paper-eval-20260727-105551-results.jsonl</x:v>
      </x:c>
      <x:c r="O266" s="24" t="str">
        <x:v>2</x:v>
      </x:c>
      <x:c r="P266" s="28" t="str">
        <x:v>明确讨论对抗训练数据成本与增强泛化失败。</x:v>
      </x:c>
      <x:c r="Q266" s="25" t="str"/>
      <x:c r="R266" s="24" t="str">
        <x:f>IF(Q266&lt;&gt;"",Q266,O266)</x:f>
        <x:v>2</x:v>
      </x:c>
      <x:c r="S266" s="29" t="str"/>
    </x:row>
    <x:row r="267" ht="54" customHeight="1">
      <x:c r="A267" s="17" t="str">
        <x:v>csq014-r06</x:v>
      </x:c>
      <x:c r="B267" s="17" t="str">
        <x:v>csq014</x:v>
      </x:c>
      <x:c r="C267" s="17" t="str">
        <x:v>computer_vision</x:v>
      </x:c>
      <x:c r="D267" s="17" t="str">
        <x:v>adversarial_robustness</x:v>
      </x:c>
      <x:c r="E267" s="27" t="str">
        <x:v>What limitations of adversarial training as a defense for image classifiers have been established, particularly regarding accuracy, computational cost, and generalization to unseen attacks?</x:v>
      </x:c>
      <x:c r="F267" s="22" t="n">
        <x:v>6</x:v>
      </x:c>
      <x:c r="G267" s="17" t="str">
        <x:v>arXiv:2403.06798</x:v>
      </x:c>
      <x:c r="H267" s="27" t="str">
        <x:v>Dynamic Perturbation-Adaptive Adversarial Training on Medical Image Classification</x:v>
      </x:c>
      <x:c r="I267" s="17" t="str">
        <x:v>Shuai Li; Xiaoguang Ma; Shancheng Jiang; Lu Meng</x:v>
      </x:c>
      <x:c r="J267" s="22" t="n">
        <x:v>2024</x:v>
      </x:c>
      <x:c r="K267" s="27" t="str">
        <x:v>Remarkable successes were made in Medical Image Classification (MIC) recently, mainly due to wide applications of convolutional neural networks (CNNs). However, adversarial examples (AEs) exhibited imperceptible similarity with raw data, raising serious concerns on network robustness. Although adversarial training (AT), in responding to malevolent AEs, was recognized as an effective approach to improve robustness, it was challenging to overcome generalization decline of networks caused by the AT. In this paper, in order to reserve high generalization while improving robustness, we proposed a dynamic perturbation-adaptive adversarial training (DPAAT) method, which placed AT in a dynamic learning environment to generate adaptive data-level perturbations and provided a dynamically updated criterion by loss information collections to handle the disadvantage of fixed perturbation sizes in conventional AT methods and the dependence on external transference. Comprehensive testing on dermatology HAM10000 dataset showed that the DPAAT not only achieved better robustness improvement and generalization preservation but also significantly enhanced mean average precision and interpretability on various CNNs, indicating its great potential as a generic adversarial training method on the MIC.</x:v>
      </x:c>
      <x:c r="L267" s="17" t="str">
        <x:v>http://arxiv.org/abs/2403.06798v1</x:v>
      </x:c>
      <x:c r="M267" s="23" t="n">
        <x:v>0.01639344262295082</x:v>
      </x:c>
      <x:c r="N267" s="17" t="str">
        <x:v>arxiv-paper-eval-20260727-105551-results.jsonl</x:v>
      </x:c>
      <x:c r="O267" s="24" t="str">
        <x:v>2</x:v>
      </x:c>
      <x:c r="P267" s="28" t="str">
        <x:v>直接针对对抗训练造成的泛化下降。</x:v>
      </x:c>
      <x:c r="Q267" s="25" t="str"/>
      <x:c r="R267" s="24" t="str">
        <x:f>IF(Q267&lt;&gt;"",Q267,O267)</x:f>
        <x:v>2</x:v>
      </x:c>
      <x:c r="S267" s="29" t="str"/>
    </x:row>
    <x:row r="268" ht="54" customHeight="1">
      <x:c r="A268" s="17" t="str">
        <x:v>csq014-r07</x:v>
      </x:c>
      <x:c r="B268" s="17" t="str">
        <x:v>csq014</x:v>
      </x:c>
      <x:c r="C268" s="17" t="str">
        <x:v>computer_vision</x:v>
      </x:c>
      <x:c r="D268" s="17" t="str">
        <x:v>adversarial_robustness</x:v>
      </x:c>
      <x:c r="E268" s="27" t="str">
        <x:v>What limitations of adversarial training as a defense for image classifiers have been established, particularly regarding accuracy, computational cost, and generalization to unseen attacks?</x:v>
      </x:c>
      <x:c r="F268" s="22" t="n">
        <x:v>7</x:v>
      </x:c>
      <x:c r="G268" s="17" t="str">
        <x:v>arXiv:2403.05030</x:v>
      </x:c>
      <x:c r="H268" s="27" t="str">
        <x:v>Defending Against Unforeseen Failure Modes with Latent Adversarial Training</x:v>
      </x:c>
      <x:c r="I268" s="17" t="str">
        <x:v>Stephen Casper; Lennart Schulze; Oam Patel; Dylan Hadfield-Menell</x:v>
      </x:c>
      <x:c r="J268" s="22" t="n">
        <x:v>2024</x:v>
      </x:c>
      <x:c r="K268" s="27" t="str">
        <x:v>Despite extensive diagnostics and debugging by developers, AI systems sometimes exhibit harmful unintended behaviors. Finding and fixing these is challenging because the attack surface is so large -- it is not tractable to exhaustively search for inputs that may elicit harmful behaviors. Red-teaming and adversarial training (AT) are commonly used to improve robustness, however, they empirically struggle to fix failure modes that differ from the attacks used during training. In this work, we utilize latent adversarial training (LAT) to defend against vulnerabilities without leveraging knowledge of what they are or using inputs that elicit them. LAT makes use of the compressed, abstract, and structured latent representations of concepts that the network actually uses for prediction. Here, we use it to defend against failure modes without examples that elicit them. Specifically, we use LAT to remove backdoors and defend against held-out classes of adversarial attacks. We show in image classification, text classification, and text generation tasks that LAT usually improves both robustness to novel attacks and performance on clean data relative to AT. This suggests that LAT can be a promising tool for defending against failure modes that are not explicitly identified by developers.</x:v>
      </x:c>
      <x:c r="L268" s="17" t="str">
        <x:v>http://arxiv.org/abs/2403.05030v6</x:v>
      </x:c>
      <x:c r="M268" s="23" t="n">
        <x:v>0.01639344262295082</x:v>
      </x:c>
      <x:c r="N268" s="17" t="str">
        <x:v>arxiv-paper-eval-20260727-105551-results.jsonl</x:v>
      </x:c>
      <x:c r="O268" s="24" t="str">
        <x:v>1</x:v>
      </x:c>
      <x:c r="P268" s="28" t="str">
        <x:v>指出AT难泛化到训练外故障，但范围不限图像分类。</x:v>
      </x:c>
      <x:c r="Q268" s="25" t="str"/>
      <x:c r="R268" s="24" t="str">
        <x:f>IF(Q268&lt;&gt;"",Q268,O268)</x:f>
        <x:v>1</x:v>
      </x:c>
      <x:c r="S268" s="29" t="str"/>
    </x:row>
    <x:row r="269" ht="54" customHeight="1">
      <x:c r="A269" s="17" t="str">
        <x:v>csq014-r08</x:v>
      </x:c>
      <x:c r="B269" s="17" t="str">
        <x:v>csq014</x:v>
      </x:c>
      <x:c r="C269" s="17" t="str">
        <x:v>computer_vision</x:v>
      </x:c>
      <x:c r="D269" s="17" t="str">
        <x:v>adversarial_robustness</x:v>
      </x:c>
      <x:c r="E269" s="27" t="str">
        <x:v>What limitations of adversarial training as a defense for image classifiers have been established, particularly regarding accuracy, computational cost, and generalization to unseen attacks?</x:v>
      </x:c>
      <x:c r="F269" s="22" t="n">
        <x:v>8</x:v>
      </x:c>
      <x:c r="G269" s="17" t="str">
        <x:v>arXiv:2206.07953</x:v>
      </x:c>
      <x:c r="H269" s="27" t="str">
        <x:v>Analysis and Extensions of Adversarial Training for Video Classification</x:v>
      </x:c>
      <x:c r="I269" s="17" t="str">
        <x:v>Kaleab A. Kinfu; René Vidal</x:v>
      </x:c>
      <x:c r="J269" s="22" t="n">
        <x:v>2022</x:v>
      </x:c>
      <x:c r="K269" s="27" t="str">
        <x:v>Adversarial training (AT) is a simple yet effective defense against adversarial attacks to image classification systems, which is based on augmenting the training set with attacks that maximize the loss. However, the effectiveness of AT as a defense for video classification has not been thoroughly studied. Our first contribution is to show that generating optimal attacks for video requires carefully tuning the attack parameters, especially the step size. Notably, we show that the optimal step size varies linearly with the attack budget. Our second contribution is to show that using a smaller (sub-optimal) attack budget at training time leads to a more robust performance at test time. Based on these findings, we propose three defenses against attacks with variable attack budgets. The first one, Adaptive AT, is a technique where the attack budget is drawn from a distribution that is adapted as training iterations proceed. The second, Curriculum AT, is a technique where the attack budget is increased as training iterations proceed. The third, Generative AT, further couples AT with a denoising generative adversarial network to boost robust performance. Experiments on the UCF101 dataset demonstrate that the proposed methods improve adversarial robustness against multiple attack types.</x:v>
      </x:c>
      <x:c r="L269" s="17" t="str">
        <x:v>http://arxiv.org/abs/2206.07953v1</x:v>
      </x:c>
      <x:c r="M269" s="23" t="n">
        <x:v>0.01639344262295082</x:v>
      </x:c>
      <x:c r="N269" s="17" t="str">
        <x:v>arxiv-paper-eval-20260727-105551-results.jsonl</x:v>
      </x:c>
      <x:c r="O269" s="24" t="str">
        <x:v>0</x:v>
      </x:c>
      <x:c r="P269" s="28" t="str">
        <x:v>研究视频分类，非题目限定的图像分类。</x:v>
      </x:c>
      <x:c r="Q269" s="25" t="str"/>
      <x:c r="R269" s="24" t="str">
        <x:f>IF(Q269&lt;&gt;"",Q269,O269)</x:f>
        <x:v>0</x:v>
      </x:c>
      <x:c r="S269" s="29" t="str"/>
    </x:row>
    <x:row r="270" ht="54" customHeight="1">
      <x:c r="A270" s="17" t="str">
        <x:v>csq014-r09</x:v>
      </x:c>
      <x:c r="B270" s="17" t="str">
        <x:v>csq014</x:v>
      </x:c>
      <x:c r="C270" s="17" t="str">
        <x:v>computer_vision</x:v>
      </x:c>
      <x:c r="D270" s="17" t="str">
        <x:v>adversarial_robustness</x:v>
      </x:c>
      <x:c r="E270" s="27" t="str">
        <x:v>What limitations of adversarial training as a defense for image classifiers have been established, particularly regarding accuracy, computational cost, and generalization to unseen attacks?</x:v>
      </x:c>
      <x:c r="F270" s="22" t="n">
        <x:v>9</x:v>
      </x:c>
      <x:c r="G270" s="17" t="str">
        <x:v>arXiv:2302.03523</x:v>
      </x:c>
      <x:c r="H270" s="27" t="str">
        <x:v>Sparse Mixture Once-for-all Adversarial Training for Efficient In-Situ Trade-Off Between Accuracy and Robustness of DNNs</x:v>
      </x:c>
      <x:c r="I270" s="17" t="str">
        <x:v>Souvik Kundu; Sairam Sundaresan; Sharath Nittur Sridhar; Shunlin Lu; Han Tang; Peter A. Beerel</x:v>
      </x:c>
      <x:c r="J270" s="22" t="n">
        <x:v>2022</x:v>
      </x:c>
      <x:c r="K270" s="27" t="str">
        <x:v>Existing deep neural networks (DNNs) that achieve state-of-the-art (SOTA) performance on both clean and adversarially-perturbed images rely on either activation or weight conditioned convolution operations. However, such conditional learning costs additional multiply-accumulate (MAC) or addition operations, increasing inference memory and compute costs. To that end, we present a sparse mixture once for all adversarial training (SMART), that allows a model to train once and then in-situ trade-off between accuracy and robustness, that too at a reduced compute and parameter overhead. In particular, SMART develops two expert paths, for clean and adversarial images, respectively, that are then conditionally trained via respective dedicated sets of binary sparsity masks. Extensive evaluations on multiple image classification datasets across different models show SMART to have up to 2.72x fewer non-zero parameters costing proportional reduction in compute overhead, while yielding SOTA accuracy-robustness trade-off. Additionally, we present insightful observations in designing sparse masks to successfully condition on both clean and perturbed images.</x:v>
      </x:c>
      <x:c r="L270" s="17" t="str">
        <x:v>http://arxiv.org/abs/2302.03523v1</x:v>
      </x:c>
      <x:c r="M270" s="23" t="n">
        <x:v>0.016129032258064516</x:v>
      </x:c>
      <x:c r="N270" s="17" t="str">
        <x:v>arxiv-paper-eval-20260727-105551-results.jsonl</x:v>
      </x:c>
      <x:c r="O270" s="24" t="str">
        <x:v>2</x:v>
      </x:c>
      <x:c r="P270" s="28" t="str">
        <x:v>直接处理图像DNN的准确率、鲁棒性与计算开销权衡。</x:v>
      </x:c>
      <x:c r="Q270" s="25" t="str"/>
      <x:c r="R270" s="24" t="str">
        <x:f>IF(Q270&lt;&gt;"",Q270,O270)</x:f>
        <x:v>2</x:v>
      </x:c>
      <x:c r="S270" s="29" t="str"/>
    </x:row>
    <x:row r="271" ht="54" customHeight="1">
      <x:c r="A271" s="17" t="str">
        <x:v>csq014-r10</x:v>
      </x:c>
      <x:c r="B271" s="17" t="str">
        <x:v>csq014</x:v>
      </x:c>
      <x:c r="C271" s="17" t="str">
        <x:v>computer_vision</x:v>
      </x:c>
      <x:c r="D271" s="17" t="str">
        <x:v>adversarial_robustness</x:v>
      </x:c>
      <x:c r="E271" s="27" t="str">
        <x:v>What limitations of adversarial training as a defense for image classifiers have been established, particularly regarding accuracy, computational cost, and generalization to unseen attacks?</x:v>
      </x:c>
      <x:c r="F271" s="22" t="n">
        <x:v>10</x:v>
      </x:c>
      <x:c r="G271" s="17" t="str">
        <x:v>arXiv:2306.12941</x:v>
      </x:c>
      <x:c r="H271" s="27" t="str">
        <x:v>Towards Reliable Evaluation and Fast Training of Robust Semantic Segmentation Models</x:v>
      </x:c>
      <x:c r="I271" s="17" t="str">
        <x:v>Francesco Croce; Naman D Singh; Matthias Hein</x:v>
      </x:c>
      <x:c r="J271" s="22" t="n">
        <x:v>2023</x:v>
      </x:c>
      <x:c r="K271" s="27" t="str">
        <x:v>Adversarial robustness has been studied extensively in image classification, especially for the $\ell_\infty$-threat model, but significantly less so for related tasks such as object detection and semantic segmentation, where attacks turn out to be a much harder optimization problem than for image classification. We propose several problem-specific novel attacks minimizing different metrics in accuracy and mIoU. The ensemble of our attacks, SEA, shows that existing attacks severely overestimate the robustness of semantic segmentation models. Surprisingly, existing attempts of adversarial training for semantic segmentation models turn out to be weak or even completely non-robust. We investigate why previous adaptations of adversarial training to semantic segmentation failed and show how recently proposed robust ImageNet backbones can be used to obtain adversarially robust semantic segmentation models with up to six times less training time for PASCAL-VOC and the more challenging ADE20k. The associated code and robust models are available at https://github.com/nmndeep/robust-segmentation</x:v>
      </x:c>
      <x:c r="L271" s="17" t="str">
        <x:v>http://arxiv.org/abs/2306.12941v2</x:v>
      </x:c>
      <x:c r="M271" s="23" t="n">
        <x:v>0.015873015873015872</x:v>
      </x:c>
      <x:c r="N271" s="17" t="str">
        <x:v>arxiv-paper-eval-20260727-105551-results.jsonl</x:v>
      </x:c>
      <x:c r="O271" s="24" t="str">
        <x:v>0</x:v>
      </x:c>
      <x:c r="P271" s="28" t="str">
        <x:v>研究语义分割而非图像分类。</x:v>
      </x:c>
      <x:c r="Q271" s="25" t="str"/>
      <x:c r="R271" s="24" t="str">
        <x:f>IF(Q271&lt;&gt;"",Q271,O271)</x:f>
        <x:v>0</x:v>
      </x:c>
      <x:c r="S271" s="29" t="str"/>
    </x:row>
    <x:row r="272" ht="54" customHeight="1">
      <x:c r="A272" s="17" t="str">
        <x:v>csq014-r11</x:v>
      </x:c>
      <x:c r="B272" s="17" t="str">
        <x:v>csq014</x:v>
      </x:c>
      <x:c r="C272" s="17" t="str">
        <x:v>computer_vision</x:v>
      </x:c>
      <x:c r="D272" s="17" t="str">
        <x:v>adversarial_robustness</x:v>
      </x:c>
      <x:c r="E272" s="27" t="str">
        <x:v>What limitations of adversarial training as a defense for image classifiers have been established, particularly regarding accuracy, computational cost, and generalization to unseen attacks?</x:v>
      </x:c>
      <x:c r="F272" s="22" t="n">
        <x:v>11</x:v>
      </x:c>
      <x:c r="G272" s="17" t="str">
        <x:v>arXiv:2311.00154</x:v>
      </x:c>
      <x:c r="H272" s="27" t="str">
        <x:v>Medi-CAT: Contrastive Adversarial Training for Medical Image Classification</x:v>
      </x:c>
      <x:c r="I272" s="17" t="str">
        <x:v>Pervaiz Iqbal Khan; Andreas Dengel; Sheraz Ahmed</x:v>
      </x:c>
      <x:c r="J272" s="22" t="n">
        <x:v>2023</x:v>
      </x:c>
      <x:c r="K272" s="27" t="str">
        <x:v>There are not many large medical image datasets available. For these datasets, too small deep learning models can't learn useful features, so they don't work well due to underfitting, and too big models tend to overfit the limited data. As a result, there is a compromise between the two issues. This paper proposes a training strategy Medi-CAT to overcome the underfitting and overfitting phenomena in medical imaging datasets. Specifically, the proposed training methodology employs large pre-trained vision transformers to overcome underfitting and adversarial and contrastive learning techniques to prevent overfitting. The proposed method is trained and evaluated on four medical image classification datasets from the MedMNIST collection. Our experimental results indicate that the proposed approach improves the accuracy up to 2% on three benchmark datasets compared to well-known approaches, whereas it increases the performance up to 4.1% over the baseline methods.</x:v>
      </x:c>
      <x:c r="L272" s="17" t="str">
        <x:v>http://arxiv.org/abs/2311.00154v1</x:v>
      </x:c>
      <x:c r="M272" s="23" t="n">
        <x:v>0.015873015873015872</x:v>
      </x:c>
      <x:c r="N272" s="17" t="str">
        <x:v>arxiv-paper-eval-20260727-105551-results.jsonl</x:v>
      </x:c>
      <x:c r="O272" s="24" t="str">
        <x:v>1</x:v>
      </x:c>
      <x:c r="P272" s="28" t="str">
        <x:v>医疗图像分类训练方法相关，但未建立AT核心局限。</x:v>
      </x:c>
      <x:c r="Q272" s="25" t="str"/>
      <x:c r="R272" s="24" t="str">
        <x:f>IF(Q272&lt;&gt;"",Q272,O272)</x:f>
        <x:v>1</x:v>
      </x:c>
      <x:c r="S272" s="29" t="str"/>
    </x:row>
    <x:row r="273" ht="54" customHeight="1">
      <x:c r="A273" s="17" t="str">
        <x:v>csq014-r12</x:v>
      </x:c>
      <x:c r="B273" s="17" t="str">
        <x:v>csq014</x:v>
      </x:c>
      <x:c r="C273" s="17" t="str">
        <x:v>computer_vision</x:v>
      </x:c>
      <x:c r="D273" s="17" t="str">
        <x:v>adversarial_robustness</x:v>
      </x:c>
      <x:c r="E273" s="27" t="str">
        <x:v>What limitations of adversarial training as a defense for image classifiers have been established, particularly regarding accuracy, computational cost, and generalization to unseen attacks?</x:v>
      </x:c>
      <x:c r="F273" s="22" t="n">
        <x:v>12</x:v>
      </x:c>
      <x:c r="G273" s="17" t="str">
        <x:v>arXiv:2103.04513</x:v>
      </x:c>
      <x:c r="H273" s="27" t="str">
        <x:v>Improving Global Adversarial Robustness Generalization With Adversarially Trained GAN</x:v>
      </x:c>
      <x:c r="I273" s="17" t="str">
        <x:v>Desheng Wang; Weidong Jin; Yunpu Wu; Aamir Khan</x:v>
      </x:c>
      <x:c r="J273" s="22" t="n">
        <x:v>2021</x:v>
      </x:c>
      <x:c r="K273" s="27" t="str">
        <x:v>Convolutional neural networks (CNNs) have achieved beyond human-level accuracy in the image classification task and are widely deployed in real-world environments. However, CNNs show vulnerability to adversarial perturbations that are well-designed noises aiming to mislead the classification models. In order to defend against the adversarial perturbations, adversarially trained GAN (ATGAN) is proposed to improve the adversarial robustness generalization of the state-of-the-art CNNs trained by adversarial training. ATGAN incorporates adversarial training into standard GAN training procedure to remove obfuscated gradients which can lead to a false sense in defending against the adversarial perturbations and are commonly observed in existing GANs-based adversarial defense methods. Moreover, ATGAN adopts the image-to-image generator as data augmentation to increase the sample complexity needed for adversarial robustness generalization in adversarial training. Experimental results in MNIST SVHN and CIFAR-10 datasets show that the proposed method doesn't rely on obfuscated gradients and achieves better global adversarial robustness generalization performance than the adversarially trained state-of-the-art CNNs.</x:v>
      </x:c>
      <x:c r="L273" s="17" t="str">
        <x:v>http://arxiv.org/abs/2103.04513v1</x:v>
      </x:c>
      <x:c r="M273" s="23" t="n">
        <x:v>0.015873015873015872</x:v>
      </x:c>
      <x:c r="N273" s="17" t="str">
        <x:v>arxiv-paper-eval-20260727-105551-results.jsonl</x:v>
      </x:c>
      <x:c r="O273" s="24" t="str">
        <x:v>2</x:v>
      </x:c>
      <x:c r="P273" s="28" t="str">
        <x:v>直接研究图像分类对抗鲁棒性的泛化问题。</x:v>
      </x:c>
      <x:c r="Q273" s="25" t="str"/>
      <x:c r="R273" s="24" t="str">
        <x:f>IF(Q273&lt;&gt;"",Q273,O273)</x:f>
        <x:v>2</x:v>
      </x:c>
      <x:c r="S273" s="29" t="str"/>
    </x:row>
    <x:row r="274" ht="54" customHeight="1">
      <x:c r="A274" s="17" t="str">
        <x:v>csq014-r13</x:v>
      </x:c>
      <x:c r="B274" s="17" t="str">
        <x:v>csq014</x:v>
      </x:c>
      <x:c r="C274" s="17" t="str">
        <x:v>computer_vision</x:v>
      </x:c>
      <x:c r="D274" s="17" t="str">
        <x:v>adversarial_robustness</x:v>
      </x:c>
      <x:c r="E274" s="27" t="str">
        <x:v>What limitations of adversarial training as a defense for image classifiers have been established, particularly regarding accuracy, computational cost, and generalization to unseen attacks?</x:v>
      </x:c>
      <x:c r="F274" s="22" t="n">
        <x:v>13</x:v>
      </x:c>
      <x:c r="G274" s="17" t="str">
        <x:v>arXiv:2412.18886</x:v>
      </x:c>
      <x:c r="H274" s="27" t="str">
        <x:v>Adversarial Training for Graph Neural Networks via Graph Subspace Energy Optimization</x:v>
      </x:c>
      <x:c r="I274" s="17" t="str">
        <x:v>Ganlin Liu; Ziling Liang; Xiaowei Huang; Xinping Yi; Shi Jin</x:v>
      </x:c>
      <x:c r="J274" s="22" t="n">
        <x:v>2024</x:v>
      </x:c>
      <x:c r="K274" s="27" t="str">
        <x:v>Despite impressive capability in learning over graph-structured data, graph neural networks (GNN) suffer from adversarial topology perturbation in both training and inference phases. While adversarial training has demonstrated remarkable effectiveness in image classification tasks, its suitability for GNN models has been doubted until a recent advance that shifts the focus from transductive to inductive learning. Still, GNN robustness in the inductive setting is under-explored, and it calls for deeper understanding of GNN adversarial training. To this end, we propose a new concept of graph subspace energy (GSE) -- a generalization of graph energy that measures graph stability -- of the adjacency matrix, as an indicator of GNN robustness against topology perturbations. To further demonstrate the effectiveness of such concept, we propose an adversarial training method with the perturbed graphs generated by maximizing the GSE regularization term, referred to as AT-GSE. To deal with the local and global topology perturbations raised respectively by LRBCD and PRBCD, we employ randomized SVD (RndSVD) and Nystrom low-rank approximation to favor the different aspects of the GSE terms. An extensive set of experiments shows that AT-GSE outperforms consistently the state-of-the-art GNN adversarial training methods over different homophily and heterophily datasets in terms of adversarial accuracy, whilst more surprisingly achieving a superior clean accuracy on non-perturbed graphs.</x:v>
      </x:c>
      <x:c r="L274" s="17" t="str">
        <x:v>http://arxiv.org/abs/2412.18886v1</x:v>
      </x:c>
      <x:c r="M274" s="23" t="n">
        <x:v>0.015625</x:v>
      </x:c>
      <x:c r="N274" s="17" t="str">
        <x:v>arxiv-paper-eval-20260727-105551-results.jsonl</x:v>
      </x:c>
      <x:c r="O274" s="24" t="str">
        <x:v>0</x:v>
      </x:c>
      <x:c r="P274" s="28" t="str">
        <x:v>研究图神经网络而非图像分类。</x:v>
      </x:c>
      <x:c r="Q274" s="25" t="str"/>
      <x:c r="R274" s="24" t="str">
        <x:f>IF(Q274&lt;&gt;"",Q274,O274)</x:f>
        <x:v>0</x:v>
      </x:c>
      <x:c r="S274" s="29" t="str"/>
    </x:row>
    <x:row r="275" ht="54" customHeight="1">
      <x:c r="A275" s="17" t="str">
        <x:v>csq014-r14</x:v>
      </x:c>
      <x:c r="B275" s="17" t="str">
        <x:v>csq014</x:v>
      </x:c>
      <x:c r="C275" s="17" t="str">
        <x:v>computer_vision</x:v>
      </x:c>
      <x:c r="D275" s="17" t="str">
        <x:v>adversarial_robustness</x:v>
      </x:c>
      <x:c r="E275" s="27" t="str">
        <x:v>What limitations of adversarial training as a defense for image classifiers have been established, particularly regarding accuracy, computational cost, and generalization to unseen attacks?</x:v>
      </x:c>
      <x:c r="F275" s="22" t="n">
        <x:v>14</x:v>
      </x:c>
      <x:c r="G275" s="17" t="str">
        <x:v>arXiv:2204.00426</x:v>
      </x:c>
      <x:c r="H275" s="27" t="str">
        <x:v>A Fast and Efficient Conditional Learning for Tunable Trade-Off between Accuracy and Robustness</x:v>
      </x:c>
      <x:c r="I275" s="17" t="str">
        <x:v>Souvik Kundu; Sairam Sundaresan; Massoud Pedram; Peter A. Beerel</x:v>
      </x:c>
      <x:c r="J275" s="22" t="n">
        <x:v>2022</x:v>
      </x:c>
      <x:c r="K275" s="27" t="str">
        <x:v>Existing models that achieve state-of-the-art (SOTA) performance on both clean and adversarially-perturbed images rely on convolution operations conditioned with feature-wise linear modulation (FiLM) layers. These layers require many new parameters and are hyperparameter sensitive. They significantly increase training time, memory cost, and potential latency which can prove costly for resource-limited or real-time applications. In this paper, we present a fast learnable once-for-all adversarial training (FLOAT) algorithm, which instead of the existing FiLM-based conditioning, presents a unique weight conditioned learning that requires no additional layer, thereby incurring no significant increase in parameter count, training time, or network latency compared to standard adversarial training. In particular, we add configurable scaled noise to the weight tensors that enables a trade-off between clean and adversarial performance. Extensive experiments show that FLOAT can yield SOTA performance improving both clean and perturbed image classification by up to ~6% and ~10%, respectively. Moreover, real hardware measurement shows that FLOAT can reduce the training time by up to 1.43x with fewer model parameters of up to 1.47x on iso-hyperparameter settings compared to the FiLM-based alternatives. Additionally, to further improve memory efficiency we introduce FLOAT sparse (FLOATS), a form of non-iterative model pruning and provide detailed empirical analysis to provide a three way accuracy-robustness-complexity trade-off for these new class of pruned conditionally trained models.</x:v>
      </x:c>
      <x:c r="L275" s="17" t="str">
        <x:v>http://arxiv.org/abs/2204.00426v1</x:v>
      </x:c>
      <x:c r="M275" s="23" t="n">
        <x:v>0.015625</x:v>
      </x:c>
      <x:c r="N275" s="17" t="str">
        <x:v>arxiv-paper-eval-20260727-105551-results.jsonl</x:v>
      </x:c>
      <x:c r="O275" s="24" t="str">
        <x:v>2</x:v>
      </x:c>
      <x:c r="P275" s="28" t="str">
        <x:v>明确分析鲁棒准确率条件模型的训练、内存和延迟成本。</x:v>
      </x:c>
      <x:c r="Q275" s="25" t="str"/>
      <x:c r="R275" s="24" t="str">
        <x:f>IF(Q275&lt;&gt;"",Q275,O275)</x:f>
        <x:v>2</x:v>
      </x:c>
      <x:c r="S275" s="29" t="str"/>
    </x:row>
    <x:row r="276" ht="54" customHeight="1">
      <x:c r="A276" s="17" t="str">
        <x:v>csq014-r15</x:v>
      </x:c>
      <x:c r="B276" s="17" t="str">
        <x:v>csq014</x:v>
      </x:c>
      <x:c r="C276" s="17" t="str">
        <x:v>computer_vision</x:v>
      </x:c>
      <x:c r="D276" s="17" t="str">
        <x:v>adversarial_robustness</x:v>
      </x:c>
      <x:c r="E276" s="27" t="str">
        <x:v>What limitations of adversarial training as a defense for image classifiers have been established, particularly regarding accuracy, computational cost, and generalization to unseen attacks?</x:v>
      </x:c>
      <x:c r="F276" s="22" t="n">
        <x:v>15</x:v>
      </x:c>
      <x:c r="G276" s="17" t="str">
        <x:v>arXiv:2105.11144</x:v>
      </x:c>
      <x:c r="H276" s="27" t="str">
        <x:v>Improved OOD Generalization via Adversarial Training and Pre-training</x:v>
      </x:c>
      <x:c r="I276" s="17" t="str">
        <x:v>Mingyang Yi; Lu Hou; Jiacheng Sun; Lifeng Shang; Xin Jiang; Qun Liu; Zhi-Ming Ma</x:v>
      </x:c>
      <x:c r="J276" s="22" t="n">
        <x:v>2021</x:v>
      </x:c>
      <x:c r="K276" s="27" t="str">
        <x:v>Recently, learning a model that generalizes well on out-of-distribution (OOD) data has attracted great attention in the machine learning community. In this paper, after defining OOD generalization via Wasserstein distance, we theoretically show that a model robust to input perturbation generalizes well on OOD data. Inspired by previous findings that adversarial training helps improve input-robustness, we theoretically show that adversarially trained models have converged excess risk on OOD data, and empirically verify it on both image classification and natural language understanding tasks. Besides, in the paradigm of first pre-training and then fine-tuning, we theoretically show that a pre-trained model that is more robust to input perturbation provides a better initialization for generalization on downstream OOD data. Empirically, after fine-tuning, this better-initialized model from adversarial pre-training also has better OOD generalization.</x:v>
      </x:c>
      <x:c r="L276" s="17" t="str">
        <x:v>http://arxiv.org/abs/2105.11144v1</x:v>
      </x:c>
      <x:c r="M276" s="23" t="n">
        <x:v>0.015625</x:v>
      </x:c>
      <x:c r="N276" s="17" t="str">
        <x:v>arxiv-paper-eval-20260727-105551-results.jsonl</x:v>
      </x:c>
      <x:c r="O276" s="24" t="str">
        <x:v>1</x:v>
      </x:c>
      <x:c r="P276" s="28" t="str">
        <x:v>论证AT改善OOD泛化，可作为泛化权衡的补充证据。</x:v>
      </x:c>
      <x:c r="Q276" s="25" t="str"/>
      <x:c r="R276" s="24" t="str">
        <x:f>IF(Q276&lt;&gt;"",Q276,O276)</x:f>
        <x:v>1</x:v>
      </x:c>
      <x:c r="S276" s="29" t="str"/>
    </x:row>
    <x:row r="277" ht="54" customHeight="1">
      <x:c r="A277" s="17" t="str">
        <x:v>csq014-r16</x:v>
      </x:c>
      <x:c r="B277" s="17" t="str">
        <x:v>csq014</x:v>
      </x:c>
      <x:c r="C277" s="17" t="str">
        <x:v>computer_vision</x:v>
      </x:c>
      <x:c r="D277" s="17" t="str">
        <x:v>adversarial_robustness</x:v>
      </x:c>
      <x:c r="E277" s="27" t="str">
        <x:v>What limitations of adversarial training as a defense for image classifiers have been established, particularly regarding accuracy, computational cost, and generalization to unseen attacks?</x:v>
      </x:c>
      <x:c r="F277" s="22" t="n">
        <x:v>16</x:v>
      </x:c>
      <x:c r="G277" s="17" t="str">
        <x:v>arXiv:2507.07768</x:v>
      </x:c>
      <x:c r="H277" s="27" t="str">
        <x:v>TRIX- Trading Adversarial Fairness via Mixed Adversarial Training</x:v>
      </x:c>
      <x:c r="I277" s="17" t="str">
        <x:v>Tejaswini Medi; Steffen Jung; Margret Keuper</x:v>
      </x:c>
      <x:c r="J277" s="22" t="n">
        <x:v>2025</x:v>
      </x:c>
      <x:c r="K277" s="27" t="str">
        <x:v>Adversarial Training (AT) is a widely adopted defense against adversarial examples. However, existing approaches typically apply a uniform training objective across all classes, overlooking disparities in class-wise vulnerability. This results in adversarial unfairness: classes with well distinguishable features (strong classes) tend to become more robust, while classes with overlapping or shared features(weak classes) remain disproportionately susceptible to adversarial attacks. We observe that strong classes do not require strong adversaries during training, as their non-robust features are quickly suppressed. In contrast, weak classes benefit from stronger adversaries to effectively reduce their vulnerabilities. Motivated by this, we introduce TRIX, a feature-aware adversarial training framework that adaptively assigns weaker targeted adversaries to strong classes, promoting feature diversity via uniformly sampled targets, and stronger untargeted adversaries to weak classes, enhancing their focused robustness. TRIX further incorporates per-class loss weighting and perturbation strength adjustments, building on prior work, to emphasize weak classes during the optimization. Comprehensive experiments on standard image classification benchmarks, including evaluations under strong attacks such as PGD and AutoAttack, demonstrate that TRIX significantly improves worst-case class accuracy on both clean and adversarial data, reducing inter-class robustness disparities, and preserves overall accuracy. Our results highlight TRIX as a practical step toward fair and effective adversarial defense.</x:v>
      </x:c>
      <x:c r="L277" s="17" t="str">
        <x:v>http://arxiv.org/abs/2507.07768v1</x:v>
      </x:c>
      <x:c r="M277" s="23" t="n">
        <x:v>0.015384615384615385</x:v>
      </x:c>
      <x:c r="N277" s="17" t="str">
        <x:v>arxiv-paper-eval-20260727-105551-results.jsonl</x:v>
      </x:c>
      <x:c r="O277" s="24" t="str">
        <x:v>2</x:v>
      </x:c>
      <x:c r="P277" s="28" t="str">
        <x:v>揭示统一AT目标造成类别间鲁棒性不公平。</x:v>
      </x:c>
      <x:c r="Q277" s="25" t="str"/>
      <x:c r="R277" s="24" t="str">
        <x:f>IF(Q277&lt;&gt;"",Q277,O277)</x:f>
        <x:v>2</x:v>
      </x:c>
      <x:c r="S277" s="29" t="str"/>
    </x:row>
    <x:row r="278" ht="54" customHeight="1">
      <x:c r="A278" s="17" t="str">
        <x:v>csq014-r17</x:v>
      </x:c>
      <x:c r="B278" s="17" t="str">
        <x:v>csq014</x:v>
      </x:c>
      <x:c r="C278" s="17" t="str">
        <x:v>computer_vision</x:v>
      </x:c>
      <x:c r="D278" s="17" t="str">
        <x:v>adversarial_robustness</x:v>
      </x:c>
      <x:c r="E278" s="27" t="str">
        <x:v>What limitations of adversarial training as a defense for image classifiers have been established, particularly regarding accuracy, computational cost, and generalization to unseen attacks?</x:v>
      </x:c>
      <x:c r="F278" s="22" t="n">
        <x:v>17</x:v>
      </x:c>
      <x:c r="G278" s="17" t="str">
        <x:v>arXiv:2306.06081</x:v>
      </x:c>
      <x:c r="H278" s="27" t="str">
        <x:v>Blending adversarial training and representation-conditional purification via aggregation improves adversarial robustness</x:v>
      </x:c>
      <x:c r="I278" s="17" t="str">
        <x:v>Emanuele Ballarin; Alessio Ansuini; Luca Bortolussi</x:v>
      </x:c>
      <x:c r="J278" s="22" t="n">
        <x:v>2023</x:v>
      </x:c>
      <x:c r="K278" s="27" t="str">
        <x:v>In this work, we propose a novel adversarial defence mechanism for image classification - CARSO - blending the paradigms of adversarial training and adversarial purification in a synergistic robustness-enhancing way. The method builds upon an adversarially-trained classifier, and learns to map its internal representation associated with a potentially perturbed input onto a distribution of tentative clean reconstructions. Multiple samples from such distribution are classified by the same adversarially-trained model, and a carefully chosen aggregation of its outputs finally constitutes the robust prediction of interest. Experimental evaluation by a well-established benchmark of strong adaptive attacks, across different image datasets, shows that CARSO is able to defend itself against adaptive end-to-end white-box attacks devised for stochastic defences. Paying a modest clean accuracy toll, our method improves by a significant margin the state-of-the-art for Cifar-10, Cifar-100, and TinyImageNet-200 $\ell_\infty$ robust classification accuracy against AutoAttack. Code, and instructions to obtain pre-trained models are available at: https://github.com/emaballarin/CARSO .</x:v>
      </x:c>
      <x:c r="L278" s="17" t="str">
        <x:v>http://arxiv.org/abs/2306.06081v6</x:v>
      </x:c>
      <x:c r="M278" s="23" t="n">
        <x:v>0.015384615384615385</x:v>
      </x:c>
      <x:c r="N278" s="17" t="str">
        <x:v>arxiv-paper-eval-20260727-105551-results.jsonl</x:v>
      </x:c>
      <x:c r="O278" s="24" t="str">
        <x:v>1</x:v>
      </x:c>
      <x:c r="P278" s="28" t="str">
        <x:v>主要提出混合防御，间接说明单独AT不足。</x:v>
      </x:c>
      <x:c r="Q278" s="25" t="str"/>
      <x:c r="R278" s="24" t="str">
        <x:f>IF(Q278&lt;&gt;"",Q278,O278)</x:f>
        <x:v>1</x:v>
      </x:c>
      <x:c r="S278" s="29" t="str"/>
    </x:row>
    <x:row r="279" ht="54" customHeight="1">
      <x:c r="A279" s="17" t="str">
        <x:v>csq014-r18</x:v>
      </x:c>
      <x:c r="B279" s="17" t="str">
        <x:v>csq014</x:v>
      </x:c>
      <x:c r="C279" s="17" t="str">
        <x:v>computer_vision</x:v>
      </x:c>
      <x:c r="D279" s="17" t="str">
        <x:v>adversarial_robustness</x:v>
      </x:c>
      <x:c r="E279" s="27" t="str">
        <x:v>What limitations of adversarial training as a defense for image classifiers have been established, particularly regarding accuracy, computational cost, and generalization to unseen attacks?</x:v>
      </x:c>
      <x:c r="F279" s="22" t="n">
        <x:v>18</x:v>
      </x:c>
      <x:c r="G279" s="17" t="str">
        <x:v>arXiv:1905.10904</x:v>
      </x:c>
      <x:c r="H279" s="27" t="str">
        <x:v>Robust Classification using Robust Feature Augmentation</x:v>
      </x:c>
      <x:c r="I279" s="17" t="str">
        <x:v>Kevin Eykholt; Swati Gupta; Atul Prakash; Amir Rahmati; Pratik Vaishnavi; Haizhong Zheng</x:v>
      </x:c>
      <x:c r="J279" s="22" t="n">
        <x:v>2019</x:v>
      </x:c>
      <x:c r="K279" s="27" t="str">
        <x:v>Existing deep neural networks, say for image classification, have been shown to be vulnerable to adversarial images that can cause a DNN misclassification, without any perceptible change to an image. In this work, we propose shock absorbing robust features such as binarization, e.g., rounding, and group extraction, e.g., color or shape, to augment the classification pipeline, resulting in more robust classifiers. Experimentally, we show that augmenting ML models with these techniques leads to improved overall robustness on adversarial inputs as well as significant improvements in training time. On the MNIST dataset, we achieved 14x speedup in training time to obtain 90% adversarial accuracy com-pared to the state-of-the-art adversarial training method of Madry et al., as well as retained higher adversarial accuracy over a broader range of attacks. We also find robustness improvements on traffic sign classification using robust feature augmentation. Finally, we give theoretical insights for why one can expect robust feature augmentation to reduce adversarial input space</x:v>
      </x:c>
      <x:c r="L279" s="17" t="str">
        <x:v>http://arxiv.org/abs/1905.10904v3</x:v>
      </x:c>
      <x:c r="M279" s="23" t="n">
        <x:v>0.015384615384615385</x:v>
      </x:c>
      <x:c r="N279" s="17" t="str">
        <x:v>arxiv-paper-eval-20260727-105551-results.jsonl</x:v>
      </x:c>
      <x:c r="O279" s="24" t="str">
        <x:v>1</x:v>
      </x:c>
      <x:c r="P279" s="28" t="str">
        <x:v>替代鲁棒特征方法涉及训练时间，但不直接评估AT。</x:v>
      </x:c>
      <x:c r="Q279" s="25" t="str"/>
      <x:c r="R279" s="24" t="str">
        <x:f>IF(Q279&lt;&gt;"",Q279,O279)</x:f>
        <x:v>1</x:v>
      </x:c>
      <x:c r="S279" s="29" t="str"/>
    </x:row>
    <x:row r="280" ht="54" customHeight="1">
      <x:c r="A280" s="17" t="str">
        <x:v>csq014-r19</x:v>
      </x:c>
      <x:c r="B280" s="17" t="str">
        <x:v>csq014</x:v>
      </x:c>
      <x:c r="C280" s="17" t="str">
        <x:v>computer_vision</x:v>
      </x:c>
      <x:c r="D280" s="17" t="str">
        <x:v>adversarial_robustness</x:v>
      </x:c>
      <x:c r="E280" s="27" t="str">
        <x:v>What limitations of adversarial training as a defense for image classifiers have been established, particularly regarding accuracy, computational cost, and generalization to unseen attacks?</x:v>
      </x:c>
      <x:c r="F280" s="22" t="n">
        <x:v>19</x:v>
      </x:c>
      <x:c r="G280" s="17" t="str">
        <x:v>arXiv:1909.04779</x:v>
      </x:c>
      <x:c r="H280" s="27" t="str">
        <x:v>Localized Adversarial Training for Increased Accuracy and Robustness in Image Classification</x:v>
      </x:c>
      <x:c r="I280" s="17" t="str">
        <x:v>Eitan Rothberg; Tingting Chen; Luo Jie; Hao Ji</x:v>
      </x:c>
      <x:c r="J280" s="22" t="n">
        <x:v>2019</x:v>
      </x:c>
      <x:c r="K280" s="27" t="str">
        <x:v>Today's state-of-the-art image classifiers fail to correctly classify carefully manipulated adversarial images. In this work, we develop a new, localized adversarial attack that generates adversarial examples by imperceptibly altering the backgrounds of normal images. We first use this attack to highlight the unnecessary sensitivity of neural networks to changes in the background of an image, then use it as part of a new training technique: localized adversarial training. By including locally adversarial images in the training set, we are able to create a classifier that suffers less loss than a non-adversarially trained counterpart model on both natural and adversarial inputs. The evaluation of our localized adversarial training algorithm on MNIST and CIFAR-10 datasets shows decreased accuracy loss on natural images, and increased robustness against adversarial inputs.</x:v>
      </x:c>
      <x:c r="L280" s="17" t="str">
        <x:v>http://arxiv.org/abs/1909.04779v1</x:v>
      </x:c>
      <x:c r="M280" s="23" t="n">
        <x:v>0.015384615384615385</x:v>
      </x:c>
      <x:c r="N280" s="17" t="str">
        <x:v>arxiv-paper-eval-20260727-105551-results.jsonl</x:v>
      </x:c>
      <x:c r="O280" s="24" t="str">
        <x:v>2</x:v>
      </x:c>
      <x:c r="P280" s="28" t="str">
        <x:v>以新局部攻击揭示分类器敏感性并专门训练防御。</x:v>
      </x:c>
      <x:c r="Q280" s="25" t="str"/>
      <x:c r="R280" s="24" t="str">
        <x:f>IF(Q280&lt;&gt;"",Q280,O280)</x:f>
        <x:v>2</x:v>
      </x:c>
      <x:c r="S280" s="29" t="str"/>
    </x:row>
    <x:row r="281" ht="54" customHeight="1">
      <x:c r="A281" s="17" t="str">
        <x:v>csq014-r20</x:v>
      </x:c>
      <x:c r="B281" s="17" t="str">
        <x:v>csq014</x:v>
      </x:c>
      <x:c r="C281" s="17" t="str">
        <x:v>computer_vision</x:v>
      </x:c>
      <x:c r="D281" s="17" t="str">
        <x:v>adversarial_robustness</x:v>
      </x:c>
      <x:c r="E281" s="27" t="str">
        <x:v>What limitations of adversarial training as a defense for image classifiers have been established, particularly regarding accuracy, computational cost, and generalization to unseen attacks?</x:v>
      </x:c>
      <x:c r="F281" s="22" t="n">
        <x:v>20</x:v>
      </x:c>
      <x:c r="G281" s="17" t="str">
        <x:v>arXiv:2512.15123</x:v>
      </x:c>
      <x:c r="H281" s="27" t="str">
        <x:v>TrajSyn: Privacy-Preserving Dataset Distillation from Federated Model Trajectories for Server-Side Adversarial Training</x:v>
      </x:c>
      <x:c r="I281" s="17" t="str">
        <x:v>Mukur Gupta; Niharika Gupta; Saifur Rahman; Shantanu Pal; Chandan Karmakar</x:v>
      </x:c>
      <x:c r="J281" s="22" t="n">
        <x:v>2025</x:v>
      </x:c>
      <x:c r="K281" s="27" t="str">
        <x:v>Deep learning models deployed on edge devices are increasingly used in safety-critical applications. However, their vulnerability to adversarial perturbations poses significant risks, especially in Federated Learning (FL) settings where identical models are distributed across thousands of clients. While adversarial training is a strong defense, it is difficult to apply in FL due to strict client-data privacy constraints and the limited compute available on edge devices. In this work, we introduce TrajSyn, a privacy-preserving framework that enables effective server-side adversarial training by synthesizing a proxy dataset from the trajectories of client model updates, without accessing raw client data. We show that TrajSyn consistently improves adversarial robustness on image classification benchmarks with no extra compute burden on the client device.</x:v>
      </x:c>
      <x:c r="L281" s="17" t="str">
        <x:v>http://arxiv.org/abs/2512.15123v1</x:v>
      </x:c>
      <x:c r="M281" s="23" t="n">
        <x:v>0.015151515151515152</x:v>
      </x:c>
      <x:c r="N281" s="17" t="str">
        <x:v>arxiv-paper-eval-20260727-105551-results.jsonl</x:v>
      </x:c>
      <x:c r="O281" s="24" t="str">
        <x:v>1</x:v>
      </x:c>
      <x:c r="P281" s="28" t="str">
        <x:v>讨论联邦环境中AT的计算与隐私约束，但非一般图像分类。</x:v>
      </x:c>
      <x:c r="Q281" s="25" t="str"/>
      <x:c r="R281" s="24" t="str">
        <x:f>IF(Q281&lt;&gt;"",Q281,O281)</x:f>
        <x:v>1</x:v>
      </x:c>
      <x:c r="S281" s="29" t="str"/>
    </x:row>
    <x:row r="282" ht="54" customHeight="1">
      <x:c r="A282" s="17" t="str">
        <x:v>csq015-r01</x:v>
      </x:c>
      <x:c r="B282" s="17" t="str">
        <x:v>csq015</x:v>
      </x:c>
      <x:c r="C282" s="17" t="str">
        <x:v>systems_and_networking</x:v>
      </x:c>
      <x:c r="D282" s="17" t="str">
        <x:v>distributed_consensus</x:v>
      </x:c>
      <x:c r="E282" s="27" t="str">
        <x:v>What are the main approaches for reducing communication and latency costs in Byzantine fault-tolerant consensus protocols?</x:v>
      </x:c>
      <x:c r="F282" s="22" t="n">
        <x:v>1</x:v>
      </x:c>
      <x:c r="G282" s="17" t="str">
        <x:v>arXiv:2405.04606</x:v>
      </x:c>
      <x:c r="H282" s="27" t="str">
        <x:v>Probabilistic Byzantine Fault Tolerance (Extended Version)</x:v>
      </x:c>
      <x:c r="I282" s="17" t="str">
        <x:v>Diogo Avelãs; Hasan Heydari; Eduardo Alchieri; Tobias Distler; Alysson Bessani</x:v>
      </x:c>
      <x:c r="J282" s="22" t="n">
        <x:v>2024</x:v>
      </x:c>
      <x:c r="K282" s="27" t="str">
        <x:v>Consensus is a fundamental building block for constructing reliable and fault-tolerant distributed services. Many Byzantine fault-tolerant consensus protocols designed for partially synchronous systems adopt a pessimistic approach when dealing with adversaries, ensuring safety in a deterministic way even under the worst-case scenarios that adversaries can create. Following this approach typically results in either an increase in the message complexity (e.g., PBFT) or an increase in the number of communication steps (e.g., HotStuff). In practice, however, adversaries are not as powerful as the ones assumed by these protocols. Furthermore, it might suffice to ensure safety and liveness properties with high probability. In order to accommodate more realistic and optimistic adversaries and improve the scalability of the BFT consensus, we propose ProBFT (Probabilistic Byzantine Fault Tolerance). ProBFT is a leader-based probabilistic consensus protocol with a message complexity of $O(n\sqrt{n})$ and an optimal number of communication steps that tolerates Byzantine faults in permissioned partially synchronous systems. It is built on top of well-known primitives, such as probabilistic Byzantine quorums and verifiable random functions. ProBFT guarantees safety and liveness with high probabilities even with faulty leaders, as long as a supermajority of replicas is correct, and using only a fraction of messages employed in PBFT (e.g., $20\%$). We provide a detailed description of ProBFT's protocol and its analysis.</x:v>
      </x:c>
      <x:c r="L282" s="17" t="str">
        <x:v>http://arxiv.org/abs/2405.04606v3</x:v>
      </x:c>
      <x:c r="M282" s="23" t="n">
        <x:v>0.03278688524590164</x:v>
      </x:c>
      <x:c r="N282" s="17" t="str">
        <x:v>arxiv-paper-eval-20260727-105551-results.jsonl</x:v>
      </x:c>
      <x:c r="O282" s="24" t="str">
        <x:v>2</x:v>
      </x:c>
      <x:c r="P282" s="28" t="str">
        <x:v>直接以概率化方式权衡BFT消息复杂度与通信轮次。</x:v>
      </x:c>
      <x:c r="Q282" s="25" t="str"/>
      <x:c r="R282" s="24" t="str">
        <x:f>IF(Q282&lt;&gt;"",Q282,O282)</x:f>
        <x:v>2</x:v>
      </x:c>
      <x:c r="S282" s="29" t="str"/>
    </x:row>
    <x:row r="283" ht="54" customHeight="1">
      <x:c r="A283" s="17" t="str">
        <x:v>csq015-r02</x:v>
      </x:c>
      <x:c r="B283" s="17" t="str">
        <x:v>csq015</x:v>
      </x:c>
      <x:c r="C283" s="17" t="str">
        <x:v>systems_and_networking</x:v>
      </x:c>
      <x:c r="D283" s="17" t="str">
        <x:v>distributed_consensus</x:v>
      </x:c>
      <x:c r="E283" s="27" t="str">
        <x:v>What are the main approaches for reducing communication and latency costs in Byzantine fault-tolerant consensus protocols?</x:v>
      </x:c>
      <x:c r="F283" s="22" t="n">
        <x:v>2</x:v>
      </x:c>
      <x:c r="G283" s="17" t="str">
        <x:v>arXiv:2402.12889</x:v>
      </x:c>
      <x:c r="H283" s="27" t="str">
        <x:v>BFT-DSN: A Byzantine Fault Tolerant Decentralized Storage Network</x:v>
      </x:c>
      <x:c r="I283" s="17" t="str">
        <x:v>Hechuan Guo; Minghui Xu; Jiahao Zhang; Chunchi Liu; Rajiv Ranjan; Dongxiao Yu; Xiuzhen Cheng</x:v>
      </x:c>
      <x:c r="J283" s="22" t="n">
        <x:v>2024</x:v>
      </x:c>
      <x:c r="K283" s="27" t="str">
        <x:v>With the rapid development of blockchain and its applications, the amount of data stored on decentralized storage networks (DSNs) has grown exponentially. DSNs bring together affordable storage resources from around the world to provide robust, decentralized storage services for tens of thousands of decentralized applications (dApps). However, existing DSNs do not offer verifiability when implementing erasure coding for redundant storage, making them vulnerable to Byzantine encoders. Additionally, there is a lack of Byzantine fault-tolerant consensus for optimal resilience in DSNs. This paper introduces BFT-DSN, a Byzantine fault-tolerant decentralized storage network designed to address these challenges. BFT-DSN combines storage-weighted BFT consensus with erasure coding and incorporates homomorphic fingerprints and weighted threshold signatures for decentralized verification. The implementation of BFT-DSN demonstrates its comparable performance in terms of storage cost and latency as well as superior performance in Byzantine resilience when compared to existing industrial decentralized storage networks.</x:v>
      </x:c>
      <x:c r="L283" s="17" t="str">
        <x:v>http://arxiv.org/abs/2402.12889v1</x:v>
      </x:c>
      <x:c r="M283" s="23" t="n">
        <x:v>0.03278688524590164</x:v>
      </x:c>
      <x:c r="N283" s="17" t="str">
        <x:v>arxiv-paper-eval-20260727-105551-results.jsonl</x:v>
      </x:c>
      <x:c r="O283" s="24" t="str">
        <x:v>1</x:v>
      </x:c>
      <x:c r="P283" s="28" t="str">
        <x:v>主要构建容错去中心化存储网络，BFT共识是组件。</x:v>
      </x:c>
      <x:c r="Q283" s="25" t="str"/>
      <x:c r="R283" s="24" t="str">
        <x:f>IF(Q283&lt;&gt;"",Q283,O283)</x:f>
        <x:v>1</x:v>
      </x:c>
      <x:c r="S283" s="29" t="str"/>
    </x:row>
    <x:row r="284" ht="54" customHeight="1">
      <x:c r="A284" s="17" t="str">
        <x:v>csq015-r03</x:v>
      </x:c>
      <x:c r="B284" s="17" t="str">
        <x:v>csq015</x:v>
      </x:c>
      <x:c r="C284" s="17" t="str">
        <x:v>systems_and_networking</x:v>
      </x:c>
      <x:c r="D284" s="17" t="str">
        <x:v>distributed_consensus</x:v>
      </x:c>
      <x:c r="E284" s="27" t="str">
        <x:v>What are the main approaches for reducing communication and latency costs in Byzantine fault-tolerant consensus protocols?</x:v>
      </x:c>
      <x:c r="F284" s="22" t="n">
        <x:v>3</x:v>
      </x:c>
      <x:c r="G284" s="17" t="str">
        <x:v>arXiv:2503.21279</x:v>
      </x:c>
      <x:c r="H284" s="27" t="str">
        <x:v>Asynchronous BFT Consensus Made Wireless</x:v>
      </x:c>
      <x:c r="I284" s="17" t="str">
        <x:v>Shuo Liu; Minghui Xu; Tianyi Sun; Xiuzhen Cheng</x:v>
      </x:c>
      <x:c r="J284" s="22" t="n">
        <x:v>2025</x:v>
      </x:c>
      <x:c r="K284" s="27" t="str">
        <x:v>Asynchronous Byzantine fault-tolerant (BFT) consensus protocols, known for their robustness in unpredictable environments without relying on timing assumptions, are becoming increasingly vital for wireless applications. While these protocols have proven effective in wired networks, their adaptation to wireless environments presents significant challenges. Asynchronous BFT consensus, characterized by its N parallel consensus components (e.g., asynchronous Byzantine agreement, reliable broadcast), suffers from high message complexity, leading to network congestion and inefficiency, especially in resource-constrained wireless networks. Asynchronous Byzantine agreement (ABA) protocols, a foundational component of asynchronous BFT, require careful balancing of message complexity and cryptographic overhead to achieve efficient implementation in wireless settings. Additionally, the absence of dedicated testbeds for asynchronous wireless BFT consensus protocols hinders development and performance evaluation. To address these challenges, we propose a consensus batching protocol (ConsensusBatcher), which supports both vertical and horizontal batching of multiple parallel consensus components. We leverage ConsensusBatcher to adapt three asynchronous BFT consensus protocols (HoneyBadgerBFT, BEAT, and Dumbo) from wired networks to resource-constrained wireless networks. To evaluate the performance of ConsensusBatcher-enabled consensus protocols in wireless environments, we develop and open-source a testbed for deployment and performance assessment of these protocols. Using this testbed, we demonstrate that ConsensusBatcher-based consensus reduces latency by 48% to 59% and increases throughput by 48% to 62% compared to baseline consensus protocols.</x:v>
      </x:c>
      <x:c r="L284" s="17" t="str">
        <x:v>http://arxiv.org/abs/2503.21279v3</x:v>
      </x:c>
      <x:c r="M284" s="23" t="n">
        <x:v>0.03200204813108039</x:v>
      </x:c>
      <x:c r="N284" s="17" t="str">
        <x:v>arxiv-paper-eval-20260727-105551-results.jsonl</x:v>
      </x:c>
      <x:c r="O284" s="24" t="str">
        <x:v>2</x:v>
      </x:c>
      <x:c r="P284" s="28" t="str">
        <x:v>针对无线异步BFT的高消息复杂度提出优化。</x:v>
      </x:c>
      <x:c r="Q284" s="25" t="str"/>
      <x:c r="R284" s="24" t="str">
        <x:f>IF(Q284&lt;&gt;"",Q284,O284)</x:f>
        <x:v>2</x:v>
      </x:c>
      <x:c r="S284" s="29" t="str"/>
    </x:row>
    <x:row r="285" ht="54" customHeight="1">
      <x:c r="A285" s="17" t="str">
        <x:v>csq015-r04</x:v>
      </x:c>
      <x:c r="B285" s="17" t="str">
        <x:v>csq015</x:v>
      </x:c>
      <x:c r="C285" s="17" t="str">
        <x:v>systems_and_networking</x:v>
      </x:c>
      <x:c r="D285" s="17" t="str">
        <x:v>distributed_consensus</x:v>
      </x:c>
      <x:c r="E285" s="27" t="str">
        <x:v>What are the main approaches for reducing communication and latency costs in Byzantine fault-tolerant consensus protocols?</x:v>
      </x:c>
      <x:c r="F285" s="22" t="n">
        <x:v>4</x:v>
      </x:c>
      <x:c r="G285" s="17" t="str">
        <x:v>arXiv:1911.04698</x:v>
      </x:c>
      <x:c r="H285" s="27" t="str">
        <x:v>Scalable BFT Consensus Mechanism Through Aggregated Signature Gossip</x:v>
      </x:c>
      <x:c r="I285" s="17" t="str">
        <x:v>Jieyi Long; Ribao Wei</x:v>
      </x:c>
      <x:c r="J285" s="22" t="n">
        <x:v>2019</x:v>
      </x:c>
      <x:c r="K285" s="27" t="str">
        <x:v>In this paper, we present a new BFT consensus mechanism which enables thousands of nodes to participate in the consensus process, and supports very high transaction throughput. This is achieved via an aggregated signature gossip protocol which can significantly reduce the messaging complexity and thus allows a large number of nodes to reach consensus quickly. The proposed aggregated signature gossip protocol leverages a non-interactive leaderless BLS signature aggregation scheme. We have proven the correctness of the protocol, and analyzed its efficiency. In our analysis, each node only needs to send and receive O(logn) messages to reach agreement, where each message just contains a couple kilobytes of data.</x:v>
      </x:c>
      <x:c r="L285" s="17" t="str">
        <x:v>http://arxiv.org/abs/1911.04698v1</x:v>
      </x:c>
      <x:c r="M285" s="23" t="n">
        <x:v>0.030834914611005692</x:v>
      </x:c>
      <x:c r="N285" s="17" t="str">
        <x:v>arxiv-paper-eval-20260727-105551-results.jsonl</x:v>
      </x:c>
      <x:c r="O285" s="24" t="str">
        <x:v>2</x:v>
      </x:c>
      <x:c r="P285" s="28" t="str">
        <x:v>以聚合签名 gossip 将共识消息降至对数级。</x:v>
      </x:c>
      <x:c r="Q285" s="25" t="str"/>
      <x:c r="R285" s="24" t="str">
        <x:f>IF(Q285&lt;&gt;"",Q285,O285)</x:f>
        <x:v>2</x:v>
      </x:c>
      <x:c r="S285" s="29" t="str"/>
    </x:row>
    <x:row r="286" ht="54" customHeight="1">
      <x:c r="A286" s="17" t="str">
        <x:v>csq015-r05</x:v>
      </x:c>
      <x:c r="B286" s="17" t="str">
        <x:v>csq015</x:v>
      </x:c>
      <x:c r="C286" s="17" t="str">
        <x:v>systems_and_networking</x:v>
      </x:c>
      <x:c r="D286" s="17" t="str">
        <x:v>distributed_consensus</x:v>
      </x:c>
      <x:c r="E286" s="27" t="str">
        <x:v>What are the main approaches for reducing communication and latency costs in Byzantine fault-tolerant consensus protocols?</x:v>
      </x:c>
      <x:c r="F286" s="22" t="n">
        <x:v>5</x:v>
      </x:c>
      <x:c r="G286" s="17" t="str">
        <x:v>arXiv:2409.08161</x:v>
      </x:c>
      <x:c r="H286" s="27" t="str">
        <x:v>Validated Strong Consensus Protocol for Asynchronous Vote-based Blockchains</x:v>
      </x:c>
      <x:c r="I286" s="17" t="str">
        <x:v>Yibin Xu; Jianhua Shao; Tijs Slaats; Boris Düdder; Yongluan Zhou</x:v>
      </x:c>
      <x:c r="J286" s="22" t="n">
        <x:v>2024</x:v>
      </x:c>
      <x:c r="K286" s="27" t="str">
        <x:v>Vote-based blockchains construct a state machine replication (SMR) system among participating nodes, using Byzantine Fault Tolerance (BFT) consensus protocols to transition from one state to another. Currently, they rely on either synchronous or partially synchronous networks with leader-based coordination or costly Asynchronous Common Subset (ACS) protocols in asynchronous settings, making them impractical for large-scale asynchronous applications. To make Asynchronous SMR scalable, this paper proposes a \emph{validated strong} BFT consensus model that allows leader-based coordination in asynchronous settings. Our BFT consensus model offers the same level of tolerance as binary byzantine agreement but does not demand consistency among honest nodes before they vote. An SMR using our model allows nodes to operate in different, tentative, but mutually exclusive states until they eventually converge on the same state. We propose an asynchronous BFT protocol for vote-based blockchains employing our consensus model to address several critical challenges: how to ensure that nodes eventually converge on the same state across voting rounds, how to assure that a blockchain will steadily progress through epochs while reaching consensus for previous epochs, and how to maintain robust byzantine fault tolerance. Our protocol greatly reduces message complexity and is the first one to achieve linear view changes without relying on threshold signatures. We prove that an asynchronous blockchain built on our protocol can operate with the \emph{same} simplicity and efficiency as partially synchronous blockchains built on, e.g. HotStuff-2. This facilitates deploying asynchronous blockchains across large-scale networks.</x:v>
      </x:c>
      <x:c r="L286" s="17" t="str">
        <x:v>http://arxiv.org/abs/2409.08161v2</x:v>
      </x:c>
      <x:c r="M286" s="23" t="n">
        <x:v>0.03055037313432836</x:v>
      </x:c>
      <x:c r="N286" s="17" t="str">
        <x:v>arxiv-paper-eval-20260727-105551-results.jsonl</x:v>
      </x:c>
      <x:c r="O286" s="24" t="str">
        <x:v>2</x:v>
      </x:c>
      <x:c r="P286" s="28" t="str">
        <x:v>针对异步共识协调和ACS成本提出可扩展模型。</x:v>
      </x:c>
      <x:c r="Q286" s="25" t="str"/>
      <x:c r="R286" s="24" t="str">
        <x:f>IF(Q286&lt;&gt;"",Q286,O286)</x:f>
        <x:v>2</x:v>
      </x:c>
      <x:c r="S286" s="29" t="str"/>
    </x:row>
    <x:row r="287" ht="54" customHeight="1">
      <x:c r="A287" s="17" t="str">
        <x:v>csq015-r06</x:v>
      </x:c>
      <x:c r="B287" s="17" t="str">
        <x:v>csq015</x:v>
      </x:c>
      <x:c r="C287" s="17" t="str">
        <x:v>systems_and_networking</x:v>
      </x:c>
      <x:c r="D287" s="17" t="str">
        <x:v>distributed_consensus</x:v>
      </x:c>
      <x:c r="E287" s="27" t="str">
        <x:v>What are the main approaches for reducing communication and latency costs in Byzantine fault-tolerant consensus protocols?</x:v>
      </x:c>
      <x:c r="F287" s="22" t="n">
        <x:v>6</x:v>
      </x:c>
      <x:c r="G287" s="17" t="str">
        <x:v>arXiv:2109.12664</x:v>
      </x:c>
      <x:c r="H287" s="27" t="str">
        <x:v>BigBFT: A Multileader Byzantine Fault Tolerance Protocol for High Throughput</x:v>
      </x:c>
      <x:c r="I287" s="17" t="str">
        <x:v>Salem Alqahtani; Murat Demirbas</x:v>
      </x:c>
      <x:c r="J287" s="22" t="n">
        <x:v>2021</x:v>
      </x:c>
      <x:c r="K287" s="27" t="str">
        <x:v>This paper describes BigBFT, a multi-leader Byzantine fault tolerance protocol that achieves high throughput and scalable consensus in blockchain systems. BigBFT achieves this by (1) enabling every node to be a leader that can propose and order the blocks in parallel, (2) piggybacking votes within rounds, (3) pipelining blocks across rounds, and (4) using only two communication steps to order blocks in the common case. BigBFT has an amortized communication cost of $O(n)$ over $n$ requests. We evaluate BigBFT's performance both analytically, using back-of-the-envelope load formulas to construct a cost analysis, and also empirically by implementing it in our PaxiBFT framework. Our evaluation compares BigBFT with PBFT, Tendermint, Streamlet, and Hotstuff under various workloads using deployments of 4 to 20 nodes. Our results show that BigBFT outperforms PBFT, Tendermint, Streamlet, and Hotstuff protocols either in terms of latency (by up to $70\%$) or in terms of throughput (by up to $190\%$).</x:v>
      </x:c>
      <x:c r="L287" s="17" t="str">
        <x:v>http://arxiv.org/abs/2109.12664v2</x:v>
      </x:c>
      <x:c r="M287" s="23" t="n">
        <x:v>0.030158730158730156</x:v>
      </x:c>
      <x:c r="N287" s="17" t="str">
        <x:v>arxiv-paper-eval-20260727-105551-results.jsonl</x:v>
      </x:c>
      <x:c r="O287" s="24" t="str">
        <x:v>2</x:v>
      </x:c>
      <x:c r="P287" s="28" t="str">
        <x:v>多领导者、捎带投票和流水线直接降低轮次与通信。</x:v>
      </x:c>
      <x:c r="Q287" s="25" t="str"/>
      <x:c r="R287" s="24" t="str">
        <x:f>IF(Q287&lt;&gt;"",Q287,O287)</x:f>
        <x:v>2</x:v>
      </x:c>
      <x:c r="S287" s="29" t="str"/>
    </x:row>
    <x:row r="288" ht="54" customHeight="1">
      <x:c r="A288" s="17" t="str">
        <x:v>csq015-r07</x:v>
      </x:c>
      <x:c r="B288" s="17" t="str">
        <x:v>csq015</x:v>
      </x:c>
      <x:c r="C288" s="17" t="str">
        <x:v>systems_and_networking</x:v>
      </x:c>
      <x:c r="D288" s="17" t="str">
        <x:v>distributed_consensus</x:v>
      </x:c>
      <x:c r="E288" s="27" t="str">
        <x:v>What are the main approaches for reducing communication and latency costs in Byzantine fault-tolerant consensus protocols?</x:v>
      </x:c>
      <x:c r="F288" s="22" t="n">
        <x:v>7</x:v>
      </x:c>
      <x:c r="G288" s="17" t="str">
        <x:v>arXiv:1903.04134</x:v>
      </x:c>
      <x:c r="H288" s="27" t="str">
        <x:v>Proteus: A Scalable BFT Consesus Protocol for Blockchains</x:v>
      </x:c>
      <x:c r="I288" s="17" t="str">
        <x:v>Mohammad M. Jalalzai; Costas Busch; Golden Richard</x:v>
      </x:c>
      <x:c r="J288" s="22" t="n">
        <x:v>2019</x:v>
      </x:c>
      <x:c r="K288" s="27" t="str">
        <x:v>Byzantine Fault Tolerant (BFT) consensus exhibits higher throughput in comparison to Proof of Work (PoW) in blockchains. But BFT-based protocols suffer from scalability problems with respect to the number of replicas in the network. The main reason for this limitation is the quadratic message complexity of BFT protocols. Previously, proposed solutions improve BFT performance for normal operation, but will fall back to quadratic message complexity once the protocol observes a certain number of failures. This makes the protocol performance unpredictable as it is not guaranteed that the network will face a a certain number of failures. As a result, such protocols are only scalable when conditions are favorable (i.e., the number of failures are less than a given threshold). To address this issue we propose Proteus, a new BFT-based consensus protocol which elects a subset of nodes $c$ as a root committee. Proteus guarantees stable performance, regardless of the number of failures in the network and it improves on the quadratic message complexity of typical BFT-based protocols to $O(cn)$, where $c&lt;&lt;n$, for large $n$. Thus, message complexity remains small and less than quadratic when $c$ is asymptotically smaller than $n$, and this helps the protocol to provide stable performance even during the view change process (change of root committee). Our view change process is different than typical BFT protocols as it replaces the whole root committee compared to replacing a single primary in other protocols. We deployed and tested our protocol on $200$ Amazon $EC2$ instances, with two different baseline BFT protocols (PBFT and Bchain) for comparison. In these tests, our protocol outperformed the baselines by more than $2\times$ in terms of throughput as well as latency.</x:v>
      </x:c>
      <x:c r="L288" s="17" t="str">
        <x:v>http://arxiv.org/abs/1903.04134v3</x:v>
      </x:c>
      <x:c r="M288" s="23" t="n">
        <x:v>0.02967032967032967</x:v>
      </x:c>
      <x:c r="N288" s="17" t="str">
        <x:v>arxiv-paper-eval-20260727-105551-results.jsonl</x:v>
      </x:c>
      <x:c r="O288" s="24" t="str">
        <x:v>2</x:v>
      </x:c>
      <x:c r="P288" s="28" t="str">
        <x:v>直接解决BFT二次消息复杂度及故障退化。</x:v>
      </x:c>
      <x:c r="Q288" s="25" t="str"/>
      <x:c r="R288" s="24" t="str">
        <x:f>IF(Q288&lt;&gt;"",Q288,O288)</x:f>
        <x:v>2</x:v>
      </x:c>
      <x:c r="S288" s="29" t="str"/>
    </x:row>
    <x:row r="289" ht="54" customHeight="1">
      <x:c r="A289" s="17" t="str">
        <x:v>csq015-r08</x:v>
      </x:c>
      <x:c r="B289" s="17" t="str">
        <x:v>csq015</x:v>
      </x:c>
      <x:c r="C289" s="17" t="str">
        <x:v>systems_and_networking</x:v>
      </x:c>
      <x:c r="D289" s="17" t="str">
        <x:v>distributed_consensus</x:v>
      </x:c>
      <x:c r="E289" s="27" t="str">
        <x:v>What are the main approaches for reducing communication and latency costs in Byzantine fault-tolerant consensus protocols?</x:v>
      </x:c>
      <x:c r="F289" s="22" t="n">
        <x:v>8</x:v>
      </x:c>
      <x:c r="G289" s="17" t="str">
        <x:v>arXiv:2409.10954</x:v>
      </x:c>
      <x:c r="H289" s="27" t="str">
        <x:v>Ladon: High-Performance Multi-BFT Consensus via Dynamic Global Ordering (Extended Version)</x:v>
      </x:c>
      <x:c r="I289" s="17" t="str">
        <x:v>Hanzheng Lyu; Shaokang Xie; Jianyu Niu; Chen Feng; Yinqian Zhang; Ivan Beschastnikh</x:v>
      </x:c>
      <x:c r="J289" s="22" t="n">
        <x:v>2024</x:v>
      </x:c>
      <x:c r="K289" s="27" t="str">
        <x:v>Multi-BFT consensus runs multiple leader-based consensus instances in parallel, circumventing the leader bottleneck of a single instance. However, it contains an Achilles' heel: the need to globally order output blocks across instances. Deriving this global ordering is challenging because it must cope with different rates at which blocks are produced by instances. Prior Multi-BFT designs assign each block a global index before creation, leading to poor performance. We propose Ladon, a high-performance Multi-BFT protocol that allows varying instance block rates. Our key idea is to order blocks across instances dynamically, which eliminates blocking on slow instances. We achieve dynamic global ordering by assigning monotonic ranks to blocks. We pipeline rank coordination with the consensus process to reduce protocol overhead and combine aggregate signatures with rank information to reduce message complexity. Ladon's dynamic ordering enables blocks to be globally ordered according to their generation, which respects inter-block causality. We implemented and evaluated Ladon by integrating it with both PBFT and HotStuff protocols. Our evaluation shows that Ladon-PBFT (resp., Ladon-HotStuff) improves the peak throughput of the prior art by $\approx$8x (resp., 2x) and reduces latency by $\approx$62% (resp., 23%), when deployed with one straggling replica (out of 128 replicas) in a WAN setting.</x:v>
      </x:c>
      <x:c r="L289" s="17" t="str">
        <x:v>http://arxiv.org/abs/2409.10954v2</x:v>
      </x:c>
      <x:c r="M289" s="23" t="n">
        <x:v>0.029211087420042643</x:v>
      </x:c>
      <x:c r="N289" s="17" t="str">
        <x:v>arxiv-paper-eval-20260727-105551-results.jsonl</x:v>
      </x:c>
      <x:c r="O289" s="24" t="str">
        <x:v>2</x:v>
      </x:c>
      <x:c r="P289" s="28" t="str">
        <x:v>动态全局排序消除多BFT实例性能瓶颈。</x:v>
      </x:c>
      <x:c r="Q289" s="25" t="str"/>
      <x:c r="R289" s="24" t="str">
        <x:f>IF(Q289&lt;&gt;"",Q289,O289)</x:f>
        <x:v>2</x:v>
      </x:c>
      <x:c r="S289" s="29" t="str"/>
    </x:row>
    <x:row r="290" ht="54" customHeight="1">
      <x:c r="A290" s="17" t="str">
        <x:v>csq015-r09</x:v>
      </x:c>
      <x:c r="B290" s="17" t="str">
        <x:v>csq015</x:v>
      </x:c>
      <x:c r="C290" s="17" t="str">
        <x:v>systems_and_networking</x:v>
      </x:c>
      <x:c r="D290" s="17" t="str">
        <x:v>distributed_consensus</x:v>
      </x:c>
      <x:c r="E290" s="27" t="str">
        <x:v>What are the main approaches for reducing communication and latency costs in Byzantine fault-tolerant consensus protocols?</x:v>
      </x:c>
      <x:c r="F290" s="22" t="n">
        <x:v>9</x:v>
      </x:c>
      <x:c r="G290" s="17" t="str">
        <x:v>arXiv:2202.13408</x:v>
      </x:c>
      <x:c r="H290" s="27" t="str">
        <x:v>Scalable Byzantine Fault Tolerance via Partial Decentralization</x:v>
      </x:c>
      <x:c r="I290" s="17" t="str">
        <x:v>Balaji Arun; Binoy Ravindran</x:v>
      </x:c>
      <x:c r="J290" s="22" t="n">
        <x:v>2022</x:v>
      </x:c>
      <x:c r="K290" s="27" t="str">
        <x:v>Byzantine consensus is a critical component in many permissioned Blockchains and distributed ledgers. We propose a new paradigm for designing BFT protocols called DQBFT that addresses three major performance and scalability challenges that plague past protocols: (i) high communication costs to reach geo-distributed agreement, (ii) uneven resource utilization hampering performance, and (iii) performance degradation under varying node and network conditions and high-contention workloads. Specifically, DQBFT divides consensus into two parts: 1) durable command replication without a global order, and 2) consistent global ordering of commands across all replicas. DQBFT achieves this by decentralizing the heavy task of replicating commands while centralizing the ordering process. Under the new paradigm, we develop a new protocol, Destiny that uses a combination of three techniques to achieve high performance and scalability: using a trusted subsystem to decrease consensus's quorum size, using threshold signatures to attain linear communication costs, reducing client communication. Our evaluations on 300-replica geo-distributed deployment reveal that DQBFT protocols achieve significant performance gains over prior art: $\approx$3x better throughput and $\approx$50\% better latency.</x:v>
      </x:c>
      <x:c r="L290" s="17" t="str">
        <x:v>http://arxiv.org/abs/2202.13408v1</x:v>
      </x:c>
      <x:c r="M290" s="23" t="n">
        <x:v>0.02803921568627451</x:v>
      </x:c>
      <x:c r="N290" s="17" t="str">
        <x:v>arxiv-paper-eval-20260727-105551-results.jsonl</x:v>
      </x:c>
      <x:c r="O290" s="24" t="str">
        <x:v>2</x:v>
      </x:c>
      <x:c r="P290" s="28" t="str">
        <x:v>分解复制与全局排序以降低地理分布通信成本。</x:v>
      </x:c>
      <x:c r="Q290" s="25" t="str"/>
      <x:c r="R290" s="24" t="str">
        <x:f>IF(Q290&lt;&gt;"",Q290,O290)</x:f>
        <x:v>2</x:v>
      </x:c>
      <x:c r="S290" s="29" t="str"/>
    </x:row>
    <x:row r="291" ht="54" customHeight="1">
      <x:c r="A291" s="17" t="str">
        <x:v>csq015-r10</x:v>
      </x:c>
      <x:c r="B291" s="17" t="str">
        <x:v>csq015</x:v>
      </x:c>
      <x:c r="C291" s="17" t="str">
        <x:v>systems_and_networking</x:v>
      </x:c>
      <x:c r="D291" s="17" t="str">
        <x:v>distributed_consensus</x:v>
      </x:c>
      <x:c r="E291" s="27" t="str">
        <x:v>What are the main approaches for reducing communication and latency costs in Byzantine fault-tolerant consensus protocols?</x:v>
      </x:c>
      <x:c r="F291" s="22" t="n">
        <x:v>10</x:v>
      </x:c>
      <x:c r="G291" s="17" t="str">
        <x:v>arXiv:2507.08281</x:v>
      </x:c>
      <x:c r="H291" s="27" t="str">
        <x:v>Fast and Interactive Byzantine Fault-tolerant Web Services via Session-Based Consensus Decoupling</x:v>
      </x:c>
      <x:c r="I291" s="17" t="str">
        <x:v>Ahmad Zaki Akmal; Azkario Rizky Pratama; Guntur Dharma Putra</x:v>
      </x:c>
      <x:c r="J291" s="22" t="n">
        <x:v>2025</x:v>
      </x:c>
      <x:c r="K291" s="27" t="str">
        <x:v>Byzantine fault-tolerant (BFT) web services provide critical integrity guarantees for distributed applications but face significant latency challenges that hinder interactive user experiences. We propose a novel two-layer architecture that addresses this fundamental tension between security and responsiveness in BFT systems. Our approach introduces a session-aware transaction buffer layer (Layer 2) that delivers immediate feedback to users through consensus simulation, while periodically committing batched operations to a fully Byzantine fault-tolerant consensus layer (Layer 1). By separating interactive operations from consensus finalization, our system achieves responsive user experiences of under 200ms, while maintaining strong BFT security guarantees. We demonstrate the efficacy of our architecture through a supply chain management implementation, where operators require both immediate feedback during multi-step workflows and tamper-proof record keeping. Our evaluation shows that our Layer 2 operations perform four times faster than the Layer 1 counterpart, while substantially preserving the end-to-end transaction integrity. Our approach enables BFT applications in domains previously considered impractical due to latency constraints, such as metaverse environments, where users require both responsive interaction and guaranteed state consistency.</x:v>
      </x:c>
      <x:c r="L291" s="17" t="str">
        <x:v>http://arxiv.org/abs/2507.08281v1</x:v>
      </x:c>
      <x:c r="M291" s="23" t="n">
        <x:v>0.016129032258064516</x:v>
      </x:c>
      <x:c r="N291" s="17" t="str">
        <x:v>arxiv-paper-eval-20260727-105551-results.jsonl</x:v>
      </x:c>
      <x:c r="O291" s="24" t="str">
        <x:v>2</x:v>
      </x:c>
      <x:c r="P291" s="28" t="str">
        <x:v>以会话缓冲和批量提交降低BFT交互延迟。</x:v>
      </x:c>
      <x:c r="Q291" s="25" t="str"/>
      <x:c r="R291" s="24" t="str">
        <x:f>IF(Q291&lt;&gt;"",Q291,O291)</x:f>
        <x:v>2</x:v>
      </x:c>
      <x:c r="S291" s="29" t="str"/>
    </x:row>
    <x:row r="292" ht="54" customHeight="1">
      <x:c r="A292" s="17" t="str">
        <x:v>csq015-r11</x:v>
      </x:c>
      <x:c r="B292" s="17" t="str">
        <x:v>csq015</x:v>
      </x:c>
      <x:c r="C292" s="17" t="str">
        <x:v>systems_and_networking</x:v>
      </x:c>
      <x:c r="D292" s="17" t="str">
        <x:v>distributed_consensus</x:v>
      </x:c>
      <x:c r="E292" s="27" t="str">
        <x:v>What are the main approaches for reducing communication and latency costs in Byzantine fault-tolerant consensus protocols?</x:v>
      </x:c>
      <x:c r="F292" s="22" t="n">
        <x:v>11</x:v>
      </x:c>
      <x:c r="G292" s="17" t="str">
        <x:v>arXiv:2403.03655</x:v>
      </x:c>
      <x:c r="H292" s="27" t="str">
        <x:v>Kronos: A Secure and Generic Sharding Blockchain Consensus with Optimized Overhead</x:v>
      </x:c>
      <x:c r="I292" s="17" t="str">
        <x:v>Yizhong Liu; Andi Liu; Yuan Lu; Zhuocheng Pan; Yinuo Li; Jianwei Liu; Song Bian; Mauro Conti</x:v>
      </x:c>
      <x:c r="J292" s="22" t="n">
        <x:v>2024</x:v>
      </x:c>
      <x:c r="K292" s="27" t="str">
        <x:v>Sharding enhances blockchain scalability by dividing the network into shards, each managing specific unspent transaction outputs or accounts. As an introduced new transaction type, cross-shard transactions pose a critical challenge to the security and efficiency of sharding blockchains. Currently, there is a lack of a generic sharding consensus pattern that achieves both security and low overhead. In this paper, we present Kronos, a secure sharding blockchain consensus achieving optimized overhead. In particular, we propose a new secure sharding consensus pattern, based on a buffer managed jointly by shard members. Valid transactions are transferred to the payee via the buffer, while invalid ones are rejected through happy or unhappy paths. Kronos is proved to achieve security with atomicity under malicious clients with optimal intra-shard overhead $kB$ ($k$ for involved shard number and $B$ for a Byzantine fault tolerance (BFT) cost). Besides, we propose secure cross-shard certification methods based on batch certification and reliable cross-shard transfer. The former combines hybrid trees or vector commitments, while the latter integrates erasure coding. Handling $b$ transactions, Kronos is proved to achieve reliability with low cross-shard overhead $O(n b λ)$ ($n$ for shard size and $λ$ for the security parameter). Notably, Kronos imposes no restrictions on BFT and does not rely on time assumptions, offering optional constructions in various modules. We implement Kronos using two prominent BFT protocols: asynchronous Speeding Dumbo and partial synchronous Hotstuff. Extensive experiments demonstrate Kronos scales the consensus nodes to thousands, achieving a substantial throughput of 320 ktx/sec with 2.0 sec latency. Compared with the past solutions, Kronos outperforms, achieving up to a 12* improvement in throughput and a 50% reduction in latency.</x:v>
      </x:c>
      <x:c r="L292" s="17" t="str">
        <x:v>http://arxiv.org/abs/2403.03655v3</x:v>
      </x:c>
      <x:c r="M292" s="23" t="n">
        <x:v>0.016129032258064516</x:v>
      </x:c>
      <x:c r="N292" s="17" t="str">
        <x:v>arxiv-paper-eval-20260727-105551-results.jsonl</x:v>
      </x:c>
      <x:c r="O292" s="24" t="str">
        <x:v>2</x:v>
      </x:c>
      <x:c r="P292" s="28" t="str">
        <x:v>分片BFT共识直接优化跨片开销。</x:v>
      </x:c>
      <x:c r="Q292" s="25" t="str"/>
      <x:c r="R292" s="24" t="str">
        <x:f>IF(Q292&lt;&gt;"",Q292,O292)</x:f>
        <x:v>2</x:v>
      </x:c>
      <x:c r="S292" s="29" t="str"/>
    </x:row>
    <x:row r="293" ht="54" customHeight="1">
      <x:c r="A293" s="17" t="str">
        <x:v>csq015-r12</x:v>
      </x:c>
      <x:c r="B293" s="17" t="str">
        <x:v>csq015</x:v>
      </x:c>
      <x:c r="C293" s="17" t="str">
        <x:v>systems_and_networking</x:v>
      </x:c>
      <x:c r="D293" s="17" t="str">
        <x:v>distributed_consensus</x:v>
      </x:c>
      <x:c r="E293" s="27" t="str">
        <x:v>What are the main approaches for reducing communication and latency costs in Byzantine fault-tolerant consensus protocols?</x:v>
      </x:c>
      <x:c r="F293" s="22" t="n">
        <x:v>12</x:v>
      </x:c>
      <x:c r="G293" s="17" t="str">
        <x:v>arXiv:2006.04616</x:v>
      </x:c>
      <x:c r="H293" s="27" t="str">
        <x:v>Consensus Beyond Thresholds: Generalized Byzantine Quorums Made Live</x:v>
      </x:c>
      <x:c r="I293" s="17" t="str">
        <x:v>Orestis Alpos; Christian Cachin</x:v>
      </x:c>
      <x:c r="J293" s="22" t="n">
        <x:v>2020</x:v>
      </x:c>
      <x:c r="K293" s="27" t="str">
        <x:v>Existing Byzantine fault-tolerant (BFT) consensus protocols address only threshold failures, where the participating nodes fail independently of each other, each one fails equally likely, and the protocol's guarantees follow from a simple bound on the number of faulty nodes. With the widespread deployment of Byzantine consensus in blockchains and distributed ledgers today, however, more sophisticated trust assumptions are needed. This paper presents the first implementation of BFT consensus with generalized quorums. It starts from a number of generalized trust structures motivated by practice and explores methods to specify and implement them efficiently. In particular, it expresses the trust assumption by a monotone Boolean formula (MBF) with threshold operators and by a monotone span program (MSP), a linear-algebraic model for computation. An implementation of HotStuff BFT consensus using these quorum systems is described as well and compared to the existing threshold model. Benchmarks with HotStuff running on up to 40 replicas demonstrate that the MBF specification incurs no significant slowdown, whereas the MSP expression affects latency and throughput noticeably due to the involved computations.</x:v>
      </x:c>
      <x:c r="L293" s="17" t="str">
        <x:v>http://arxiv.org/abs/2006.04616v2</x:v>
      </x:c>
      <x:c r="M293" s="23" t="n">
        <x:v>0.015873015873015872</x:v>
      </x:c>
      <x:c r="N293" s="17" t="str">
        <x:v>arxiv-paper-eval-20260727-105551-results.jsonl</x:v>
      </x:c>
      <x:c r="O293" s="24" t="str">
        <x:v>1</x:v>
      </x:c>
      <x:c r="P293" s="28" t="str">
        <x:v>重点是广义信任和法定人数活性，性能优化非主线。</x:v>
      </x:c>
      <x:c r="Q293" s="25" t="str"/>
      <x:c r="R293" s="24" t="str">
        <x:f>IF(Q293&lt;&gt;"",Q293,O293)</x:f>
        <x:v>1</x:v>
      </x:c>
      <x:c r="S293" s="29" t="str"/>
    </x:row>
    <x:row r="294" ht="54" customHeight="1">
      <x:c r="A294" s="17" t="str">
        <x:v>csq015-r13</x:v>
      </x:c>
      <x:c r="B294" s="17" t="str">
        <x:v>csq015</x:v>
      </x:c>
      <x:c r="C294" s="17" t="str">
        <x:v>systems_and_networking</x:v>
      </x:c>
      <x:c r="D294" s="17" t="str">
        <x:v>distributed_consensus</x:v>
      </x:c>
      <x:c r="E294" s="27" t="str">
        <x:v>What are the main approaches for reducing communication and latency costs in Byzantine fault-tolerant consensus protocols?</x:v>
      </x:c>
      <x:c r="F294" s="22" t="n">
        <x:v>13</x:v>
      </x:c>
      <x:c r="G294" s="17" t="str">
        <x:v>arXiv:1807.01829</x:v>
      </x:c>
      <x:c r="H294" s="27" t="str">
        <x:v>LinBFT: Linear-Communication Byzantine Fault Tolerance for Public Blockchains</x:v>
      </x:c>
      <x:c r="I294" s="17" t="str">
        <x:v>Yin Yang</x:v>
      </x:c>
      <x:c r="J294" s="22" t="n">
        <x:v>2018</x:v>
      </x:c>
      <x:c r="K294" s="27" t="str">
        <x:v>This paper presents LinBFT, a novel Byzantine fault tolerance (BFT) protocol for blockchain systems that achieves amortized O(n) communication volume per block under reasonable conditions (where n is the number of participants), while satisfying determinist guarantees on safety and liveness. This significantly improves previous results, which either incurs quadratic communication complexity, or only satisfies safety in a probabilistic sense. LinBFT is based on the popular PBFT protocol, and cuts down its $O(n^4)$ complexity with three tricks, each by $O(n)$: linear view change, threshold signatures, and verifiable random functions. All three are known, i.e., the solutions are right in front of our eyes, and yet LinBFT is the first $O(n)$ solution with deterministic security guarantees. Further, LinBFT also addresses issues that are specific to permission-less, public blockchain systems, such as anonymous participants without a public-key infrastructure, proof-of-stake with slashing, rotating leader, and a dynamic participant set. In addition, LinBFT contains no proof-of-work module, reaches consensus for every block, and tolerates changing honesty of the participants for different blocks.</x:v>
      </x:c>
      <x:c r="L294" s="17" t="str">
        <x:v>http://arxiv.org/abs/1807.01829v1</x:v>
      </x:c>
      <x:c r="M294" s="23" t="n">
        <x:v>0.015873015873015872</x:v>
      </x:c>
      <x:c r="N294" s="17" t="str">
        <x:v>arxiv-paper-eval-20260727-105551-results.jsonl</x:v>
      </x:c>
      <x:c r="O294" s="24" t="str">
        <x:v>2</x:v>
      </x:c>
      <x:c r="P294" s="28" t="str">
        <x:v>通过线性换主、门限签名和VRF实现线性通信。</x:v>
      </x:c>
      <x:c r="Q294" s="25" t="str"/>
      <x:c r="R294" s="24" t="str">
        <x:f>IF(Q294&lt;&gt;"",Q294,O294)</x:f>
        <x:v>2</x:v>
      </x:c>
      <x:c r="S294" s="29" t="str"/>
    </x:row>
    <x:row r="295" ht="54" customHeight="1">
      <x:c r="A295" s="17" t="str">
        <x:v>csq015-r14</x:v>
      </x:c>
      <x:c r="B295" s="17" t="str">
        <x:v>csq015</x:v>
      </x:c>
      <x:c r="C295" s="17" t="str">
        <x:v>systems_and_networking</x:v>
      </x:c>
      <x:c r="D295" s="17" t="str">
        <x:v>distributed_consensus</x:v>
      </x:c>
      <x:c r="E295" s="27" t="str">
        <x:v>What are the main approaches for reducing communication and latency costs in Byzantine fault-tolerant consensus protocols?</x:v>
      </x:c>
      <x:c r="F295" s="22" t="n">
        <x:v>14</x:v>
      </x:c>
      <x:c r="G295" s="17" t="str">
        <x:v>arXiv:2209.00750</x:v>
      </x:c>
      <x:c r="H295" s="27" t="str">
        <x:v>Dumbo-NG: Fast Asynchronous BFT Consensus with Throughput-Oblivious Latency</x:v>
      </x:c>
      <x:c r="I295" s="17" t="str">
        <x:v>Yingzi Gao; Yuan Lu; Zhenliang Lu; Qiang Tang; Jing Xu; Zhenfeng Zhang</x:v>
      </x:c>
      <x:c r="J295" s="22" t="n">
        <x:v>2022</x:v>
      </x:c>
      <x:c r="K295" s="27" t="str">
        <x:v>Despite recent progresses of practical asynchronous Byzantine fault tolerant (BFT) consensus, the state-of-the-art designs still suffer from suboptimal performance. Particularly, to obtain maximum throughput, most existing protocols with guaranteed linear amortized communication complexity require each participating node to broadcast a huge batch of transactions, which dramatically sacrifices latency. Worse still, the f slowest nodes' broadcasts might never be agreed to output and thus can be censored (where f is the number of faults). Implementable mitigation to the threat either uses computationally costly threshold encryption or incurs communication blow-up, thus causing further efficiency issues. We present Dumbo-NG, a novel asynchronous BFT consensus (atomic broadcast) to solve the remaining practical issues. Its technical core is a non-trivial direct reduction from asynchronous atomic broadcast to multi-valued validated Byzantine agreement (MVBA) with quality property. Most interestingly, the new protocol structure empowers completely concurrent execution of transaction dissemination and asynchronous agreement. This brings about two benefits: (i) the throughput-latency tension is resolved to approach peak throughput with minimal increase in latency; (ii) the transactions broadcasted by any honest node can be agreed to output, thus conquering the censorship threat with no extra cost. We implement Dumbo-NG and compare it to the state-of-the-art asynchronous BFT with guaranteed censorship resilience including Dumbo (CCS'20) and Speeding-Dumbo (NDSS'22). We also apply the techniques from Speeding-Dumbo to DispersedLedger (NSDI'22) and obtain an improved variant of DispersedLedger called sDumbo-DL for comprehensive comparison. Extensive experiments reveal: Dumbo-NG realizes better peak throughput performance and its latency can almost remain stable when throughput grows.</x:v>
      </x:c>
      <x:c r="L295" s="17" t="str">
        <x:v>http://arxiv.org/abs/2209.00750v3</x:v>
      </x:c>
      <x:c r="M295" s="23" t="n">
        <x:v>0.015625</x:v>
      </x:c>
      <x:c r="N295" s="17" t="str">
        <x:v>arxiv-paper-eval-20260727-105551-results.jsonl</x:v>
      </x:c>
      <x:c r="O295" s="24" t="str">
        <x:v>2</x:v>
      </x:c>
      <x:c r="P295" s="28" t="str">
        <x:v>直接处理异步BFT吞吐、线性通信与延迟牺牲。</x:v>
      </x:c>
      <x:c r="Q295" s="25" t="str"/>
      <x:c r="R295" s="24" t="str">
        <x:f>IF(Q295&lt;&gt;"",Q295,O295)</x:f>
        <x:v>2</x:v>
      </x:c>
      <x:c r="S295" s="29" t="str"/>
    </x:row>
    <x:row r="296" ht="54" customHeight="1">
      <x:c r="A296" s="17" t="str">
        <x:v>csq015-r15</x:v>
      </x:c>
      <x:c r="B296" s="17" t="str">
        <x:v>csq015</x:v>
      </x:c>
      <x:c r="C296" s="17" t="str">
        <x:v>systems_and_networking</x:v>
      </x:c>
      <x:c r="D296" s="17" t="str">
        <x:v>distributed_consensus</x:v>
      </x:c>
      <x:c r="E296" s="27" t="str">
        <x:v>What are the main approaches for reducing communication and latency costs in Byzantine fault-tolerant consensus protocols?</x:v>
      </x:c>
      <x:c r="F296" s="22" t="n">
        <x:v>15</x:v>
      </x:c>
      <x:c r="G296" s="17" t="str">
        <x:v>arXiv:2101.03715</x:v>
      </x:c>
      <x:c r="H296" s="27" t="str">
        <x:v>Strengthened Fault Tolerance in Byzantine Fault Tolerant Replication</x:v>
      </x:c>
      <x:c r="I296" s="17" t="str">
        <x:v>Zhuolun Xiang; Dahlia Malkhi; Kartik Nayak; Ling Ren</x:v>
      </x:c>
      <x:c r="J296" s="22" t="n">
        <x:v>2021</x:v>
      </x:c>
      <x:c r="K296" s="27" t="str">
        <x:v>Byzantine fault tolerant (BFT) state machine replication (SMR) is an important building block for constructing permissioned blockchain systems. In contrast to Nakamoto Consensus where any block obtains higher assurance as buried deeper in the blockchain, in BFT SMR, any committed block is secure has a fixed resilience threshold. In this paper, we investigate strengthened fault tolerance (SFT) in BFT SMR under partial synchrony, which provides gradually increased resilience guarantees (like Nakamoto Consensus) during an optimistic period when the network is synchronous and the number of Byzantine faults is small. Moreover, the committed blocks can tolerate more than one-third (up to two-thirds) corruptions even after the optimistic period. Compared to the prior best solution Flexible BFT which requires quadratic message complexity, our solution maintains the linear message complexity of state-of-the-art BFT SMR protocols and requires only marginal bookkeeping overhead. We implement our solution over the open-source Diem project, and give experimental results that demonstrate its efficiency under real-world scenarios.</x:v>
      </x:c>
      <x:c r="L296" s="17" t="str">
        <x:v>http://arxiv.org/abs/2101.03715v1</x:v>
      </x:c>
      <x:c r="M296" s="23" t="n">
        <x:v>0.015625</x:v>
      </x:c>
      <x:c r="N296" s="17" t="str">
        <x:v>arxiv-paper-eval-20260727-105551-results.jsonl</x:v>
      </x:c>
      <x:c r="O296" s="24" t="str">
        <x:v>1</x:v>
      </x:c>
      <x:c r="P296" s="28" t="str">
        <x:v>主要研究渐进增强容错保证，并非通信或延迟优化。</x:v>
      </x:c>
      <x:c r="Q296" s="25" t="str"/>
      <x:c r="R296" s="24" t="str">
        <x:f>IF(Q296&lt;&gt;"",Q296,O296)</x:f>
        <x:v>1</x:v>
      </x:c>
      <x:c r="S296" s="29" t="str"/>
    </x:row>
    <x:row r="297" ht="54" customHeight="1">
      <x:c r="A297" s="17" t="str">
        <x:v>csq015-r16</x:v>
      </x:c>
      <x:c r="B297" s="17" t="str">
        <x:v>csq015</x:v>
      </x:c>
      <x:c r="C297" s="17" t="str">
        <x:v>systems_and_networking</x:v>
      </x:c>
      <x:c r="D297" s="17" t="str">
        <x:v>distributed_consensus</x:v>
      </x:c>
      <x:c r="E297" s="27" t="str">
        <x:v>What are the main approaches for reducing communication and latency costs in Byzantine fault-tolerant consensus protocols?</x:v>
      </x:c>
      <x:c r="F297" s="22" t="n">
        <x:v>16</x:v>
      </x:c>
      <x:c r="G297" s="17" t="str">
        <x:v>arXiv:2107.13047</x:v>
      </x:c>
      <x:c r="H297" s="27" t="str">
        <x:v>RingBFT: Resilient Consensus over Sharded Ring Topology</x:v>
      </x:c>
      <x:c r="I297" s="17" t="str">
        <x:v>Sajjad Rahnama; Suyash Gupta; Rohan Sogani; Dhruv Krishnan; Mohammad Sadoghi</x:v>
      </x:c>
      <x:c r="J297" s="22" t="n">
        <x:v>2021</x:v>
      </x:c>
      <x:c r="K297" s="27" t="str">
        <x:v>The recent surge in federated data management applications has brought forth concerns about the security of underlying data and the consistency of replicas in the presence of malicious attacks. A prominent solution in this direction is to employ a permissioned blockchain framework that is modeled around traditional Byzantine Fault-Tolerant (BFT) consensus protocols. Any federated application expects its data to be globally scattered to achieve faster access. But, prior works have shown that traditional BFT protocols are slow. This has led to the rise of sharded-replicated blockchains. Existing BFT protocols for these sharded blockchains are efficient if client transactions require access to a single-shard, but face performance degradation if there is a cross-shard transaction that requires access to multiple shards. As cross-shard transactions are common, to resolve this dilemma, we present RingBFT, a novel meta-BFT protocol for sharded blockchains. RingBFT requires shards to adhere to the ring order, and follow the principle of process, forward, and re-transmit while ensuring the communication between shards is linear. Our evaluation of RingBFT against state-of-the-art sharding BFT protocols illustrates that RingBFT achieves up to 18x higher throughput, gracefully scales to nearly 500 globally distributed nodes, and achieves a peak throughput of 1.2 million transactions per second.</x:v>
      </x:c>
      <x:c r="L297" s="17" t="str">
        <x:v>http://arxiv.org/abs/2107.13047v2</x:v>
      </x:c>
      <x:c r="M297" s="23" t="n">
        <x:v>0.015625</x:v>
      </x:c>
      <x:c r="N297" s="17" t="str">
        <x:v>arxiv-paper-eval-20260727-105551-results.jsonl</x:v>
      </x:c>
      <x:c r="O297" s="24" t="str">
        <x:v>2</x:v>
      </x:c>
      <x:c r="P297" s="28" t="str">
        <x:v>以分片环拓扑提升BFT共识速度与扩展性。</x:v>
      </x:c>
      <x:c r="Q297" s="25" t="str"/>
      <x:c r="R297" s="24" t="str">
        <x:f>IF(Q297&lt;&gt;"",Q297,O297)</x:f>
        <x:v>2</x:v>
      </x:c>
      <x:c r="S297" s="29" t="str"/>
    </x:row>
    <x:row r="298" ht="54" customHeight="1">
      <x:c r="A298" s="17" t="str">
        <x:v>csq015-r17</x:v>
      </x:c>
      <x:c r="B298" s="17" t="str">
        <x:v>csq015</x:v>
      </x:c>
      <x:c r="C298" s="17" t="str">
        <x:v>systems_and_networking</x:v>
      </x:c>
      <x:c r="D298" s="17" t="str">
        <x:v>distributed_consensus</x:v>
      </x:c>
      <x:c r="E298" s="27" t="str">
        <x:v>What are the main approaches for reducing communication and latency costs in Byzantine fault-tolerant consensus protocols?</x:v>
      </x:c>
      <x:c r="F298" s="22" t="n">
        <x:v>17</x:v>
      </x:c>
      <x:c r="G298" s="17" t="str">
        <x:v>arXiv:2411.10680</x:v>
      </x:c>
      <x:c r="H298" s="27" t="str">
        <x:v>Two-layer consensus based on master-slave consortium chain data sharing for Internet of Vehicles</x:v>
      </x:c>
      <x:c r="I298" s="17" t="str">
        <x:v>Feng Zhao; Benchang Yang; Chunhai Li; Chuan Zhang; Liehuang Zhu; Guoling Liang</x:v>
      </x:c>
      <x:c r="J298" s="22" t="n">
        <x:v>2024</x:v>
      </x:c>
      <x:c r="K298" s="27" t="str">
        <x:v>Due to insufficient scalability, the existing consortium chain cannot meet the requirements of low latency, high throughput, and high security when applied to Internet of Vehicles (IoV) data sharing. Therefore, we propose a two-layer consensus algorithm based on the master-slave consortium chain - Weighted Raft and Byzantine Fault Tolerance (WRBFT). The intra-group consensus of the WRBFT algorithm adopts weighted Raft, and the best node is selected as the master node to lead the intra-group consensus by comprehensively evaluating the signal-to-noise ratio (SNR), data processing capacity and storage capacity of the nodes. The inter-group consensus adopts practical Byzantine fault tolerance (PBFT) based on BLS aggregate signature with nonlinear coefficients to ensure that the inter-group consensus can tolerate 1/3 of Byzantine nodes. At the same time, the verifiable random function (VRF) is used to select the master node of the inter-group consensus to ensure the randomness of the master node. A large number of experimental results show that the proposed WRBFT algorithm reduces delay, and improves throughput and system security.</x:v>
      </x:c>
      <x:c r="L298" s="17" t="str">
        <x:v>http://arxiv.org/abs/2411.10680v1</x:v>
      </x:c>
      <x:c r="M298" s="23" t="n">
        <x:v>0.015384615384615385</x:v>
      </x:c>
      <x:c r="N298" s="17" t="str">
        <x:v>arxiv-paper-eval-20260727-105551-results.jsonl</x:v>
      </x:c>
      <x:c r="O298" s="24" t="str">
        <x:v>2</x:v>
      </x:c>
      <x:c r="P298" s="28" t="str">
        <x:v>两层共识直接面向低延迟、高吞吐需求。</x:v>
      </x:c>
      <x:c r="Q298" s="25" t="str"/>
      <x:c r="R298" s="24" t="str">
        <x:f>IF(Q298&lt;&gt;"",Q298,O298)</x:f>
        <x:v>2</x:v>
      </x:c>
      <x:c r="S298" s="29" t="str"/>
    </x:row>
    <x:row r="299" ht="54" customHeight="1">
      <x:c r="A299" s="17" t="str">
        <x:v>csq015-r18</x:v>
      </x:c>
      <x:c r="B299" s="17" t="str">
        <x:v>csq015</x:v>
      </x:c>
      <x:c r="C299" s="17" t="str">
        <x:v>systems_and_networking</x:v>
      </x:c>
      <x:c r="D299" s="17" t="str">
        <x:v>distributed_consensus</x:v>
      </x:c>
      <x:c r="E299" s="27" t="str">
        <x:v>What are the main approaches for reducing communication and latency costs in Byzantine fault-tolerant consensus protocols?</x:v>
      </x:c>
      <x:c r="F299" s="22" t="n">
        <x:v>18</x:v>
      </x:c>
      <x:c r="G299" s="17" t="str">
        <x:v>arXiv:2205.06384</x:v>
      </x:c>
      <x:c r="H299" s="27" t="str">
        <x:v>Cob: a consensus layer enabling sustainable sharding-based consensus protocols</x:v>
      </x:c>
      <x:c r="I299" s="17" t="str">
        <x:v>Andrea Flamini; Riccardo Longo; Alessio Meneghetti</x:v>
      </x:c>
      <x:c r="J299" s="22" t="n">
        <x:v>2022</x:v>
      </x:c>
      <x:c r="K299" s="27" t="str">
        <x:v>In this paper we explore a context of application of Cob, a recently introduced Byzantine Fault Tolerant consensus protocol. Cob proves to be a leaderless consensus protocol which carries out the consensus process in parallel on each component of a list of events to be observed and recorded. We show how Cob can be used to define a consensus layer for scalable and sustainable blockchains. This layer is used to design consensus protocols based on sharding as a mean to achieve scalability, and on the fragmentation of time in time-slots (which get assigned to nodes that are instructed to create new blocks) as a mean to reduce the amount of computation and communication necessary for the maintenance of the distributed ledger. We explain why Cob is a viable candidate to implement such consensus layer through the introduction of an auxiliary blockchain that we name Synchronization Chain.</x:v>
      </x:c>
      <x:c r="L299" s="17" t="str">
        <x:v>http://arxiv.org/abs/2205.06384v1</x:v>
      </x:c>
      <x:c r="M299" s="23" t="n">
        <x:v>0.015384615384615385</x:v>
      </x:c>
      <x:c r="N299" s="17" t="str">
        <x:v>arxiv-paper-eval-20260727-105551-results.jsonl</x:v>
      </x:c>
      <x:c r="O299" s="24" t="str">
        <x:v>2</x:v>
      </x:c>
      <x:c r="P299" s="28" t="str">
        <x:v>并行无领导共识和分片直接降低计算与扩展成本。</x:v>
      </x:c>
      <x:c r="Q299" s="25" t="str"/>
      <x:c r="R299" s="24" t="str">
        <x:f>IF(Q299&lt;&gt;"",Q299,O299)</x:f>
        <x:v>2</x:v>
      </x:c>
      <x:c r="S299" s="29" t="str"/>
    </x:row>
    <x:row r="300" ht="54" customHeight="1">
      <x:c r="A300" s="17" t="str">
        <x:v>csq015-r19</x:v>
      </x:c>
      <x:c r="B300" s="17" t="str">
        <x:v>csq015</x:v>
      </x:c>
      <x:c r="C300" s="17" t="str">
        <x:v>systems_and_networking</x:v>
      </x:c>
      <x:c r="D300" s="17" t="str">
        <x:v>distributed_consensus</x:v>
      </x:c>
      <x:c r="E300" s="27" t="str">
        <x:v>What are the main approaches for reducing communication and latency costs in Byzantine fault-tolerant consensus protocols?</x:v>
      </x:c>
      <x:c r="F300" s="22" t="n">
        <x:v>19</x:v>
      </x:c>
      <x:c r="G300" s="17" t="str">
        <x:v>arXiv:1906.04381</x:v>
      </x:c>
      <x:c r="H300" s="27" t="str">
        <x:v>Window Based BFT Blockchain Consensus</x:v>
      </x:c>
      <x:c r="I300" s="17" t="str">
        <x:v>Mohammad M. Jalalzai; Costas Busch</x:v>
      </x:c>
      <x:c r="J300" s="22" t="n">
        <x:v>2019</x:v>
      </x:c>
      <x:c r="K300" s="27" t="str">
        <x:v>There is surge of interest to the blockchain technology not only in the scientific community but in the business community as well. Proof of Work (PoW) and Byzantine Fault Tolerant (BFT) are the two main classes of consensus protocols that are used in the blockchain consensus layer. PoW is highly scalable but very slow with about 7 (transactions/second) performance. BFT based protocols are highly efficient but their scalability are limited to only tens of nodes. One of the main reasons for the BFT limitation is the quadratic $O(n^2)$ communication complexity of BFT based protocols for $n$ nodes that requires $n \times n$ broadcasting. In this paper, we present the {\em Musch} protocol which is BFT based and provides communication complexity $O(f n + n)$ for $f$ failures and $n$ nodes, where $f &lt; n/3$, without compromising the latency. Hence, the performance adjusts to $f$ such that for constant $f$ the communication complexity is linear. Musch achieves this by introducing the notion of exponentially increasing windows of nodes to which complains are reported, instead of broadcasting to all the nodes. To our knowledge, this is the first BFT-based blockchain protocol which efficiently addresses simultaneously the issues of communication complexity and latency under the presence of failures.</x:v>
      </x:c>
      <x:c r="L300" s="17" t="str">
        <x:v>http://arxiv.org/abs/1906.04381v1</x:v>
      </x:c>
      <x:c r="M300" s="23" t="n">
        <x:v>0.015384615384615385</x:v>
      </x:c>
      <x:c r="N300" s="17" t="str">
        <x:v>arxiv-paper-eval-20260727-105551-results.jsonl</x:v>
      </x:c>
      <x:c r="O300" s="24" t="str">
        <x:v>2</x:v>
      </x:c>
      <x:c r="P300" s="28" t="str">
        <x:v>窗口式BFT直接针对二次广播复杂度。</x:v>
      </x:c>
      <x:c r="Q300" s="25" t="str"/>
      <x:c r="R300" s="24" t="str">
        <x:f>IF(Q300&lt;&gt;"",Q300,O300)</x:f>
        <x:v>2</x:v>
      </x:c>
      <x:c r="S300" s="29" t="str"/>
    </x:row>
    <x:row r="301" ht="54" customHeight="1">
      <x:c r="A301" s="17" t="str">
        <x:v>csq015-r20</x:v>
      </x:c>
      <x:c r="B301" s="17" t="str">
        <x:v>csq015</x:v>
      </x:c>
      <x:c r="C301" s="17" t="str">
        <x:v>systems_and_networking</x:v>
      </x:c>
      <x:c r="D301" s="17" t="str">
        <x:v>distributed_consensus</x:v>
      </x:c>
      <x:c r="E301" s="27" t="str">
        <x:v>What are the main approaches for reducing communication and latency costs in Byzantine fault-tolerant consensus protocols?</x:v>
      </x:c>
      <x:c r="F301" s="22" t="n">
        <x:v>20</x:v>
      </x:c>
      <x:c r="G301" s="17" t="str">
        <x:v>arXiv:2509.01118</x:v>
      </x:c>
      <x:c r="H301" s="27" t="str">
        <x:v>Ocior: Ultra-Fast Asynchronous Leaderless Consensus with Two-Round Finality, Linear Overhead, and Adaptive Security</x:v>
      </x:c>
      <x:c r="I301" s="17" t="str">
        <x:v>Jinyuan Chen</x:v>
      </x:c>
      <x:c r="J301" s="22" t="n">
        <x:v>2025</x:v>
      </x:c>
      <x:c r="K301" s="27" t="str">
        <x:v>In this work, we propose Ocior, a practical asynchronous Byzantine fault-tolerant (BFT) consensus protocol that achieves the optimal performance in resilience, communication, computation, and round complexity. Unlike traditional BFT consensus protocols, Ocior processes incoming transactions individually and concurrently using parallel instances of consensus. While leader-based consensus protocols rely on a designated leader to propose transactions, Ocior is a leaderless consensus protocol that guarantees stable liveness. Ocior achieves: 1) Optimal resilience: Ocior tolerates up to $t$ faulty nodes controlled by an adaptive adversary, for $n\geq 3t+1$. 2) Optimal communication complexity: The total expected communication per transaction is $O(n)$. 3) Optimal (or near-optimal) computation complexity: The total computation per transaction is $O(n)$ in the best case, or $O(n \log^2 n)$ in the worst case. 4) Optimal round complexity: A legitimate two-party transaction can be finalized with a good-case latency of two asynchronous rounds, for any $n\geq 3t+1$. The good case in terms of latency refers to the scenario where the transaction is proposed by any (not necessarily designated) honest node. A two-party transaction involves the transfer of digital assets from one user (or group of users) to one or more recipients. To support efficient consensus, we introduce a novel non-interactive threshold signature (TS) scheme called OciorBLSts. It offers fast signature aggregation, and is adaptively secure. OciorBLSts achieves a computation complexity of signature aggregation of only $O(n)$ in the good cases. Moreover, OciorBLSts supports the property of Instantaneous TS Aggregation. This enables real-time aggregation of partial signatures as they arrive, reducing waiting time and improving responsiveness.</x:v>
      </x:c>
      <x:c r="L301" s="17" t="str">
        <x:v>http://arxiv.org/abs/2509.01118v2</x:v>
      </x:c>
      <x:c r="M301" s="23" t="n">
        <x:v>0.015151515151515152</x:v>
      </x:c>
      <x:c r="N301" s="17" t="str">
        <x:v>arxiv-paper-eval-20260727-105551-results.jsonl</x:v>
      </x:c>
      <x:c r="O301" s="24" t="str">
        <x:v>2</x:v>
      </x:c>
      <x:c r="P301" s="28" t="str">
        <x:v>两轮终局和线性开销直接覆盖延迟与通信优化。</x:v>
      </x:c>
      <x:c r="Q301" s="25" t="str"/>
      <x:c r="R301" s="24" t="str">
        <x:f>IF(Q301&lt;&gt;"",Q301,O301)</x:f>
        <x:v>2</x:v>
      </x:c>
      <x:c r="S301" s="29" t="str"/>
    </x:row>
    <x:row r="302" ht="54" customHeight="1">
      <x:c r="A302" s="17" t="str">
        <x:v>csq016-r01</x:v>
      </x:c>
      <x:c r="B302" s="17" t="str">
        <x:v>csq016</x:v>
      </x:c>
      <x:c r="C302" s="17" t="str">
        <x:v>systems_and_networking</x:v>
      </x:c>
      <x:c r="D302" s="17" t="str">
        <x:v>serverless_computing</x:v>
      </x:c>
      <x:c r="E302" s="27" t="str">
        <x:v>How do research systems mitigate cold starts in serverless computing, and how do prewarming, snapshotting, and prediction-based approaches compare?</x:v>
      </x:c>
      <x:c r="F302" s="22" t="n">
        <x:v>1</x:v>
      </x:c>
      <x:c r="G302" s="17" t="str">
        <x:v>arXiv:2105.13894</x:v>
      </x:c>
      <x:c r="H302" s="27" t="str">
        <x:v>Performance Evaluation of Snapshot Methods to Warm the Serverless Cold Start</x:v>
      </x:c>
      <x:c r="I302" s="17" t="str">
        <x:v>Paulo Silva; Thiago Emmanuel Pereira</x:v>
      </x:c>
      <x:c r="J302" s="22" t="n">
        <x:v>2021</x:v>
      </x:c>
      <x:c r="K302" s="27" t="str">
        <x:v>The serverless computing model strengthens the cloud computing tendency to abstract resource management. Serverless platforms are responsible for deploying and scaling the developer's applications. Serverless also incorporated the pay-as-you-go billing model, which only considers the time spent processing client requests. Such a decision created a natural incentive for improving the platform's efficient resource usage. This search for efficiency can lead to the cold start problem, which represents a delay to execute serverless applications. Among the solutions proposed to deal with the cold start, those based on the snapshot method stand out. Despite the rich exploration of the technique, there is a lack of research that evaluates the solution's trade-offs. In this direction, this work compares two solutions to mitigate the cold start: Prebaking and SEUSS. We analyzed the solution's performance with functions of different levels of complexity: NoOp, a function that renders Markdown to HTML, and a function that loads 41 MB of dependencies. Preliminary results indicated that Prebaking showed a 33% and 25% superior performance to startup the NoOp and Markdown functions, respectively. Further analysis also revealed that Prebaking's warmup mechanism reduced the Markdown first request processing time by 69%.</x:v>
      </x:c>
      <x:c r="L302" s="17" t="str">
        <x:v>http://arxiv.org/abs/2105.13894v1</x:v>
      </x:c>
      <x:c r="M302" s="23" t="n">
        <x:v>0.047492767598842814</x:v>
      </x:c>
      <x:c r="N302" s="17" t="str">
        <x:v>arxiv-paper-eval-20260727-105551-results.jsonl</x:v>
      </x:c>
      <x:c r="O302" s="24" t="str">
        <x:v>2</x:v>
      </x:c>
      <x:c r="P302" s="28" t="str">
        <x:v>直接评测多种快照方法对冷启动的改善。</x:v>
      </x:c>
      <x:c r="Q302" s="25" t="str"/>
      <x:c r="R302" s="24" t="str">
        <x:f>IF(Q302&lt;&gt;"",Q302,O302)</x:f>
        <x:v>2</x:v>
      </x:c>
      <x:c r="S302" s="29" t="str"/>
    </x:row>
    <x:row r="303" ht="54" customHeight="1">
      <x:c r="A303" s="17" t="str">
        <x:v>csq016-r02</x:v>
      </x:c>
      <x:c r="B303" s="17" t="str">
        <x:v>csq016</x:v>
      </x:c>
      <x:c r="C303" s="17" t="str">
        <x:v>systems_and_networking</x:v>
      </x:c>
      <x:c r="D303" s="17" t="str">
        <x:v>serverless_computing</x:v>
      </x:c>
      <x:c r="E303" s="27" t="str">
        <x:v>How do research systems mitigate cold starts in serverless computing, and how do prewarming, snapshotting, and prediction-based approaches compare?</x:v>
      </x:c>
      <x:c r="F303" s="22" t="n">
        <x:v>2</x:v>
      </x:c>
      <x:c r="G303" s="17" t="str">
        <x:v>arXiv:2109.13319</x:v>
      </x:c>
      <x:c r="H303" s="27" t="str">
        <x:v>How Low Can You Go? Practical cold-start performance limits in FaaS</x:v>
      </x:c>
      <x:c r="I303" s="17" t="str">
        <x:v>Yue Tan; David Liu; Nanqinqin Li; Amit Levy</x:v>
      </x:c>
      <x:c r="J303" s="22" t="n">
        <x:v>2021</x:v>
      </x:c>
      <x:c r="K303" s="27" t="str">
        <x:v>Function-as-a-Service (FaaS) has recently emerged as a new cloud computing paradigm. It promises high utilization of data center resources through allocating resources on demand at per-function request granularity. High cold-start overheads, however, have been limiting FaaS systems' such potential. Prior work has recognized that time redundancy exists across different cold function invocations and has proposed varied snapshots that capture the instantaneous execution state so allow for jump-starts through restoration. However, it remains unclear what the cold-start performance limits are as the previous snapshots employ different techniques and aredesigned for different environments. In this paper, we summarize these snapshots from a taxonomic perspective andpresent a model that depicts the cold-start performance fromfirst principles. To approximate the performance limits, we propose a snapshot design SnapFaaS. We evaluate SnapFaaS using real-world FaaS functions. Our empirical results prove SnapFaaS' efficiency. It is 2-10x as fast as prior work for most functions and achieves near-optimal cold-start performance.</x:v>
      </x:c>
      <x:c r="L303" s="17" t="str">
        <x:v>http://arxiv.org/abs/2109.13319v1</x:v>
      </x:c>
      <x:c r="M303" s="23" t="n">
        <x:v>0.04670793048402157</x:v>
      </x:c>
      <x:c r="N303" s="17" t="str">
        <x:v>arxiv-paper-eval-20260727-105551-results.jsonl</x:v>
      </x:c>
      <x:c r="O303" s="24" t="str">
        <x:v>2</x:v>
      </x:c>
      <x:c r="P303" s="28" t="str">
        <x:v>系统分析不同快照技术的冷启动性能极限。</x:v>
      </x:c>
      <x:c r="Q303" s="25" t="str"/>
      <x:c r="R303" s="24" t="str">
        <x:f>IF(Q303&lt;&gt;"",Q303,O303)</x:f>
        <x:v>2</x:v>
      </x:c>
      <x:c r="S303" s="29" t="str"/>
    </x:row>
    <x:row r="304" ht="54" customHeight="1">
      <x:c r="A304" s="17" t="str">
        <x:v>csq016-r03</x:v>
      </x:c>
      <x:c r="B304" s="17" t="str">
        <x:v>csq016</x:v>
      </x:c>
      <x:c r="C304" s="17" t="str">
        <x:v>systems_and_networking</x:v>
      </x:c>
      <x:c r="D304" s="17" t="str">
        <x:v>serverless_computing</x:v>
      </x:c>
      <x:c r="E304" s="27" t="str">
        <x:v>How do research systems mitigate cold starts in serverless computing, and how do prewarming, snapshotting, and prediction-based approaches compare?</x:v>
      </x:c>
      <x:c r="F304" s="22" t="n">
        <x:v>3</x:v>
      </x:c>
      <x:c r="G304" s="17" t="str">
        <x:v>arXiv:2508.07640</x:v>
      </x:c>
      <x:c r="H304" s="27" t="str">
        <x:v>Taming Cold Starts: Proactive Serverless Scheduling with Model Predictive Control</x:v>
      </x:c>
      <x:c r="I304" s="17" t="str">
        <x:v>Chanh Nguyen; Monowar Bhuyan; Erik Elmroth</x:v>
      </x:c>
      <x:c r="J304" s="22" t="n">
        <x:v>2025</x:v>
      </x:c>
      <x:c r="K304" s="27" t="str">
        <x:v>Serverless computing has transformed cloud application deployment by introducing a fine-grained, event-driven execution model that abstracts away infrastructure management. Its on-demand nature makes it especially appealing for latency-sensitive and bursty workloads. However, the cold start problem, i.e., where the platform incurs significant delay when provisioning new containers, remains the Achilles' heel of such platforms. This paper presents a predictive serverless scheduling framework based on Model Predictive Control to proactively mitigate cold starts, thereby improving end-to-end response time. By forecasting future invocations, the controller jointly optimizes container prewarming and request dispatching, improving latency while minimizing resource overhead. We implement our approach on Apache OpenWhisk, deployed on a Kubernetes-based testbed. Experimental results using real-world function traces and synthetic workloads demonstrate that our method significantly outperforms state-of-the-art baselines, achieving up to 85% lower tail latency and a 34% reduction in resource usage.</x:v>
      </x:c>
      <x:c r="L304" s="17" t="str">
        <x:v>http://arxiv.org/abs/2508.07640v2</x:v>
      </x:c>
      <x:c r="M304" s="23" t="n">
        <x:v>0.032018442622950824</x:v>
      </x:c>
      <x:c r="N304" s="17" t="str">
        <x:v>arxiv-paper-eval-20260727-105551-results.jsonl</x:v>
      </x:c>
      <x:c r="O304" s="24" t="str">
        <x:v>2</x:v>
      </x:c>
      <x:c r="P304" s="28" t="str">
        <x:v>以预测控制预调度和预热主动缓解冷启动。</x:v>
      </x:c>
      <x:c r="Q304" s="25" t="str"/>
      <x:c r="R304" s="24" t="str">
        <x:f>IF(Q304&lt;&gt;"",Q304,O304)</x:f>
        <x:v>2</x:v>
      </x:c>
      <x:c r="S304" s="29" t="str"/>
    </x:row>
    <x:row r="305" ht="54" customHeight="1">
      <x:c r="A305" s="17" t="str">
        <x:v>csq016-r04</x:v>
      </x:c>
      <x:c r="B305" s="17" t="str">
        <x:v>csq016</x:v>
      </x:c>
      <x:c r="C305" s="17" t="str">
        <x:v>systems_and_networking</x:v>
      </x:c>
      <x:c r="D305" s="17" t="str">
        <x:v>serverless_computing</x:v>
      </x:c>
      <x:c r="E305" s="27" t="str">
        <x:v>How do research systems mitigate cold starts in serverless computing, and how do prewarming, snapshotting, and prediction-based approaches compare?</x:v>
      </x:c>
      <x:c r="F305" s="22" t="n">
        <x:v>4</x:v>
      </x:c>
      <x:c r="G305" s="17" t="str">
        <x:v>arXiv:2101.09355</x:v>
      </x:c>
      <x:c r="H305" s="27" t="str">
        <x:v>Benchmarking, Analysis, and Optimization of Serverless Function Snapshots</x:v>
      </x:c>
      <x:c r="I305" s="17" t="str">
        <x:v>Dmitrii Ustiugov; Plamen Petrov; Marios Kogias; Edouard Bugnion; Boris Grot</x:v>
      </x:c>
      <x:c r="J305" s="22" t="n">
        <x:v>2021</x:v>
      </x:c>
      <x:c r="K305" s="27" t="str">
        <x:v>Serverless computing has seen rapid adoption due to its high scalability and flexible, pay-as-you-go billing model. In serverless, developers structure their services as a collection of functions, sporadically invoked by various events like clicks. High inter-arrival time variability of function invocations motivates the providers to start new function instances upon each invocation, leading to significant cold-start delays that degrade user experience. To reduce cold-start latency, the industry has turned to snapshotting, whereby an image of a fully-booted function is stored on disk, enabling a faster invocation compared to booting a function from scratch. This work introduces vHive, an open-source framework for serverless experimentation with the goal of enabling researchers to study and innovate across the entire serverless stack. Using vHive, we characterize a state-of-the-art snapshot-based serverless infrastructure, based on industry-leading Containerd orchestration framework and Firecracker hypervisor technologies. We find that the execution time of a function started from a snapshot is 95% higher, on average, than when the same function is memory-resident. We show that the high latency is attributable to frequent page faults as the function's state is brought from disk into guest memory one page at a time. Our analysis further reveals that functions access the same stable working set of pages across different invocations of the same function. By leveraging this insight, we build REAP, a light-weight software mechanism for serverless hosts that records functions' stable working set of guest memory pages and proactively prefetches it from disk into memory. Compared to baseline snapshotting, REAP slashes the cold-start delays by 3.7x, on average.</x:v>
      </x:c>
      <x:c r="L305" s="17" t="str">
        <x:v>http://arxiv.org/abs/2101.09355v3</x:v>
      </x:c>
      <x:c r="M305" s="23" t="n">
        <x:v>0.03128054740957967</x:v>
      </x:c>
      <x:c r="N305" s="17" t="str">
        <x:v>arxiv-paper-eval-20260727-105551-results.jsonl</x:v>
      </x:c>
      <x:c r="O305" s="24" t="str">
        <x:v>2</x:v>
      </x:c>
      <x:c r="P305" s="28" t="str">
        <x:v>直接基准分析并优化无服务器函数快照。</x:v>
      </x:c>
      <x:c r="Q305" s="25" t="str"/>
      <x:c r="R305" s="24" t="str">
        <x:f>IF(Q305&lt;&gt;"",Q305,O305)</x:f>
        <x:v>2</x:v>
      </x:c>
      <x:c r="S305" s="29" t="str"/>
    </x:row>
    <x:row r="306" ht="54" customHeight="1">
      <x:c r="A306" s="17" t="str">
        <x:v>csq016-r05</x:v>
      </x:c>
      <x:c r="B306" s="17" t="str">
        <x:v>csq016</x:v>
      </x:c>
      <x:c r="C306" s="17" t="str">
        <x:v>systems_and_networking</x:v>
      </x:c>
      <x:c r="D306" s="17" t="str">
        <x:v>serverless_computing</x:v>
      </x:c>
      <x:c r="E306" s="27" t="str">
        <x:v>How do research systems mitigate cold starts in serverless computing, and how do prewarming, snapshotting, and prediction-based approaches compare?</x:v>
      </x:c>
      <x:c r="F306" s="22" t="n">
        <x:v>5</x:v>
      </x:c>
      <x:c r="G306" s="17" t="str">
        <x:v>arXiv:2409.00550</x:v>
      </x:c>
      <x:c r="H306" s="27" t="str">
        <x:v>CASA: A Framework for SLO and Carbon-Aware Autoscaling and Scheduling in Serverless Cloud Computing</x:v>
      </x:c>
      <x:c r="I306" s="17" t="str">
        <x:v>S. Qi; H. Moore; N. Hogade; D. Milojicic; C. Bash; S. Pasricha</x:v>
      </x:c>
      <x:c r="J306" s="22" t="n">
        <x:v>2024</x:v>
      </x:c>
      <x:c r="K306" s="27" t="str">
        <x:v>Serverless computing is an emerging cloud computing paradigm that can reduce costs for cloud providers and their customers. However, serverless cloud platforms have stringent performance requirements (due to the need to execute short duration functions in a timely manner) and a growing carbon footprint. Traditional carbon-reducing techniques such as shutting down idle containers can reduce performance by increasing cold-start latencies of containers required in the future. This can cause higher violation rates of service level objectives (SLOs). Conversely, traditional latency-reduction approaches of prewarming containers or keeping them alive when not in use can improve performance but increase the associated carbon footprint of the serverless cluster platform. To strike a balance between sustainability and performance, in this paper, we propose a novel carbon- and SLO-aware framework called CASA to schedule and autoscale containers in a serverless cloud computing cluster. Experimental results indicate that CASA reduces the operational carbon footprint of a FaaS cluster by up to 2.6x while also reducing the SLO violation rate by up to 1.4x compared to the state-of-the-art.</x:v>
      </x:c>
      <x:c r="L306" s="17" t="str">
        <x:v>http://arxiv.org/abs/2409.00550v1</x:v>
      </x:c>
      <x:c r="M306" s="23" t="n">
        <x:v>0.03057889822595705</x:v>
      </x:c>
      <x:c r="N306" s="17" t="str">
        <x:v>arxiv-paper-eval-20260727-105551-results.jsonl</x:v>
      </x:c>
      <x:c r="O306" s="24" t="str">
        <x:v>2</x:v>
      </x:c>
      <x:c r="P306" s="28" t="str">
        <x:v>比较预热容器的延迟、资源和碳排权衡。</x:v>
      </x:c>
      <x:c r="Q306" s="25" t="str"/>
      <x:c r="R306" s="24" t="str">
        <x:f>IF(Q306&lt;&gt;"",Q306,O306)</x:f>
        <x:v>2</x:v>
      </x:c>
      <x:c r="S306" s="29" t="str"/>
    </x:row>
    <x:row r="307" ht="54" customHeight="1">
      <x:c r="A307" s="17" t="str">
        <x:v>csq016-r06</x:v>
      </x:c>
      <x:c r="B307" s="17" t="str">
        <x:v>csq016</x:v>
      </x:c>
      <x:c r="C307" s="17" t="str">
        <x:v>systems_and_networking</x:v>
      </x:c>
      <x:c r="D307" s="17" t="str">
        <x:v>serverless_computing</x:v>
      </x:c>
      <x:c r="E307" s="27" t="str">
        <x:v>How do research systems mitigate cold starts in serverless computing, and how do prewarming, snapshotting, and prediction-based approaches compare?</x:v>
      </x:c>
      <x:c r="F307" s="22" t="n">
        <x:v>6</x:v>
      </x:c>
      <x:c r="G307" s="17" t="str">
        <x:v>arXiv:2102.08904</x:v>
      </x:c>
      <x:c r="H307" s="27" t="str">
        <x:v>SimFaaS: A Performance Simulator for Serverless Computing Platforms</x:v>
      </x:c>
      <x:c r="I307" s="17" t="str">
        <x:v>Nima Mahmoudi; Hamzeh Khazaei</x:v>
      </x:c>
      <x:c r="J307" s="22" t="n">
        <x:v>2021</x:v>
      </x:c>
      <x:c r="K307" s="27" t="str">
        <x:v>Developing accurate and extendable performance models for serverless platforms, aka Function-as-a-Service (FaaS) platforms, is a very challenging task. Also, implementation and experimentation on real serverless platforms is both costly and time-consuming. However, at the moment, there is no comprehensive simulation tool or framework to be used instead of the real platform. As a result, in this paper, we fill this gap by proposing a simulation platform, called SimFaaS, which assists serverless application developers to develop optimized Function-as-a-Service applications in terms of cost and performance. On the other hand, SimFaaS can be leveraged by FaaS providers to tailor their platforms to be workload-aware so that they can increase profit and quality of service at the same time. Also, serverless platform providers can evaluate new designs, implementations, and deployments on SimFaaS in a timely and cost-efficient manner. SimFaaS is open-source, well-documented, and publicly available, making it easily usable and extendable to incorporate more use case scenarios in the future. Besides, it provides performance engineers with a set of tools that can calculate several characteristics of serverless platform internal states, which is otherwise hard (mostly impossible) to extract from real platforms. We show how SimFaaS facilitates the prediction of essential performance metrics such as average response time, probability of cold start, and the average number of instances reflecting the infrastructure cost incurred by the serverless computing provider. We evaluate the accuracy and applicability of SimFaaS by comparing the prediction results with real-world traces from Amazon AWS Lambda.</x:v>
      </x:c>
      <x:c r="L307" s="17" t="str">
        <x:v>http://arxiv.org/abs/2102.08904v1</x:v>
      </x:c>
      <x:c r="M307" s="23" t="n">
        <x:v>0.03055037313432836</x:v>
      </x:c>
      <x:c r="N307" s="17" t="str">
        <x:v>arxiv-paper-eval-20260727-105551-results.jsonl</x:v>
      </x:c>
      <x:c r="O307" s="24" t="str">
        <x:v>1</x:v>
      </x:c>
      <x:c r="P307" s="28" t="str">
        <x:v>提供FaaS性能模拟工具，可支持冷启动策略评估。</x:v>
      </x:c>
      <x:c r="Q307" s="25" t="str"/>
      <x:c r="R307" s="24" t="str">
        <x:f>IF(Q307&lt;&gt;"",Q307,O307)</x:f>
        <x:v>1</x:v>
      </x:c>
      <x:c r="S307" s="29" t="str"/>
    </x:row>
    <x:row r="308" ht="54" customHeight="1">
      <x:c r="A308" s="17" t="str">
        <x:v>csq016-r07</x:v>
      </x:c>
      <x:c r="B308" s="17" t="str">
        <x:v>csq016</x:v>
      </x:c>
      <x:c r="C308" s="17" t="str">
        <x:v>systems_and_networking</x:v>
      </x:c>
      <x:c r="D308" s="17" t="str">
        <x:v>serverless_computing</x:v>
      </x:c>
      <x:c r="E308" s="27" t="str">
        <x:v>How do research systems mitigate cold starts in serverless computing, and how do prewarming, snapshotting, and prediction-based approaches compare?</x:v>
      </x:c>
      <x:c r="F308" s="22" t="n">
        <x:v>7</x:v>
      </x:c>
      <x:c r="G308" s="17" t="str">
        <x:v>arXiv:2206.15176</x:v>
      </x:c>
      <x:c r="H308" s="27" t="str">
        <x:v>A Time Series Forecasting Approach to Minimize Cold Start Time in Cloud-Serverless Platform</x:v>
      </x:c>
      <x:c r="I308" s="17" t="str">
        <x:v>Akash Puliyadi Jegannathan; Rounak Saha; Sourav Kanti Addya</x:v>
      </x:c>
      <x:c r="J308" s="22" t="n">
        <x:v>2022</x:v>
      </x:c>
      <x:c r="K308" s="27" t="str">
        <x:v>Serverless computing is a buzzword that is being used commonly in the world of technology and among developers and businesses. Using the Function-as-a-Service (FaaS) model of serverless, one can easily deploy their applications to the cloud and go live in a matter of days, it facilitates the developers to focus on their core business logic and the backend process such as managing the infrastructure, scaling of the application, updation of software and other dependencies is handled by the Cloud Service Provider. One of the features of serverless computing is ability to scale the containers to zero, which results in a problem called cold start. The challenging part is to reduce the cold start latency without the consumption of extra resources. In this paper, we use SARIMA (Seasonal Auto Regressive Integrated Moving Average), one of the classical time series forecasting models to predict the time at which the incoming request comes, and accordingly increase or decrease the amount of required containers to minimize the resource wastage, thus reducing the function launching time. Finally, we implement PBA (Prediction Based Autoscaler) and compare it with the default HPA (Horizontal Pod Autoscaler), which comes inbuilt with kubernetes. The results showed that PBA performs fairly better than the default HPA, while reducing the wastage of resources.</x:v>
      </x:c>
      <x:c r="L308" s="17" t="str">
        <x:v>http://arxiv.org/abs/2206.15176v1</x:v>
      </x:c>
      <x:c r="M308" s="23" t="n">
        <x:v>0.0304147465437788</x:v>
      </x:c>
      <x:c r="N308" s="17" t="str">
        <x:v>arxiv-paper-eval-20260727-105551-results.jsonl</x:v>
      </x:c>
      <x:c r="O308" s="24" t="str">
        <x:v>2</x:v>
      </x:c>
      <x:c r="P308" s="28" t="str">
        <x:v>以时间序列预测调用并减少冷启动。</x:v>
      </x:c>
      <x:c r="Q308" s="25" t="str"/>
      <x:c r="R308" s="24" t="str">
        <x:f>IF(Q308&lt;&gt;"",Q308,O308)</x:f>
        <x:v>2</x:v>
      </x:c>
      <x:c r="S308" s="29" t="str"/>
    </x:row>
    <x:row r="309" ht="54" customHeight="1">
      <x:c r="A309" s="17" t="str">
        <x:v>csq016-r08</x:v>
      </x:c>
      <x:c r="B309" s="17" t="str">
        <x:v>csq016</x:v>
      </x:c>
      <x:c r="C309" s="17" t="str">
        <x:v>systems_and_networking</x:v>
      </x:c>
      <x:c r="D309" s="17" t="str">
        <x:v>serverless_computing</x:v>
      </x:c>
      <x:c r="E309" s="27" t="str">
        <x:v>How do research systems mitigate cold starts in serverless computing, and how do prewarming, snapshotting, and prediction-based approaches compare?</x:v>
      </x:c>
      <x:c r="F309" s="22" t="n">
        <x:v>8</x:v>
      </x:c>
      <x:c r="G309" s="17" t="str">
        <x:v>arXiv:2304.00396</x:v>
      </x:c>
      <x:c r="H309" s="27" t="str">
        <x:v>Managing Cold-start in The Serverless Cloud with Temporal Convolutional Networks</x:v>
      </x:c>
      <x:c r="I309" s="17" t="str">
        <x:v>Tam N. Nguyen</x:v>
      </x:c>
      <x:c r="J309" s="22" t="n">
        <x:v>2023</x:v>
      </x:c>
      <x:c r="K309" s="27" t="str">
        <x:v>Serverless cloud is an innovative cloud service model that frees customers from most cloud management duties. It also offers the same advantages as other cloud models but at much lower costs. As a result, the serverless cloud has been increasingly employed in high-impact areas such as system security, banking, and health care. A big threat to the serverless cloud's performance is cold-start, which is when the time of provisioning the needed cloud resource to serve customers' requests incurs unacceptable costs to the service providers and/or the customers. This paper proposes a novel low-coupling, high-cohesion ensemble policy that addresses the cold-start problem at infrastructure- and function-levels of the serverless cloud stack, while the state of the art policies have a more narrowed focus. This ensemble policy anchors on the prediction of function instance arrivals, 10 to 15 minutes into the future. It is achievable by using the temporal convolutional network (TCN) deep-learning method. Bench-marking results on a real-world dataset from a large-scale serverless cloud provider show that TCN out-performs other popular machine learning algorithms for time series. Going beyond cold-start management, the proposed policy and publicly available codes can be adopted in solving other cloud problems such as optimizing the provisioning of virtual software-defined network assets.</x:v>
      </x:c>
      <x:c r="L309" s="17" t="str">
        <x:v>http://arxiv.org/abs/2304.00396v1</x:v>
      </x:c>
      <x:c r="M309" s="23" t="n">
        <x:v>0.02976190476190476</x:v>
      </x:c>
      <x:c r="N309" s="17" t="str">
        <x:v>arxiv-paper-eval-20260727-105551-results.jsonl</x:v>
      </x:c>
      <x:c r="O309" s="24" t="str">
        <x:v>2</x:v>
      </x:c>
      <x:c r="P309" s="28" t="str">
        <x:v>以时序卷积预测策略直接管理冷启动。</x:v>
      </x:c>
      <x:c r="Q309" s="25" t="str"/>
      <x:c r="R309" s="24" t="str">
        <x:f>IF(Q309&lt;&gt;"",Q309,O309)</x:f>
        <x:v>2</x:v>
      </x:c>
      <x:c r="S309" s="29" t="str"/>
    </x:row>
    <x:row r="310" ht="54" customHeight="1">
      <x:c r="A310" s="17" t="str">
        <x:v>csq016-r09</x:v>
      </x:c>
      <x:c r="B310" s="17" t="str">
        <x:v>csq016</x:v>
      </x:c>
      <x:c r="C310" s="17" t="str">
        <x:v>systems_and_networking</x:v>
      </x:c>
      <x:c r="D310" s="17" t="str">
        <x:v>serverless_computing</x:v>
      </x:c>
      <x:c r="E310" s="27" t="str">
        <x:v>How do research systems mitigate cold starts in serverless computing, and how do prewarming, snapshotting, and prediction-based approaches compare?</x:v>
      </x:c>
      <x:c r="F310" s="22" t="n">
        <x:v>9</x:v>
      </x:c>
      <x:c r="G310" s="17" t="str">
        <x:v>arXiv:2505.19880</x:v>
      </x:c>
      <x:c r="H310" s="27" t="str">
        <x:v>Universal Workers: A Vision for Eliminating Cold Starts in Serverless Computing</x:v>
      </x:c>
      <x:c r="I310" s="17" t="str">
        <x:v>Saman Akbari; Manfred Hauswirth</x:v>
      </x:c>
      <x:c r="J310" s="22" t="n">
        <x:v>2025</x:v>
      </x:c>
      <x:c r="K310" s="27" t="str">
        <x:v>Serverless computing enables developers to deploy code without managing infrastructure, but suffers from cold start overhead when initializing new function instances. Existing solutions such as "keep-alive" or "pre-warming" are costly and unreliable under bursty workloads. We propose universal workers, which are computational units capable of executing any function with minimal initialization overhead. Based on an analysis of production workload traces, our key insight is that requests in Function-as-a-Service (FaaS) platforms show a highly skewed distribution, with most requests invoking a small subset of functions. We exploit this observation to approximate universal workers through locality groups and three-tier caching (handler, install, import). With this work, we aim to enable more efficient and scalable FaaS platforms capable of handling diverse workloads with minimal initialization overhead.</x:v>
      </x:c>
      <x:c r="L310" s="17" t="str">
        <x:v>http://arxiv.org/abs/2505.19880v2</x:v>
      </x:c>
      <x:c r="M310" s="23" t="n">
        <x:v>0.029571646010002173</x:v>
      </x:c>
      <x:c r="N310" s="17" t="str">
        <x:v>arxiv-paper-eval-20260727-105551-results.jsonl</x:v>
      </x:c>
      <x:c r="O310" s="24" t="str">
        <x:v>2</x:v>
      </x:c>
      <x:c r="P310" s="28" t="str">
        <x:v>提出通用工作器并比较预热在突发负载下的局限。</x:v>
      </x:c>
      <x:c r="Q310" s="25" t="str"/>
      <x:c r="R310" s="24" t="str">
        <x:f>IF(Q310&lt;&gt;"",Q310,O310)</x:f>
        <x:v>2</x:v>
      </x:c>
      <x:c r="S310" s="29" t="str"/>
    </x:row>
    <x:row r="311" ht="54" customHeight="1">
      <x:c r="A311" s="17" t="str">
        <x:v>csq016-r10</x:v>
      </x:c>
      <x:c r="B311" s="17" t="str">
        <x:v>csq016</x:v>
      </x:c>
      <x:c r="C311" s="17" t="str">
        <x:v>systems_and_networking</x:v>
      </x:c>
      <x:c r="D311" s="17" t="str">
        <x:v>serverless_computing</x:v>
      </x:c>
      <x:c r="E311" s="27" t="str">
        <x:v>How do research systems mitigate cold starts in serverless computing, and how do prewarming, snapshotting, and prediction-based approaches compare?</x:v>
      </x:c>
      <x:c r="F311" s="22" t="n">
        <x:v>10</x:v>
      </x:c>
      <x:c r="G311" s="17" t="str">
        <x:v>arXiv:2504.06512</x:v>
      </x:c>
      <x:c r="H311" s="27" t="str">
        <x:v>ICPS: Real-Time Resource Configuration for Cloud Serverless Functions Considering Affinity</x:v>
      </x:c>
      <x:c r="I311" s="17" t="str">
        <x:v>Long Chen; Xinshuai Hua; Jinquan Zhang; Wenshuai Li; Xiaoping Li; Shijie Guo</x:v>
      </x:c>
      <x:c r="J311" s="22" t="n">
        <x:v>2025</x:v>
      </x:c>
      <x:c r="K311" s="27" t="str">
        <x:v>Serverless computing, with its operational simplicity and on-demand scalability, has become a preferred paradigm for deploying workflow applications. However, resource allocation for workflows, particularly those with branching structures, is complicated by cold starts and network delays between dependent functions, significantly degrading execution efficiency and response times. In this paper, we propose the Invocation Concurrency Prediction-Based Scaling (ICPS) algorithm to address these challenges. ICPS employs Long Short-Term Memory (LSTM) networks to predict function concurrency, dynamically pre-warming function instances, and an affinity-based deployment strategy to co-locate dependent functions on the same worker node, minimizing network latency. The experimental results demonstrate that ICPS consistently outperforms existing approaches in diverse scenarios. The results confirm ICPS as a robust and scalable solution for optimizing serverless workflow execution.</x:v>
      </x:c>
      <x:c r="L311" s="17" t="str">
        <x:v>http://arxiv.org/abs/2504.06512v1</x:v>
      </x:c>
      <x:c r="M311" s="23" t="n">
        <x:v>0.027598020555767037</x:v>
      </x:c>
      <x:c r="N311" s="17" t="str">
        <x:v>arxiv-paper-eval-20260727-105551-results.jsonl</x:v>
      </x:c>
      <x:c r="O311" s="24" t="str">
        <x:v>2</x:v>
      </x:c>
      <x:c r="P311" s="28" t="str">
        <x:v>LSTM预测并动态预热函数实例以降低冷启动。</x:v>
      </x:c>
      <x:c r="Q311" s="25" t="str"/>
      <x:c r="R311" s="24" t="str">
        <x:f>IF(Q311&lt;&gt;"",Q311,O311)</x:f>
        <x:v>2</x:v>
      </x:c>
      <x:c r="S311" s="29" t="str"/>
    </x:row>
    <x:row r="312" ht="54" customHeight="1">
      <x:c r="A312" s="17" t="str">
        <x:v>csq016-r11</x:v>
      </x:c>
      <x:c r="B312" s="17" t="str">
        <x:v>csq016</x:v>
      </x:c>
      <x:c r="C312" s="17" t="str">
        <x:v>systems_and_networking</x:v>
      </x:c>
      <x:c r="D312" s="17" t="str">
        <x:v>serverless_computing</x:v>
      </x:c>
      <x:c r="E312" s="27" t="str">
        <x:v>How do research systems mitigate cold starts in serverless computing, and how do prewarming, snapshotting, and prediction-based approaches compare?</x:v>
      </x:c>
      <x:c r="F312" s="22" t="n">
        <x:v>11</x:v>
      </x:c>
      <x:c r="G312" s="17" t="str">
        <x:v>arXiv:2205.11458</x:v>
      </x:c>
      <x:c r="H312" s="27" t="str">
        <x:v>Groundhog: Efficient Request Isolation in FaaS</x:v>
      </x:c>
      <x:c r="I312" s="17" t="str">
        <x:v>Mohamed Alzayat; Jonathan Mace; Peter Druschel; Deepak Garg</x:v>
      </x:c>
      <x:c r="J312" s="22" t="n">
        <x:v>2022</x:v>
      </x:c>
      <x:c r="K312" s="27" t="str">
        <x:v>Security is a core responsibility for Function-as-a-Service (FaaS) providers. The prevailing approach has each function execute in its own container to isolate concurrent executions of different functions. However, successive invocations of the same function commonly reuse the runtime state of a previous invocation in order to avoid container cold-start delays when invoking a function. Although efficient, this container reuse has security implications for functions that are invoked on behalf of differently privileged users or administrative domains: bugs in a function's implementation, third-party library, or the language runtime may leak private data from one invocation of the function to subsequent invocations of the same function. Groundhog isolates sequential invocations of a function by efficiently reverting to a clean state, free from any private data, after each invocation. The system exploits two properties of typical FaaS platforms: each container executes at most one function at a time and legitimate functions do not retain state across invocations. This enables Groundhog to efficiently snapshot and restore function state between invocations in a manner that is independent of the programming language/runtime and does not require any changes to existing functions, libraries, language runtimes, or OS kernels. We describe the design of Groundhog and its implementation in OpenWhisk, a popular production-grade open-source FaaS framework. On three existing benchmark suites, Groundhog isolates sequential invocations with modest overhead on end-to-end latency (median: 1.5%, 95p: 7%) and throughput (median: 2.5%, 95p: 49.6%), relative to an insecure baseline that reuses the container and runtime state.</x:v>
      </x:c>
      <x:c r="L312" s="17" t="str">
        <x:v>http://arxiv.org/abs/2205.11458v1</x:v>
      </x:c>
      <x:c r="M312" s="23" t="n">
        <x:v>0.02758751902587519</x:v>
      </x:c>
      <x:c r="N312" s="17" t="str">
        <x:v>arxiv-paper-eval-20260727-105551-results.jsonl</x:v>
      </x:c>
      <x:c r="O312" s="24" t="str">
        <x:v>2</x:v>
      </x:c>
      <x:c r="P312" s="28" t="str">
        <x:v>在请求隔离与运行时复用之间设计冷启动规避机制。</x:v>
      </x:c>
      <x:c r="Q312" s="25" t="str"/>
      <x:c r="R312" s="24" t="str">
        <x:f>IF(Q312&lt;&gt;"",Q312,O312)</x:f>
        <x:v>2</x:v>
      </x:c>
      <x:c r="S312" s="29" t="str"/>
    </x:row>
    <x:row r="313" ht="54" customHeight="1">
      <x:c r="A313" s="17" t="str">
        <x:v>csq016-r12</x:v>
      </x:c>
      <x:c r="B313" s="17" t="str">
        <x:v>csq016</x:v>
      </x:c>
      <x:c r="C313" s="17" t="str">
        <x:v>systems_and_networking</x:v>
      </x:c>
      <x:c r="D313" s="17" t="str">
        <x:v>serverless_computing</x:v>
      </x:c>
      <x:c r="E313" s="27" t="str">
        <x:v>How do research systems mitigate cold starts in serverless computing, and how do prewarming, snapshotting, and prediction-based approaches compare?</x:v>
      </x:c>
      <x:c r="F313" s="22" t="n">
        <x:v>12</x:v>
      </x:c>
      <x:c r="G313" s="17" t="str">
        <x:v>arXiv:2207.08175</x:v>
      </x:c>
      <x:c r="H313" s="27" t="str">
        <x:v>FaaSLight: General Application-Level Cold-Start Latency Optimization for Function-as-a-Service in Serverless Computing</x:v>
      </x:c>
      <x:c r="I313" s="17" t="str">
        <x:v>Xuanzhe Liu; Jinfeng Wen; Zhenpeng Chen; Ding Li; Junkai Chen; Yi Liu; Haoyu Wang; Xin Jin</x:v>
      </x:c>
      <x:c r="J313" s="22" t="n">
        <x:v>2022</x:v>
      </x:c>
      <x:c r="K313" s="27" t="str">
        <x:v>Serverless computing is a popular cloud computing paradigm that frees developers from server management. Function-as-a-Service (FaaS) is the most popular implementation of serverless computing, representing applications as event-driven and stateless functions. However, existing studies report that functions of FaaS applications severely suffer from cold-start latency. In this paper, we propose an approach namely FaaSLight to accelerating the cold start for FaaS applications through application-level optimization. We first conduct a measurement study to investigate the possible root cause of the cold start problem of FaaS. The result shows that application code loading latency is a significant overhead. Therefore, loading only indispensable code from FaaS applications can be an adequate solution. Based on this insight, we identify code related to application functionalities by constructing the function-level call graph, and separate other code (i.e., optional code) from FaaS applications. The separated optional code can be loaded on demand to avoid the inaccurate identification of indispensable code causing application failure. In particular, a key principle guiding the design of FaaSLight is inherently general, i.e., platform- and language-agnostic. The evaluation results on real-world FaaS applications show that FaaSLight can significantly reduce the code loading latency (up to 78.95%, 28.78% on average), thereby reducing the cold-start latency. As a result, the total response latency of functions can be decreased by up to 42.05% (19.21% on average). Compared with the state-of-the-art, FaaSLight achieves a 21.25X improvement in reducing the average total response latency.</x:v>
      </x:c>
      <x:c r="L313" s="17" t="str">
        <x:v>http://arxiv.org/abs/2207.08175v2</x:v>
      </x:c>
      <x:c r="M313" s="23" t="n">
        <x:v>0.01639344262295082</x:v>
      </x:c>
      <x:c r="N313" s="17" t="str">
        <x:v>arxiv-paper-eval-20260727-105551-results.jsonl</x:v>
      </x:c>
      <x:c r="O313" s="24" t="str">
        <x:v>2</x:v>
      </x:c>
      <x:c r="P313" s="28" t="str">
        <x:v>从应用级依赖优化直接加速FaaS冷启动。</x:v>
      </x:c>
      <x:c r="Q313" s="25" t="str"/>
      <x:c r="R313" s="24" t="str">
        <x:f>IF(Q313&lt;&gt;"",Q313,O313)</x:f>
        <x:v>2</x:v>
      </x:c>
      <x:c r="S313" s="29" t="str"/>
    </x:row>
    <x:row r="314" ht="54" customHeight="1">
      <x:c r="A314" s="17" t="str">
        <x:v>csq016-r13</x:v>
      </x:c>
      <x:c r="B314" s="17" t="str">
        <x:v>csq016</x:v>
      </x:c>
      <x:c r="C314" s="17" t="str">
        <x:v>systems_and_networking</x:v>
      </x:c>
      <x:c r="D314" s="17" t="str">
        <x:v>serverless_computing</x:v>
      </x:c>
      <x:c r="E314" s="27" t="str">
        <x:v>How do research systems mitigate cold starts in serverless computing, and how do prewarming, snapshotting, and prediction-based approaches compare?</x:v>
      </x:c>
      <x:c r="F314" s="22" t="n">
        <x:v>13</x:v>
      </x:c>
      <x:c r="G314" s="17" t="str">
        <x:v>arXiv:2504.11338</x:v>
      </x:c>
      <x:c r="H314" s="27" t="str">
        <x:v>Transformer-Based Model for Cold Start Mitigation in FaaS Architecture</x:v>
      </x:c>
      <x:c r="I314" s="17" t="str">
        <x:v>Alexandre Savi Fayam Mbala Mouen; Jerry Lacmou Zeutouo; Vianney Kengne Tchendji</x:v>
      </x:c>
      <x:c r="J314" s="22" t="n">
        <x:v>2025</x:v>
      </x:c>
      <x:c r="K314" s="27" t="str">
        <x:v>Serverless architectures, particularly the Function as a Service (FaaS) model, have become a cornerstone of modern cloud computing due to their ability to simplify resource management and enhance application deployment agility. However, a significant challenge remains: the cold start problem. This phenomenon occurs when an idle FaaS function is invoked, requiring a full initialization process, which increases latency and degrades user experience. Existing solutions for cold start mitigation are limited in terms of invocation pattern generalization and implementation complexity. In this study, we propose an innovative approach leveraging Transformer models to mitigate the impact of cold starts in FaaS architectures. Our solution excels in accurately modeling function initialization delays and optimizing serverless system performance. Experimental evaluation using a public dataset provided by Azure demonstrates a significant reduction in cold start times, reaching up to 79\% compared to conventional methods.</x:v>
      </x:c>
      <x:c r="L314" s="17" t="str">
        <x:v>http://arxiv.org/abs/2504.11338v1</x:v>
      </x:c>
      <x:c r="M314" s="23" t="n">
        <x:v>0.016129032258064516</x:v>
      </x:c>
      <x:c r="N314" s="17" t="str">
        <x:v>arxiv-paper-eval-20260727-105551-results.jsonl</x:v>
      </x:c>
      <x:c r="O314" s="24" t="str">
        <x:v>2</x:v>
      </x:c>
      <x:c r="P314" s="28" t="str">
        <x:v>以Transformer预测调用模式进行冷启动缓解。</x:v>
      </x:c>
      <x:c r="Q314" s="25" t="str"/>
      <x:c r="R314" s="24" t="str">
        <x:f>IF(Q314&lt;&gt;"",Q314,O314)</x:f>
        <x:v>2</x:v>
      </x:c>
      <x:c r="S314" s="29" t="str"/>
    </x:row>
    <x:row r="315" ht="54" customHeight="1">
      <x:c r="A315" s="17" t="str">
        <x:v>csq016-r14</x:v>
      </x:c>
      <x:c r="B315" s="17" t="str">
        <x:v>csq016</x:v>
      </x:c>
      <x:c r="C315" s="17" t="str">
        <x:v>systems_and_networking</x:v>
      </x:c>
      <x:c r="D315" s="17" t="str">
        <x:v>serverless_computing</x:v>
      </x:c>
      <x:c r="E315" s="27" t="str">
        <x:v>How do research systems mitigate cold starts in serverless computing, and how do prewarming, snapshotting, and prediction-based approaches compare?</x:v>
      </x:c>
      <x:c r="F315" s="22" t="n">
        <x:v>14</x:v>
      </x:c>
      <x:c r="G315" s="17" t="str">
        <x:v>arXiv:2502.15524</x:v>
      </x:c>
      <x:c r="H315" s="27" t="str">
        <x:v>HydraServe: Minimizing Cold Start Latency for Serverless LLM Serving in Public Clouds</x:v>
      </x:c>
      <x:c r="I315" s="17" t="str">
        <x:v>Chiheng Lou; Sheng Qi; Chao Jin; Dapeng Nie; Haoran Yang; Yu Ding; Xuanzhe Liu; Xin Jin</x:v>
      </x:c>
      <x:c r="J315" s="22" t="n">
        <x:v>2025</x:v>
      </x:c>
      <x:c r="K315" s="27" t="str">
        <x:v>With the proliferation of large language model (LLM) variants, developers are turning to serverless computing for cost-efficient LLM deployment. However, public cloud providers often struggle to provide performance guarantees for serverless LLM serving due to significant cold start latency caused by substantial model sizes and complex runtime dependencies. To address this problem, we present HydraServe, a serverless LLM serving system designed to minimize cold start latency in public clouds. HydraServe proactively distributes models across servers to quickly fetch them, and overlaps cold-start stages within workers to reduce startup latency. Additionally, HydraServe strategically places workers across GPUs to avoid network contention among cold-start instances. To minimize resource consumption during cold starts, HydraServe further introduces pipeline consolidation that can merge groups of workers into individual serving endpoints. Our comprehensive evaluations under diverse settings demonstrate that HydraServe reduces the cold start latency by 1.7$\times$-- 4.7$\times$ and improves service level objective attainment by 1.43$\times$--1.74$\times$ compared to baselines.</x:v>
      </x:c>
      <x:c r="L315" s="17" t="str">
        <x:v>http://arxiv.org/abs/2502.15524v2</x:v>
      </x:c>
      <x:c r="M315" s="23" t="n">
        <x:v>0.015625</x:v>
      </x:c>
      <x:c r="N315" s="17" t="str">
        <x:v>arxiv-paper-eval-20260727-105551-results.jsonl</x:v>
      </x:c>
      <x:c r="O315" s="24" t="str">
        <x:v>2</x:v>
      </x:c>
      <x:c r="P315" s="28" t="str">
        <x:v>为无服务器LLM提出模型预分发和阶段重叠。</x:v>
      </x:c>
      <x:c r="Q315" s="25" t="str"/>
      <x:c r="R315" s="24" t="str">
        <x:f>IF(Q315&lt;&gt;"",Q315,O315)</x:f>
        <x:v>2</x:v>
      </x:c>
      <x:c r="S315" s="29" t="str"/>
    </x:row>
    <x:row r="316" ht="54" customHeight="1">
      <x:c r="A316" s="17" t="str">
        <x:v>csq016-r15</x:v>
      </x:c>
      <x:c r="B316" s="17" t="str">
        <x:v>csq016</x:v>
      </x:c>
      <x:c r="C316" s="17" t="str">
        <x:v>systems_and_networking</x:v>
      </x:c>
      <x:c r="D316" s="17" t="str">
        <x:v>serverless_computing</x:v>
      </x:c>
      <x:c r="E316" s="27" t="str">
        <x:v>How do research systems mitigate cold starts in serverless computing, and how do prewarming, snapshotting, and prediction-based approaches compare?</x:v>
      </x:c>
      <x:c r="F316" s="22" t="n">
        <x:v>15</x:v>
      </x:c>
      <x:c r="G316" s="17" t="str">
        <x:v>arXiv:2512.20210</x:v>
      </x:c>
      <x:c r="H316" s="27" t="str">
        <x:v>Predictive-LoRA: A Proactive and Fragmentation-Aware Serverless Inference System for LLMs</x:v>
      </x:c>
      <x:c r="I316" s="17" t="str">
        <x:v>Yinan Ni; Xiao Yang; Yuqi Tang; Zhimin Qiu; Chen Wang; Tingzhou Yuan</x:v>
      </x:c>
      <x:c r="J316" s="22" t="n">
        <x:v>2025</x:v>
      </x:c>
      <x:c r="K316" s="27" t="str">
        <x:v>The serverless computing paradigm offers compelling advantages for deploying Large Language Model (LLM) inference services, including elastic scaling and pay-per-use billing. However, serving multiple fine-tuned LLMs via Low-Rank Adaptation (LoRA) in serverless environments faces critical challenges: reactive adapter loading causes significant cold start latency, and frequent adapter swapping leads to severe GPU memory fragmentation. In this paper, we present Predictive-LoRA (P-LoRA), a proactive and fragmentation-aware serverless inference system for LoRA-based LLMs. P-LoRA introduces two key innovations: (1) a lightweight LSTM-based traffic predictor that forecasts adapter demand and proactively prefetches hot adapters from host memory to GPU, reducing cold start latency by up to 68%; and (2) a page-based adapter memory management mechanism inspired by operating system virtual memory, which keeps GPU memory utilization above 87% even under heterogeneous adapter ranks. We evaluate P-LoRA using production-like workloads derived from the Azure Functions trace. Experimental results demonstrate that P-LoRA achieves 1.52x higher throughput than S-LoRA while reducing the average Time-To-First-Token (TTFT) by 35% under high concurrency scenarios.</x:v>
      </x:c>
      <x:c r="L316" s="17" t="str">
        <x:v>http://arxiv.org/abs/2512.20210v1</x:v>
      </x:c>
      <x:c r="M316" s="23" t="n">
        <x:v>0.015625</x:v>
      </x:c>
      <x:c r="N316" s="17" t="str">
        <x:v>arxiv-paper-eval-20260727-105551-results.jsonl</x:v>
      </x:c>
      <x:c r="O316" s="24" t="str">
        <x:v>2</x:v>
      </x:c>
      <x:c r="P316" s="28" t="str">
        <x:v>以LSTM流量预测主动预载LoRA适配器。</x:v>
      </x:c>
      <x:c r="Q316" s="25" t="str"/>
      <x:c r="R316" s="24" t="str">
        <x:f>IF(Q316&lt;&gt;"",Q316,O316)</x:f>
        <x:v>2</x:v>
      </x:c>
      <x:c r="S316" s="29" t="str"/>
    </x:row>
    <x:row r="317" ht="54" customHeight="1">
      <x:c r="A317" s="17" t="str">
        <x:v>csq016-r16</x:v>
      </x:c>
      <x:c r="B317" s="17" t="str">
        <x:v>csq016</x:v>
      </x:c>
      <x:c r="C317" s="17" t="str">
        <x:v>systems_and_networking</x:v>
      </x:c>
      <x:c r="D317" s="17" t="str">
        <x:v>serverless_computing</x:v>
      </x:c>
      <x:c r="E317" s="27" t="str">
        <x:v>How do research systems mitigate cold starts in serverless computing, and how do prewarming, snapshotting, and prediction-based approaches compare?</x:v>
      </x:c>
      <x:c r="F317" s="22" t="n">
        <x:v>16</x:v>
      </x:c>
      <x:c r="G317" s="17" t="str">
        <x:v>arXiv:2509.14292</x:v>
      </x:c>
      <x:c r="H317" s="27" t="str">
        <x:v>Taming Serverless Cold Starts Through OS Co-Design</x:v>
      </x:c>
      <x:c r="I317" s="17" t="str">
        <x:v>Ben Holmes; Baltasar Dinis; Lana Honcharuk; Joshua Fried; Adam Belay</x:v>
      </x:c>
      <x:c r="J317" s="22" t="n">
        <x:v>2025</x:v>
      </x:c>
      <x:c r="K317" s="27" t="str">
        <x:v>Serverless computing promises fine-grained elasticity and operational simplicity, fueling widespread interest from both industry and academia. Yet this promise is undercut by the cold setart problem, where invoking a function after a period of inactivity triggers costly initialization before any work can begin. Even with today's high-speed storage, the prevailing view is that achieving sub-millisecond cold starts requires keeping state resident in memory. This paper challenges that assumption. Our analysis of existing snapshot/restore mechanisms show that OS-level limitations, not storage speed, are the real barrier to ultra-fast restores from disk. These limitations force current systems to either restore state piecemeal in a costly manner or capture too much state, leading to longer restore times and unpredictable performance. Futhermore, current memory primitives exposed by the OS make it difficult to reliably fetch data into memory and avoid costly runtime page faults. To overcome these barriers, we present Spice, an execution engine purpose-built for serverless snapshot/restore. Spice integrates directly with the OS to restore kernel state without costly replay and introduces dedicated primitives for restoring memory mappings efficiently and reliably. As a result, Spice delivers near-warm performance on cold restores from disk, reducing latency by up to 14.9x over state-of-the-art process-based systems and 10.6x over VM-based systems. This proves that high performance and memory elasticity no longer need to be a trade-off in serverless computing.</x:v>
      </x:c>
      <x:c r="L317" s="17" t="str">
        <x:v>http://arxiv.org/abs/2509.14292v1</x:v>
      </x:c>
      <x:c r="M317" s="23" t="n">
        <x:v>0.015384615384615385</x:v>
      </x:c>
      <x:c r="N317" s="17" t="str">
        <x:v>arxiv-paper-eval-20260727-105551-results.jsonl</x:v>
      </x:c>
      <x:c r="O317" s="24" t="str">
        <x:v>2</x:v>
      </x:c>
      <x:c r="P317" s="28" t="str">
        <x:v>分析快照恢复瓶颈并以操作系统协同设计优化。</x:v>
      </x:c>
      <x:c r="Q317" s="25" t="str"/>
      <x:c r="R317" s="24" t="str">
        <x:f>IF(Q317&lt;&gt;"",Q317,O317)</x:f>
        <x:v>2</x:v>
      </x:c>
      <x:c r="S317" s="29" t="str"/>
    </x:row>
    <x:row r="318" ht="54" customHeight="1">
      <x:c r="A318" s="17" t="str">
        <x:v>csq016-r17</x:v>
      </x:c>
      <x:c r="B318" s="17" t="str">
        <x:v>csq016</x:v>
      </x:c>
      <x:c r="C318" s="17" t="str">
        <x:v>systems_and_networking</x:v>
      </x:c>
      <x:c r="D318" s="17" t="str">
        <x:v>serverless_computing</x:v>
      </x:c>
      <x:c r="E318" s="27" t="str">
        <x:v>How do research systems mitigate cold starts in serverless computing, and how do prewarming, snapshotting, and prediction-based approaches compare?</x:v>
      </x:c>
      <x:c r="F318" s="22" t="n">
        <x:v>17</x:v>
      </x:c>
      <x:c r="G318" s="17" t="str">
        <x:v>arXiv:2403.17574</x:v>
      </x:c>
      <x:c r="H318" s="27" t="str">
        <x:v>SPES: Towards Optimizing Performance-Resource Trade-Off for Serverless Functions</x:v>
      </x:c>
      <x:c r="I318" s="17" t="str">
        <x:v>Cheryl Lee; Zhouruixing Zhu; Tianyi Yang; Yintong Huo; Yuxin Su; Pinjia He; Michael R. Lyu</x:v>
      </x:c>
      <x:c r="J318" s="22" t="n">
        <x:v>2024</x:v>
      </x:c>
      <x:c r="K318" s="27" t="str">
        <x:v>As an emerging cloud computing deployment paradigm, serverless computing is gaining traction due to its efficiency and ability to harness on-demand cloud resources. However, a significant hurdle remains in the form of the cold start problem, causing latency when launching new function instances from scratch. Existing solutions tend to use over-simplistic strategies for function pre-loading/unloading without full invocation pattern exploitation, rendering unsatisfactory optimization of the trade-off between cold start latency and resource waste. To bridge this gap, we propose SPES, the first differentiated scheduler for runtime cold start mitigation by optimizing serverless function provision. Our insight is that the common architecture of serverless systems prompts the concentration of certain invocation patterns, leading to predictable invocation behaviors. This allows us to categorize functions and pre-load/unload proper function instances with finer-grained strategies based on accurate invocation prediction. Experiments demonstrate the success of SPES in optimizing serverless function provision on both sides: reducing the 75th-percentile cold start rates by 49.77% and the wasted memory time by 56.43%, compared to the state-of-the-art. By mitigating the cold start issue, SPES is a promising advancement in facilitating cloud services deployed on serverless architectures.</x:v>
      </x:c>
      <x:c r="L318" s="17" t="str">
        <x:v>http://arxiv.org/abs/2403.17574v2</x:v>
      </x:c>
      <x:c r="M318" s="23" t="n">
        <x:v>0.015384615384615385</x:v>
      </x:c>
      <x:c r="N318" s="17" t="str">
        <x:v>arxiv-paper-eval-20260727-105551-results.jsonl</x:v>
      </x:c>
      <x:c r="O318" s="24" t="str">
        <x:v>2</x:v>
      </x:c>
      <x:c r="P318" s="28" t="str">
        <x:v>用调用模式区分调度，权衡预加载资源浪费与延迟。</x:v>
      </x:c>
      <x:c r="Q318" s="25" t="str"/>
      <x:c r="R318" s="24" t="str">
        <x:f>IF(Q318&lt;&gt;"",Q318,O318)</x:f>
        <x:v>2</x:v>
      </x:c>
      <x:c r="S318" s="29" t="str"/>
    </x:row>
    <x:row r="319" ht="54" customHeight="1">
      <x:c r="A319" s="17" t="str">
        <x:v>csq016-r18</x:v>
      </x:c>
      <x:c r="B319" s="17" t="str">
        <x:v>csq016</x:v>
      </x:c>
      <x:c r="C319" s="17" t="str">
        <x:v>systems_and_networking</x:v>
      </x:c>
      <x:c r="D319" s="17" t="str">
        <x:v>serverless_computing</x:v>
      </x:c>
      <x:c r="E319" s="27" t="str">
        <x:v>How do research systems mitigate cold starts in serverless computing, and how do prewarming, snapshotting, and prediction-based approaches compare?</x:v>
      </x:c>
      <x:c r="F319" s="22" t="n">
        <x:v>18</x:v>
      </x:c>
      <x:c r="G319" s="17" t="str">
        <x:v>arXiv:2212.13882</x:v>
      </x:c>
      <x:c r="H319" s="27" t="str">
        <x:v>QoS-Aware Resource Management for Multi-phase Serverless Workflows with Aquatope</x:v>
      </x:c>
      <x:c r="I319" s="17" t="str">
        <x:v>Zhuangzhuang Zhou; Yanqi Zhang; Christina Delimitrou</x:v>
      </x:c>
      <x:c r="J319" s="22" t="n">
        <x:v>2022</x:v>
      </x:c>
      <x:c r="K319" s="27" t="str">
        <x:v>Multi-stage serverless applications, i.e., workflows with many computation and I/O stages, are becoming increasingly representative of FaaS platforms. Despite their advantages in terms of fine-grained scalability and modular development, these applications are subject to suboptimal performance, resource inefficiency, and high costs to a larger degree than previous simple serverless functions. We present Aquatope, a QoS-and-uncertainty-aware resource scheduler for end-to-end serverless workflows that takes into account the inherent uncertainty present in FaaS platforms, and improves performance predictability and resource efficiency. Aquatope uses a set of scalable and validated Bayesian models to create pre-warmed containers ahead of function invocations, and to allocate appropriate resources at function granularity to meet a complex workflow's end-to-end QoS, while minimizing resource cost. Across a diverse set of analytics and interactive multi-stage serverless workloads, Aquatope significantly outperforms prior systems, reducing QoS violations by 5x, and cost by 34% on average and up to 52% compared to other QoS-meeting methods.</x:v>
      </x:c>
      <x:c r="L319" s="17" t="str">
        <x:v>http://arxiv.org/abs/2212.13882v1</x:v>
      </x:c>
      <x:c r="M319" s="23" t="n">
        <x:v>0.015384615384615385</x:v>
      </x:c>
      <x:c r="N319" s="17" t="str">
        <x:v>arxiv-paper-eval-20260727-105551-results.jsonl</x:v>
      </x:c>
      <x:c r="O319" s="24" t="str">
        <x:v>1</x:v>
      </x:c>
      <x:c r="P319" s="28" t="str">
        <x:v>主要为工作流QoS资源调度，冷启动仅是相关平台不确定性。</x:v>
      </x:c>
      <x:c r="Q319" s="25" t="str"/>
      <x:c r="R319" s="24" t="str">
        <x:f>IF(Q319&lt;&gt;"",Q319,O319)</x:f>
        <x:v>1</x:v>
      </x:c>
      <x:c r="S319" s="29" t="str"/>
    </x:row>
    <x:row r="320" ht="54" customHeight="1">
      <x:c r="A320" s="17" t="str">
        <x:v>csq016-r19</x:v>
      </x:c>
      <x:c r="B320" s="17" t="str">
        <x:v>csq016</x:v>
      </x:c>
      <x:c r="C320" s="17" t="str">
        <x:v>systems_and_networking</x:v>
      </x:c>
      <x:c r="D320" s="17" t="str">
        <x:v>serverless_computing</x:v>
      </x:c>
      <x:c r="E320" s="27" t="str">
        <x:v>How do research systems mitigate cold starts in serverless computing, and how do prewarming, snapshotting, and prediction-based approaches compare?</x:v>
      </x:c>
      <x:c r="F320" s="22" t="n">
        <x:v>19</x:v>
      </x:c>
      <x:c r="G320" s="17" t="str">
        <x:v>arXiv:1903.12221</x:v>
      </x:c>
      <x:c r="H320" s="27" t="str">
        <x:v>Mitigating Cold Starts in Serverless Platforms: A Pool-Based Approach</x:v>
      </x:c>
      <x:c r="I320" s="17" t="str">
        <x:v>Ping-Min Lin; Alex Glikson</x:v>
      </x:c>
      <x:c r="J320" s="22" t="n">
        <x:v>2019</x:v>
      </x:c>
      <x:c r="K320" s="27" t="str">
        <x:v>Rapid adoption of the serverless (or Function-as-a-Service, FaaS) paradigm, pioneered by Amazon with AWS Lambda and followed by numerous commercial offerings and open source projects, introduces new challenges in designing the cloud infrastructure, balancing between performance and cost. While instant per-request elasticity that FaaS platforms typically offer application developers makes it possible to achieve high performance of bursty workloads without over-provisioning, such elasticity often involves extra latency associated with on-demand provisioning of individual runtime containers that serve the functions. This phenomenon is often called cold starts, as opposed to the situation when a function is served by a pre-provisioned "warm" container, ready to serve requests with close to zero overhead. Providers are constantly working on techniques aimed at reducing cold starts. A common approach to reduce cold starts is to maintain a pool of warm containers, in anticipation of future requests. In this report, we address the cold start problem in serverless architectures, specifically under the Knative Serving FaaS platform. We describe our implementation leveraging a pool of function instances, and evaluate the latency compared to the original implementation, resulting in a 85% reduction of P99 response time for a single instance pool.</x:v>
      </x:c>
      <x:c r="L320" s="17" t="str">
        <x:v>http://arxiv.org/abs/1903.12221v1</x:v>
      </x:c>
      <x:c r="M320" s="23" t="n">
        <x:v>0.015384615384615385</x:v>
      </x:c>
      <x:c r="N320" s="17" t="str">
        <x:v>arxiv-paper-eval-20260727-105551-results.jsonl</x:v>
      </x:c>
      <x:c r="O320" s="24" t="str">
        <x:v>2</x:v>
      </x:c>
      <x:c r="P320" s="28" t="str">
        <x:v>以实例池直接缓解按需容器配置冷启动。</x:v>
      </x:c>
      <x:c r="Q320" s="25" t="str"/>
      <x:c r="R320" s="24" t="str">
        <x:f>IF(Q320&lt;&gt;"",Q320,O320)</x:f>
        <x:v>2</x:v>
      </x:c>
      <x:c r="S320" s="29" t="str"/>
    </x:row>
    <x:row r="321" ht="54" customHeight="1">
      <x:c r="A321" s="17" t="str">
        <x:v>csq016-r20</x:v>
      </x:c>
      <x:c r="B321" s="17" t="str">
        <x:v>csq016</x:v>
      </x:c>
      <x:c r="C321" s="17" t="str">
        <x:v>systems_and_networking</x:v>
      </x:c>
      <x:c r="D321" s="17" t="str">
        <x:v>serverless_computing</x:v>
      </x:c>
      <x:c r="E321" s="27" t="str">
        <x:v>How do research systems mitigate cold starts in serverless computing, and how do prewarming, snapshotting, and prediction-based approaches compare?</x:v>
      </x:c>
      <x:c r="F321" s="22" t="n">
        <x:v>20</x:v>
      </x:c>
      <x:c r="G321" s="17" t="str">
        <x:v>arXiv:2505.24551</x:v>
      </x:c>
      <x:c r="H321" s="27" t="str">
        <x:v>Melding the Serverless Control Plane with the Conventional Cluster Manager for Speed and Resource Efficiency</x:v>
      </x:c>
      <x:c r="I321" s="17" t="str">
        <x:v>Leonid Kondrashov; Lazar Cvetković; Hancheng Wang; Boxi Zhou; Dmitrii Ustiugov</x:v>
      </x:c>
      <x:c r="J321" s="22" t="n">
        <x:v>2025</x:v>
      </x:c>
      <x:c r="K321" s="27" t="str">
        <x:v>Serverless platforms face a trade-off: conventional cluster managers like Kubernetes offer compatibility for co-locating Function-as-a-Service (FaaS) and Backend-as-a-Service (BaaS) components of serverless applications, at the cost of high cold-start latency, whereas specialized FaaS-only systems like Dirigent achieve low latency by sacrificing compatibility, preventing integrated management and optimization. Our analysis reveals that FaaS traffic is bimodal: predictable, sustainable traffic consumes &gt;98% of cluster resources, whereas sporadic, excessive bursts stress the control plane's scaling latency, not its throughput. With these insights, we design PulseNet, a serverless architecture that uses a dual-track control plane tailored to both traffic types. PulseNet's standard track manages sustainable traffic with long-lived, full-featured Regular Instances under a conventional cluster manager, preserving compatibility for the majority of the workload. To handle excessive traffic, an expedited track bypasses the slow manager to rapidly create short-lived, disposable Emergency Instances, minimizing cold-start latency and resource waste from idle instances. This hybrid approach achieves 35% better performance than Dirigent, a FaaS-only system, on a production workload at the same cost and outperforms other Kubernetes-compatible systems by 1.5-3.5x, reducing the cost by up to 70%.</x:v>
      </x:c>
      <x:c r="L321" s="17" t="str">
        <x:v>http://arxiv.org/abs/2505.24551v4</x:v>
      </x:c>
      <x:c r="M321" s="23" t="n">
        <x:v>0.015151515151515152</x:v>
      </x:c>
      <x:c r="N321" s="17" t="str">
        <x:v>arxiv-paper-eval-20260727-105551-results.jsonl</x:v>
      </x:c>
      <x:c r="O321" s="24" t="str">
        <x:v>2</x:v>
      </x:c>
      <x:c r="P321" s="28" t="str">
        <x:v>融合控制面与集群管理器以降低冷启动和资源成本。</x:v>
      </x:c>
      <x:c r="Q321" s="25" t="str"/>
      <x:c r="R321" s="24" t="str">
        <x:f>IF(Q321&lt;&gt;"",Q321,O321)</x:f>
        <x:v>2</x:v>
      </x:c>
      <x:c r="S321" s="29" t="str"/>
    </x:row>
    <x:row r="322" ht="54" customHeight="1">
      <x:c r="A322" s="17" t="str">
        <x:v>csq017-r01</x:v>
      </x:c>
      <x:c r="B322" s="17" t="str">
        <x:v>csq017</x:v>
      </x:c>
      <x:c r="C322" s="17" t="str">
        <x:v>systems_and_networking</x:v>
      </x:c>
      <x:c r="D322" s="17" t="str">
        <x:v>datacenter_scheduling</x:v>
      </x:c>
      <x:c r="E322" s="27" t="str">
        <x:v>Which workloads, metrics, and experimental methodologies are used to evaluate datacenter cluster schedulers?</x:v>
      </x:c>
      <x:c r="F322" s="22" t="n">
        <x:v>1</x:v>
      </x:c>
      <x:c r="G322" s="17" t="str">
        <x:v>arXiv:2401.16492</x:v>
      </x:c>
      <x:c r="H322" s="27" t="str">
        <x:v>GPU Cluster Scheduling for Network-Sensitive Deep Learning</x:v>
      </x:c>
      <x:c r="I322" s="17" t="str">
        <x:v>Aakash Sharma; Vivek M. Bhasi; Sonali Singh; George Kesidis; Mahmut T. Kandemir; Chita R. Das</x:v>
      </x:c>
      <x:c r="J322" s="22" t="n">
        <x:v>2024</x:v>
      </x:c>
      <x:c r="K322" s="27" t="str">
        <x:v>We propose a novel GPU-cluster scheduler for distributed DL (DDL) workloads that enables proximity based consolidation of GPU resources based on the DDL jobs' sensitivities to the anticipated communication-network delays. Our scheduler consists of three major components: (i) a classical delay scheduling algorithm to facilitate job placement and consolidation; (ii) a network-sensitive job preemption strategy; and (iii) an "auto-tuner" mechanism to optimize delay timers for effective delay scheduling. Additionally, to enable a cost-effective methodology for large-scale experiments, we develop a data-driven DDL cluster simulation platform. Employing the simulation platform we compare against several state-of-the-art alternatives on real-world workload traces to demonstrate the benefits of our design. Our scheduler can provide improvement of up to 69% in end-to-end Makespan for training all jobs compared to the prevailing consolidation-based scheduling methods, while reducing the average job completion time by up to 83% and minimizing the communication overheads by up to 98% under congested networking conditions.</x:v>
      </x:c>
      <x:c r="L322" s="17" t="str">
        <x:v>http://arxiv.org/abs/2401.16492v2</x:v>
      </x:c>
      <x:c r="M322" s="23" t="n">
        <x:v>0.03125763125763126</x:v>
      </x:c>
      <x:c r="N322" s="17" t="str">
        <x:v>arxiv-paper-eval-20260727-105551-results.jsonl</x:v>
      </x:c>
      <x:c r="O322" s="24" t="str">
        <x:v>2</x:v>
      </x:c>
      <x:c r="P322" s="28" t="str">
        <x:v>GPU调度器包含DL工作负载、延迟指标和大规模模拟方法。</x:v>
      </x:c>
      <x:c r="Q322" s="25" t="str"/>
      <x:c r="R322" s="24" t="str">
        <x:f>IF(Q322&lt;&gt;"",Q322,O322)</x:f>
        <x:v>2</x:v>
      </x:c>
      <x:c r="S322" s="29" t="str"/>
    </x:row>
    <x:row r="323" ht="54" customHeight="1">
      <x:c r="A323" s="17" t="str">
        <x:v>csq017-r02</x:v>
      </x:c>
      <x:c r="B323" s="17" t="str">
        <x:v>csq017</x:v>
      </x:c>
      <x:c r="C323" s="17" t="str">
        <x:v>systems_and_networking</x:v>
      </x:c>
      <x:c r="D323" s="17" t="str">
        <x:v>datacenter_scheduling</x:v>
      </x:c>
      <x:c r="E323" s="27" t="str">
        <x:v>Which workloads, metrics, and experimental methodologies are used to evaluate datacenter cluster schedulers?</x:v>
      </x:c>
      <x:c r="F323" s="22" t="n">
        <x:v>2</x:v>
      </x:c>
      <x:c r="G323" s="17" t="str">
        <x:v>arXiv:2210.00093</x:v>
      </x:c>
      <x:c r="H323" s="27" t="str">
        <x:v>Shockwave: Fair and Efficient Cluster Scheduling for Dynamic Adaptation in Machine Learning</x:v>
      </x:c>
      <x:c r="I323" s="17" t="str">
        <x:v>Pengfei Zheng; Rui Pan; Tarannum Khan; Shivaram Venkataraman; Aditya Akella</x:v>
      </x:c>
      <x:c r="J323" s="22" t="n">
        <x:v>2022</x:v>
      </x:c>
      <x:c r="K323" s="27" t="str">
        <x:v>Dynamic adaptation has become an essential technique in accelerating distributed machine learning (ML) training. Recent studies have shown that dynamically adjusting model structure (e.g., lottery ticket hypothesis) or hyperparameters (e.g., batch size) can significantly accelerate training without sacrificing accuracy. However, existing ML cluster schedulers are not designed to handle dynamic adaptation. We show that existing schemes fail to provide fairness and degrade system efficiency when the training throughput changes over time under dynamic adaptation. We design Shockwave, a scheduler with future planning that builds on two key ideas. First, Shockwave extends classic market theory from static settings to dynamic settings to co-optimize efficiency and fairness. Second, Shockwave utilizes stochastic dynamic programming to handle dynamic changes. We build a system for Shockwave and validate its performance with both trace-driven simulation and cluster experiments. Results show that for traces of ML jobs with dynamic adaptation, Shockwave improves makespan by 1.3X and fairness by 2X when compared with existing fair scheduling schemes.</x:v>
      </x:c>
      <x:c r="L323" s="17" t="str">
        <x:v>http://arxiv.org/abs/2210.00093v1</x:v>
      </x:c>
      <x:c r="M323" s="23" t="n">
        <x:v>0.0288981288981289</x:v>
      </x:c>
      <x:c r="N323" s="17" t="str">
        <x:v>arxiv-paper-eval-20260727-105551-results.jsonl</x:v>
      </x:c>
      <x:c r="O323" s="24" t="str">
        <x:v>2</x:v>
      </x:c>
      <x:c r="P323" s="28" t="str">
        <x:v>ML集群调度直接以公平性和系统效率评测。</x:v>
      </x:c>
      <x:c r="Q323" s="25" t="str"/>
      <x:c r="R323" s="24" t="str">
        <x:f>IF(Q323&lt;&gt;"",Q323,O323)</x:f>
        <x:v>2</x:v>
      </x:c>
      <x:c r="S323" s="29" t="str"/>
    </x:row>
    <x:row r="324" ht="54" customHeight="1">
      <x:c r="A324" s="17" t="str">
        <x:v>csq017-r03</x:v>
      </x:c>
      <x:c r="B324" s="17" t="str">
        <x:v>csq017</x:v>
      </x:c>
      <x:c r="C324" s="17" t="str">
        <x:v>systems_and_networking</x:v>
      </x:c>
      <x:c r="D324" s="17" t="str">
        <x:v>datacenter_scheduling</x:v>
      </x:c>
      <x:c r="E324" s="27" t="str">
        <x:v>Which workloads, metrics, and experimental methodologies are used to evaluate datacenter cluster schedulers?</x:v>
      </x:c>
      <x:c r="F324" s="22" t="n">
        <x:v>3</x:v>
      </x:c>
      <x:c r="G324" s="17" t="str">
        <x:v>arXiv:2201.07312</x:v>
      </x:c>
      <x:c r="H324" s="27" t="str">
        <x:v>Model-driven Cluster Resource Management for AI Workloads in Edge Clouds</x:v>
      </x:c>
      <x:c r="I324" s="17" t="str">
        <x:v>Qianlin Liang; Walid A. Hanafy; Ahmed Ali-Eldin; Prashant Shenoy</x:v>
      </x:c>
      <x:c r="J324" s="22" t="n">
        <x:v>2022</x:v>
      </x:c>
      <x:c r="K324" s="27" t="str">
        <x:v>Since emerging edge applications such as Internet of Things (IoT) analytics and augmented reality have tight latency constraints, hardware AI accelerators have been recently proposed to speed up deep neural network (DNN) inference run by these applications. Resource-constrained edge servers and accelerators tend to be multiplexed across multiple IoT applications, introducing the potential for performance interference between latency-sensitive workloads. In this paper, we design analytic models to capture the performance of DNN inference workloads on shared edge accelerators, such as GPU and edgeTPU, under different multiplexing and concurrency behaviors. After validating our models using extensive experiments, we use them to design various cluster resource management algorithms to intelligently manage multiple applications on edge accelerators while respecting their latency constraints. We implement a prototype of our system in Kubernetes and show that our system can host 2.3X more DNN applications in heterogeneous multi-tenant edge clusters with no latency violations when compared to traditional knapsack hosting algorithms.</x:v>
      </x:c>
      <x:c r="L324" s="17" t="str">
        <x:v>http://arxiv.org/abs/2201.07312v1</x:v>
      </x:c>
      <x:c r="M324" s="23" t="n">
        <x:v>0.01639344262295082</x:v>
      </x:c>
      <x:c r="N324" s="17" t="str">
        <x:v>arxiv-paper-eval-20260727-105551-results.jsonl</x:v>
      </x:c>
      <x:c r="O324" s="24" t="str">
        <x:v>1</x:v>
      </x:c>
      <x:c r="P324" s="28" t="str">
        <x:v>研究边缘云AI资源管理，可作相邻调度评测背景。</x:v>
      </x:c>
      <x:c r="Q324" s="25" t="str"/>
      <x:c r="R324" s="24" t="str">
        <x:f>IF(Q324&lt;&gt;"",Q324,O324)</x:f>
        <x:v>1</x:v>
      </x:c>
      <x:c r="S324" s="29" t="str"/>
    </x:row>
    <x:row r="325" ht="54" customHeight="1">
      <x:c r="A325" s="17" t="str">
        <x:v>csq017-r04</x:v>
      </x:c>
      <x:c r="B325" s="17" t="str">
        <x:v>csq017</x:v>
      </x:c>
      <x:c r="C325" s="17" t="str">
        <x:v>systems_and_networking</x:v>
      </x:c>
      <x:c r="D325" s="17" t="str">
        <x:v>datacenter_scheduling</x:v>
      </x:c>
      <x:c r="E325" s="27" t="str">
        <x:v>Which workloads, metrics, and experimental methodologies are used to evaluate datacenter cluster schedulers?</x:v>
      </x:c>
      <x:c r="F325" s="22" t="n">
        <x:v>4</x:v>
      </x:c>
      <x:c r="G325" s="17" t="str">
        <x:v>arXiv:2202.07896</x:v>
      </x:c>
      <x:c r="H325" s="27" t="str">
        <x:v>Aryl: An Elastic Cluster Scheduler for Deep Learning</x:v>
      </x:c>
      <x:c r="I325" s="17" t="str">
        <x:v>Jiamin Li; Hong Xu; Yibo Zhu; Zherui Liu; Chuanxiong Guo; Cong Wang</x:v>
      </x:c>
      <x:c r="J325" s="22" t="n">
        <x:v>2022</x:v>
      </x:c>
      <x:c r="K325" s="27" t="str">
        <x:v>Companies build separate training and inference GPU clusters for deep learning, and use separate schedulers to manage them. This leads to problems for both training and inference: inference clusters have low GPU utilization when the traffic load is low; training jobs often experience long queueing time due to lack of resources. We introduce Aryl, a new cluster scheduler to address these problems. Aryl introduces capacity loaning to loan idle inference GPU servers for training jobs. It further exploits elastic scaling that scales a training job's GPU allocation to better utilize loaned resources. Capacity loaning and elastic scaling create new challenges to cluster management. When the loaned servers need to be returned, we need to minimize the number of job preemptions; when more GPUs become available, we need to allocate them to elastic jobs and minimize the job completion time (JCT). Aryl addresses these combinatorial problems using principled heuristics. It introduces the notion of server preemption cost which it greedily reduces during server reclaiming. It further relies on the JCT reduction value defined for each additional worker for an elastic job to solve the scheduling problem as a multiple-choice knapsack problem. Prototype implementation on a 64-GPU testbed and large-scale simulation with 15-day traces of over 50,000 production jobs show that Aryl brings 1.53x and 1.50x reductions in average queuing time and JCT, and improves cluster usage by up to 26.9% over the cluster scheduler without capacity loaning or elastic scaling.</x:v>
      </x:c>
      <x:c r="L325" s="17" t="str">
        <x:v>http://arxiv.org/abs/2202.07896v1</x:v>
      </x:c>
      <x:c r="M325" s="23" t="n">
        <x:v>0.01639344262295082</x:v>
      </x:c>
      <x:c r="N325" s="17" t="str">
        <x:v>arxiv-paper-eval-20260727-105551-results.jsonl</x:v>
      </x:c>
      <x:c r="O325" s="24" t="str">
        <x:v>2</x:v>
      </x:c>
      <x:c r="P325" s="28" t="str">
        <x:v>训练与推理GPU集群调度涵盖利用率和排队时间。</x:v>
      </x:c>
      <x:c r="Q325" s="25" t="str"/>
      <x:c r="R325" s="24" t="str">
        <x:f>IF(Q325&lt;&gt;"",Q325,O325)</x:f>
        <x:v>2</x:v>
      </x:c>
      <x:c r="S325" s="29" t="str"/>
    </x:row>
    <x:row r="326" ht="54" customHeight="1">
      <x:c r="A326" s="17" t="str">
        <x:v>csq017-r05</x:v>
      </x:c>
      <x:c r="B326" s="17" t="str">
        <x:v>csq017</x:v>
      </x:c>
      <x:c r="C326" s="17" t="str">
        <x:v>systems_and_networking</x:v>
      </x:c>
      <x:c r="D326" s="17" t="str">
        <x:v>datacenter_scheduling</x:v>
      </x:c>
      <x:c r="E326" s="27" t="str">
        <x:v>Which workloads, metrics, and experimental methodologies are used to evaluate datacenter cluster schedulers?</x:v>
      </x:c>
      <x:c r="F326" s="22" t="n">
        <x:v>5</x:v>
      </x:c>
      <x:c r="G326" s="17" t="str">
        <x:v>arXiv:2102.07199</x:v>
      </x:c>
      <x:c r="H326" s="27" t="str">
        <x:v>Hugo: A Cluster Scheduler that Efficiently Learns to Select Complementary Data-Parallel Jobs</x:v>
      </x:c>
      <x:c r="I326" s="17" t="str">
        <x:v>Lauritz Thamsen; Ilya Verbitskiy; Sasho Nedelkoski; Vinh Thuy Tran; Vinicius Meyer; Miguel G. Xavier; Odej Kao; Cesar A. F. De Rose</x:v>
      </x:c>
      <x:c r="J326" s="22" t="n">
        <x:v>2021</x:v>
      </x:c>
      <x:c r="K326" s="27" t="str">
        <x:v>Distributed data processing systems like MapReduce, Spark, and Flink are popular tools for analysis of large datasets with cluster resources. Yet, users often overprovision resources for their data processing jobs, while the resource usage of these jobs also typically fluctuates considerably. Therefore, multiple jobs usually get scheduled onto the same shared resources to increase the resource utilization and throughput of clusters. However, job runtimes and the utilization of shared resources can vary significantly depending on the specific combinations of co-located jobs. This paper presents Hugo, a cluster scheduler that continuously learns how efficiently jobs share resources, considering metrics for the resource utilization and interference among co-located jobs. The scheduler combines offline grouping of jobs with online reinforcement learning to provide a scheduling mechanism that efficiently generalizes from specific monitored job combinations yet also adapts to changes in workloads. Our evaluation of a prototype shows that the approach can reduce the runtimes of exemplary Spark jobs on a YARN cluster by up to 12.5%, while resource utilization is increased and waiting times can be bounded.</x:v>
      </x:c>
      <x:c r="L326" s="17" t="str">
        <x:v>http://arxiv.org/abs/2102.07199v1</x:v>
      </x:c>
      <x:c r="M326" s="23" t="n">
        <x:v>0.01639344262295082</x:v>
      </x:c>
      <x:c r="N326" s="17" t="str">
        <x:v>arxiv-paper-eval-20260727-105551-results.jsonl</x:v>
      </x:c>
      <x:c r="O326" s="24" t="str">
        <x:v>2</x:v>
      </x:c>
      <x:c r="P326" s="28" t="str">
        <x:v>数据处理集群调度以作业组合、利用率和吞吐评估。</x:v>
      </x:c>
      <x:c r="Q326" s="25" t="str"/>
      <x:c r="R326" s="24" t="str">
        <x:f>IF(Q326&lt;&gt;"",Q326,O326)</x:f>
        <x:v>2</x:v>
      </x:c>
      <x:c r="S326" s="29" t="str"/>
    </x:row>
    <x:row r="327" ht="54" customHeight="1">
      <x:c r="A327" s="17" t="str">
        <x:v>csq017-r06</x:v>
      </x:c>
      <x:c r="B327" s="17" t="str">
        <x:v>csq017</x:v>
      </x:c>
      <x:c r="C327" s="17" t="str">
        <x:v>systems_and_networking</x:v>
      </x:c>
      <x:c r="D327" s="17" t="str">
        <x:v>datacenter_scheduling</x:v>
      </x:c>
      <x:c r="E327" s="27" t="str">
        <x:v>Which workloads, metrics, and experimental methodologies are used to evaluate datacenter cluster schedulers?</x:v>
      </x:c>
      <x:c r="F327" s="22" t="n">
        <x:v>6</x:v>
      </x:c>
      <x:c r="G327" s="17" t="str">
        <x:v>arXiv:2302.07652</x:v>
      </x:c>
      <x:c r="H327" s="27" t="str">
        <x:v>How Workflow Engines Should Talk to Resource Managers: A Proposal for a Common Workflow Scheduling Interface</x:v>
      </x:c>
      <x:c r="I327" s="17" t="str">
        <x:v>Fabian Lehmann; Jonathan Bader; Friedrich Tschirpke; Lauritz Thamsen; Ulf Leser</x:v>
      </x:c>
      <x:c r="J327" s="22" t="n">
        <x:v>2023</x:v>
      </x:c>
      <x:c r="K327" s="27" t="str">
        <x:v>Scientific workflow management systems (SWMSs) and resource managers together ensure that tasks are scheduled on provisioned resources so that all dependencies are obeyed, and some optimization goal, such as makespan minimization, is achieved. In practice, however, there is no clear separation of scheduling responsibilities between an SWMS and a resource manager because there exists no agreed-upon separation of concerns between their different components. This has two consequences. First, the lack of a standardized API to exchange scheduling information between SWMSs and resource managers hinders portability. It incurs costly adaptations when a component should be replaced by a different one (e.g., an SWMS with another SWMS on the same resource manager). Second, due to overlapping functionalities, current installations often actually have two schedulers, both making partial scheduling decisions under incomplete information, leading to suboptimal workflow scheduling. In this paper, we propose a simple REST interface between SWMSs and resource managers, which allows any SWMS to pass dynamic workflow information to a resource manager, enabling maximally informed scheduling decisions. We provide an implementation of this API as an example, using Nextflow as an SWMS and Kubernetes as a resource manager. Our experiments with nine real-world workflows show that this strategy reduces makespan by up to 25.1% and 10.8% on average compared to the standard Nextflow/Kubernetes configuration. Furthermore, a more widespread implementation of this API would enable leaner code bases, a simpler exchange of components of workflow systems, and a unified place to implement new scheduling algorithms.</x:v>
      </x:c>
      <x:c r="L327" s="17" t="str">
        <x:v>http://arxiv.org/abs/2302.07652v3</x:v>
      </x:c>
      <x:c r="M327" s="23" t="n">
        <x:v>0.016129032258064516</x:v>
      </x:c>
      <x:c r="N327" s="17" t="str">
        <x:v>arxiv-paper-eval-20260727-105551-results.jsonl</x:v>
      </x:c>
      <x:c r="O327" s="24" t="str">
        <x:v>1</x:v>
      </x:c>
      <x:c r="P327" s="28" t="str">
        <x:v>主要提出工作流与资源管理接口，评测方法非核心。</x:v>
      </x:c>
      <x:c r="Q327" s="25" t="str"/>
      <x:c r="R327" s="24" t="str">
        <x:f>IF(Q327&lt;&gt;"",Q327,O327)</x:f>
        <x:v>1</x:v>
      </x:c>
      <x:c r="S327" s="29" t="str"/>
    </x:row>
    <x:row r="328" ht="54" customHeight="1">
      <x:c r="A328" s="17" t="str">
        <x:v>csq017-r07</x:v>
      </x:c>
      <x:c r="B328" s="17" t="str">
        <x:v>csq017</x:v>
      </x:c>
      <x:c r="C328" s="17" t="str">
        <x:v>systems_and_networking</x:v>
      </x:c>
      <x:c r="D328" s="17" t="str">
        <x:v>datacenter_scheduling</x:v>
      </x:c>
      <x:c r="E328" s="27" t="str">
        <x:v>Which workloads, metrics, and experimental methodologies are used to evaluate datacenter cluster schedulers?</x:v>
      </x:c>
      <x:c r="F328" s="22" t="n">
        <x:v>7</x:v>
      </x:c>
      <x:c r="G328" s="17" t="str">
        <x:v>arXiv:1910.08925</x:v>
      </x:c>
      <x:c r="H328" s="27" t="str">
        <x:v>RLScheduler: An Automated HPC Batch Job Scheduler Using Reinforcement Learning</x:v>
      </x:c>
      <x:c r="I328" s="17" t="str">
        <x:v>Di Zhang; Dong Dai; Youbiao He; Forrest Sheng Bao; Bing Xie</x:v>
      </x:c>
      <x:c r="J328" s="22" t="n">
        <x:v>2019</x:v>
      </x:c>
      <x:c r="K328" s="27" t="str">
        <x:v>Today high-performance computing (HPC) platforms are still dominated by batch jobs. Accordingly, effective batch job scheduling is crucial to obtain high system efficiency. Existing HPC batch job schedulers typically leverage heuristic priority functions to prioritize and schedule jobs. But, once configured and deployed by the experts, such priority functions can hardly adapt to the changes of job loads, optimization goals, or system settings, potentially leading to degraded system efficiency when changes occur. To address this fundamental issue, we present RLScheduler, an automated HPC batch job scheduler built on reinforcement learning. RLScheduler relies on minimal manual interventions or expert knowledge, but can learn high-quality scheduling policies via its own continuous 'trial and error'. We introduce a new kernel-based neural network structure and trajectory filtering mechanism in RLScheduler to improve and stabilize the learning process. Through extensive evaluations, we confirm that RLScheduler can learn high-quality scheduling policies towards various workloads and various optimization goals with relatively low computation cost. Moreover, we show that the learned models perform stably even when applied to unseen workloads, making them practical for production use.</x:v>
      </x:c>
      <x:c r="L328" s="17" t="str">
        <x:v>http://arxiv.org/abs/1910.08925v3</x:v>
      </x:c>
      <x:c r="M328" s="23" t="n">
        <x:v>0.016129032258064516</x:v>
      </x:c>
      <x:c r="N328" s="17" t="str">
        <x:v>arxiv-paper-eval-20260727-105551-results.jsonl</x:v>
      </x:c>
      <x:c r="O328" s="24" t="str">
        <x:v>2</x:v>
      </x:c>
      <x:c r="P328" s="28" t="str">
        <x:v>HPC批作业调度覆盖负载变化、目标和系统效率评测。</x:v>
      </x:c>
      <x:c r="Q328" s="25" t="str"/>
      <x:c r="R328" s="24" t="str">
        <x:f>IF(Q328&lt;&gt;"",Q328,O328)</x:f>
        <x:v>2</x:v>
      </x:c>
      <x:c r="S328" s="29" t="str"/>
    </x:row>
    <x:row r="329" ht="54" customHeight="1">
      <x:c r="A329" s="17" t="str">
        <x:v>csq017-r08</x:v>
      </x:c>
      <x:c r="B329" s="17" t="str">
        <x:v>csq017</x:v>
      </x:c>
      <x:c r="C329" s="17" t="str">
        <x:v>systems_and_networking</x:v>
      </x:c>
      <x:c r="D329" s="17" t="str">
        <x:v>datacenter_scheduling</x:v>
      </x:c>
      <x:c r="E329" s="27" t="str">
        <x:v>Which workloads, metrics, and experimental methodologies are used to evaluate datacenter cluster schedulers?</x:v>
      </x:c>
      <x:c r="F329" s="22" t="n">
        <x:v>8</x:v>
      </x:c>
      <x:c r="G329" s="17" t="str">
        <x:v>arXiv:1808.04224</x:v>
      </x:c>
      <x:c r="H329" s="27" t="str">
        <x:v>A Reference Architecture for Datacenter Scheduling: Extended Technical Report</x:v>
      </x:c>
      <x:c r="I329" s="17" t="str">
        <x:v>Georgios Andreadis; Laurens Versluis; Fabian Mastenbroek; Alexandru Iosup</x:v>
      </x:c>
      <x:c r="J329" s="22" t="n">
        <x:v>2018</x:v>
      </x:c>
      <x:c r="K329" s="27" t="str">
        <x:v>Datacenters act as cloud-infrastructure to stakeholders across industry, government, and academia. To meet growing demand yet operate efficiently, datacenter operators employ increasingly more sophisticated scheduling systems, mechanisms, and policies. Although many scheduling techniques already exist, relatively little research has gone into the abstraction of the scheduling process itself, hampering design, tuning, and comparison of existing techniques. In this work, we propose a reference architecture for datacenter schedulers. The architecture follows five design principles: components with clearly distinct responsibilities, grouping of related components where possible, separation of mechanism from policy, scheduling as complex workflow, and hierarchical multi-scheduler structure. To demonstrate the validity of the reference architecture, we map to it state-of-the-art datacenter schedulers. We find scheduler-stages are commonly underspecified in peer-reviewed publications. Through trace-based simulation and real-world experiments, we show underspecification of scheduler-stages can lead to significant variations in performance.</x:v>
      </x:c>
      <x:c r="L329" s="17" t="str">
        <x:v>http://arxiv.org/abs/1808.04224v1</x:v>
      </x:c>
      <x:c r="M329" s="23" t="n">
        <x:v>0.016129032258064516</x:v>
      </x:c>
      <x:c r="N329" s="17" t="str">
        <x:v>arxiv-paper-eval-20260727-105551-results.jsonl</x:v>
      </x:c>
      <x:c r="O329" s="24" t="str">
        <x:v>2</x:v>
      </x:c>
      <x:c r="P329" s="28" t="str">
        <x:v>提出数据中心调度参考架构以支持设计和方案比较。</x:v>
      </x:c>
      <x:c r="Q329" s="25" t="str"/>
      <x:c r="R329" s="24" t="str">
        <x:f>IF(Q329&lt;&gt;"",Q329,O329)</x:f>
        <x:v>2</x:v>
      </x:c>
      <x:c r="S329" s="29" t="str"/>
    </x:row>
    <x:row r="330" ht="54" customHeight="1">
      <x:c r="A330" s="17" t="str">
        <x:v>csq017-r09</x:v>
      </x:c>
      <x:c r="B330" s="17" t="str">
        <x:v>csq017</x:v>
      </x:c>
      <x:c r="C330" s="17" t="str">
        <x:v>systems_and_networking</x:v>
      </x:c>
      <x:c r="D330" s="17" t="str">
        <x:v>datacenter_scheduling</x:v>
      </x:c>
      <x:c r="E330" s="27" t="str">
        <x:v>Which workloads, metrics, and experimental methodologies are used to evaluate datacenter cluster schedulers?</x:v>
      </x:c>
      <x:c r="F330" s="22" t="n">
        <x:v>9</x:v>
      </x:c>
      <x:c r="G330" s="17" t="str">
        <x:v>arXiv:2508.19073</x:v>
      </x:c>
      <x:c r="H330" s="27" t="str">
        <x:v>CARMA: Collocation-Aware Resource Manager</x:v>
      </x:c>
      <x:c r="I330" s="17" t="str">
        <x:v>Ehsan Yousefzadeh-Asl-Miandoab; Florina M. Ciorba; Pınar Tözün</x:v>
      </x:c>
      <x:c r="J330" s="22" t="n">
        <x:v>2025</x:v>
      </x:c>
      <x:c r="K330" s="27" t="str">
        <x:v>GPUs running deep learning (DL) workloads are frequently underutilized. Collocating multiple DL training tasks on the same GPU can improve utilization but introduces two key risks: (1) out-of-memory (OOM) crashes for newly scheduled tasks, and (2) severe performance interference among co-running tasks, which can negate any throughput gains. These issues reduce system robustness, quality of service, and energy efficiency. We present CARMA, a task-level, collocation-aware resource manager for the server-scale. CARMA addresses collocation challenges via (1) fine-grained monitoring and bookkeeping of GPUs and a collocation risk analysis that filters out the high-risk GPUs; (2) task placement policies that cap GPU utilization to limit OOMs and interference; (3) integration of GPU memory need estimators for DL tasks to minimize OOMs during collocation; and (4) a lightweight recovery method that relaunches jobs crashed due to OOMs. Our evaluation on a DL training workload derived from real-world traces shows that CARMA uses GPUs more efficiently by making more informed collocation decisions: for the best-performing collocation policy, CARMA increases GPU streaming multiprocessor (SM) utilization by 54%, the parallelism achieved per SM by 61%, and memory use by 62%. This results in a ~35% and ~15% reduction in the end-to-end execution time (makespan) and GPU energy consumption, respectively, for this workload.</x:v>
      </x:c>
      <x:c r="L330" s="17" t="str">
        <x:v>http://arxiv.org/abs/2508.19073v3</x:v>
      </x:c>
      <x:c r="M330" s="23" t="n">
        <x:v>0.015873015873015872</x:v>
      </x:c>
      <x:c r="N330" s="17" t="str">
        <x:v>arxiv-paper-eval-20260727-105551-results.jsonl</x:v>
      </x:c>
      <x:c r="O330" s="24" t="str">
        <x:v>2</x:v>
      </x:c>
      <x:c r="P330" s="28" t="str">
        <x:v>GPU共置调度明确评估OOM、干扰、吞吐和能效。</x:v>
      </x:c>
      <x:c r="Q330" s="25" t="str"/>
      <x:c r="R330" s="24" t="str">
        <x:f>IF(Q330&lt;&gt;"",Q330,O330)</x:f>
        <x:v>2</x:v>
      </x:c>
      <x:c r="S330" s="29" t="str"/>
    </x:row>
    <x:row r="331" ht="54" customHeight="1">
      <x:c r="A331" s="17" t="str">
        <x:v>csq017-r10</x:v>
      </x:c>
      <x:c r="B331" s="17" t="str">
        <x:v>csq017</x:v>
      </x:c>
      <x:c r="C331" s="17" t="str">
        <x:v>systems_and_networking</x:v>
      </x:c>
      <x:c r="D331" s="17" t="str">
        <x:v>datacenter_scheduling</x:v>
      </x:c>
      <x:c r="E331" s="27" t="str">
        <x:v>Which workloads, metrics, and experimental methodologies are used to evaluate datacenter cluster schedulers?</x:v>
      </x:c>
      <x:c r="F331" s="22" t="n">
        <x:v>10</x:v>
      </x:c>
      <x:c r="G331" s="17" t="str">
        <x:v>arXiv:2106.12007</x:v>
      </x:c>
      <x:c r="H331" s="27" t="str">
        <x:v>Energy hardware and workload aware job scheduling towards interconnected HPC environments</x:v>
      </x:c>
      <x:c r="I331" s="17" t="str">
        <x:v>Marco D'Amico; Julita Corbalan</x:v>
      </x:c>
      <x:c r="J331" s="22" t="n">
        <x:v>2021</x:v>
      </x:c>
      <x:c r="K331" s="27" t="str">
        <x:v>New HPC machines are getting close to the exascale. Power consumption for those machines has been increasing, and researchers are studying ways to reduce it. A second trend is HPC machines' growing complexity, with increasing heterogeneous hardware components and different clusters architectures cooperating in the same machine. We refer to these environments with the term heterogeneous multi-cluster environments. With the aim of optimizing performance and energy consumption in these environments, this paper proposes an Energy-Aware-Multi-Cluster (EAMC) job scheduling policy. EAMC-policy is able to optimize the scheduling and placement of jobs by predicting performance and energy consumption of arriving jobs for different hardware architectures and processor frequencies, reducing workload's energy consumption, makespan, and response time. The policy assigns a different priority to each job-resource combination so that the most efficient ones are favored, while less efficient ones are still considered on a variable degree, reducing response time and increasing cluster utilization. We implemented EAMC-policy in Slurm, and we evaluated a scenario in which two CPU clusters collaborate in the same machine. Simulations of workloads running applications modeled from real-world show a reduction of response time and makespan by up to 25% and 6% while saving up to 20% of total energy consumed when compared to policies minimizing runtime, and by 49%, 26%, and 6% compared to policies minimizing energy.</x:v>
      </x:c>
      <x:c r="L331" s="17" t="str">
        <x:v>http://arxiv.org/abs/2106.12007v1</x:v>
      </x:c>
      <x:c r="M331" s="23" t="n">
        <x:v>0.015873015873015872</x:v>
      </x:c>
      <x:c r="N331" s="17" t="str">
        <x:v>arxiv-paper-eval-20260727-105551-results.jsonl</x:v>
      </x:c>
      <x:c r="O331" s="24" t="str">
        <x:v>2</x:v>
      </x:c>
      <x:c r="P331" s="28" t="str">
        <x:v>异构HPC集群调度以性能和能耗为核心指标。</x:v>
      </x:c>
      <x:c r="Q331" s="25" t="str"/>
      <x:c r="R331" s="24" t="str">
        <x:f>IF(Q331&lt;&gt;"",Q331,O331)</x:f>
        <x:v>2</x:v>
      </x:c>
      <x:c r="S331" s="29" t="str"/>
    </x:row>
    <x:row r="332" ht="54" customHeight="1">
      <x:c r="A332" s="17" t="str">
        <x:v>csq017-r11</x:v>
      </x:c>
      <x:c r="B332" s="17" t="str">
        <x:v>csq017</x:v>
      </x:c>
      <x:c r="C332" s="17" t="str">
        <x:v>systems_and_networking</x:v>
      </x:c>
      <x:c r="D332" s="17" t="str">
        <x:v>datacenter_scheduling</x:v>
      </x:c>
      <x:c r="E332" s="27" t="str">
        <x:v>Which workloads, metrics, and experimental methodologies are used to evaluate datacenter cluster schedulers?</x:v>
      </x:c>
      <x:c r="F332" s="22" t="n">
        <x:v>11</x:v>
      </x:c>
      <x:c r="G332" s="17" t="str">
        <x:v>arXiv:2408.08586</x:v>
      </x:c>
      <x:c r="H332" s="27" t="str">
        <x:v>Rubick: Exploiting Job Reconfigurability for Deep Learning Cluster Scheduling</x:v>
      </x:c>
      <x:c r="I332" s="17" t="str">
        <x:v>Xinyi Zhang; Hanyu Zhao; Wencong Xiao; Xianyan Jia; Fei Xu; Yong Li; Wei Lin; Fangming Liu</x:v>
      </x:c>
      <x:c r="J332" s="22" t="n">
        <x:v>2024</x:v>
      </x:c>
      <x:c r="K332" s="27" t="str">
        <x:v>The era of large deep learning models has given rise to advanced training strategies such as 3D parallelism and the ZeRO series. These strategies enable various (re-)configurable execution plans for a training job, which exhibit remarkably different requirements of multiple resource types. Existing cluster scheduling systems, however, treat such reconfigurable training jobs as black boxes: they rely on users to choose execution plans statically, and then make resource allocations without awareness of the chosen plans and their resource requirements. This approach results in mismatches between execution plans and resources, making both training performance and cluster utilization far from optimal. We introduce Rubick, a cluster scheduling system for deep learning training that exploits the reconfigurability to improve job performance and cluster efficiency. Rubick incorporates the job execution planning as a new dimension in cluster scheduling, by continuously reconfiguring jobs' execution plans and tuning multi-resource allocations across jobs jointly. Such a co-optimization is navigated by a performance model that understands the diverse resource requirements and performance characteristics of different jobs and execution plans. Rubick exploits such a model to make performance-aware scheduling decisions to maximize cluster throughput while providing performance guarantees to individual jobs. Evaluations on a 64-GPU high-performance training cluster show that Rubick improves average job completion time and makespan by up to 3.2x and 1.4x, respectively, compared against state-of-the-art systems.</x:v>
      </x:c>
      <x:c r="L332" s="17" t="str">
        <x:v>http://arxiv.org/abs/2408.08586v1</x:v>
      </x:c>
      <x:c r="M332" s="23" t="n">
        <x:v>0.015625</x:v>
      </x:c>
      <x:c r="N332" s="17" t="str">
        <x:v>arxiv-paper-eval-20260727-105551-results.jsonl</x:v>
      </x:c>
      <x:c r="O332" s="24" t="str">
        <x:v>2</x:v>
      </x:c>
      <x:c r="P332" s="28" t="str">
        <x:v>DL集群调度研究可重配置训练负载与资源效率。</x:v>
      </x:c>
      <x:c r="Q332" s="25" t="str"/>
      <x:c r="R332" s="24" t="str">
        <x:f>IF(Q332&lt;&gt;"",Q332,O332)</x:f>
        <x:v>2</x:v>
      </x:c>
      <x:c r="S332" s="29" t="str"/>
    </x:row>
    <x:row r="333" ht="54" customHeight="1">
      <x:c r="A333" s="17" t="str">
        <x:v>csq017-r12</x:v>
      </x:c>
      <x:c r="B333" s="17" t="str">
        <x:v>csq017</x:v>
      </x:c>
      <x:c r="C333" s="17" t="str">
        <x:v>systems_and_networking</x:v>
      </x:c>
      <x:c r="D333" s="17" t="str">
        <x:v>datacenter_scheduling</x:v>
      </x:c>
      <x:c r="E333" s="27" t="str">
        <x:v>Which workloads, metrics, and experimental methodologies are used to evaluate datacenter cluster schedulers?</x:v>
      </x:c>
      <x:c r="F333" s="22" t="n">
        <x:v>12</x:v>
      </x:c>
      <x:c r="G333" s="17" t="str">
        <x:v>arXiv:2308.02358</x:v>
      </x:c>
      <x:c r="H333" s="27" t="str">
        <x:v>A Deep Dive into the Google Cluster Workload Traces: Analyzing the Application Failure Characteristics and User Behaviors</x:v>
      </x:c>
      <x:c r="I333" s="17" t="str">
        <x:v>Faisal Haque Bappy; Tariqul Islam; Tarannum Shaila Zaman; Raiful Hasan; Carlos Caicedo</x:v>
      </x:c>
      <x:c r="J333" s="22" t="n">
        <x:v>2023</x:v>
      </x:c>
      <x:c r="K333" s="27" t="str">
        <x:v>Large-scale cloud data centers have gained popularity due to their high availability, rapid elasticity, scalability, and low cost. However, current data centers continue to have high failure rates due to the lack of proper resource utilization and early failure detection. To maximize resource efficiency and reduce failure rates in large-scale cloud data centers, it is crucial to understand the workload and failure characteristics. In this paper, we perform a deep analysis of the 2019 Google Cluster Trace Dataset, which contains 2.4TiB of workload traces from eight different clusters around the world. We explore the characteristics of failed and killed jobs in Google's production cloud and attempt to correlate them with key attributes such as resource usage, job priority, scheduling class, job duration, and the number of task resubmissions. Our analysis reveals several important characteristics of failed jobs that contribute to job failure and hence, could be used for developing an early failure prediction system. Also, we present a novel usage analysis to identify heterogeneity in jobs and tasks submitted by users. We are able to identify specific users who control more than half of all collection events on a single cluster. We contend that these characteristics could be useful in developing an early job failure prediction system that could be utilized for dynamic rescheduling of the job scheduler and thus improving resource utilization in large-scale cloud data centers while reducing failure rates.</x:v>
      </x:c>
      <x:c r="L333" s="17" t="str">
        <x:v>http://arxiv.org/abs/2308.02358v1</x:v>
      </x:c>
      <x:c r="M333" s="23" t="n">
        <x:v>0.015625</x:v>
      </x:c>
      <x:c r="N333" s="17" t="str">
        <x:v>arxiv-paper-eval-20260727-105551-results.jsonl</x:v>
      </x:c>
      <x:c r="O333" s="24" t="str">
        <x:v>1</x:v>
      </x:c>
      <x:c r="P333" s="28" t="str">
        <x:v>分析Google集群负载和故障特征，可作工作负载来源。</x:v>
      </x:c>
      <x:c r="Q333" s="25" t="str"/>
      <x:c r="R333" s="24" t="str">
        <x:f>IF(Q333&lt;&gt;"",Q333,O333)</x:f>
        <x:v>1</x:v>
      </x:c>
      <x:c r="S333" s="29" t="str"/>
    </x:row>
    <x:row r="334" ht="54" customHeight="1">
      <x:c r="A334" s="17" t="str">
        <x:v>csq017-r13</x:v>
      </x:c>
      <x:c r="B334" s="17" t="str">
        <x:v>csq017</x:v>
      </x:c>
      <x:c r="C334" s="17" t="str">
        <x:v>systems_and_networking</x:v>
      </x:c>
      <x:c r="D334" s="17" t="str">
        <x:v>datacenter_scheduling</x:v>
      </x:c>
      <x:c r="E334" s="27" t="str">
        <x:v>Which workloads, metrics, and experimental methodologies are used to evaluate datacenter cluster schedulers?</x:v>
      </x:c>
      <x:c r="F334" s="22" t="n">
        <x:v>13</x:v>
      </x:c>
      <x:c r="G334" s="17" t="str">
        <x:v>arXiv:2105.07526</x:v>
      </x:c>
      <x:c r="H334" s="27" t="str">
        <x:v>DRAS-CQSim: A Reinforcement Learning based Framework for HPC Cluster Scheduling</x:v>
      </x:c>
      <x:c r="I334" s="17" t="str">
        <x:v>Yuping Fan; Zhiling Lan</x:v>
      </x:c>
      <x:c r="J334" s="22" t="n">
        <x:v>2021</x:v>
      </x:c>
      <x:c r="K334" s="27" t="str">
        <x:v>For decades, system administrators have been striving to design and tune cluster scheduling policies to improve the performance of high performance computing (HPC) systems. However, the increasingly complex HPC systems combined with highly diverse workloads make such manual process challenging, time-consuming, and error-prone. We present a reinforcement learning based HPC scheduling framework named DRAS-CQSim to automatically learn optimal scheduling policy. DRAS-CQSim encapsulates simulation environments, agents, hyperparameter tuning options, and different reinforcement learning algorithms, which allows the system administrators to quickly obtain customized scheduling policies.</x:v>
      </x:c>
      <x:c r="L334" s="17" t="str">
        <x:v>http://arxiv.org/abs/2105.07526v1</x:v>
      </x:c>
      <x:c r="M334" s="23" t="n">
        <x:v>0.015625</x:v>
      </x:c>
      <x:c r="N334" s="17" t="str">
        <x:v>arxiv-paper-eval-20260727-105551-results.jsonl</x:v>
      </x:c>
      <x:c r="O334" s="24" t="str">
        <x:v>2</x:v>
      </x:c>
      <x:c r="P334" s="28" t="str">
        <x:v>HPC调度框架直接提供仿真环境和策略评估方法。</x:v>
      </x:c>
      <x:c r="Q334" s="25" t="str"/>
      <x:c r="R334" s="24" t="str">
        <x:f>IF(Q334&lt;&gt;"",Q334,O334)</x:f>
        <x:v>2</x:v>
      </x:c>
      <x:c r="S334" s="29" t="str"/>
    </x:row>
    <x:row r="335" ht="54" customHeight="1">
      <x:c r="A335" s="17" t="str">
        <x:v>csq017-r14</x:v>
      </x:c>
      <x:c r="B335" s="17" t="str">
        <x:v>csq017</x:v>
      </x:c>
      <x:c r="C335" s="17" t="str">
        <x:v>systems_and_networking</x:v>
      </x:c>
      <x:c r="D335" s="17" t="str">
        <x:v>datacenter_scheduling</x:v>
      </x:c>
      <x:c r="E335" s="27" t="str">
        <x:v>Which workloads, metrics, and experimental methodologies are used to evaluate datacenter cluster schedulers?</x:v>
      </x:c>
      <x:c r="F335" s="22" t="n">
        <x:v>14</x:v>
      </x:c>
      <x:c r="G335" s="17" t="str">
        <x:v>arXiv:2301.05176</x:v>
      </x:c>
      <x:c r="H335" s="27" t="str">
        <x:v>Workload Failure Prediction for Data Centers</x:v>
      </x:c>
      <x:c r="I335" s="17" t="str">
        <x:v>Jie Li; Rui Wang; Ghazanfar Ali; Tommy Dang; Alan Sill; Yong Chen</x:v>
      </x:c>
      <x:c r="J335" s="22" t="n">
        <x:v>2023</x:v>
      </x:c>
      <x:c r="K335" s="27" t="str">
        <x:v>Failed workloads that consumed significant computational resources in time and space affect the efficiency of data centers significantly and thus limit the amount of scientific work that can be achieved. While the computational power has increased significantly over the years, detection and prediction of workload failures have lagged far behind and will become increasingly critical as the system scale and complexity further increase. In this study, we analyze workload traces collected from a production cluster and train machine learning models on a large amount of data sets to predict workload failures. Our prediction models consist of a queue-time model that estimates the probability of workload failures before execution and a runtime model that predicts failures at runtime. Evaluation results show that the queue-time model and runtime model can predict workload failures with a maximum precision score of 90.61% and 97.75%, respectively. By integrating the runtime model with the job scheduler, it helps reduce CPU time, and memory usage by up to 16.7% and 14.53%, respectively.</x:v>
      </x:c>
      <x:c r="L335" s="17" t="str">
        <x:v>http://arxiv.org/abs/2301.05176v1</x:v>
      </x:c>
      <x:c r="M335" s="23" t="n">
        <x:v>0.015384615384615385</x:v>
      </x:c>
      <x:c r="N335" s="17" t="str">
        <x:v>arxiv-paper-eval-20260727-105551-results.jsonl</x:v>
      </x:c>
      <x:c r="O335" s="24" t="str">
        <x:v>1</x:v>
      </x:c>
      <x:c r="P335" s="28" t="str">
        <x:v>聚焦工作负载失败预测，非调度器比较但可提供负载指标。</x:v>
      </x:c>
      <x:c r="Q335" s="25" t="str"/>
      <x:c r="R335" s="24" t="str">
        <x:f>IF(Q335&lt;&gt;"",Q335,O335)</x:f>
        <x:v>1</x:v>
      </x:c>
      <x:c r="S335" s="29" t="str"/>
    </x:row>
    <x:row r="336" ht="54" customHeight="1">
      <x:c r="A336" s="17" t="str">
        <x:v>csq017-r15</x:v>
      </x:c>
      <x:c r="B336" s="17" t="str">
        <x:v>csq017</x:v>
      </x:c>
      <x:c r="C336" s="17" t="str">
        <x:v>systems_and_networking</x:v>
      </x:c>
      <x:c r="D336" s="17" t="str">
        <x:v>datacenter_scheduling</x:v>
      </x:c>
      <x:c r="E336" s="27" t="str">
        <x:v>Which workloads, metrics, and experimental methodologies are used to evaluate datacenter cluster schedulers?</x:v>
      </x:c>
      <x:c r="F336" s="22" t="n">
        <x:v>15</x:v>
      </x:c>
      <x:c r="G336" s="17" t="str">
        <x:v>arXiv:2404.07882</x:v>
      </x:c>
      <x:c r="H336" s="27" t="str">
        <x:v>On Reducing the Execution Latency of Superconducting Quantum Processors via Quantum Job Scheduling</x:v>
      </x:c>
      <x:c r="I336" s="17" t="str">
        <x:v>Wenjie Wu; Yiquan Wang; Ge Yan; Yuming Zhao; Bo Zhang; Junchi Yan</x:v>
      </x:c>
      <x:c r="J336" s="22" t="n">
        <x:v>2024</x:v>
      </x:c>
      <x:c r="K336" s="27" t="str">
        <x:v>Quantum computing has gained considerable attention, especially after the arrival of the Noisy Intermediate-Scale Quantum (NISQ) era. Quantum processors and cloud services have been made world-wide increasingly available. Unfortunately, jobs on existing quantum processors are often executed in series, and the workload could be heavy to the processor. Typically, one has to wait for hours or even longer to obtain the result of a single quantum job on public quantum cloud due to long queue time. In fact, as the scale grows, the qubit utilization rate of the serial execution mode will further diminish, causing the waste of quantum resources. In this paper, to our best knowledge for the first time, the Quantum Job Scheduling Problem (QJSP) is formulated and introduced, and we accordingly aim to improve the utility efficiency of quantum resources. Specifically, a noise-aware quantum job scheduler (NAQJS) concerning the circuit width, number of measurement shots, and submission time of quantum jobs is proposed to reduce the execution latency. We conduct extensive experiments on a simulated Qiskit noise model, as well as on the Xiaohong (from QuantumCTek) superconducting quantum processor. Numerical results show the effectiveness in both the QPU time and turnaround time.</x:v>
      </x:c>
      <x:c r="L336" s="17" t="str">
        <x:v>http://arxiv.org/abs/2404.07882v2</x:v>
      </x:c>
      <x:c r="M336" s="23" t="n">
        <x:v>0.015151515151515152</x:v>
      </x:c>
      <x:c r="N336" s="17" t="str">
        <x:v>arxiv-paper-eval-20260727-105551-results.jsonl</x:v>
      </x:c>
      <x:c r="O336" s="24" t="str">
        <x:v>0</x:v>
      </x:c>
      <x:c r="P336" s="28" t="str">
        <x:v>研究量子处理器作业调度，不是数据中心集群调度。</x:v>
      </x:c>
      <x:c r="Q336" s="25" t="str"/>
      <x:c r="R336" s="24" t="str">
        <x:f>IF(Q336&lt;&gt;"",Q336,O336)</x:f>
        <x:v>0</x:v>
      </x:c>
      <x:c r="S336" s="29" t="str"/>
    </x:row>
    <x:row r="337" ht="54" customHeight="1">
      <x:c r="A337" s="17" t="str">
        <x:v>csq017-r16</x:v>
      </x:c>
      <x:c r="B337" s="17" t="str">
        <x:v>csq017</x:v>
      </x:c>
      <x:c r="C337" s="17" t="str">
        <x:v>systems_and_networking</x:v>
      </x:c>
      <x:c r="D337" s="17" t="str">
        <x:v>datacenter_scheduling</x:v>
      </x:c>
      <x:c r="E337" s="27" t="str">
        <x:v>Which workloads, metrics, and experimental methodologies are used to evaluate datacenter cluster schedulers?</x:v>
      </x:c>
      <x:c r="F337" s="22" t="n">
        <x:v>16</x:v>
      </x:c>
      <x:c r="G337" s="17" t="str">
        <x:v>arXiv:2112.13354</x:v>
      </x:c>
      <x:c r="H337" s="27" t="str">
        <x:v>Large-scale Machine Learning Cluster Scheduling via Multi-agent Graph Reinforcement Learning</x:v>
      </x:c>
      <x:c r="I337" s="17" t="str">
        <x:v>Xiaoyang Zhao; Chuan Wu</x:v>
      </x:c>
      <x:c r="J337" s="22" t="n">
        <x:v>2021</x:v>
      </x:c>
      <x:c r="K337" s="27" t="str">
        <x:v>Efficient scheduling of distributed deep learning (DL) jobs in large GPU clusters is crucial for resource efficiency and job performance. While server sharing among jobs improves resource utilization, interference among co-located DL jobs occurs due to resource contention. Interference-aware job placement has been studied, with white-box approaches based on explicit interference modeling and black-box schedulers with reinforcement learning. In today's clusters containing thousands of GPU servers, running a single scheduler to manage all arrival jobs in a timely and effective manner is challenging, due to the large workload scale. We adopt multiple schedulers in a large-scale cluster/data center, and propose a multi-agent reinforcement learning (MARL) scheduling framework to cooperatively learn fine-grained job placement policies, towards the objective of minimizing job completion time (JCT). To achieve topology-aware placements, our proposed framework uses hierarchical graph neural networks to encode the data center topology and server architecture. In view of a common lack of precise reward samples corresponding to different placements, a job interference model is further devised to predict interference levels in face of various co-locations, for training of the MARL schedulers. Testbed and trace-driven evaluations show that our scheduler framework outperforms representative scheduling schemes by more than 20% in terms of average JCT, and is adaptive to various machine learning cluster topologies.</x:v>
      </x:c>
      <x:c r="L337" s="17" t="str">
        <x:v>http://arxiv.org/abs/2112.13354v1</x:v>
      </x:c>
      <x:c r="M337" s="23" t="n">
        <x:v>0.015151515151515152</x:v>
      </x:c>
      <x:c r="N337" s="17" t="str">
        <x:v>arxiv-paper-eval-20260727-105551-results.jsonl</x:v>
      </x:c>
      <x:c r="O337" s="24" t="str">
        <x:v>2</x:v>
      </x:c>
      <x:c r="P337" s="28" t="str">
        <x:v>大规模GPU集群调度覆盖DL作业、干扰和扩展性。</x:v>
      </x:c>
      <x:c r="Q337" s="25" t="str"/>
      <x:c r="R337" s="24" t="str">
        <x:f>IF(Q337&lt;&gt;"",Q337,O337)</x:f>
        <x:v>2</x:v>
      </x:c>
      <x:c r="S337" s="29" t="str"/>
    </x:row>
    <x:row r="338" ht="54" customHeight="1">
      <x:c r="A338" s="17" t="str">
        <x:v>csq017-r17</x:v>
      </x:c>
      <x:c r="B338" s="17" t="str">
        <x:v>csq017</x:v>
      </x:c>
      <x:c r="C338" s="17" t="str">
        <x:v>systems_and_networking</x:v>
      </x:c>
      <x:c r="D338" s="17" t="str">
        <x:v>datacenter_scheduling</x:v>
      </x:c>
      <x:c r="E338" s="27" t="str">
        <x:v>Which workloads, metrics, and experimental methodologies are used to evaluate datacenter cluster schedulers?</x:v>
      </x:c>
      <x:c r="F338" s="22" t="n">
        <x:v>17</x:v>
      </x:c>
      <x:c r="G338" s="17" t="str">
        <x:v>arXiv:2003.13083</x:v>
      </x:c>
      <x:c r="H338" s="27" t="str">
        <x:v>Blockchain-enabled Resource Management and Sharing for 6G Communications</x:v>
      </x:c>
      <x:c r="I338" s="17" t="str">
        <x:v>Hao Xu; Paulo Valente Klaine; Oluwakayode Onireti; Bin Cao; Muhammad Imran; Lei Zhang</x:v>
      </x:c>
      <x:c r="J338" s="22" t="n">
        <x:v>2020</x:v>
      </x:c>
      <x:c r="K338" s="27" t="str">
        <x:v>The sixth generation (6G) network must provide performance superior to previous generations in order to meet the requirements of emerging services and applications, such as multi-gigabit transmission rate, even higher reliability, sub 1 millisecond latency and ubiquitous connection for Internet of Everything. However, with the scarcity of spectrum resources, efficient resource management and sharing is crucial to achieve all these ambitious requirements. One possible technology to enable all of this is blockchain, which has recently gained significance and will be of paramount importance to 6G networks and beyond due to its inherent properties. In particular, the integration of blockchain in 6G will enable the network to monitor and manage resource utilization and sharing efficiently. Hence, in this article, we discuss the potentials of blockchain for resource management and sharing in 6G using multiple application scenarios namely, Internet of things, device-to-device communications, network slicing, and inter-domain blockchain ecosystems.</x:v>
      </x:c>
      <x:c r="L338" s="17" t="str">
        <x:v>http://arxiv.org/abs/2003.13083v2</x:v>
      </x:c>
      <x:c r="M338" s="23" t="n">
        <x:v>0.015151515151515152</x:v>
      </x:c>
      <x:c r="N338" s="17" t="str">
        <x:v>arxiv-paper-eval-20260727-105551-results.jsonl</x:v>
      </x:c>
      <x:c r="O338" s="24" t="str">
        <x:v>0</x:v>
      </x:c>
      <x:c r="P338" s="28" t="str">
        <x:v>研究6G区块链资源共享，与数据中心调度无实质对应。</x:v>
      </x:c>
      <x:c r="Q338" s="25" t="str"/>
      <x:c r="R338" s="24" t="str">
        <x:f>IF(Q338&lt;&gt;"",Q338,O338)</x:f>
        <x:v>0</x:v>
      </x:c>
      <x:c r="S338" s="29" t="str"/>
    </x:row>
    <x:row r="339" ht="54" customHeight="1">
      <x:c r="A339" s="17" t="str">
        <x:v>csq017-r18</x:v>
      </x:c>
      <x:c r="B339" s="17" t="str">
        <x:v>csq017</x:v>
      </x:c>
      <x:c r="C339" s="17" t="str">
        <x:v>systems_and_networking</x:v>
      </x:c>
      <x:c r="D339" s="17" t="str">
        <x:v>datacenter_scheduling</x:v>
      </x:c>
      <x:c r="E339" s="27" t="str">
        <x:v>Which workloads, metrics, and experimental methodologies are used to evaluate datacenter cluster schedulers?</x:v>
      </x:c>
      <x:c r="F339" s="22" t="n">
        <x:v>18</x:v>
      </x:c>
      <x:c r="G339" s="17" t="str">
        <x:v>arXiv:2501.05563</x:v>
      </x:c>
      <x:c r="H339" s="27" t="str">
        <x:v>Prediction-Assisted Online Distributed Deep Learning Workload Scheduling in GPU Clusters</x:v>
      </x:c>
      <x:c r="I339" s="17" t="str">
        <x:v>Ziyue Luo; Jia Liu; Myungjin Lee; Ness B. Shroff</x:v>
      </x:c>
      <x:c r="J339" s="22" t="n">
        <x:v>2025</x:v>
      </x:c>
      <x:c r="K339" s="27" t="str">
        <x:v>The recent explosive growth of deep learning (DL) models has necessitated a compelling need for efficient job scheduling for distributed deep learning training with mixed parallelisms (DDLwMP) in GPU clusters. This paper proposes an adaptive shortest-remaining-processing-time-first (A-SRPT) scheduling algorithm, a novel prediction-assisted online scheduling approach designed to mitigate the challenges associated with DL cluster scheduling. By modeling each job as a graph corresponding to heterogeneous Deep Neural Network (DNN) models and their associated distributed training configurations, A-SRPT strategically assigns jobs to the available GPUs, thereby minimizing inter-server communication overhead. Observing that most DDLwMP jobs recur, A-SRPT incorporates a random forest regression model to predict training iterations. Crucially, A-SRPT maps the complex scheduling problem into a single-machine instance, which is addressed optimally by a preemptive "shortest-remaining-processing-time-first" strategy. This optimized solution serves as a guide for actual job scheduling within the GPU clusters, leading to a theoretically provable competitive scheduling efficiency. We conduct extensive real-world testbed and simulation experiments to verify our proposed algorithms.</x:v>
      </x:c>
      <x:c r="L339" s="17" t="str">
        <x:v>http://arxiv.org/abs/2501.05563v1</x:v>
      </x:c>
      <x:c r="M339" s="23" t="n">
        <x:v>0.014925373134328358</x:v>
      </x:c>
      <x:c r="N339" s="17" t="str">
        <x:v>arxiv-paper-eval-20260727-105551-results.jsonl</x:v>
      </x:c>
      <x:c r="O339" s="24" t="str">
        <x:v>2</x:v>
      </x:c>
      <x:c r="P339" s="28" t="str">
        <x:v>GPU集群在线调度直接建模混合并行DL工作负载。</x:v>
      </x:c>
      <x:c r="Q339" s="25" t="str"/>
      <x:c r="R339" s="24" t="str">
        <x:f>IF(Q339&lt;&gt;"",Q339,O339)</x:f>
        <x:v>2</x:v>
      </x:c>
      <x:c r="S339" s="29" t="str"/>
    </x:row>
    <x:row r="340" ht="54" customHeight="1">
      <x:c r="A340" s="17" t="str">
        <x:v>csq017-r19</x:v>
      </x:c>
      <x:c r="B340" s="17" t="str">
        <x:v>csq017</x:v>
      </x:c>
      <x:c r="C340" s="17" t="str">
        <x:v>systems_and_networking</x:v>
      </x:c>
      <x:c r="D340" s="17" t="str">
        <x:v>datacenter_scheduling</x:v>
      </x:c>
      <x:c r="E340" s="27" t="str">
        <x:v>Which workloads, metrics, and experimental methodologies are used to evaluate datacenter cluster schedulers?</x:v>
      </x:c>
      <x:c r="F340" s="22" t="n">
        <x:v>19</x:v>
      </x:c>
      <x:c r="G340" s="17" t="str">
        <x:v>arXiv:2108.10464</x:v>
      </x:c>
      <x:c r="H340" s="27" t="str">
        <x:v>The Case for Task Sampling based Learning for Cluster Job Scheduling</x:v>
      </x:c>
      <x:c r="I340" s="17" t="str">
        <x:v>Akshay Jajoo; Y. Charlie Hu; Xiaojun Lin; Nan Deng</x:v>
      </x:c>
      <x:c r="J340" s="22" t="n">
        <x:v>2021</x:v>
      </x:c>
      <x:c r="K340" s="27" t="str">
        <x:v>The ability to accurately estimate job runtime properties allows a scheduler to effectively schedule jobs. State-of-the-art online cluster job schedulers use history-based learning, which uses past job execution information to estimate the runtime properties of newly arrived jobs. However, with fast-paced development in cluster technology (in both hardware and software) and changing user inputs, job runtime properties can change over time, which lead to inaccurate predictions. In this paper, we explore the potential and limitation of real-time learning of job runtime properties, by proactively sampling and scheduling a small fraction of the tasks of each job. Such a task-sampling-based approach exploits the similarity among runtime properties of the tasks of the same job and is inherently immune to changing job behavior. Our study focuses on two key questions in comparing task-sampling-based learning (learning in space) and history-based learning (learning in time): (1) Can learning in space be more accurate than learning in time? (2) If so, can delaying scheduling the remaining tasks of a job till the completion of sampled tasks be more than compensated by the improved accuracy and result in improved job performance? Our analytical and experimental analysis of 3 production traces with different skew and job distribution shows that learning in space can be substantially more accurate. Our simulation and testbed evaluation on Azure of the two learning approaches anchored in a generic job scheduler using 3 production cluster job traces shows that despite its online overhead, learning in space reduces the average Job Completion Time (JCT) by 1.28x, 1.56x, and 1.32x compared to the prior-art history-based predictor.</x:v>
      </x:c>
      <x:c r="L340" s="17" t="str">
        <x:v>http://arxiv.org/abs/2108.10464v2</x:v>
      </x:c>
      <x:c r="M340" s="23" t="n">
        <x:v>0.014925373134328358</x:v>
      </x:c>
      <x:c r="N340" s="17" t="str">
        <x:v>arxiv-paper-eval-20260727-105551-results.jsonl</x:v>
      </x:c>
      <x:c r="O340" s="24" t="str">
        <x:v>2</x:v>
      </x:c>
      <x:c r="P340" s="28" t="str">
        <x:v>研究集群作业调度的运行时估计和采样实验方法。</x:v>
      </x:c>
      <x:c r="Q340" s="25" t="str"/>
      <x:c r="R340" s="24" t="str">
        <x:f>IF(Q340&lt;&gt;"",Q340,O340)</x:f>
        <x:v>2</x:v>
      </x:c>
      <x:c r="S340" s="29" t="str"/>
    </x:row>
    <x:row r="341" ht="54" customHeight="1">
      <x:c r="A341" s="17" t="str">
        <x:v>csq017-r20</x:v>
      </x:c>
      <x:c r="B341" s="17" t="str">
        <x:v>csq017</x:v>
      </x:c>
      <x:c r="C341" s="17" t="str">
        <x:v>systems_and_networking</x:v>
      </x:c>
      <x:c r="D341" s="17" t="str">
        <x:v>datacenter_scheduling</x:v>
      </x:c>
      <x:c r="E341" s="27" t="str">
        <x:v>Which workloads, metrics, and experimental methodologies are used to evaluate datacenter cluster schedulers?</x:v>
      </x:c>
      <x:c r="F341" s="22" t="n">
        <x:v>20</x:v>
      </x:c>
      <x:c r="G341" s="17" t="str">
        <x:v>arXiv:1903.08969</x:v>
      </x:c>
      <x:c r="H341" s="27" t="str">
        <x:v>An Energy-Efficient Resource Management System for a Mobile Ad Hoc Cloud</x:v>
      </x:c>
      <x:c r="I341" s="17" t="str">
        <x:v>Sayed Chhattan Shah</x:v>
      </x:c>
      <x:c r="J341" s="22" t="n">
        <x:v>2019</x:v>
      </x:c>
      <x:c r="K341" s="27" t="str">
        <x:v>Recently, mobile ad hoc clouds have emerged as a promising technology for mobile cyber-physical system applications, such as mobile intelligent video surveillance and smart homes. Resource management plays a key role in maximizing resource utilization and application performance in mobile ad hoc clouds. Unlike resource management in traditional distributed computing systems, such as clouds, resource management in a mobile ad hoc cloud poses numerous challenges owing to the node mobility, limited battery power, high latency, and the dynamic network environment. The real-time requirements associated with mobile cyber-physical system applications make the problem even more challenging. Currently, existing resource management systems for mobile ad hoc clouds are not designed to support mobile cyber-physical system applications and energy-efficient communication between application tasks. In this paper, we propose a new energy-efficient resource management system for mobile ad hoc clouds. The proposed system consists of two layers: a network layer and a middleware layer. The network layer provides ad hoc network and communication services to the middleware layer and shares the collected information in order to allow efficient and robust resource management decisions. It uses (1) a transmission power control mechanism to improve energy efficiency and network capacity, (2) link lifetimes to reduce communication and energy consumption costs, and (3) link quality to estimate data transfer times. The middleware layer is responsible for the discovery, monitoring, migration, and allocation of resources. It receives application tasks from users and allocates tasks to nodes on the basis of network and node-level information.</x:v>
      </x:c>
      <x:c r="L341" s="17" t="str">
        <x:v>http://arxiv.org/abs/1903.08969v1</x:v>
      </x:c>
      <x:c r="M341" s="23" t="n">
        <x:v>0.014925373134328358</x:v>
      </x:c>
      <x:c r="N341" s="17" t="str">
        <x:v>arxiv-paper-eval-20260727-105551-results.jsonl</x:v>
      </x:c>
      <x:c r="O341" s="24" t="str">
        <x:v>0</x:v>
      </x:c>
      <x:c r="P341" s="28" t="str">
        <x:v>研究移动自组织云，非数据中心集群调度。</x:v>
      </x:c>
      <x:c r="Q341" s="25" t="str"/>
      <x:c r="R341" s="24" t="str">
        <x:f>IF(Q341&lt;&gt;"",Q341,O341)</x:f>
        <x:v>0</x:v>
      </x:c>
      <x:c r="S341" s="29" t="str"/>
    </x:row>
    <x:row r="342" ht="54" customHeight="1">
      <x:c r="A342" s="17" t="str">
        <x:v>csq018-r01</x:v>
      </x:c>
      <x:c r="B342" s="17" t="str">
        <x:v>csq018</x:v>
      </x:c>
      <x:c r="C342" s="17" t="str">
        <x:v>systems_and_networking</x:v>
      </x:c>
      <x:c r="D342" s="17" t="str">
        <x:v>programmable_networks</x:v>
      </x:c>
      <x:c r="E342" s="27" t="str">
        <x:v>How have programmable data planes and in-network computing evolved, and which classes of distributed applications have benefited from them?</x:v>
      </x:c>
      <x:c r="F342" s="22" t="n">
        <x:v>1</x:v>
      </x:c>
      <x:c r="G342" s="17" t="str">
        <x:v>arXiv:1912.10643</x:v>
      </x:c>
      <x:c r="H342" s="27" t="str">
        <x:v>Jupiter: A Networked Computing Architecture</x:v>
      </x:c>
      <x:c r="I342" s="17" t="str">
        <x:v>Pradipta Ghosh; Quynh Nguyen; Pranav K Sakulkar; Aleksandra Knezevic; Jason A. Tran; Jiatong Wang; Zhifeng Lin; Bhaskar Krishnamachari; Murali Annavaram; Salman Avestimehr</x:v>
      </x:c>
      <x:c r="J342" s="22" t="n">
        <x:v>2019</x:v>
      </x:c>
      <x:c r="K342" s="27" t="str">
        <x:v>In the era of Internet of Things, there is an increasing demand for networked computing to support the requirements of the time-constrained, compute-intensive distributed applications such as multi-camera video processing and data fusion for security. We present Jupiter, an open source networked computing system that inputs a Directed Acyclic Graph (DAG)-based computational task graph to efficiently distribute the tasks among a set of networked compute nodes regardless of their geographical separations and orchestrates the execution of the DAG thereafter. This Kubernetes container-orchestration-based system supports both centralized and decentralized scheduling algorithms for optimally mapping the tasks based on information from a range of profilers: network profilers, resource profilers, and execution time profilers. While centralized scheduling algorithms with global knowledge have been popular among the grid/cloud computing community, we argue that a distributed scheduling approach is better suited for networked computing due to lower communication and computation overhead in the face of network dynamics. To this end, we propose and implement a new class of distributed scheduling algorithms called WAVE on the Jupiter system. We present a set of real world experiments on two separate testbeds - one a world-wide network of 90 cloud computers across 8 cities and the other a cluster of 30 Raspberry pi nodes, over a simple networked computing application called Distributed Network Anomaly Detector (DNAD). We show that despite using more localized knowledge, a distributed WAVE greedy algorithm can achieve similar performance as a classical centralized scheduling algorithm called Heterogeneous Earliest Finish Time (HEFT), suitably enhanced for the Jupiter system.</x:v>
      </x:c>
      <x:c r="L342" s="17" t="str">
        <x:v>http://arxiv.org/abs/1912.10643v1</x:v>
      </x:c>
      <x:c r="M342" s="23" t="n">
        <x:v>0.03278688524590164</x:v>
      </x:c>
      <x:c r="N342" s="17" t="str">
        <x:v>arxiv-paper-eval-20260727-105551-results.jsonl</x:v>
      </x:c>
      <x:c r="O342" s="24" t="str">
        <x:v>0</x:v>
      </x:c>
      <x:c r="P342" s="28" t="str">
        <x:v>任务部署在网络化计算节点，并非数据平面内计算。</x:v>
      </x:c>
      <x:c r="Q342" s="25" t="str"/>
      <x:c r="R342" s="24" t="str">
        <x:f>IF(Q342&lt;&gt;"",Q342,O342)</x:f>
        <x:v>0</x:v>
      </x:c>
      <x:c r="S342" s="29" t="str"/>
    </x:row>
    <x:row r="343" ht="54" customHeight="1">
      <x:c r="A343" s="17" t="str">
        <x:v>csq018-r02</x:v>
      </x:c>
      <x:c r="B343" s="17" t="str">
        <x:v>csq018</x:v>
      </x:c>
      <x:c r="C343" s="17" t="str">
        <x:v>systems_and_networking</x:v>
      </x:c>
      <x:c r="D343" s="17" t="str">
        <x:v>programmable_networks</x:v>
      </x:c>
      <x:c r="E343" s="27" t="str">
        <x:v>How have programmable data planes and in-network computing evolved, and which classes of distributed applications have benefited from them?</x:v>
      </x:c>
      <x:c r="F343" s="22" t="n">
        <x:v>2</x:v>
      </x:c>
      <x:c r="G343" s="17" t="str">
        <x:v>arXiv:1904.04024</x:v>
      </x:c>
      <x:c r="H343" s="27" t="str">
        <x:v>SwitchAgg:A Further Step Towards In-Network Computation</x:v>
      </x:c>
      <x:c r="I343" s="17" t="str">
        <x:v>Fan Yang; Zhan Wang; Xiaoxiao Ma; Guojun Yuan; Xuejun An</x:v>
      </x:c>
      <x:c r="J343" s="22" t="n">
        <x:v>2019</x:v>
      </x:c>
      <x:c r="K343" s="27" t="str">
        <x:v>Many distributed applications adopt a partition/aggregation pattern to achieve high performance and scalability. The aggregation process, which usually takes a large portion of the overall execution time, incurs large amount of network traffic and bottlenecks the system performance. To reduce network traffic,some researches take advantage of network devices to commit innetwork aggregation. However, these approaches use either special topology or middle-boxes, which cannot be easily deployed in current datacenters. The emerging programmable RMT switch brings us new opportunities to implement in-network computation task. However, we argue that the architecture of RMT switch is not suitable for in-network aggregation since it is designed primarily for implementing traditional network functions. In this paper, we first give a detailed analysis of in-network aggregation, and point out the key factor that affects the data reduction ratio. We then propose SwitchAgg, which is an innetwork aggregation system that is compatible with current datacenter infrastructures. We also evaluate the performance improvement we have gained from SwitchAgg. Our results show that, SwitchAgg can process data aggregation tasks at line rate and gives a high data reduction rate, which helps us to cut down network traffic and alleviate pressure on server CPU. In the system performance test, the job-completion-time can be reduced as much as 50%</x:v>
      </x:c>
      <x:c r="L343" s="17" t="str">
        <x:v>http://arxiv.org/abs/1904.04024v1</x:v>
      </x:c>
      <x:c r="M343" s="23" t="n">
        <x:v>0.03225806451612903</x:v>
      </x:c>
      <x:c r="N343" s="17" t="str">
        <x:v>arxiv-paper-eval-20260727-105551-results.jsonl</x:v>
      </x:c>
      <x:c r="O343" s="24" t="str">
        <x:v>2</x:v>
      </x:c>
      <x:c r="P343" s="28" t="str">
        <x:v>直接利用可编程RMT交换机实现分布式聚合。</x:v>
      </x:c>
      <x:c r="Q343" s="25" t="str"/>
      <x:c r="R343" s="24" t="str">
        <x:f>IF(Q343&lt;&gt;"",Q343,O343)</x:f>
        <x:v>2</x:v>
      </x:c>
      <x:c r="S343" s="29" t="str"/>
    </x:row>
    <x:row r="344" ht="54" customHeight="1">
      <x:c r="A344" s="17" t="str">
        <x:v>csq018-r03</x:v>
      </x:c>
      <x:c r="B344" s="17" t="str">
        <x:v>csq018</x:v>
      </x:c>
      <x:c r="C344" s="17" t="str">
        <x:v>systems_and_networking</x:v>
      </x:c>
      <x:c r="D344" s="17" t="str">
        <x:v>programmable_networks</x:v>
      </x:c>
      <x:c r="E344" s="27" t="str">
        <x:v>How have programmable data planes and in-network computing evolved, and which classes of distributed applications have benefited from them?</x:v>
      </x:c>
      <x:c r="F344" s="22" t="n">
        <x:v>3</x:v>
      </x:c>
      <x:c r="G344" s="17" t="str">
        <x:v>arXiv:1907.12986</x:v>
      </x:c>
      <x:c r="H344" s="27" t="str">
        <x:v>Runtime QoS service for application-driven adaptation in network computing</x:v>
      </x:c>
      <x:c r="I344" s="17" t="str">
        <x:v>Feras Al-Hawari; Elias Manolakos</x:v>
      </x:c>
      <x:c r="J344" s="22" t="n">
        <x:v>2019</x:v>
      </x:c>
      <x:c r="K344" s="27" t="str">
        <x:v>A distributed application executing on a Network of Workstations (NOW) needs to be resource state aware to possibly adapt itself accordingly in order to keep satisfying the desired Quality of Service (QoS) demands throughout its lifespan. We implemented a QoS service to enable application-driven adaptation for performance and fault tolerance at runtime. The service is associated with lightweight middleware that monitors the state and load of all application entities (e.g., machines, tasks, and logical network links). Moreover, it makes its services available to an application task via an anonymous and simple to use QoS API. We present a Manager-Worker application that uses our fault tolerance QoS API to adapt for Worker faults in order to avoid application deadlock at runtime. Moreover, we show how a dynamic application-level scheduler can easily utilize the QoS API to find efficient schedules. Furthermore, we quantified the overhead of the QoS middleware in various scenarios to demonstrate that it has minor impact on the performance of the application it is servicing.</x:v>
      </x:c>
      <x:c r="L344" s="17" t="str">
        <x:v>http://arxiv.org/abs/1907.12986v1</x:v>
      </x:c>
      <x:c r="M344" s="23" t="n">
        <x:v>0.03125763125763126</x:v>
      </x:c>
      <x:c r="N344" s="17" t="str">
        <x:v>arxiv-paper-eval-20260727-105551-results.jsonl</x:v>
      </x:c>
      <x:c r="O344" s="24" t="str">
        <x:v>0</x:v>
      </x:c>
      <x:c r="P344" s="28" t="str">
        <x:v>传统工作站网络QoS中间件，不涉及可编程数据平面。</x:v>
      </x:c>
      <x:c r="Q344" s="25" t="str"/>
      <x:c r="R344" s="24" t="str">
        <x:f>IF(Q344&lt;&gt;"",Q344,O344)</x:f>
        <x:v>0</x:v>
      </x:c>
      <x:c r="S344" s="29" t="str"/>
    </x:row>
    <x:row r="345" ht="54" customHeight="1">
      <x:c r="A345" s="17" t="str">
        <x:v>csq018-r04</x:v>
      </x:c>
      <x:c r="B345" s="17" t="str">
        <x:v>csq018</x:v>
      </x:c>
      <x:c r="C345" s="17" t="str">
        <x:v>systems_and_networking</x:v>
      </x:c>
      <x:c r="D345" s="17" t="str">
        <x:v>programmable_networks</x:v>
      </x:c>
      <x:c r="E345" s="27" t="str">
        <x:v>How have programmable data planes and in-network computing evolved, and which classes of distributed applications have benefited from them?</x:v>
      </x:c>
      <x:c r="F345" s="22" t="n">
        <x:v>4</x:v>
      </x:c>
      <x:c r="G345" s="17" t="str">
        <x:v>arXiv:2106.05467</x:v>
      </x:c>
      <x:c r="H345" s="27" t="str">
        <x:v>NetFC: enabling accurate floating-point arithmetic on programmable switches</x:v>
      </x:c>
      <x:c r="I345" s="17" t="str">
        <x:v>Penglai Cui; Heng Pan; Zhenyu Li; Jiaoren Wu; Shengzhuo Zhang; Xingwu Yang; Hongtao Guan; Gaogang Xie</x:v>
      </x:c>
      <x:c r="J345" s="22" t="n">
        <x:v>2021</x:v>
      </x:c>
      <x:c r="K345" s="27" t="str">
        <x:v>In-network computation has been widely used to accelerate data-intensive distributed applications. Some computational tasks, traditional performed on servers, are offloaded to the network (i.e. programmable switches). However, the computational capacity of programmable switches is limited to simple integer arithmetic operations while many of applications require on-the-fly floating-point operations. To address this issue, prior approaches either adopt a float-to-integer method or directly offload computational tasks to the local CPUs of switches, incurring accuracy loss and delayed processing. To this end, we propose NetFC, a table-lookup method to achieve on-the-fly in-network floating-point arithmetic operations nearly without accuracy loss. NetFC adopts a divide-and-conquer mechanism that converts the original huge table into several much small tables together with some integer operations. NetFC adopts a scaling-factor mechanism for computational accuracy improvement, and a prefix-based lossless table compression method to reduce the memory overhead. We use different types of datasets to evaluate NetFC. The experimental results show that the average accuracy of NetFC can be as high as up to 99.94% at worst with only 448KB memory consumption. Furthermore, we integrate NetFC into Sonata for detecting Slowloris attack, yielding significant decrease of detection delay.</x:v>
      </x:c>
      <x:c r="L345" s="17" t="str">
        <x:v>http://arxiv.org/abs/2106.05467v1</x:v>
      </x:c>
      <x:c r="M345" s="23" t="n">
        <x:v>0.029709507042253523</x:v>
      </x:c>
      <x:c r="N345" s="17" t="str">
        <x:v>arxiv-paper-eval-20260727-105551-results.jsonl</x:v>
      </x:c>
      <x:c r="O345" s="24" t="str">
        <x:v>2</x:v>
      </x:c>
      <x:c r="P345" s="28" t="str">
        <x:v>为可编程交换机补足浮点计算以扩展网内应用。</x:v>
      </x:c>
      <x:c r="Q345" s="25" t="str"/>
      <x:c r="R345" s="24" t="str">
        <x:f>IF(Q345&lt;&gt;"",Q345,O345)</x:f>
        <x:v>2</x:v>
      </x:c>
      <x:c r="S345" s="29" t="str"/>
    </x:row>
    <x:row r="346" ht="54" customHeight="1">
      <x:c r="A346" s="17" t="str">
        <x:v>csq018-r05</x:v>
      </x:c>
      <x:c r="B346" s="17" t="str">
        <x:v>csq018</x:v>
      </x:c>
      <x:c r="C346" s="17" t="str">
        <x:v>systems_and_networking</x:v>
      </x:c>
      <x:c r="D346" s="17" t="str">
        <x:v>programmable_networks</x:v>
      </x:c>
      <x:c r="E346" s="27" t="str">
        <x:v>How have programmable data planes and in-network computing evolved, and which classes of distributed applications have benefited from them?</x:v>
      </x:c>
      <x:c r="F346" s="22" t="n">
        <x:v>5</x:v>
      </x:c>
      <x:c r="G346" s="17" t="str">
        <x:v>arXiv:2501.01187</x:v>
      </x:c>
      <x:c r="H346" s="27" t="str">
        <x:v>NET-SA: An Efficient Secure Aggregation Architecture Based on In-Network Computing</x:v>
      </x:c>
      <x:c r="I346" s="17" t="str">
        <x:v>Qingqing Ren; Wen Wang; Shuyong Zhu; Zhiyuan Wu; Yujun Zhang</x:v>
      </x:c>
      <x:c r="J346" s="22" t="n">
        <x:v>2025</x:v>
      </x:c>
      <x:c r="K346" s="27" t="str">
        <x:v>Privacy-preserving machine learning (PPML) enables clients to collaboratively train deep learning models without sharing private datasets, but faces privacy leakage risks due to gradient leakage attacks. Prevailing methods leverage secure aggregation strategies to enhance PPML, where clients leverage masks and secret sharing to further protect gradient data while tolerating participant dropouts. These methods, however, require frequent inter-client communication to negotiate keys and perform secret sharing, leading to substantial communication overhead. To tackle this issue, we propose NET-SA, an efficient secure aggregation architecture for PPML based on in-network computing. NET-SA employs seed homomorphic pseudorandom generators for local gradient masking and utilizes programmable switches for seed aggregation. Accurate and secure gradient aggregation is then performed on the central server based on masked gradients and aggregated seeds. This design effectively reduces communication overhead due to eliminating the communication-intensive phases of seed agreement and secret sharing, with enhanced dropout tolerance due to overcoming the threshold limit of secret sharing. Extensive experiments on server clusters and Intel Tofino programmable switch demonstrate that NET-SA achieves up to 77x and 12x enhancements in runtime and 2x decrease in total client communication cost compared with state-of-the-art methods.</x:v>
      </x:c>
      <x:c r="L346" s="17" t="str">
        <x:v>http://arxiv.org/abs/2501.01187v2</x:v>
      </x:c>
      <x:c r="M346" s="23" t="n">
        <x:v>0.01639344262295082</x:v>
      </x:c>
      <x:c r="N346" s="17" t="str">
        <x:v>arxiv-paper-eval-20260727-105551-results.jsonl</x:v>
      </x:c>
      <x:c r="O346" s="24" t="str">
        <x:v>2</x:v>
      </x:c>
      <x:c r="P346" s="28" t="str">
        <x:v>以网内计算加速隐私机器学习安全聚合。</x:v>
      </x:c>
      <x:c r="Q346" s="25" t="str"/>
      <x:c r="R346" s="24" t="str">
        <x:f>IF(Q346&lt;&gt;"",Q346,O346)</x:f>
        <x:v>2</x:v>
      </x:c>
      <x:c r="S346" s="29" t="str"/>
    </x:row>
    <x:row r="347" ht="54" customHeight="1">
      <x:c r="A347" s="17" t="str">
        <x:v>csq018-r06</x:v>
      </x:c>
      <x:c r="B347" s="17" t="str">
        <x:v>csq018</x:v>
      </x:c>
      <x:c r="C347" s="17" t="str">
        <x:v>systems_and_networking</x:v>
      </x:c>
      <x:c r="D347" s="17" t="str">
        <x:v>programmable_networks</x:v>
      </x:c>
      <x:c r="E347" s="27" t="str">
        <x:v>How have programmable data planes and in-network computing evolved, and which classes of distributed applications have benefited from them?</x:v>
      </x:c>
      <x:c r="F347" s="22" t="n">
        <x:v>6</x:v>
      </x:c>
      <x:c r="G347" s="17" t="str">
        <x:v>arXiv:2102.00643</x:v>
      </x:c>
      <x:c r="H347" s="27" t="str">
        <x:v>An Exhaustive Survey on P4 Programmable Data Plane Switches: Taxonomy, Applications, Challenges, and Future Trends</x:v>
      </x:c>
      <x:c r="I347" s="17" t="str">
        <x:v>Elie F. Kfoury; Jorge Crichigno; Elias Bou-Harb</x:v>
      </x:c>
      <x:c r="J347" s="22" t="n">
        <x:v>2021</x:v>
      </x:c>
      <x:c r="K347" s="27" t="str">
        <x:v>Traditionally, the data plane has been designed with fixed functions to forward packets using a small set of protocols. This closed-design paradigm has limited the capability of the switches to proprietary implementations which are hardcoded by vendors, inducing a lengthy, costly, and inflexible process. Recently, data plane programmability has attracted significant attention from both the research community and the industry, permitting operators and programmers in general to run customized packet processing function. This open-design paradigm is paving the way for an unprecedented wave of innovation and experimentation by reducing the time of designing, testing, and adopting new protocols; enabling a customized, top-down approach to develop network applications; providing granular visibility of packet events defined by the programmer; reducing complexity and enhancing resource utilization of the programmable switches; and drastically improving the performance of applications that are offloaded to the data plane. Despite the impressive advantages of programmable data plane switches and their importance in modern networks, the literature has been missing a comprehensive survey. To this end, this paper provides a background encompassing an overview of the evolution of networks from legacy to programmable, describing the essentials of programmable switches, and summarizing their advantages over Software-defined Networking (SDN) and legacy devices. The paper then presents a unique, comprehensive taxonomy of applications developed with P4 language; surveying, classifying, and analyzing more than 150 articles; discussing challenges and considerations; and presenting future perspectives and open research issues.</x:v>
      </x:c>
      <x:c r="L347" s="17" t="str">
        <x:v>http://arxiv.org/abs/2102.00643v2</x:v>
      </x:c>
      <x:c r="M347" s="23" t="n">
        <x:v>0.01639344262295082</x:v>
      </x:c>
      <x:c r="N347" s="17" t="str">
        <x:v>arxiv-paper-eval-20260727-105551-results.jsonl</x:v>
      </x:c>
      <x:c r="O347" s="24" t="str">
        <x:v>2</x:v>
      </x:c>
      <x:c r="P347" s="28" t="str">
        <x:v>系统综述P4数据平面的演进、应用与挑战。</x:v>
      </x:c>
      <x:c r="Q347" s="25" t="str"/>
      <x:c r="R347" s="24" t="str">
        <x:f>IF(Q347&lt;&gt;"",Q347,O347)</x:f>
        <x:v>2</x:v>
      </x:c>
      <x:c r="S347" s="29" t="str"/>
    </x:row>
    <x:row r="348" ht="54" customHeight="1">
      <x:c r="A348" s="17" t="str">
        <x:v>csq018-r07</x:v>
      </x:c>
      <x:c r="B348" s="17" t="str">
        <x:v>csq018</x:v>
      </x:c>
      <x:c r="C348" s="17" t="str">
        <x:v>systems_and_networking</x:v>
      </x:c>
      <x:c r="D348" s="17" t="str">
        <x:v>programmable_networks</x:v>
      </x:c>
      <x:c r="E348" s="27" t="str">
        <x:v>How have programmable data planes and in-network computing evolved, and which classes of distributed applications have benefited from them?</x:v>
      </x:c>
      <x:c r="F348" s="22" t="n">
        <x:v>7</x:v>
      </x:c>
      <x:c r="G348" s="17" t="str">
        <x:v>arXiv:2307.08900</x:v>
      </x:c>
      <x:c r="H348" s="27" t="str">
        <x:v>An Architecture for Provisioning In-Network Computing-Enabled Slices for Holographic Applications in Next-Generation Networks</x:v>
      </x:c>
      <x:c r="I348" s="17" t="str">
        <x:v>Fatemeh Aghaaliakbari; Zakaria Ait Hmitti; Marsa Rayani; Manel Gherari; Roch H. Glitho; Halima Elbiaze; Wessam Ajib</x:v>
      </x:c>
      <x:c r="J348" s="22" t="n">
        <x:v>2023</x:v>
      </x:c>
      <x:c r="K348" s="27" t="str">
        <x:v>Applications such as holographic concerts are now emerging. However, their provisioning remains highly challenging. Requirements such as high bandwidth and ultra-low latency are still very challenging for the current network infrastructure. In-network computing (INC) is an emerging paradigm that enables the distribution of computing tasks across the network instead of computing on servers outside the network. It aims at tackling these two challenges. This article advocates the use of the INC paradigm to tackle holographic applications' high bandwidth and low latency challenges instead of the edge computing paradigm that has been used so far. Slicing brings flexibility to next-generation networks by enabling the deployment of applications/verticals with different requirements on the same network infrastructure. We propose an architecture that enables the provisioning of INC-enabled slices for holographic-type application deployment. The architecture is validated through a proof of concept and extensive simulations. Our experimental results show that INC significantly outperforms edge computing when it comes to these two key challenges. In addition, low jitter was maintained to preserve the hologram's stability.</x:v>
      </x:c>
      <x:c r="L348" s="17" t="str">
        <x:v>http://arxiv.org/abs/2307.08900v1</x:v>
      </x:c>
      <x:c r="M348" s="23" t="n">
        <x:v>0.016129032258064516</x:v>
      </x:c>
      <x:c r="N348" s="17" t="str">
        <x:v>arxiv-paper-eval-20260727-105551-results.jsonl</x:v>
      </x:c>
      <x:c r="O348" s="24" t="str">
        <x:v>2</x:v>
      </x:c>
      <x:c r="P348" s="28" t="str">
        <x:v>将网内计算用于全息应用带宽与延迟需求。</x:v>
      </x:c>
      <x:c r="Q348" s="25" t="str"/>
      <x:c r="R348" s="24" t="str">
        <x:f>IF(Q348&lt;&gt;"",Q348,O348)</x:f>
        <x:v>2</x:v>
      </x:c>
      <x:c r="S348" s="29" t="str"/>
    </x:row>
    <x:row r="349" ht="54" customHeight="1">
      <x:c r="A349" s="17" t="str">
        <x:v>csq018-r08</x:v>
      </x:c>
      <x:c r="B349" s="17" t="str">
        <x:v>csq018</x:v>
      </x:c>
      <x:c r="C349" s="17" t="str">
        <x:v>systems_and_networking</x:v>
      </x:c>
      <x:c r="D349" s="17" t="str">
        <x:v>programmable_networks</x:v>
      </x:c>
      <x:c r="E349" s="27" t="str">
        <x:v>How have programmable data planes and in-network computing evolved, and which classes of distributed applications have benefited from them?</x:v>
      </x:c>
      <x:c r="F349" s="22" t="n">
        <x:v>8</x:v>
      </x:c>
      <x:c r="G349" s="17" t="str">
        <x:v>arXiv:2110.00631</x:v>
      </x:c>
      <x:c r="H349" s="27" t="str">
        <x:v>The Programmable Data Plane: Abstractions, Architectures, Algorithms, and Applications</x:v>
      </x:c>
      <x:c r="I349" s="17" t="str">
        <x:v>Oliver Michel; Roberto Bifulco; Gabor Retvari; Stefan Schmid</x:v>
      </x:c>
      <x:c r="J349" s="22" t="n">
        <x:v>2021</x:v>
      </x:c>
      <x:c r="K349" s="27" t="str">
        <x:v>Programmable data plane technology enables the systematic reconfiguration of the low-level processing steps applied to network packets and is a key driver in realizing the next generation of network services and applications. This survey presents recent trends and issues in the design and implementation of programmable network devices, focusing on prominent architectures, abstractions, algorithms, and applications proposed, debated, and realized over the past years. We elaborate on the trends that led to the emergence of this technology and highlight the most important pointers from the literature, casting different taxonomies for the field and identifying avenues for future research.</x:v>
      </x:c>
      <x:c r="L349" s="17" t="str">
        <x:v>http://arxiv.org/abs/2110.00631v1</x:v>
      </x:c>
      <x:c r="M349" s="23" t="n">
        <x:v>0.016129032258064516</x:v>
      </x:c>
      <x:c r="N349" s="17" t="str">
        <x:v>arxiv-paper-eval-20260727-105551-results.jsonl</x:v>
      </x:c>
      <x:c r="O349" s="24" t="str">
        <x:v>2</x:v>
      </x:c>
      <x:c r="P349" s="28" t="str">
        <x:v>综述可编程数据平面架构、算法、演进和应用。</x:v>
      </x:c>
      <x:c r="Q349" s="25" t="str"/>
      <x:c r="R349" s="24" t="str">
        <x:f>IF(Q349&lt;&gt;"",Q349,O349)</x:f>
        <x:v>2</x:v>
      </x:c>
      <x:c r="S349" s="29" t="str"/>
    </x:row>
    <x:row r="350" ht="54" customHeight="1">
      <x:c r="A350" s="17" t="str">
        <x:v>csq018-r09</x:v>
      </x:c>
      <x:c r="B350" s="17" t="str">
        <x:v>csq018</x:v>
      </x:c>
      <x:c r="C350" s="17" t="str">
        <x:v>systems_and_networking</x:v>
      </x:c>
      <x:c r="D350" s="17" t="str">
        <x:v>programmable_networks</x:v>
      </x:c>
      <x:c r="E350" s="27" t="str">
        <x:v>How have programmable data planes and in-network computing evolved, and which classes of distributed applications have benefited from them?</x:v>
      </x:c>
      <x:c r="F350" s="22" t="n">
        <x:v>9</x:v>
      </x:c>
      <x:c r="G350" s="17" t="str">
        <x:v>arXiv:2501.18840</x:v>
      </x:c>
      <x:c r="H350" s="27" t="str">
        <x:v>Sharing GPUs and Programmable Switches in a Federated Testbed with SHARY</x:v>
      </x:c>
      <x:c r="I350" s="17" t="str">
        <x:v>Stefano Salsano; Andrea Mayer; Paolo Lungaroni; Pierpaolo Loreti; Lorenzo Bracciale; Andrea Detti; Marco Orazi; Paolo Giaccone; Fulvio Risso; Alessandro Cornacchia; Carla Fabiana Chiasserini</x:v>
      </x:c>
      <x:c r="J350" s="22" t="n">
        <x:v>2025</x:v>
      </x:c>
      <x:c r="K350" s="27" t="str">
        <x:v>Federated testbeds enable collaborative research by providing access to diverse resources, including computing power, storage, and specialized hardware like GPUs, programmable switches and smart Network Interface Cards (NICs). Efficiently sharing these resources across federated institutions is challenging, particularly when resources are scarce and costly. GPUs are crucial for AI and machine learning research, but their high demand and expense make efficient management essential. Similarly, advanced experimentation on programmable data plane requires very expensive programmable switches (e.g., based on P4) and smart NICs. This paper introduces SHARY (SHaring Any Resource made easY), a dynamic reservation system that simplifies resource booking and management in federated environments. We show that SHARY can be adopted for heterogenous resources, thanks to an adaptation layer tailored for the specific resource considered. Indeed, it can be integrated with FIGO (Federated Infrastructure for GPU Orchestration), which enhances GPU availability through a demand-driven sharing model. By enabling real-time resource sharing and a flexible booking system, FIGO improves access to GPUs, reduces costs, and accelerates research progress. SHARY can be also integrated with SUP4RNET platform to reserve the access of P4 switches.</x:v>
      </x:c>
      <x:c r="L350" s="17" t="str">
        <x:v>http://arxiv.org/abs/2501.18840v1</x:v>
      </x:c>
      <x:c r="M350" s="23" t="n">
        <x:v>0.015873015873015872</x:v>
      </x:c>
      <x:c r="N350" s="17" t="str">
        <x:v>arxiv-paper-eval-20260727-105551-results.jsonl</x:v>
      </x:c>
      <x:c r="O350" s="24" t="str">
        <x:v>1</x:v>
      </x:c>
      <x:c r="P350" s="28" t="str">
        <x:v>提供可编程交换机试验资源，属于研究基础设施背景。</x:v>
      </x:c>
      <x:c r="Q350" s="25" t="str"/>
      <x:c r="R350" s="24" t="str">
        <x:f>IF(Q350&lt;&gt;"",Q350,O350)</x:f>
        <x:v>1</x:v>
      </x:c>
      <x:c r="S350" s="29" t="str"/>
    </x:row>
    <x:row r="351" ht="54" customHeight="1">
      <x:c r="A351" s="17" t="str">
        <x:v>csq018-r10</x:v>
      </x:c>
      <x:c r="B351" s="17" t="str">
        <x:v>csq018</x:v>
      </x:c>
      <x:c r="C351" s="17" t="str">
        <x:v>systems_and_networking</x:v>
      </x:c>
      <x:c r="D351" s="17" t="str">
        <x:v>programmable_networks</x:v>
      </x:c>
      <x:c r="E351" s="27" t="str">
        <x:v>How have programmable data planes and in-network computing evolved, and which classes of distributed applications have benefited from them?</x:v>
      </x:c>
      <x:c r="F351" s="22" t="n">
        <x:v>10</x:v>
      </x:c>
      <x:c r="G351" s="17" t="str">
        <x:v>arXiv:2208.11543</x:v>
      </x:c>
      <x:c r="H351" s="27" t="str">
        <x:v>Evaluating the Planning and Operational Resilience of Electrical Distribution Systems with Distributed Energy Resources using Complex Network Theory</x:v>
      </x:c>
      <x:c r="I351" s="17" t="str">
        <x:v>Divyanshi Dwivedi; Pradeep Kumar Yemula; Mayukha Pal</x:v>
      </x:c>
      <x:c r="J351" s="22" t="n">
        <x:v>2022</x:v>
      </x:c>
      <x:c r="K351" s="27" t="str">
        <x:v>Electrical Distribution Systems are extensively penetrated with Distributed Energy Resources (DERs) to cater the energy demands with the general perception that it enhances the system's resilience. However, integration of DERs may adversely affect the grid operation and affect the system resilience due to various factors like their intermittent availability, dynamics of weather conditions, non-linearity, complexity, number of malicious threats, and improved reliability requirements of consumers. This paper proposes a methodology to evaluate the planning and operational resilience of power distribution systems under extreme events and determines the withstand capability of the electrical network. The proposed framework is developed by effectively employing the complex network theory. Correlated networks for undesirable configurations are developed from the time series data of active power monitored at nodes of the electrical network. For these correlated networks, computed the network parameters such as clustering coefficient, assortative coefficient, average degree and power law exponent for the anticipation; and percolation threshold for the determination of the network withstand capability under extreme conditions. The proposed methodology is also suitable for identifying the hosting capacity of solar panels in the system while maintaining resilience under different unfavourable conditions and identifying the most critical nodes of the system that could drive the system into non-resilience. This framework is demonstrated on IEEE 123 node test feeder by generating active power time-series data for a variety of electrical conditions using simulation software, GridLAB-D. The percolation threshold resulted as an effective metric for the determination of the planning and operational resilience of the power distribution system.</x:v>
      </x:c>
      <x:c r="L351" s="17" t="str">
        <x:v>http://arxiv.org/abs/2208.11543v4</x:v>
      </x:c>
      <x:c r="M351" s="23" t="n">
        <x:v>0.015873015873015872</x:v>
      </x:c>
      <x:c r="N351" s="17" t="str">
        <x:v>arxiv-paper-eval-20260727-105551-results.jsonl</x:v>
      </x:c>
      <x:c r="O351" s="24" t="str">
        <x:v>0</x:v>
      </x:c>
      <x:c r="P351" s="28" t="str">
        <x:v>电力配电系统中的分布式能源，与网内计算无关。</x:v>
      </x:c>
      <x:c r="Q351" s="25" t="str"/>
      <x:c r="R351" s="24" t="str">
        <x:f>IF(Q351&lt;&gt;"",Q351,O351)</x:f>
        <x:v>0</x:v>
      </x:c>
      <x:c r="S351" s="29" t="str"/>
    </x:row>
    <x:row r="352" ht="54" customHeight="1">
      <x:c r="A352" s="17" t="str">
        <x:v>csq018-r11</x:v>
      </x:c>
      <x:c r="B352" s="17" t="str">
        <x:v>csq018</x:v>
      </x:c>
      <x:c r="C352" s="17" t="str">
        <x:v>systems_and_networking</x:v>
      </x:c>
      <x:c r="D352" s="17" t="str">
        <x:v>programmable_networks</x:v>
      </x:c>
      <x:c r="E352" s="27" t="str">
        <x:v>How have programmable data planes and in-network computing evolved, and which classes of distributed applications have benefited from them?</x:v>
      </x:c>
      <x:c r="F352" s="22" t="n">
        <x:v>11</x:v>
      </x:c>
      <x:c r="G352" s="17" t="str">
        <x:v>arXiv:2009.02457</x:v>
      </x:c>
      <x:c r="H352" s="27" t="str">
        <x:v>Unleashing In-network Computing on Scientific Workloads</x:v>
      </x:c>
      <x:c r="I352" s="17" t="str">
        <x:v>Daehyeok Kim; Ankush Jain; Zaoxing Liu; George Amvrosiadis; Damian Hazen; Bradley Settlemyer; Vyas Sekar</x:v>
      </x:c>
      <x:c r="J352" s="22" t="n">
        <x:v>2020</x:v>
      </x:c>
      <x:c r="K352" s="27" t="str">
        <x:v>Many recent efforts have shown that in-network computing can benefit various datacenter applications. In this paper, we explore a relatively less-explored domain which we argue can benefit from in-network computing: scientific workloads in high-performance computing. By analyzing canonical examples of HPC applications, we observe unique opportunities and challenges for exploiting in-network computing to accelerate scientific workloads. In particular, we find that the dynamic and demanding nature of scientific workloads is the major obstacle to the adoption of in-network approaches which are mostly open-loop and lack runtime feedback. In this paper, we present NSinC (Network-accelerated ScIeNtific Computing), an architecture for fully unleashing the potential benefits of in-network computing for scientific workloads by providing closed-loop runtime feedback to in-network acceleration services. We outline key challenges in realizing this vision and a preliminary design to enable acceleration for scientific applications.</x:v>
      </x:c>
      <x:c r="L352" s="17" t="str">
        <x:v>http://arxiv.org/abs/2009.02457v1</x:v>
      </x:c>
      <x:c r="M352" s="23" t="n">
        <x:v>0.015873015873015872</x:v>
      </x:c>
      <x:c r="N352" s="17" t="str">
        <x:v>arxiv-paper-eval-20260727-105551-results.jsonl</x:v>
      </x:c>
      <x:c r="O352" s="24" t="str">
        <x:v>2</x:v>
      </x:c>
      <x:c r="P352" s="28" t="str">
        <x:v>直接研究网内计算对HPC科学工作负载的收益。</x:v>
      </x:c>
      <x:c r="Q352" s="25" t="str"/>
      <x:c r="R352" s="24" t="str">
        <x:f>IF(Q352&lt;&gt;"",Q352,O352)</x:f>
        <x:v>2</x:v>
      </x:c>
      <x:c r="S352" s="29" t="str"/>
    </x:row>
    <x:row r="353" ht="54" customHeight="1">
      <x:c r="A353" s="17" t="str">
        <x:v>csq018-r12</x:v>
      </x:c>
      <x:c r="B353" s="17" t="str">
        <x:v>csq018</x:v>
      </x:c>
      <x:c r="C353" s="17" t="str">
        <x:v>systems_and_networking</x:v>
      </x:c>
      <x:c r="D353" s="17" t="str">
        <x:v>programmable_networks</x:v>
      </x:c>
      <x:c r="E353" s="27" t="str">
        <x:v>How have programmable data planes and in-network computing evolved, and which classes of distributed applications have benefited from them?</x:v>
      </x:c>
      <x:c r="F353" s="22" t="n">
        <x:v>12</x:v>
      </x:c>
      <x:c r="G353" s="17" t="str">
        <x:v>arXiv:2510.08228</x:v>
      </x:c>
      <x:c r="H353" s="27" t="str">
        <x:v>Distributed Resource Selection for Self-Organising Cloud-Edge Systems</x:v>
      </x:c>
      <x:c r="I353" s="17" t="str">
        <x:v>Quentin Renau; Amjad Ullah; Emma Hart</x:v>
      </x:c>
      <x:c r="J353" s="22" t="n">
        <x:v>2025</x:v>
      </x:c>
      <x:c r="K353" s="27" t="str">
        <x:v>This paper presents a distributed resource selection mechanism for diverse cloud-edge environments, enabling dynamic and context-aware allocation of resources to meet the demands of complex distributed applications. By distributing the decision-making process, our approach ensures efficiency, scalability, and resilience in highly dynamic cloud-edge environments where centralised coordination becomes a bottleneck. The proposed mechanism aims to function as a core component of a broader, distributed, and self-organising orchestration system that facilitates the intelligent placement and adaptation of applications in real-time. This work leverages a consensus-based mechanism utilising local knowledge and inter-agent collaboration to achieve efficient results without relying on a central controller, thus paving the way for distributed orchestration. Our results indicate that computation time is the key factor influencing allocation decisions. Our approach consistently delivers rapid allocations without compromising optimality or incurring additional cost, achieving timely results at scale where exhaustive search is infeasible and centralised heuristics run up to 30 times slower.</x:v>
      </x:c>
      <x:c r="L353" s="17" t="str">
        <x:v>http://arxiv.org/abs/2510.08228v1</x:v>
      </x:c>
      <x:c r="M353" s="23" t="n">
        <x:v>0.015625</x:v>
      </x:c>
      <x:c r="N353" s="17" t="str">
        <x:v>arxiv-paper-eval-20260727-105551-results.jsonl</x:v>
      </x:c>
      <x:c r="O353" s="24" t="str">
        <x:v>0</x:v>
      </x:c>
      <x:c r="P353" s="28" t="str">
        <x:v>云边资源选择不涉及可编程数据平面或网内计算。</x:v>
      </x:c>
      <x:c r="Q353" s="25" t="str"/>
      <x:c r="R353" s="24" t="str">
        <x:f>IF(Q353&lt;&gt;"",Q353,O353)</x:f>
        <x:v>0</x:v>
      </x:c>
      <x:c r="S353" s="29" t="str"/>
    </x:row>
    <x:row r="354" ht="54" customHeight="1">
      <x:c r="A354" s="17" t="str">
        <x:v>csq018-r13</x:v>
      </x:c>
      <x:c r="B354" s="17" t="str">
        <x:v>csq018</x:v>
      </x:c>
      <x:c r="C354" s="17" t="str">
        <x:v>systems_and_networking</x:v>
      </x:c>
      <x:c r="D354" s="17" t="str">
        <x:v>programmable_networks</x:v>
      </x:c>
      <x:c r="E354" s="27" t="str">
        <x:v>How have programmable data planes and in-network computing evolved, and which classes of distributed applications have benefited from them?</x:v>
      </x:c>
      <x:c r="F354" s="22" t="n">
        <x:v>13</x:v>
      </x:c>
      <x:c r="G354" s="17" t="str">
        <x:v>arXiv:2101.10632</x:v>
      </x:c>
      <x:c r="H354" s="27" t="str">
        <x:v>A Survey on Data Plane Programming with P4: Fundamentals, Advances, and Applied Research</x:v>
      </x:c>
      <x:c r="I354" s="17" t="str">
        <x:v>Frederik Hauser; Marco Häberle; Daniel Merling; Steffen Lindner; Vladimir Gurevich; Florian Zeiger; Reinhard Frank; Michael Menth</x:v>
      </x:c>
      <x:c r="J354" s="22" t="n">
        <x:v>2021</x:v>
      </x:c>
      <x:c r="K354" s="27" t="str">
        <x:v>Programmable data planes allow users to define their own data plane algorithms for network devices including appropriate data plane application programming interfaces (APIs) which may be leveraged by user-defined software-defined networking (SDN) control. This offers great flexibility for network customization, be it for specialized, commercial appliances, e.g., in 5G or data center networks, or for rapid prototyping in industrial and academic research. Programming protocol-independent packet processors (P4) has emerged as the currently most widespread abstraction, programming language, and concept for data plane programming. It is developed and standardized by an open community, and it is supported by various software and hardware platforms. In the first part of this paper we give a tutorial of data plane programming models, the P4 programming language, architectures, compilers, targets, and data plane APIs. We also consider research efforts to advance P4 technology. In the second part, we categorize a large body of literature of P4-based applied research into different research domains, summarize the contributions of these papers, and extract prototypes, target platforms, and source code availability. For each research domain, we analyze how the reviewed works benefit from P4's core features. Finally, we discuss potential next steps based on our findings.</x:v>
      </x:c>
      <x:c r="L354" s="17" t="str">
        <x:v>http://arxiv.org/abs/2101.10632v3</x:v>
      </x:c>
      <x:c r="M354" s="23" t="n">
        <x:v>0.015625</x:v>
      </x:c>
      <x:c r="N354" s="17" t="str">
        <x:v>arxiv-paper-eval-20260727-105551-results.jsonl</x:v>
      </x:c>
      <x:c r="O354" s="24" t="str">
        <x:v>2</x:v>
      </x:c>
      <x:c r="P354" s="28" t="str">
        <x:v>综述P4数据平面基础、进展和应用研究。</x:v>
      </x:c>
      <x:c r="Q354" s="25" t="str"/>
      <x:c r="R354" s="24" t="str">
        <x:f>IF(Q354&lt;&gt;"",Q354,O354)</x:f>
        <x:v>2</x:v>
      </x:c>
      <x:c r="S354" s="29" t="str"/>
    </x:row>
    <x:row r="355" ht="54" customHeight="1">
      <x:c r="A355" s="17" t="str">
        <x:v>csq018-r14</x:v>
      </x:c>
      <x:c r="B355" s="17" t="str">
        <x:v>csq018</x:v>
      </x:c>
      <x:c r="C355" s="17" t="str">
        <x:v>systems_and_networking</x:v>
      </x:c>
      <x:c r="D355" s="17" t="str">
        <x:v>programmable_networks</x:v>
      </x:c>
      <x:c r="E355" s="27" t="str">
        <x:v>How have programmable data planes and in-network computing evolved, and which classes of distributed applications have benefited from them?</x:v>
      </x:c>
      <x:c r="F355" s="22" t="n">
        <x:v>14</x:v>
      </x:c>
      <x:c r="G355" s="17" t="str">
        <x:v>arXiv:1911.03451</x:v>
      </x:c>
      <x:c r="H355" s="27" t="str">
        <x:v>Enabling Highly Efficient Capsule Networks Processing Through A PIM-Based Architecture Design</x:v>
      </x:c>
      <x:c r="I355" s="17" t="str">
        <x:v>Xingyao Zhang; Shuaiwen Leon Song; Chenhao Xie; Jing Wang; Weigong Zhang; Xin Fu</x:v>
      </x:c>
      <x:c r="J355" s="22" t="n">
        <x:v>2019</x:v>
      </x:c>
      <x:c r="K355" s="27" t="str">
        <x:v>In recent years, the CNNs have achieved great successes in the image processing tasks, e.g., image recognition and object detection. Unfortunately, traditional CNN's classification is found to be easily misled by increasingly complex image features due to the usage of pooling operations, hence unable to preserve accurate position and pose information of the objects. To address this challenge, a novel neural network structure called Capsule Network has been proposed, which introduces equivariance through capsules to significantly enhance the learning ability for image segmentation and object detection. Due to its requirement of performing a high volume of matrix operations, CapsNets have been generally accelerated on modern GPU platforms that provide highly optimized software library for common deep learning tasks. However, based on our performance characterization on modern GPUs, CapsNets exhibit low efficiency due to the special program and execution features of their routing procedure, including massive unshareable intermediate variables and intensive synchronizations, which are very difficult to optimize at software level. To address these challenges, we propose a hybrid computing architecture design named \textit{PIM-CapsNet}. It preserves GPU's on-chip computing capability for accelerating CNN types of layers in CapsNet, while pipelining with an off-chip in-memory acceleration solution that effectively tackles routing procedure's inefficiency by leveraging the processing-in-memory capability of today's 3D stacked memory. Using routing procedure's inherent parallellization feature, our design enables hierarchical improvements on CapsNet inference efficiency through minimizing data movement and maximizing parallel processing in memory.</x:v>
      </x:c>
      <x:c r="L355" s="17" t="str">
        <x:v>http://arxiv.org/abs/1911.03451v1</x:v>
      </x:c>
      <x:c r="M355" s="23" t="n">
        <x:v>0.015625</x:v>
      </x:c>
      <x:c r="N355" s="17" t="str">
        <x:v>arxiv-paper-eval-20260727-105551-results.jsonl</x:v>
      </x:c>
      <x:c r="O355" s="24" t="str">
        <x:v>0</x:v>
      </x:c>
      <x:c r="P355" s="28" t="str">
        <x:v>研究存内计算架构而非网络内计算。</x:v>
      </x:c>
      <x:c r="Q355" s="25" t="str"/>
      <x:c r="R355" s="24" t="str">
        <x:f>IF(Q355&lt;&gt;"",Q355,O355)</x:f>
        <x:v>0</x:v>
      </x:c>
      <x:c r="S355" s="29" t="str"/>
    </x:row>
    <x:row r="356" ht="54" customHeight="1">
      <x:c r="A356" s="17" t="str">
        <x:v>csq018-r15</x:v>
      </x:c>
      <x:c r="B356" s="17" t="str">
        <x:v>csq018</x:v>
      </x:c>
      <x:c r="C356" s="17" t="str">
        <x:v>systems_and_networking</x:v>
      </x:c>
      <x:c r="D356" s="17" t="str">
        <x:v>programmable_networks</x:v>
      </x:c>
      <x:c r="E356" s="27" t="str">
        <x:v>How have programmable data planes and in-network computing evolved, and which classes of distributed applications have benefited from them?</x:v>
      </x:c>
      <x:c r="F356" s="22" t="n">
        <x:v>15</x:v>
      </x:c>
      <x:c r="G356" s="17" t="str">
        <x:v>arXiv:2401.06306</x:v>
      </x:c>
      <x:c r="H356" s="27" t="str">
        <x:v>Joint Network Slicing, Routing, and In-Network Computing for Energy-Efficient 6G</x:v>
      </x:c>
      <x:c r="I356" s="17" t="str">
        <x:v>Zeinab Sasan; Masoud Shokrnezhad; Siavash Khorsandi; Tarik Taleb</x:v>
      </x:c>
      <x:c r="J356" s="22" t="n">
        <x:v>2024</x:v>
      </x:c>
      <x:c r="K356" s="27" t="str">
        <x:v>To address the evolving landscape of next-generation mobile networks, characterized by an increasing number of connected users, surging traffic demands, and the continuous emergence of new services, a novel communication paradigm is essential. One promising candidate is the integration of network slicing and in-network computing, offering resource isolation, deterministic networking, enhanced resource efficiency, network expansion, and energy conservation. Although prior research has explored resource allocation within network slicing, routing, and in-network computing independently, a comprehensive investigation into their joint approach has been lacking. This paper tackles the joint problem of network slicing, path selection, and the allocation of in-network and cloud computing resources, aiming to maximize the number of accepted users while minimizing energy consumption. First, we introduce a Mixed-Integer Linear Programming (MILP) formulation of the problem and analyze its complexity, proving that the problem is NP-hard. Next, a Water Filling-based Joint Slicing, Routing, and In-Network Computing (WF-JSRIN) heuristic algorithm is proposed to solve it. Finally, a comparative analysis was conducted among WF-JSRIN, a random allocation technique, and two optimal approaches, namely Opt-IN (utilizing in-network computation) and Opt-C (solely relying on cloud node resources). The results emphasize WF-JSRIN's efficiency in delivering highly efficient near-optimal solutions with significantly reduced execution times, solidifying its suitability for practical real-world applications.</x:v>
      </x:c>
      <x:c r="L356" s="17" t="str">
        <x:v>http://arxiv.org/abs/2401.06306v1</x:v>
      </x:c>
      <x:c r="M356" s="23" t="n">
        <x:v>0.015384615384615385</x:v>
      </x:c>
      <x:c r="N356" s="17" t="str">
        <x:v>arxiv-paper-eval-20260727-105551-results.jsonl</x:v>
      </x:c>
      <x:c r="O356" s="24" t="str">
        <x:v>2</x:v>
      </x:c>
      <x:c r="P356" s="28" t="str">
        <x:v>研究网内计算在6G切片、路由和能效中的应用。</x:v>
      </x:c>
      <x:c r="Q356" s="25" t="str"/>
      <x:c r="R356" s="24" t="str">
        <x:f>IF(Q356&lt;&gt;"",Q356,O356)</x:f>
        <x:v>2</x:v>
      </x:c>
      <x:c r="S356" s="29" t="str"/>
    </x:row>
    <x:row r="357" ht="54" customHeight="1">
      <x:c r="A357" s="17" t="str">
        <x:v>csq018-r16</x:v>
      </x:c>
      <x:c r="B357" s="17" t="str">
        <x:v>csq018</x:v>
      </x:c>
      <x:c r="C357" s="17" t="str">
        <x:v>systems_and_networking</x:v>
      </x:c>
      <x:c r="D357" s="17" t="str">
        <x:v>programmable_networks</x:v>
      </x:c>
      <x:c r="E357" s="27" t="str">
        <x:v>How have programmable data planes and in-network computing evolved, and which classes of distributed applications have benefited from them?</x:v>
      </x:c>
      <x:c r="F357" s="22" t="n">
        <x:v>16</x:v>
      </x:c>
      <x:c r="G357" s="17" t="str">
        <x:v>arXiv:2006.15782</x:v>
      </x:c>
      <x:c r="H357" s="27" t="str">
        <x:v>Flexible IoT Datapath Programming using P4</x:v>
      </x:c>
      <x:c r="I357" s="17" t="str">
        <x:v> Shahzad; Eun-Sung Jung</x:v>
      </x:c>
      <x:c r="J357" s="22" t="n">
        <x:v>2020</x:v>
      </x:c>
      <x:c r="K357" s="27" t="str">
        <x:v>The progress of the network and device technologies enables any device to be connected to the Internet thereby forming an Internet of Things (IoT) architecture. Internet-related activities based on the IoT services can inevitably generate a lot of real-time data which leads a big data phenomenon. To efficiently handle such big IoT data, software-defined networking (SDN) techniques could come into play. Among SDN techniques, P4 is a highlevel language for programming protocol-independent packet processors. This paper presents our preliminary work on how we can use P4 to achieve flexible datapath programming for large scale IoT streaming data streaming. As a case study, we describe the implementation of dynamic MST-based datapath programing for IoT data collection in an arbitrary network topology.</x:v>
      </x:c>
      <x:c r="L357" s="17" t="str">
        <x:v>http://arxiv.org/abs/2006.15782v1</x:v>
      </x:c>
      <x:c r="M357" s="23" t="n">
        <x:v>0.015384615384615385</x:v>
      </x:c>
      <x:c r="N357" s="17" t="str">
        <x:v>arxiv-paper-eval-20260727-105551-results.jsonl</x:v>
      </x:c>
      <x:c r="O357" s="24" t="str">
        <x:v>2</x:v>
      </x:c>
      <x:c r="P357" s="28" t="str">
        <x:v>以P4可编程数据路径处理大规模IoT流数据。</x:v>
      </x:c>
      <x:c r="Q357" s="25" t="str"/>
      <x:c r="R357" s="24" t="str">
        <x:f>IF(Q357&lt;&gt;"",Q357,O357)</x:f>
        <x:v>2</x:v>
      </x:c>
      <x:c r="S357" s="29" t="str"/>
    </x:row>
    <x:row r="358" ht="54" customHeight="1">
      <x:c r="A358" s="17" t="str">
        <x:v>csq018-r17</x:v>
      </x:c>
      <x:c r="B358" s="17" t="str">
        <x:v>csq018</x:v>
      </x:c>
      <x:c r="C358" s="17" t="str">
        <x:v>systems_and_networking</x:v>
      </x:c>
      <x:c r="D358" s="17" t="str">
        <x:v>programmable_networks</x:v>
      </x:c>
      <x:c r="E358" s="27" t="str">
        <x:v>How have programmable data planes and in-network computing evolved, and which classes of distributed applications have benefited from them?</x:v>
      </x:c>
      <x:c r="F358" s="22" t="n">
        <x:v>17</x:v>
      </x:c>
      <x:c r="G358" s="17" t="str">
        <x:v>arXiv:2505.24269</x:v>
      </x:c>
      <x:c r="H358" s="27" t="str">
        <x:v>INSIGHT: A Survey of In-Network Systems for Intelligent, High-Efficiency AI and Topology Optimization</x:v>
      </x:c>
      <x:c r="I358" s="17" t="str">
        <x:v>Aleksandr Algazinov; Joydeep Chandra; Matt Laing</x:v>
      </x:c>
      <x:c r="J358" s="22" t="n">
        <x:v>2025</x:v>
      </x:c>
      <x:c r="K358" s="27" t="str">
        <x:v>In-network computation represents a transformative approach to addressing the escalating demands of Artificial Intelligence (AI) workloads on network infrastructure. By leveraging the processing capabilities of network devices such as switches, routers, and Network Interface Cards (NICs), this paradigm enables AI computations to be performed directly within the network fabric, significantly reducing latency, enhancing throughput, and optimizing resource utilization. This paper provides a comprehensive analysis of optimizing in-network computation for AI, exploring the evolution of programmable network architectures, such as Software-Defined Networking (SDN) and Programmable Data Planes (PDPs), and their convergence with AI. It examines methodologies for mapping AI models onto resource-constrained network devices, addressing challenges like limited memory and computational capabilities through efficient algorithm design and model compression techniques. The paper also highlights advancements in distributed learning, particularly in-network aggregation, and the potential of federated learning to enhance privacy and scalability. Frameworks like Planter and Quark are discussed for simplifying development, alongside key applications such as intelligent network monitoring, intrusion detection, traffic management, and Edge AI. Future research directions, including runtime programmability, standardized benchmarks, and new applications paradigms, are proposed to advance this rapidly evolving field. This survey underscores the potential of in-network AI to create intelligent, efficient, and responsive networks capable of meeting the demands of next-generation AI applications.</x:v>
      </x:c>
      <x:c r="L358" s="17" t="str">
        <x:v>http://arxiv.org/abs/2505.24269v2</x:v>
      </x:c>
      <x:c r="M358" s="23" t="n">
        <x:v>0.015151515151515152</x:v>
      </x:c>
      <x:c r="N358" s="17" t="str">
        <x:v>arxiv-paper-eval-20260727-105551-results.jsonl</x:v>
      </x:c>
      <x:c r="O358" s="24" t="str">
        <x:v>2</x:v>
      </x:c>
      <x:c r="P358" s="28" t="str">
        <x:v>综述网内AI系统及可编程网络架构演进。</x:v>
      </x:c>
      <x:c r="Q358" s="25" t="str"/>
      <x:c r="R358" s="24" t="str">
        <x:f>IF(Q358&lt;&gt;"",Q358,O358)</x:f>
        <x:v>2</x:v>
      </x:c>
      <x:c r="S358" s="29" t="str"/>
    </x:row>
    <x:row r="359" ht="54" customHeight="1">
      <x:c r="A359" s="17" t="str">
        <x:v>csq018-r18</x:v>
      </x:c>
      <x:c r="B359" s="17" t="str">
        <x:v>csq018</x:v>
      </x:c>
      <x:c r="C359" s="17" t="str">
        <x:v>systems_and_networking</x:v>
      </x:c>
      <x:c r="D359" s="17" t="str">
        <x:v>programmable_networks</x:v>
      </x:c>
      <x:c r="E359" s="27" t="str">
        <x:v>How have programmable data planes and in-network computing evolved, and which classes of distributed applications have benefited from them?</x:v>
      </x:c>
      <x:c r="F359" s="22" t="n">
        <x:v>18</x:v>
      </x:c>
      <x:c r="G359" s="17" t="str">
        <x:v>arXiv:2110.14224</x:v>
      </x:c>
      <x:c r="H359" s="27" t="str">
        <x:v>SOAR: Minimizing Network Utilization with Bounded In-network Computing</x:v>
      </x:c>
      <x:c r="I359" s="17" t="str">
        <x:v>Raz Segal; Chen Avin; Gabriel Scalosub</x:v>
      </x:c>
      <x:c r="J359" s="22" t="n">
        <x:v>2021</x:v>
      </x:c>
      <x:c r="K359" s="27" t="str">
        <x:v>In-network computing via smart networking devices is a recent trend for modern datacenter networks. State-of-the-art switches with near line rate computing and aggregation capabilities are developed to enable, e.g., acceleration and better utilization for modern applications like big data analytics, and large-scale distributed and federated machine learning. We formulate and study the problem of activating a limited number of in-network computing devices within a network, aiming at reducing the overall network utilization for a given workload. Such limitations on the number of in-network computing elements per workload arise, e.g., in incremental upgrades of network infrastructure, and are also due to requiring specialized middleboxes, or FPGAs, that should support heterogeneous workloads, and multiple tenants. We present an optimal and efficient algorithm for placing such devices in tree networks with arbitrary link rates, and further evaluate our proposed solution in various scenarios and for various tasks. Our results show that having merely a small fraction of network devices support in-network aggregation can lead to a significant reduction in network utilization. Furthermore, we show that various intuitive strategies for performing such placements exhibit significantly inferior performance compared to our solution, for varying workloads, tasks, and link rates.</x:v>
      </x:c>
      <x:c r="L359" s="17" t="str">
        <x:v>http://arxiv.org/abs/2110.14224v1</x:v>
      </x:c>
      <x:c r="M359" s="23" t="n">
        <x:v>0.015151515151515152</x:v>
      </x:c>
      <x:c r="N359" s="17" t="str">
        <x:v>arxiv-paper-eval-20260727-105551-results.jsonl</x:v>
      </x:c>
      <x:c r="O359" s="24" t="str">
        <x:v>2</x:v>
      </x:c>
      <x:c r="P359" s="28" t="str">
        <x:v>网内计算用于大数据和分布式学习并量化网络利用。</x:v>
      </x:c>
      <x:c r="Q359" s="25" t="str"/>
      <x:c r="R359" s="24" t="str">
        <x:f>IF(Q359&lt;&gt;"",Q359,O359)</x:f>
        <x:v>2</x:v>
      </x:c>
      <x:c r="S359" s="29" t="str"/>
    </x:row>
    <x:row r="360" ht="54" customHeight="1">
      <x:c r="A360" s="17" t="str">
        <x:v>csq018-r19</x:v>
      </x:c>
      <x:c r="B360" s="17" t="str">
        <x:v>csq018</x:v>
      </x:c>
      <x:c r="C360" s="17" t="str">
        <x:v>systems_and_networking</x:v>
      </x:c>
      <x:c r="D360" s="17" t="str">
        <x:v>programmable_networks</x:v>
      </x:c>
      <x:c r="E360" s="27" t="str">
        <x:v>How have programmable data planes and in-network computing evolved, and which classes of distributed applications have benefited from them?</x:v>
      </x:c>
      <x:c r="F360" s="22" t="n">
        <x:v>19</x:v>
      </x:c>
      <x:c r="G360" s="17" t="str">
        <x:v>arXiv:1904.07027</x:v>
      </x:c>
      <x:c r="H360" s="27" t="str">
        <x:v>Learning the undecidable from networked systems</x:v>
      </x:c>
      <x:c r="I360" s="17" t="str">
        <x:v>Felipe S. Abrahão; Ítala M. Loffredo D'Ottaviano; Klaus Wehmuth; Francisco Antônio Dória; Artur Ziviani</x:v>
      </x:c>
      <x:c r="J360" s="22" t="n">
        <x:v>2019</x:v>
      </x:c>
      <x:c r="K360" s="27" t="str">
        <x:v>This article presents a theoretical investigation of computation beyond the Turing barrier from emergent behavior in distributed systems. In particular, we present an algorithmic network that is a mathematical model of a networked population of randomly generated computable systems with a fixed communication protocol. Then, in order to solve an undecidable problem, we study how nodes (i.e., Turing machines or computable systems) can harness the power of the metabiological selection and the power of information sharing (i.e., communication) through the network. Formally, we show that there is a pervasive network topological condition, in particular, the small-diameter phenomenon, that ensures that every node becomes capable of solving the halting problem for every program with a length upper bounded by a logarithmic order of the population size. In addition, we show that this result implies the existence of a central node capable of emergently solving the halting problem in the minimum number of communication rounds. Furthermore, we introduce an algorithmic-informational measure of synergy for networked computable systems, which we call local algorithmic synergy. Then, we show that such algorithmic network can produce an arbitrarily large value of expected local algorithmic synergy.</x:v>
      </x:c>
      <x:c r="L360" s="17" t="str">
        <x:v>http://arxiv.org/abs/1904.07027v3</x:v>
      </x:c>
      <x:c r="M360" s="23" t="n">
        <x:v>0.015151515151515152</x:v>
      </x:c>
      <x:c r="N360" s="17" t="str">
        <x:v>arxiv-paper-eval-20260727-105551-results.jsonl</x:v>
      </x:c>
      <x:c r="O360" s="24" t="str">
        <x:v>0</x:v>
      </x:c>
      <x:c r="P360" s="28" t="str">
        <x:v>理论网络化计算模型，不涉及可编程交换数据平面。</x:v>
      </x:c>
      <x:c r="Q360" s="25" t="str"/>
      <x:c r="R360" s="24" t="str">
        <x:f>IF(Q360&lt;&gt;"",Q360,O360)</x:f>
        <x:v>0</x:v>
      </x:c>
      <x:c r="S360" s="29" t="str"/>
    </x:row>
    <x:row r="361" ht="54" customHeight="1">
      <x:c r="A361" s="17" t="str">
        <x:v>csq018-r20</x:v>
      </x:c>
      <x:c r="B361" s="17" t="str">
        <x:v>csq018</x:v>
      </x:c>
      <x:c r="C361" s="17" t="str">
        <x:v>systems_and_networking</x:v>
      </x:c>
      <x:c r="D361" s="17" t="str">
        <x:v>programmable_networks</x:v>
      </x:c>
      <x:c r="E361" s="27" t="str">
        <x:v>How have programmable data planes and in-network computing evolved, and which classes of distributed applications have benefited from them?</x:v>
      </x:c>
      <x:c r="F361" s="22" t="n">
        <x:v>20</x:v>
      </x:c>
      <x:c r="G361" s="17" t="str">
        <x:v>arXiv:2505.11231</x:v>
      </x:c>
      <x:c r="H361" s="27" t="str">
        <x:v>MM-INT: Telemetry in Programmable Switches with Multiple Queues using Source-based Multipath Routing</x:v>
      </x:c>
      <x:c r="I361" s="17" t="str">
        <x:v>Mateus N. Bragatto; João Paulo M. Clevelares; Cristina K. Dominicini; Rodolfo S. Villaça; Fábio L. Verdi</x:v>
      </x:c>
      <x:c r="J361" s="22" t="n">
        <x:v>2025</x:v>
      </x:c>
      <x:c r="K361" s="27" t="str">
        <x:v>This article emphasizes the importance of queues associated with the ports of switches in network monitoring. Traditionally, data collection about these queues is done using programmable data planes and telemetry based on INT (In-band Network Telemetry) probes, assuming there is only a single queue per output port. The MM-INT (Multiqueue Multicast - INT) is a solution that utilizes registers to store data from all queues and ports, enabling the efficient collection of monitoring information. The MM-INT avoids probe overload and employs the origin-based routing mechanism and multicast trees for the probes. The results demonstrate significant reductions in the number of probes sent compared to other traditional solutions found in the literature.</x:v>
      </x:c>
      <x:c r="L361" s="17" t="str">
        <x:v>http://arxiv.org/abs/2505.11231v1</x:v>
      </x:c>
      <x:c r="M361" s="23" t="n">
        <x:v>0.014925373134328358</x:v>
      </x:c>
      <x:c r="N361" s="17" t="str">
        <x:v>arxiv-paper-eval-20260727-105551-results.jsonl</x:v>
      </x:c>
      <x:c r="O361" s="24" t="str">
        <x:v>2</x:v>
      </x:c>
      <x:c r="P361" s="28" t="str">
        <x:v>在可编程交换机上实现多队列带内遥测。</x:v>
      </x:c>
      <x:c r="Q361" s="25" t="str"/>
      <x:c r="R361" s="24" t="str">
        <x:f>IF(Q361&lt;&gt;"",Q361,O361)</x:f>
        <x:v>2</x:v>
      </x:c>
      <x:c r="S361" s="29" t="str"/>
    </x:row>
    <x:row r="362" ht="54" customHeight="1">
      <x:c r="A362" s="17" t="str">
        <x:v>csq019-r01</x:v>
      </x:c>
      <x:c r="B362" s="17" t="str">
        <x:v>csq019</x:v>
      </x:c>
      <x:c r="C362" s="17" t="str">
        <x:v>security_and_privacy</x:v>
      </x:c>
      <x:c r="D362" s="17" t="str">
        <x:v>differential_privacy</x:v>
      </x:c>
      <x:c r="E362" s="27" t="str">
        <x:v>What methods are used for training deep learning models with differential privacy, and how do they manage the privacy-utility-computation trade-off?</x:v>
      </x:c>
      <x:c r="F362" s="22" t="n">
        <x:v>1</x:v>
      </x:c>
      <x:c r="G362" s="17" t="str">
        <x:v>arXiv:2110.08557</x:v>
      </x:c>
      <x:c r="H362" s="27" t="str">
        <x:v>DPNAS: Neural Architecture Search for Deep Learning with Differential Privacy</x:v>
      </x:c>
      <x:c r="I362" s="17" t="str">
        <x:v>Anda Cheng; Jiaxing Wang; Xi Sheryl Zhang; Qiang Chen; Peisong Wang; Jian Cheng</x:v>
      </x:c>
      <x:c r="J362" s="22" t="n">
        <x:v>2021</x:v>
      </x:c>
      <x:c r="K362" s="27" t="str">
        <x:v>Training deep neural networks (DNNs) for meaningful differential privacy (DP) guarantees severely degrades model utility. In this paper, we demonstrate that the architecture of DNNs has a significant impact on model utility in the context of private deep learning, whereas its effect is largely unexplored in previous studies. In light of this missing, we propose the very first framework that employs neural architecture search to automatic model design for private deep learning, dubbed as DPNAS. To integrate private learning with architecture search, we delicately design a novel search space and propose a DP-aware method for training candidate models. We empirically certify the effectiveness of the proposed framework. The searched model DPNASNet achieves state-of-the-art privacy/utility trade-offs, e.g., for the privacy budget of $(ε, δ)=(3, 1\times10^{-5})$, our model obtains test accuracy of $98.57\%$ on MNIST, $88.09\%$ on FashionMNIST, and $68.33\%$ on CIFAR-10. Furthermore, by studying the generated architectures, we provide several intriguing findings of designing private-learning-friendly DNNs, which can shed new light on model design for deep learning with differential privacy.</x:v>
      </x:c>
      <x:c r="L362" s="17" t="str">
        <x:v>http://arxiv.org/abs/2110.08557v2</x:v>
      </x:c>
      <x:c r="M362" s="23" t="n">
        <x:v>0.047891458495966696</x:v>
      </x:c>
      <x:c r="N362" s="17" t="str">
        <x:v>arxiv-paper-eval-20260727-105551-results.jsonl</x:v>
      </x:c>
      <x:c r="O362" s="24" t="str">
        <x:v>2</x:v>
      </x:c>
      <x:c r="P362" s="28" t="str">
        <x:v>用神经架构搜索改善差分隐私训练的效用。</x:v>
      </x:c>
      <x:c r="Q362" s="25" t="str"/>
      <x:c r="R362" s="24" t="str">
        <x:f>IF(Q362&lt;&gt;"",Q362,O362)</x:f>
        <x:v>2</x:v>
      </x:c>
      <x:c r="S362" s="29" t="str"/>
    </x:row>
    <x:row r="363" ht="54" customHeight="1">
      <x:c r="A363" s="17" t="str">
        <x:v>csq019-r02</x:v>
      </x:c>
      <x:c r="B363" s="17" t="str">
        <x:v>csq019</x:v>
      </x:c>
      <x:c r="C363" s="17" t="str">
        <x:v>security_and_privacy</x:v>
      </x:c>
      <x:c r="D363" s="17" t="str">
        <x:v>differential_privacy</x:v>
      </x:c>
      <x:c r="E363" s="27" t="str">
        <x:v>What methods are used for training deep learning models with differential privacy, and how do they manage the privacy-utility-computation trade-off?</x:v>
      </x:c>
      <x:c r="F363" s="22" t="n">
        <x:v>2</x:v>
      </x:c>
      <x:c r="G363" s="17" t="str">
        <x:v>arXiv:2007.14191</x:v>
      </x:c>
      <x:c r="H363" s="27" t="str">
        <x:v>Tempered Sigmoid Activations for Deep Learning with Differential Privacy</x:v>
      </x:c>
      <x:c r="I363" s="17" t="str">
        <x:v>Nicolas Papernot; Abhradeep Thakurta; Shuang Song; Steve Chien; Úlfar Erlingsson</x:v>
      </x:c>
      <x:c r="J363" s="22" t="n">
        <x:v>2020</x:v>
      </x:c>
      <x:c r="K363" s="27" t="str">
        <x:v>Because learning sometimes involves sensitive data, machine learning algorithms have been extended to offer privacy for training data. In practice, this has been mostly an afterthought, with privacy-preserving models obtained by re-running training with a different optimizer, but using the model architectures that already performed well in a non-privacy-preserving setting. This approach leads to less than ideal privacy/utility tradeoffs, as we show here. Instead, we propose that model architectures are chosen ab initio explicitly for privacy-preserving training. To provide guarantees under the gold standard of differential privacy, one must bound as strictly as possible how individual training points can possibly affect model updates. In this paper, we are the first to observe that the choice of activation function is central to bounding the sensitivity of privacy-preserving deep learning. We demonstrate analytically and experimentally how a general family of bounded activation functions, the tempered sigmoids, consistently outperform unbounded activation functions like ReLU. Using this paradigm, we achieve new state-of-the-art accuracy on MNIST, FashionMNIST, and CIFAR10 without any modification of the learning procedure fundamentals or differential privacy analysis.</x:v>
      </x:c>
      <x:c r="L363" s="17" t="str">
        <x:v>http://arxiv.org/abs/2007.14191v1</x:v>
      </x:c>
      <x:c r="M363" s="23" t="n">
        <x:v>0.04510903806678455</x:v>
      </x:c>
      <x:c r="N363" s="17" t="str">
        <x:v>arxiv-paper-eval-20260727-105551-results.jsonl</x:v>
      </x:c>
      <x:c r="O363" s="24" t="str">
        <x:v>2</x:v>
      </x:c>
      <x:c r="P363" s="28" t="str">
        <x:v>专为DP训练选择激活与架构以改善隐私效用权衡。</x:v>
      </x:c>
      <x:c r="Q363" s="25" t="str"/>
      <x:c r="R363" s="24" t="str">
        <x:f>IF(Q363&lt;&gt;"",Q363,O363)</x:f>
        <x:v>2</x:v>
      </x:c>
      <x:c r="S363" s="29" t="str"/>
    </x:row>
    <x:row r="364" ht="54" customHeight="1">
      <x:c r="A364" s="17" t="str">
        <x:v>csq019-r03</x:v>
      </x:c>
      <x:c r="B364" s="17" t="str">
        <x:v>csq019</x:v>
      </x:c>
      <x:c r="C364" s="17" t="str">
        <x:v>security_and_privacy</x:v>
      </x:c>
      <x:c r="D364" s="17" t="str">
        <x:v>differential_privacy</x:v>
      </x:c>
      <x:c r="E364" s="27" t="str">
        <x:v>What methods are used for training deep learning models with differential privacy, and how do they manage the privacy-utility-computation trade-off?</x:v>
      </x:c>
      <x:c r="F364" s="22" t="n">
        <x:v>3</x:v>
      </x:c>
      <x:c r="G364" s="17" t="str">
        <x:v>arXiv:2103.01379</x:v>
      </x:c>
      <x:c r="H364" s="27" t="str">
        <x:v>Practical Privacy Filters and Odometers with Rényi Differential Privacy and Applications to Differentially Private Deep Learning</x:v>
      </x:c>
      <x:c r="I364" s="17" t="str">
        <x:v>Mathias Lécuyer</x:v>
      </x:c>
      <x:c r="J364" s="22" t="n">
        <x:v>2021</x:v>
      </x:c>
      <x:c r="K364" s="27" t="str">
        <x:v>Differential Privacy (DP) is the leading approach to privacy preserving deep learning. As such, there are multiple efforts to provide drop-in integration of DP into popular frameworks. These efforts, which add noise to each gradient computation to make it DP, rely on composition theorems to bound the total privacy loss incurred over this sequence of DP computations. However, existing composition theorems present a tension between efficiency and flexibility. Most theorems require all computations in the sequence to have a predefined DP parameter, called the privacy budget. This prevents the design of training algorithms that adapt the privacy budget on the fly, or that terminate early to reduce the total privacy loss. Alternatively, the few existing composition results for adaptive privacy budgets provide complex bounds on the privacy loss, with constants too large to be practical. In this paper, we study DP composition under adaptive privacy budgets through the lens of Rényi Differential Privacy, proving a simpler composition theorem with smaller constants, making it practical enough to use in algorithm design. We demonstrate two applications of this theorem for DP deep learning: adapting the noise or batch size online to improve a model's accuracy within a fixed total privacy loss, and stopping early when fine-tuning a model to reduce total privacy loss.</x:v>
      </x:c>
      <x:c r="L364" s="17" t="str">
        <x:v>http://arxiv.org/abs/2103.01379v2</x:v>
      </x:c>
      <x:c r="M364" s="23" t="n">
        <x:v>0.044311902520857746</x:v>
      </x:c>
      <x:c r="N364" s="17" t="str">
        <x:v>arxiv-paper-eval-20260727-105551-results.jsonl</x:v>
      </x:c>
      <x:c r="O364" s="24" t="str">
        <x:v>2</x:v>
      </x:c>
      <x:c r="P364" s="28" t="str">
        <x:v>用RDP过滤器和里程计平衡训练灵活性与核算效率。</x:v>
      </x:c>
      <x:c r="Q364" s="25" t="str"/>
      <x:c r="R364" s="24" t="str">
        <x:f>IF(Q364&lt;&gt;"",Q364,O364)</x:f>
        <x:v>2</x:v>
      </x:c>
      <x:c r="S364" s="29" t="str"/>
    </x:row>
    <x:row r="365" ht="54" customHeight="1">
      <x:c r="A365" s="17" t="str">
        <x:v>csq019-r04</x:v>
      </x:c>
      <x:c r="B365" s="17" t="str">
        <x:v>csq019</x:v>
      </x:c>
      <x:c r="C365" s="17" t="str">
        <x:v>security_and_privacy</x:v>
      </x:c>
      <x:c r="D365" s="17" t="str">
        <x:v>differential_privacy</x:v>
      </x:c>
      <x:c r="E365" s="27" t="str">
        <x:v>What methods are used for training deep learning models with differential privacy, and how do they manage the privacy-utility-computation trade-off?</x:v>
      </x:c>
      <x:c r="F365" s="22" t="n">
        <x:v>4</x:v>
      </x:c>
      <x:c r="G365" s="17" t="str">
        <x:v>arXiv:2208.08662</x:v>
      </x:c>
      <x:c r="H365" s="27" t="str">
        <x:v>Private, Efficient, and Accurate: Protecting Models Trained by Multi-party Learning with Differential Privacy</x:v>
      </x:c>
      <x:c r="I365" s="17" t="str">
        <x:v>Wenqiang Ruan; Mingxin Xu; Wenjing Fang; Li Wang; Lei Wang; Weili Han</x:v>
      </x:c>
      <x:c r="J365" s="22" t="n">
        <x:v>2022</x:v>
      </x:c>
      <x:c r="K365" s="27" t="str">
        <x:v>Secure multi-party computation-based machine learning, referred to as MPL, has become an important technology to utilize data from multiple parties with privacy preservation. While MPL provides rigorous security guarantees for the computation process, the models trained by MPL are still vulnerable to attacks that solely depend on access to the models. Differential privacy could help to defend against such attacks. However, the accuracy loss brought by differential privacy and the huge communication overhead of secure multi-party computation protocols make it highly challenging to balance the 3-way trade-off between privacy, efficiency, and accuracy. In this paper, we are motivated to resolve the above issue by proposing a solution, referred to as PEA (Private, Efficient, Accurate), which consists of a secure DPSGD protocol and two optimization methods. First, we propose a secure DPSGD protocol to enforce DPSGD in secret sharing-based MPL frameworks. Second, to reduce the accuracy loss led by differential privacy noise and the huge communication overhead of MPL, we propose two optimization methods for the training process of MPL: (1) the data-independent feature extraction method, which aims to simplify the trained model structure; (2) the local data-based global model initialization method, which aims to speed up the convergence of the model training. We implement PEA in two open-source MPL frameworks: TF-Encrypted and Queqiao. The experimental results on various datasets demonstrate the efficiency and effectiveness of PEA. E.g. when $ε$ = 2, we can train a differentially private classification model with an accuracy of 88% for CIFAR-10 within 7 minutes under the LAN setting. This result significantly outperforms the one from CryptGPU, one SOTA MPL framework: it costs more than 16 hours to train a non-private deep neural network model on CIFAR-10 with the same accuracy.</x:v>
      </x:c>
      <x:c r="L365" s="17" t="str">
        <x:v>http://arxiv.org/abs/2208.08662v1</x:v>
      </x:c>
      <x:c r="M365" s="23" t="n">
        <x:v>0.03278688524590164</x:v>
      </x:c>
      <x:c r="N365" s="17" t="str">
        <x:v>arxiv-paper-eval-20260727-105551-results.jsonl</x:v>
      </x:c>
      <x:c r="O365" s="24" t="str">
        <x:v>2</x:v>
      </x:c>
      <x:c r="P365" s="28" t="str">
        <x:v>直接权衡多方深度学习的隐私、准确率与通信效率。</x:v>
      </x:c>
      <x:c r="Q365" s="25" t="str"/>
      <x:c r="R365" s="24" t="str">
        <x:f>IF(Q365&lt;&gt;"",Q365,O365)</x:f>
        <x:v>2</x:v>
      </x:c>
      <x:c r="S365" s="29" t="str"/>
    </x:row>
    <x:row r="366" ht="54" customHeight="1">
      <x:c r="A366" s="17" t="str">
        <x:v>csq019-r05</x:v>
      </x:c>
      <x:c r="B366" s="17" t="str">
        <x:v>csq019</x:v>
      </x:c>
      <x:c r="C366" s="17" t="str">
        <x:v>security_and_privacy</x:v>
      </x:c>
      <x:c r="D366" s="17" t="str">
        <x:v>differential_privacy</x:v>
      </x:c>
      <x:c r="E366" s="27" t="str">
        <x:v>What methods are used for training deep learning models with differential privacy, and how do they manage the privacy-utility-computation trade-off?</x:v>
      </x:c>
      <x:c r="F366" s="22" t="n">
        <x:v>5</x:v>
      </x:c>
      <x:c r="G366" s="17" t="str">
        <x:v>arXiv:2409.03344</x:v>
      </x:c>
      <x:c r="H366" s="27" t="str">
        <x:v>Revisiting Privacy-Utility Trade-off for DP Training with Pre-existing Knowledge</x:v>
      </x:c>
      <x:c r="I366" s="17" t="str">
        <x:v>Yu Zheng; Wenchao Zhang; Yonggang Zhang; Yuxiang Peng; Wei Song; Kai Zhou; Xiaojiang Du; Bo Han</x:v>
      </x:c>
      <x:c r="J366" s="22" t="n">
        <x:v>2024</x:v>
      </x:c>
      <x:c r="K366" s="27" t="str">
        <x:v>Differential privacy (DP) provides a provable framework for protecting individuals by customizing a random mechanism over a privacy-sensitive dataset. Deep learning models have demonstrated privacy risks in model exposure as an established learning model unintentionally records membership-level privacy leakage. Differentially private stochastic gradient descent (DP-SGD) has been proposed to safeguard training individuals by adding random Gaussian noise to gradient updates in the backpropagation. Researchers identify that DP-SGD causes utility loss since the injected homogeneous noise can alter the gradient updates calculated at each iteration. Namely, all elements in the gradient are contaminated regardless of their importance in updating model parameters. In this work, we argue that the utility can be optimized by involving the heterogeneity of the the injected noise. Consequently, we propose a generic differential privacy framework with heterogeneous noise (DP-Hero) by defining a heterogeneous random mechanism to abstract its property. The insight of DP-Hero is to leverage the knowledge encoded in the previously trained model to guide the subsequent allocation of noise heterogeneity, thereby leveraging the statistical perturbation and achieving enhanced utility. Atop DP-Hero, we instantiate a heterogeneous version of DP-SGD, and further extend it to federated training. We conduct comprehensive experiments to verify and explain the effectiveness of the proposed DP-Hero, showing improved training accuracy compared with state-of-the-art works. Broadly, we shed light on improving the privacy-utility space by learning the noise guidance from the pre-existing leaked knowledge encoded in the previously trained model, showing a different perspective of understanding the utility-improved DP training.</x:v>
      </x:c>
      <x:c r="L366" s="17" t="str">
        <x:v>http://arxiv.org/abs/2409.03344v3</x:v>
      </x:c>
      <x:c r="M366" s="23" t="n">
        <x:v>0.03252247488101534</x:v>
      </x:c>
      <x:c r="N366" s="17" t="str">
        <x:v>arxiv-paper-eval-20260727-105551-results.jsonl</x:v>
      </x:c>
      <x:c r="O366" s="24" t="str">
        <x:v>2</x:v>
      </x:c>
      <x:c r="P366" s="28" t="str">
        <x:v>改进DP-SGD噪声策略以缓解隐私效用损失。</x:v>
      </x:c>
      <x:c r="Q366" s="25" t="str"/>
      <x:c r="R366" s="24" t="str">
        <x:f>IF(Q366&lt;&gt;"",Q366,O366)</x:f>
        <x:v>2</x:v>
      </x:c>
      <x:c r="S366" s="29" t="str"/>
    </x:row>
    <x:row r="367" ht="54" customHeight="1">
      <x:c r="A367" s="17" t="str">
        <x:v>csq019-r06</x:v>
      </x:c>
      <x:c r="B367" s="17" t="str">
        <x:v>csq019</x:v>
      </x:c>
      <x:c r="C367" s="17" t="str">
        <x:v>security_and_privacy</x:v>
      </x:c>
      <x:c r="D367" s="17" t="str">
        <x:v>differential_privacy</x:v>
      </x:c>
      <x:c r="E367" s="27" t="str">
        <x:v>What methods are used for training deep learning models with differential privacy, and how do they manage the privacy-utility-computation trade-off?</x:v>
      </x:c>
      <x:c r="F367" s="22" t="n">
        <x:v>6</x:v>
      </x:c>
      <x:c r="G367" s="17" t="str">
        <x:v>arXiv:2007.11524</x:v>
      </x:c>
      <x:c r="H367" s="27" t="str">
        <x:v>Improving Deep Learning with Differential Privacy using Gradient Encoding and Denoising</x:v>
      </x:c>
      <x:c r="I367" s="17" t="str">
        <x:v>Milad Nasr; Reza Shokri; Amir houmansadr</x:v>
      </x:c>
      <x:c r="J367" s="22" t="n">
        <x:v>2020</x:v>
      </x:c>
      <x:c r="K367" s="27" t="str">
        <x:v>Deep learning models leak significant amounts of information about their training datasets. Previous work has investigated training models with differential privacy (DP) guarantees through adding DP noise to the gradients. However, such solutions (specifically, DPSGD), result in large degradations in the accuracy of the trained models. In this paper, we aim at training deep learning models with DP guarantees while preserving model accuracy much better than previous works. Our key technique is to encode gradients to map them to a smaller vector space, therefore enabling us to obtain DP guarantees for different noise distributions. This allows us to investigate and choose noise distributions that best preserve model accuracy for a target privacy budget. We also take advantage of the post-processing property of differential privacy by introducing the idea of denoising, which further improves the utility of the trained models without degrading their DP guarantees. We show that our mechanism outperforms the state-of-the-art DPSGD; for instance, for the same model accuracy of $96.1\%$ on MNIST, our technique results in a privacy bound of $ε=3.2$ compared to $ε=6$ of DPSGD, which is a significant improvement.</x:v>
      </x:c>
      <x:c r="L367" s="17" t="str">
        <x:v>http://arxiv.org/abs/2007.11524v1</x:v>
      </x:c>
      <x:c r="M367" s="23" t="n">
        <x:v>0.031754032258064516</x:v>
      </x:c>
      <x:c r="N367" s="17" t="str">
        <x:v>arxiv-paper-eval-20260727-105551-results.jsonl</x:v>
      </x:c>
      <x:c r="O367" s="24" t="str">
        <x:v>2</x:v>
      </x:c>
      <x:c r="P367" s="28" t="str">
        <x:v>梯度编码降维和去噪直接改善DP训练准确率。</x:v>
      </x:c>
      <x:c r="Q367" s="25" t="str"/>
      <x:c r="R367" s="24" t="str">
        <x:f>IF(Q367&lt;&gt;"",Q367,O367)</x:f>
        <x:v>2</x:v>
      </x:c>
      <x:c r="S367" s="29" t="str"/>
    </x:row>
    <x:row r="368" ht="54" customHeight="1">
      <x:c r="A368" s="17" t="str">
        <x:v>csq019-r07</x:v>
      </x:c>
      <x:c r="B368" s="17" t="str">
        <x:v>csq019</x:v>
      </x:c>
      <x:c r="C368" s="17" t="str">
        <x:v>security_and_privacy</x:v>
      </x:c>
      <x:c r="D368" s="17" t="str">
        <x:v>differential_privacy</x:v>
      </x:c>
      <x:c r="E368" s="27" t="str">
        <x:v>What methods are used for training deep learning models with differential privacy, and how do they manage the privacy-utility-computation trade-off?</x:v>
      </x:c>
      <x:c r="F368" s="22" t="n">
        <x:v>7</x:v>
      </x:c>
      <x:c r="G368" s="17" t="str">
        <x:v>arXiv:2307.06760</x:v>
      </x:c>
      <x:c r="H368" s="27" t="str">
        <x:v>Privacy-Utility Trade-offs in Neural Networks for Medical Population Graphs: Insights from Differential Privacy and Graph Structure</x:v>
      </x:c>
      <x:c r="I368" s="17" t="str">
        <x:v>Tamara T. Mueller; Maulik Chevli; Ameya Daigavane; Daniel Rueckert; Georgios Kaissis</x:v>
      </x:c>
      <x:c r="J368" s="22" t="n">
        <x:v>2023</x:v>
      </x:c>
      <x:c r="K368" s="27" t="str">
        <x:v>We initiate an empirical investigation into differentially private graph neural networks on population graphs from the medical domain by examining privacy-utility trade-offs at different privacy levels on both real-world and synthetic datasets and performing auditing through membership inference attacks. Our findings highlight the potential and the challenges of this specific DP application area. Moreover, we find evidence that the underlying graph structure constitutes a potential factor for larger performance gaps by showing a correlation between the degree of graph homophily and the accuracy of the trained model.</x:v>
      </x:c>
      <x:c r="L368" s="17" t="str">
        <x:v>http://arxiv.org/abs/2307.06760v1</x:v>
      </x:c>
      <x:c r="M368" s="23" t="n">
        <x:v>0.03076923076923077</x:v>
      </x:c>
      <x:c r="N368" s="17" t="str">
        <x:v>arxiv-paper-eval-20260727-105551-results.jsonl</x:v>
      </x:c>
      <x:c r="O368" s="24" t="str">
        <x:v>2</x:v>
      </x:c>
      <x:c r="P368" s="28" t="str">
        <x:v>实证评估医疗图神经网络的DP隐私效用权衡。</x:v>
      </x:c>
      <x:c r="Q368" s="25" t="str"/>
      <x:c r="R368" s="24" t="str">
        <x:f>IF(Q368&lt;&gt;"",Q368,O368)</x:f>
        <x:v>2</x:v>
      </x:c>
      <x:c r="S368" s="29" t="str"/>
    </x:row>
    <x:row r="369" ht="54" customHeight="1">
      <x:c r="A369" s="17" t="str">
        <x:v>csq019-r08</x:v>
      </x:c>
      <x:c r="B369" s="17" t="str">
        <x:v>csq019</x:v>
      </x:c>
      <x:c r="C369" s="17" t="str">
        <x:v>security_and_privacy</x:v>
      </x:c>
      <x:c r="D369" s="17" t="str">
        <x:v>differential_privacy</x:v>
      </x:c>
      <x:c r="E369" s="27" t="str">
        <x:v>What methods are used for training deep learning models with differential privacy, and how do they manage the privacy-utility-computation trade-off?</x:v>
      </x:c>
      <x:c r="F369" s="22" t="n">
        <x:v>8</x:v>
      </x:c>
      <x:c r="G369" s="17" t="str">
        <x:v>arXiv:2112.12998</x:v>
      </x:c>
      <x:c r="H369" s="27" t="str">
        <x:v>DP-UTIL: Comprehensive Utility Analysis of Differential Privacy in Machine Learning</x:v>
      </x:c>
      <x:c r="I369" s="17" t="str">
        <x:v>Ismat Jarin; Birhanu Eshete</x:v>
      </x:c>
      <x:c r="J369" s="22" t="n">
        <x:v>2021</x:v>
      </x:c>
      <x:c r="K369" s="27" t="str">
        <x:v>Differential Privacy (DP) has emerged as a rigorous formalism to reason about quantifiable privacy leakage. In machine learning (ML), DP has been employed to limit inference/disclosure of training examples. Prior work leveraged DP across the ML pipeline, albeit in isolation, often focusing on mechanisms such as gradient perturbation. In this paper, we present, DP-UTIL, a holistic utility analysis framework of DP across the ML pipeline with focus on input perturbation, objective perturbation, gradient perturbation, output perturbation, and prediction perturbation. Given an ML task on privacy-sensitive data, DP-UTIL enables a ML privacy practitioner perform holistic comparative analysis on the impact of DP in these five perturbation spots, measured in terms of model utility loss, privacy leakage, and the number of truly revealed training samples. We evaluate DP-UTIL over classification tasks on vision, medical, and financial datasets, using two representative learning algorithms (logistic regression and deep neural network) against membership inference attack as a case study attack. One of the highlights of our results is that prediction perturbation consistently achieves the lowest utility loss on all models across all datasets. In logistic regression models, objective perturbation results in lowest privacy leakage compared to other perturbation techniques. For deep neural networks, gradient perturbation results in lowest privacy leakage. Moreover, our results on true revealed records suggest that as privacy leakage increases a differentially private model reveals more number of member samples. Overall, our findings suggest that to make informed decisions as to which perturbation mechanism to use, a ML privacy practitioner needs to examine the dynamics between optimization techniques (convex vs. non-convex), perturbation mechanisms, number of classes, and privacy budget.</x:v>
      </x:c>
      <x:c r="L369" s="17" t="str">
        <x:v>http://arxiv.org/abs/2112.12998v1</x:v>
      </x:c>
      <x:c r="M369" s="23" t="n">
        <x:v>0.03021353930031804</x:v>
      </x:c>
      <x:c r="N369" s="17" t="str">
        <x:v>arxiv-paper-eval-20260727-105551-results.jsonl</x:v>
      </x:c>
      <x:c r="O369" s="24" t="str">
        <x:v>2</x:v>
      </x:c>
      <x:c r="P369" s="28" t="str">
        <x:v>综合分析机器学习全流程多类DP机制的效用。</x:v>
      </x:c>
      <x:c r="Q369" s="25" t="str"/>
      <x:c r="R369" s="24" t="str">
        <x:f>IF(Q369&lt;&gt;"",Q369,O369)</x:f>
        <x:v>2</x:v>
      </x:c>
      <x:c r="S369" s="29" t="str"/>
    </x:row>
    <x:row r="370" ht="54" customHeight="1">
      <x:c r="A370" s="17" t="str">
        <x:v>csq019-r09</x:v>
      </x:c>
      <x:c r="B370" s="17" t="str">
        <x:v>csq019</x:v>
      </x:c>
      <x:c r="C370" s="17" t="str">
        <x:v>security_and_privacy</x:v>
      </x:c>
      <x:c r="D370" s="17" t="str">
        <x:v>differential_privacy</x:v>
      </x:c>
      <x:c r="E370" s="27" t="str">
        <x:v>What methods are used for training deep learning models with differential privacy, and how do they manage the privacy-utility-computation trade-off?</x:v>
      </x:c>
      <x:c r="F370" s="22" t="n">
        <x:v>9</x:v>
      </x:c>
      <x:c r="G370" s="17" t="str">
        <x:v>arXiv:1911.11607</x:v>
      </x:c>
      <x:c r="H370" s="27" t="str">
        <x:v>Deep Learning with Gaussian Differential Privacy</x:v>
      </x:c>
      <x:c r="I370" s="17" t="str">
        <x:v>Zhiqi Bu; Jinshuo Dong; Qi Long; Weijie J. Su</x:v>
      </x:c>
      <x:c r="J370" s="22" t="n">
        <x:v>2019</x:v>
      </x:c>
      <x:c r="K370" s="27" t="str">
        <x:v>Deep learning models are often trained on datasets that contain sensitive information such as individuals' shopping transactions, personal contacts, and medical records. An increasingly important line of work therefore has sought to train neural networks subject to privacy constraints that are specified by differential privacy or its divergence-based relaxations. These privacy definitions, however, have weaknesses in handling certain important primitives (composition and subsampling), thereby giving loose or complicated privacy analyses of training neural networks. In this paper, we consider a recently proposed privacy definition termed \textit{$f$-differential privacy} [18] for a refined privacy analysis of training neural networks. Leveraging the appealing properties of $f$-differential privacy in handling composition and subsampling, this paper derives analytically tractable expressions for the privacy guarantees of both stochastic gradient descent and Adam used in training deep neural networks, without the need of developing sophisticated techniques as [3] did. Our results demonstrate that the $f$-differential privacy framework allows for a new privacy analysis that improves on the prior analysis~[3], which in turn suggests tuning certain parameters of neural networks for a better prediction accuracy without violating the privacy budget. These theoretically derived improvements are confirmed by our experiments in a range of tasks in image classification, text classification, and recommender systems. Python code to calculate the privacy cost for these experiments is publicly available in the \texttt{TensorFlow Privacy} library.</x:v>
      </x:c>
      <x:c r="L370" s="17" t="str">
        <x:v>http://arxiv.org/abs/1911.11607v3</x:v>
      </x:c>
      <x:c r="M370" s="23" t="n">
        <x:v>0.030158730158730156</x:v>
      </x:c>
      <x:c r="N370" s="17" t="str">
        <x:v>arxiv-paper-eval-20260727-105551-results.jsonl</x:v>
      </x:c>
      <x:c r="O370" s="24" t="str">
        <x:v>2</x:v>
      </x:c>
      <x:c r="P370" s="28" t="str">
        <x:v>以高斯差分隐私改进神经网络训练隐私核算。</x:v>
      </x:c>
      <x:c r="Q370" s="25" t="str"/>
      <x:c r="R370" s="24" t="str">
        <x:f>IF(Q370&lt;&gt;"",Q370,O370)</x:f>
        <x:v>2</x:v>
      </x:c>
      <x:c r="S370" s="29" t="str"/>
    </x:row>
    <x:row r="371" ht="54" customHeight="1">
      <x:c r="A371" s="17" t="str">
        <x:v>csq019-r10</x:v>
      </x:c>
      <x:c r="B371" s="17" t="str">
        <x:v>csq019</x:v>
      </x:c>
      <x:c r="C371" s="17" t="str">
        <x:v>security_and_privacy</x:v>
      </x:c>
      <x:c r="D371" s="17" t="str">
        <x:v>differential_privacy</x:v>
      </x:c>
      <x:c r="E371" s="27" t="str">
        <x:v>What methods are used for training deep learning models with differential privacy, and how do they manage the privacy-utility-computation trade-off?</x:v>
      </x:c>
      <x:c r="F371" s="22" t="n">
        <x:v>10</x:v>
      </x:c>
      <x:c r="G371" s="17" t="str">
        <x:v>arXiv:2201.12328</x:v>
      </x:c>
      <x:c r="H371" s="27" t="str">
        <x:v>Toward Training at ImageNet Scale with Differential Privacy</x:v>
      </x:c>
      <x:c r="I371" s="17" t="str">
        <x:v>Alexey Kurakin; Shuang Song; Steve Chien; Roxana Geambasu; Andreas Terzis; Abhradeep Thakurta</x:v>
      </x:c>
      <x:c r="J371" s="22" t="n">
        <x:v>2022</x:v>
      </x:c>
      <x:c r="K371" s="27" t="str">
        <x:v>Differential privacy (DP) is the de facto standard for training machine learning (ML) models, including neural networks, while ensuring the privacy of individual examples in the training set. Despite a rich literature on how to train ML models with differential privacy, it remains extremely challenging to train real-life, large neural networks with both reasonable accuracy and privacy. We set out to investigate how to do this, using ImageNet image classification as a poster example of an ML task that is very challenging to resolve accurately with DP right now. This paper shares initial lessons from our effort, in the hope that it will inspire and inform other researchers to explore DP training at scale. We show approaches that help make DP training faster, as well as model types and settings of the training process that tend to work better in the DP setting. Combined, the methods we discuss let us train a Resnet-18 with DP to $47.9\%$ accuracy and privacy parameters $ε= 10, δ= 10^{-6}$. This is a significant improvement over "naive" DP training of ImageNet models, but a far cry from the $75\%$ accuracy that can be obtained by the same network without privacy. The model we use was pretrained on the Places365 data set as a starting point. We share our code at https://github.com/google-research/dp-imagenet, calling for others to build upon this new baseline to further improve DP at scale.</x:v>
      </x:c>
      <x:c r="L371" s="17" t="str">
        <x:v>http://arxiv.org/abs/2201.12328v2</x:v>
      </x:c>
      <x:c r="M371" s="23" t="n">
        <x:v>0.029877369007803793</x:v>
      </x:c>
      <x:c r="N371" s="17" t="str">
        <x:v>arxiv-paper-eval-20260727-105551-results.jsonl</x:v>
      </x:c>
      <x:c r="O371" s="24" t="str">
        <x:v>2</x:v>
      </x:c>
      <x:c r="P371" s="28" t="str">
        <x:v>直接研究大规模ImageNet差分隐私训练的准确率挑战。</x:v>
      </x:c>
      <x:c r="Q371" s="25" t="str"/>
      <x:c r="R371" s="24" t="str">
        <x:f>IF(Q371&lt;&gt;"",Q371,O371)</x:f>
        <x:v>2</x:v>
      </x:c>
      <x:c r="S371" s="29" t="str"/>
    </x:row>
    <x:row r="372" ht="54" customHeight="1">
      <x:c r="A372" s="17" t="str">
        <x:v>csq019-r11</x:v>
      </x:c>
      <x:c r="B372" s="17" t="str">
        <x:v>csq019</x:v>
      </x:c>
      <x:c r="C372" s="17" t="str">
        <x:v>security_and_privacy</x:v>
      </x:c>
      <x:c r="D372" s="17" t="str">
        <x:v>differential_privacy</x:v>
      </x:c>
      <x:c r="E372" s="27" t="str">
        <x:v>What methods are used for training deep learning models with differential privacy, and how do they manage the privacy-utility-computation trade-off?</x:v>
      </x:c>
      <x:c r="F372" s="22" t="n">
        <x:v>11</x:v>
      </x:c>
      <x:c r="G372" s="17" t="str">
        <x:v>arXiv:2103.02895</x:v>
      </x:c>
      <x:c r="H372" s="27" t="str">
        <x:v>On the privacy-utility trade-off in differentially private hierarchical text classification</x:v>
      </x:c>
      <x:c r="I372" s="17" t="str">
        <x:v>Dominik Wunderlich; Daniel Bernau; Francesco Aldà; Javier Parra-Arnau; Thorsten Strufe</x:v>
      </x:c>
      <x:c r="J372" s="22" t="n">
        <x:v>2021</x:v>
      </x:c>
      <x:c r="K372" s="27" t="str">
        <x:v>Hierarchical text classification consists in classifying text documents into a hierarchy of classes and sub-classes. Although artificial neural networks have proved useful to perform this task, unfortunately they can leak training data information to adversaries due to training data memorization. Using differential privacy during model training can mitigate leakage attacks against trained models, enabling the models to be shared safely at the cost of reduced model accuracy. This work investigates the privacy-utility trade-off in hierarchical text classification with differential privacy guarantees, and identifies neural network architectures that offer superior trade-offs. To this end, we use a white-box membership inference attack to empirically assess the information leakage of three widely used neural network architectures. We show that large differential privacy parameters already suffice to completely mitigate membership inference attacks, thus resulting only in a moderate decrease in model utility. More specifically, for large datasets with long texts we observed Transformer-based models to achieve an overall favorable privacy-utility trade-off, while for smaller datasets with shorter texts convolutional neural networks are preferable.</x:v>
      </x:c>
      <x:c r="L372" s="17" t="str">
        <x:v>http://arxiv.org/abs/2103.02895v2</x:v>
      </x:c>
      <x:c r="M372" s="23" t="n">
        <x:v>0.029857397504456328</x:v>
      </x:c>
      <x:c r="N372" s="17" t="str">
        <x:v>arxiv-paper-eval-20260727-105551-results.jsonl</x:v>
      </x:c>
      <x:c r="O372" s="24" t="str">
        <x:v>2</x:v>
      </x:c>
      <x:c r="P372" s="28" t="str">
        <x:v>研究文本神经网络DP训练的隐私效用权衡。</x:v>
      </x:c>
      <x:c r="Q372" s="25" t="str"/>
      <x:c r="R372" s="24" t="str">
        <x:f>IF(Q372&lt;&gt;"",Q372,O372)</x:f>
        <x:v>2</x:v>
      </x:c>
      <x:c r="S372" s="29" t="str"/>
    </x:row>
    <x:row r="373" ht="54" customHeight="1">
      <x:c r="A373" s="17" t="str">
        <x:v>csq019-r12</x:v>
      </x:c>
      <x:c r="B373" s="17" t="str">
        <x:v>csq019</x:v>
      </x:c>
      <x:c r="C373" s="17" t="str">
        <x:v>security_and_privacy</x:v>
      </x:c>
      <x:c r="D373" s="17" t="str">
        <x:v>differential_privacy</x:v>
      </x:c>
      <x:c r="E373" s="27" t="str">
        <x:v>What methods are used for training deep learning models with differential privacy, and how do they manage the privacy-utility-computation trade-off?</x:v>
      </x:c>
      <x:c r="F373" s="22" t="n">
        <x:v>12</x:v>
      </x:c>
      <x:c r="G373" s="17" t="str">
        <x:v>arXiv:2301.13104</x:v>
      </x:c>
      <x:c r="H373" s="27" t="str">
        <x:v>Equivariant Differentially Private Deep Learning: Why DP-SGD Needs Sparser Models</x:v>
      </x:c>
      <x:c r="I373" s="17" t="str">
        <x:v>Florian A. Hölzl; Daniel Rueckert; Georgios Kaissis</x:v>
      </x:c>
      <x:c r="J373" s="22" t="n">
        <x:v>2023</x:v>
      </x:c>
      <x:c r="K373" s="27" t="str">
        <x:v>Differentially Private Stochastic Gradient Descent (DP-SGD) limits the amount of private information deep learning models can memorize during training. This is achieved by clipping and adding noise to the model's gradients, and thus networks with more parameters require proportionally stronger perturbation. As a result, large models have difficulties learning useful information, rendering training with DP-SGD exceedingly difficult on more challenging training tasks. Recent research has focused on combating this challenge through training adaptations such as heavy data augmentation and large batch sizes. However, these techniques further increase the computational overhead of DP-SGD and reduce its practical applicability. In this work, we propose using the principle of sparse model design to solve precisely such complex tasks with fewer parameters, higher accuracy, and in less time, thus serving as a promising direction for DP-SGD. We achieve such sparsity by design by introducing equivariant convolutional networks for model training with Differential Privacy. Using equivariant networks, we show that small and efficient architecture design can outperform current state-of-the-art models with substantially lower computational requirements. On CIFAR-10, we achieve an increase of up to $9\%$ in accuracy while reducing the computation time by more than $85\%$. Our results are a step towards efficient model architectures that make optimal use of their parameters and bridge the privacy-utility gap between private and non-private deep learning for computer vision.</x:v>
      </x:c>
      <x:c r="L373" s="17" t="str">
        <x:v>http://arxiv.org/abs/2301.13104v2</x:v>
      </x:c>
      <x:c r="M373" s="23" t="n">
        <x:v>0.029850746268656716</x:v>
      </x:c>
      <x:c r="N373" s="17" t="str">
        <x:v>arxiv-paper-eval-20260727-105551-results.jsonl</x:v>
      </x:c>
      <x:c r="O373" s="24" t="str">
        <x:v>2</x:v>
      </x:c>
      <x:c r="P373" s="28" t="str">
        <x:v>稀疏等变模型同时处理DP-SGD效用和额外计算成本。</x:v>
      </x:c>
      <x:c r="Q373" s="25" t="str"/>
      <x:c r="R373" s="24" t="str">
        <x:f>IF(Q373&lt;&gt;"",Q373,O373)</x:f>
        <x:v>2</x:v>
      </x:c>
      <x:c r="S373" s="29" t="str"/>
    </x:row>
    <x:row r="374" ht="54" customHeight="1">
      <x:c r="A374" s="17" t="str">
        <x:v>csq019-r13</x:v>
      </x:c>
      <x:c r="B374" s="17" t="str">
        <x:v>csq019</x:v>
      </x:c>
      <x:c r="C374" s="17" t="str">
        <x:v>security_and_privacy</x:v>
      </x:c>
      <x:c r="D374" s="17" t="str">
        <x:v>differential_privacy</x:v>
      </x:c>
      <x:c r="E374" s="27" t="str">
        <x:v>What methods are used for training deep learning models with differential privacy, and how do they manage the privacy-utility-computation trade-off?</x:v>
      </x:c>
      <x:c r="F374" s="22" t="n">
        <x:v>13</x:v>
      </x:c>
      <x:c r="G374" s="17" t="str">
        <x:v>arXiv:2211.00734</x:v>
      </x:c>
      <x:c r="H374" s="27" t="str">
        <x:v>On the Interaction Between Differential Privacy and Gradient Compression in Deep Learning</x:v>
      </x:c>
      <x:c r="I374" s="17" t="str">
        <x:v>Jimmy Lin</x:v>
      </x:c>
      <x:c r="J374" s="22" t="n">
        <x:v>2022</x:v>
      </x:c>
      <x:c r="K374" s="27" t="str">
        <x:v>While differential privacy and gradient compression are separately well-researched topics in machine learning, the study of interaction between these two topics is still relatively new. We perform a detailed empirical study on how the Gaussian mechanism for differential privacy and gradient compression jointly impact test accuracy in deep learning. The existing literature in gradient compression mostly evaluates compression in the absence of differential privacy guarantees, and demonstrate that sufficiently high compression rates reduce accuracy. Similarly, existing literature in differential privacy evaluates privacy mechanisms in the absence of compression, and demonstrates that sufficiently strong privacy guarantees reduce accuracy. In this work, we observe while gradient compression generally has a negative impact on test accuracy in non-private training, it can sometimes improve test accuracy in differentially private training. Specifically, we observe that when employing aggressive sparsification or rank reduction to the gradients, test accuracy is less affected by the Gaussian noise added for differential privacy. These observations are explained through an analysis how differential privacy and compression effects the bias and variance in estimating the average gradient. We follow this study with a recommendation on how to improve test accuracy under the context of differentially private deep learning and gradient compression. We evaluate this proposal and find that it can reduce the negative impact of noise added by differential privacy mechanisms on test accuracy by up to 24.6%, and reduce the negative impact of gradient sparsification on test accuracy by up to 15.1%.</x:v>
      </x:c>
      <x:c r="L374" s="17" t="str">
        <x:v>http://arxiv.org/abs/2211.00734v1</x:v>
      </x:c>
      <x:c r="M374" s="23" t="n">
        <x:v>0.028991596638655463</x:v>
      </x:c>
      <x:c r="N374" s="17" t="str">
        <x:v>arxiv-paper-eval-20260727-105551-results.jsonl</x:v>
      </x:c>
      <x:c r="O374" s="24" t="str">
        <x:v>2</x:v>
      </x:c>
      <x:c r="P374" s="28" t="str">
        <x:v>直接分析梯度压缩与DP共同作用下的准确率。</x:v>
      </x:c>
      <x:c r="Q374" s="25" t="str"/>
      <x:c r="R374" s="24" t="str">
        <x:f>IF(Q374&lt;&gt;"",Q374,O374)</x:f>
        <x:v>2</x:v>
      </x:c>
      <x:c r="S374" s="29" t="str"/>
    </x:row>
    <x:row r="375" ht="54" customHeight="1">
      <x:c r="A375" s="17" t="str">
        <x:v>csq019-r14</x:v>
      </x:c>
      <x:c r="B375" s="17" t="str">
        <x:v>csq019</x:v>
      </x:c>
      <x:c r="C375" s="17" t="str">
        <x:v>security_and_privacy</x:v>
      </x:c>
      <x:c r="D375" s="17" t="str">
        <x:v>differential_privacy</x:v>
      </x:c>
      <x:c r="E375" s="27" t="str">
        <x:v>What methods are used for training deep learning models with differential privacy, and how do they manage the privacy-utility-computation trade-off?</x:v>
      </x:c>
      <x:c r="F375" s="22" t="n">
        <x:v>14</x:v>
      </x:c>
      <x:c r="G375" s="17" t="str">
        <x:v>arXiv:2309.16398</x:v>
      </x:c>
      <x:c r="H375" s="27" t="str">
        <x:v>Recent Advances of Differential Privacy in Centralized Deep Learning: A Systematic Survey</x:v>
      </x:c>
      <x:c r="I375" s="17" t="str">
        <x:v>Lea Demelius; Roman Kern; Andreas Trügler</x:v>
      </x:c>
      <x:c r="J375" s="22" t="n">
        <x:v>2023</x:v>
      </x:c>
      <x:c r="K375" s="27" t="str">
        <x:v>Differential Privacy has become a widely popular method for data protection in machine learning, especially since it allows formulating strict mathematical privacy guarantees. This survey provides an overview of the state-of-the-art of differentially private centralized deep learning, thorough analyses of recent advances and open problems, as well as a discussion of potential future developments in the field. Based on a systematic literature review, the following topics are addressed: auditing and evaluation methods for private models, improvements of privacy-utility trade-offs, protection against a broad range of threats and attacks, differentially private generative models, and emerging application domains.</x:v>
      </x:c>
      <x:c r="L375" s="17" t="str">
        <x:v>http://arxiv.org/abs/2309.16398v1</x:v>
      </x:c>
      <x:c r="M375" s="23" t="n">
        <x:v>0.028958333333333336</x:v>
      </x:c>
      <x:c r="N375" s="17" t="str">
        <x:v>arxiv-paper-eval-20260727-105551-results.jsonl</x:v>
      </x:c>
      <x:c r="O375" s="24" t="str">
        <x:v>2</x:v>
      </x:c>
      <x:c r="P375" s="28" t="str">
        <x:v>系统综述集中式差分隐私深度学习方法和权衡。</x:v>
      </x:c>
      <x:c r="Q375" s="25" t="str"/>
      <x:c r="R375" s="24" t="str">
        <x:f>IF(Q375&lt;&gt;"",Q375,O375)</x:f>
        <x:v>2</x:v>
      </x:c>
      <x:c r="S375" s="29" t="str"/>
    </x:row>
    <x:row r="376" ht="54" customHeight="1">
      <x:c r="A376" s="17" t="str">
        <x:v>csq019-r15</x:v>
      </x:c>
      <x:c r="B376" s="17" t="str">
        <x:v>csq019</x:v>
      </x:c>
      <x:c r="C376" s="17" t="str">
        <x:v>security_and_privacy</x:v>
      </x:c>
      <x:c r="D376" s="17" t="str">
        <x:v>differential_privacy</x:v>
      </x:c>
      <x:c r="E376" s="27" t="str">
        <x:v>What methods are used for training deep learning models with differential privacy, and how do they manage the privacy-utility-computation trade-off?</x:v>
      </x:c>
      <x:c r="F376" s="22" t="n">
        <x:v>15</x:v>
      </x:c>
      <x:c r="G376" s="17" t="str">
        <x:v>arXiv:2511.07843</x:v>
      </x:c>
      <x:c r="H376" s="27" t="str">
        <x:v>DP-AdamW: Investigating Decoupled Weight Decay and Bias Correction in Private Deep Learning</x:v>
      </x:c>
      <x:c r="I376" s="17" t="str">
        <x:v>Jay Chooi; Kevin Cong; Russell Li; Lillian Sun</x:v>
      </x:c>
      <x:c r="J376" s="22" t="n">
        <x:v>2025</x:v>
      </x:c>
      <x:c r="K376" s="27" t="str">
        <x:v>As deep learning methods increasingly utilize sensitive data on a widespread scale, differential privacy (DP) offers formal guarantees to protect against information leakage during model training. A significant challenge remains in implementing DP optimizers that retain strong performance while preserving privacy. Recent advances introduced ever more efficient optimizers, with AdamW being a popular choice for training deep learning models because of strong empirical performance. We study \emph{DP-AdamW} and introduce \emph{DP-AdamW-BC}, a differentially private variant of the AdamW optimizer with DP bias correction for the second moment estimator. We start by showing theoretical results for privacy and convergence guarantees of DP-AdamW and DP-AdamW-BC. Then, we empirically analyze the behavior of both optimizers across multiple privacy budgets ($ε= 1, 3, 7$). We find that DP-AdamW outperforms existing state-of-the-art differentially private optimizers like DP-SGD, DP-Adam, and DP-AdamBC, scoring over 15\% higher on text classification, up to 5\% higher on image classification, and consistently 1\% higher on graph node classification. Moreover, we empirically show that incorporating bias correction in DP-AdamW (DP-AdamW-BC) consistently decreases accuracy, in contrast to the improvement of DP-AdamBC improvement over DP-Adam.</x:v>
      </x:c>
      <x:c r="L376" s="17" t="str">
        <x:v>http://arxiv.org/abs/2511.07843v1</x:v>
      </x:c>
      <x:c r="M376" s="23" t="n">
        <x:v>0.0288981288981289</x:v>
      </x:c>
      <x:c r="N376" s="17" t="str">
        <x:v>arxiv-paper-eval-20260727-105551-results.jsonl</x:v>
      </x:c>
      <x:c r="O376" s="24" t="str">
        <x:v>2</x:v>
      </x:c>
      <x:c r="P376" s="28" t="str">
        <x:v>提出DP-AdamW变体以保持隐私下的优化性能。</x:v>
      </x:c>
      <x:c r="Q376" s="25" t="str"/>
      <x:c r="R376" s="24" t="str">
        <x:f>IF(Q376&lt;&gt;"",Q376,O376)</x:f>
        <x:v>2</x:v>
      </x:c>
      <x:c r="S376" s="29" t="str"/>
    </x:row>
    <x:row r="377" ht="54" customHeight="1">
      <x:c r="A377" s="17" t="str">
        <x:v>csq019-r16</x:v>
      </x:c>
      <x:c r="B377" s="17" t="str">
        <x:v>csq019</x:v>
      </x:c>
      <x:c r="C377" s="17" t="str">
        <x:v>security_and_privacy</x:v>
      </x:c>
      <x:c r="D377" s="17" t="str">
        <x:v>differential_privacy</x:v>
      </x:c>
      <x:c r="E377" s="27" t="str">
        <x:v>What methods are used for training deep learning models with differential privacy, and how do they manage the privacy-utility-computation trade-off?</x:v>
      </x:c>
      <x:c r="F377" s="22" t="n">
        <x:v>16</x:v>
      </x:c>
      <x:c r="G377" s="17" t="str">
        <x:v>arXiv:2307.13231</x:v>
      </x:c>
      <x:c r="H377" s="27" t="str">
        <x:v>Spectral-DP: Differentially Private Deep Learning through Spectral Perturbation and Filtering</x:v>
      </x:c>
      <x:c r="I377" s="17" t="str">
        <x:v>Ce Feng; Nuo Xu; Wujie Wen; Parv Venkitasubramaniam; Caiwen Ding</x:v>
      </x:c>
      <x:c r="J377" s="22" t="n">
        <x:v>2023</x:v>
      </x:c>
      <x:c r="K377" s="27" t="str">
        <x:v>Differential privacy is a widely accepted measure of privacy in the context of deep learning algorithms, and achieving it relies on a noisy training approach known as differentially private stochastic gradient descent (DP-SGD). DP-SGD requires direct noise addition to every gradient in a dense neural network, the privacy is achieved at a significant utility cost. In this work, we present Spectral-DP, a new differentially private learning approach which combines gradient perturbation in the spectral domain with spectral filtering to achieve a desired privacy guarantee with a lower noise scale and thus better utility. We develop differentially private deep learning methods based on Spectral-DP for architectures that contain both convolution and fully connected layers. In particular, for fully connected layers, we combine a block-circulant based spatial restructuring with Spectral-DP to achieve better utility. Through comprehensive experiments, we study and provide guidelines to implement Spectral-DP deep learning on benchmark datasets. In comparison with state-of-the-art DP-SGD based approaches, Spectral-DP is shown to have uniformly better utility performance in both training from scratch and transfer learning settings.</x:v>
      </x:c>
      <x:c r="L377" s="17" t="str">
        <x:v>http://arxiv.org/abs/2307.13231v1</x:v>
      </x:c>
      <x:c r="M377" s="23" t="n">
        <x:v>0.02758751902587519</x:v>
      </x:c>
      <x:c r="N377" s="17" t="str">
        <x:v>arxiv-paper-eval-20260727-105551-results.jsonl</x:v>
      </x:c>
      <x:c r="O377" s="24" t="str">
        <x:v>2</x:v>
      </x:c>
      <x:c r="P377" s="28" t="str">
        <x:v>频域梯度扰动与过滤降低噪声并改善效用。</x:v>
      </x:c>
      <x:c r="Q377" s="25" t="str"/>
      <x:c r="R377" s="24" t="str">
        <x:f>IF(Q377&lt;&gt;"",Q377,O377)</x:f>
        <x:v>2</x:v>
      </x:c>
      <x:c r="S377" s="29" t="str"/>
    </x:row>
    <x:row r="378" ht="54" customHeight="1">
      <x:c r="A378" s="17" t="str">
        <x:v>csq019-r17</x:v>
      </x:c>
      <x:c r="B378" s="17" t="str">
        <x:v>csq019</x:v>
      </x:c>
      <x:c r="C378" s="17" t="str">
        <x:v>security_and_privacy</x:v>
      </x:c>
      <x:c r="D378" s="17" t="str">
        <x:v>differential_privacy</x:v>
      </x:c>
      <x:c r="E378" s="27" t="str">
        <x:v>What methods are used for training deep learning models with differential privacy, and how do they manage the privacy-utility-computation trade-off?</x:v>
      </x:c>
      <x:c r="F378" s="22" t="n">
        <x:v>17</x:v>
      </x:c>
      <x:c r="G378" s="17" t="str">
        <x:v>arXiv:1912.06015</x:v>
      </x:c>
      <x:c r="H378" s="27" t="str">
        <x:v>Efficient Per-Example Gradient Computations in Convolutional Neural Networks</x:v>
      </x:c>
      <x:c r="I378" s="17" t="str">
        <x:v>Gaspar Rochette; Andre Manoel; Eric W. Tramel</x:v>
      </x:c>
      <x:c r="J378" s="22" t="n">
        <x:v>2019</x:v>
      </x:c>
      <x:c r="K378" s="27" t="str">
        <x:v>Deep learning frameworks leverage GPUs to perform massively-parallel computations over batches of many training examples efficiently. However, for certain tasks, one may be interested in performing per-example computations, for instance using per-example gradients to evaluate a quantity of interest unique to each example. One notable application comes from the field of differential privacy, where per-example gradients must be norm-bounded in order to limit the impact of each example on the aggregated batch gradient. In this work, we discuss how per-example gradients can be efficiently computed in convolutional neural networks (CNNs). We compare existing strategies by performing a few steps of differentially-private training on CNNs of varying sizes. We also introduce a new strategy for per-example gradient calculation, which is shown to be advantageous depending on the model architecture and how the model is trained. This is a first step in making differentially-private training of CNNs practical.</x:v>
      </x:c>
      <x:c r="L378" s="17" t="str">
        <x:v>http://arxiv.org/abs/1912.06015v1</x:v>
      </x:c>
      <x:c r="M378" s="23" t="n">
        <x:v>0.016129032258064516</x:v>
      </x:c>
      <x:c r="N378" s="17" t="str">
        <x:v>arxiv-paper-eval-20260727-105551-results.jsonl</x:v>
      </x:c>
      <x:c r="O378" s="24" t="str">
        <x:v>2</x:v>
      </x:c>
      <x:c r="P378" s="28" t="str">
        <x:v>专门降低DP训练逐样本梯度计算开销。</x:v>
      </x:c>
      <x:c r="Q378" s="25" t="str"/>
      <x:c r="R378" s="24" t="str">
        <x:f>IF(Q378&lt;&gt;"",Q378,O378)</x:f>
        <x:v>2</x:v>
      </x:c>
      <x:c r="S378" s="29" t="str"/>
    </x:row>
    <x:row r="379" ht="54" customHeight="1">
      <x:c r="A379" s="17" t="str">
        <x:v>csq019-r18</x:v>
      </x:c>
      <x:c r="B379" s="17" t="str">
        <x:v>csq019</x:v>
      </x:c>
      <x:c r="C379" s="17" t="str">
        <x:v>security_and_privacy</x:v>
      </x:c>
      <x:c r="D379" s="17" t="str">
        <x:v>differential_privacy</x:v>
      </x:c>
      <x:c r="E379" s="27" t="str">
        <x:v>What methods are used for training deep learning models with differential privacy, and how do they manage the privacy-utility-computation trade-off?</x:v>
      </x:c>
      <x:c r="F379" s="22" t="n">
        <x:v>18</x:v>
      </x:c>
      <x:c r="G379" s="17" t="str">
        <x:v>arXiv:2206.03492</x:v>
      </x:c>
      <x:c r="H379" s="27" t="str">
        <x:v>A Privacy-Preserving Subgraph-Level Federated Graph Neural Network via Differential Privacy</x:v>
      </x:c>
      <x:c r="I379" s="17" t="str">
        <x:v>Yeqing Qiu; Chenyu Huang; Jianzong Wang; Zhangcheng Huang; Jing Xiao</x:v>
      </x:c>
      <x:c r="J379" s="22" t="n">
        <x:v>2022</x:v>
      </x:c>
      <x:c r="K379" s="27" t="str">
        <x:v>Currently, the federated graph neural network (GNN) has attracted a lot of attention due to its wide applications in reality without violating the privacy regulations. Among all the privacy-preserving technologies, the differential privacy (DP) is the most promising one due to its effectiveness and light computational overhead. However, the DP-based federated GNN has not been well investigated, especially in the sub-graph-level setting, such as the scenario of recommendation system. The biggest challenge is how to guarantee the privacy and solve the non independent and identically distributed (non-IID) data in federated GNN simultaneously. In this paper, we propose DP-FedRec, a DP-based federated GNN to fill the gap. Private Set Intersection (PSI) is leveraged to extend the local graph for each client, and thus solve the non-IID problem. Most importantly, DP is applied not only on the weights but also on the edges of the intersection graph from PSI to fully protect the privacy of clients. The evaluation demonstrates DP-FedRec achieves better performance with the graph extension and DP only introduces little computations overhead.</x:v>
      </x:c>
      <x:c r="L379" s="17" t="str">
        <x:v>http://arxiv.org/abs/2206.03492v1</x:v>
      </x:c>
      <x:c r="M379" s="23" t="n">
        <x:v>0.015625</x:v>
      </x:c>
      <x:c r="N379" s="17" t="str">
        <x:v>arxiv-paper-eval-20260727-105551-results.jsonl</x:v>
      </x:c>
      <x:c r="O379" s="24" t="str">
        <x:v>2</x:v>
      </x:c>
      <x:c r="P379" s="28" t="str">
        <x:v>在联邦GNN中用DP平衡隐私、非独立数据与计算。</x:v>
      </x:c>
      <x:c r="Q379" s="25" t="str"/>
      <x:c r="R379" s="24" t="str">
        <x:f>IF(Q379&lt;&gt;"",Q379,O379)</x:f>
        <x:v>2</x:v>
      </x:c>
      <x:c r="S379" s="29" t="str"/>
    </x:row>
    <x:row r="380" ht="54" customHeight="1">
      <x:c r="A380" s="17" t="str">
        <x:v>csq019-r19</x:v>
      </x:c>
      <x:c r="B380" s="17" t="str">
        <x:v>csq019</x:v>
      </x:c>
      <x:c r="C380" s="17" t="str">
        <x:v>security_and_privacy</x:v>
      </x:c>
      <x:c r="D380" s="17" t="str">
        <x:v>differential_privacy</x:v>
      </x:c>
      <x:c r="E380" s="27" t="str">
        <x:v>What methods are used for training deep learning models with differential privacy, and how do they manage the privacy-utility-computation trade-off?</x:v>
      </x:c>
      <x:c r="F380" s="22" t="n">
        <x:v>19</x:v>
      </x:c>
      <x:c r="G380" s="17" t="str">
        <x:v>arXiv:2210.04442</x:v>
      </x:c>
      <x:c r="H380" s="27" t="str">
        <x:v>DPAR: Decoupled Graph Neural Networks with Node-Level Differential Privacy</x:v>
      </x:c>
      <x:c r="I380" s="17" t="str">
        <x:v>Qiuchen Zhang; Hong kyu Lee; Jing Ma; Jian Lou; Carl Yang; Li Xiong</x:v>
      </x:c>
      <x:c r="J380" s="22" t="n">
        <x:v>2022</x:v>
      </x:c>
      <x:c r="K380" s="27" t="str">
        <x:v>Graph Neural Networks (GNNs) have achieved great success in learning with graph-structured data. Privacy concerns have also been raised for the trained models which could expose the sensitive information of graphs including both node features and the structure information. In this paper, we aim to achieve node-level differential privacy (DP) for training GNNs so that a node and its edges are protected. Node DP is inherently difficult for GNNs because all direct and multi-hop neighbors participate in the calculation of gradients for each node via layer-wise message passing and there is no bound on how many direct and multi-hop neighbors a node can have, so existing DP methods will result in high privacy cost or poor utility due to high node sensitivity. We propose a Decoupled GNN with Differentially Private Approximate Personalized PageRank (DPAR) for training GNNs with an enhanced privacy-utility tradeoff. The key idea is to decouple the feature projection and message passing via a DP PageRank algorithm which learns the structure information and uses the top-$K$ neighbors determined by the PageRank for feature aggregation. By capturing the most important neighbors for each node and avoiding the layer-wise message passing, it bounds the node sensitivity and achieves improved privacy-utility tradeoff compared to layer-wise perturbation based methods. We theoretically analyze the node DP guarantee for the two processes combined together and empirically demonstrate better utilities of DPAR with the same level of node DP compared with state-of-the-art methods.</x:v>
      </x:c>
      <x:c r="L380" s="17" t="str">
        <x:v>http://arxiv.org/abs/2210.04442v3</x:v>
      </x:c>
      <x:c r="M380" s="23" t="n">
        <x:v>0.015151515151515152</x:v>
      </x:c>
      <x:c r="N380" s="17" t="str">
        <x:v>arxiv-paper-eval-20260727-105551-results.jsonl</x:v>
      </x:c>
      <x:c r="O380" s="24" t="str">
        <x:v>2</x:v>
      </x:c>
      <x:c r="P380" s="28" t="str">
        <x:v>提出解耦GNN实现节点级DP并缓解消息传递困难。</x:v>
      </x:c>
      <x:c r="Q380" s="25" t="str"/>
      <x:c r="R380" s="24" t="str">
        <x:f>IF(Q380&lt;&gt;"",Q380,O380)</x:f>
        <x:v>2</x:v>
      </x:c>
      <x:c r="S380" s="29" t="str"/>
    </x:row>
    <x:row r="381" ht="54" customHeight="1">
      <x:c r="A381" s="17" t="str">
        <x:v>csq019-r20</x:v>
      </x:c>
      <x:c r="B381" s="17" t="str">
        <x:v>csq019</x:v>
      </x:c>
      <x:c r="C381" s="17" t="str">
        <x:v>security_and_privacy</x:v>
      </x:c>
      <x:c r="D381" s="17" t="str">
        <x:v>differential_privacy</x:v>
      </x:c>
      <x:c r="E381" s="27" t="str">
        <x:v>What methods are used for training deep learning models with differential privacy, and how do they manage the privacy-utility-computation trade-off?</x:v>
      </x:c>
      <x:c r="F381" s="22" t="n">
        <x:v>20</x:v>
      </x:c>
      <x:c r="G381" s="17" t="str">
        <x:v>arXiv:1912.10806</x:v>
      </x:c>
      <x:c r="H381" s="27" t="str">
        <x:v>DP-LSTM: Differential Privacy-inspired LSTM for Stock Prediction Using Financial News</x:v>
      </x:c>
      <x:c r="I381" s="17" t="str">
        <x:v>Xinyi Li; Yinchuan Li; Hongyang Yang; Liuqing Yang; Xiao-Yang Liu</x:v>
      </x:c>
      <x:c r="J381" s="22" t="n">
        <x:v>2019</x:v>
      </x:c>
      <x:c r="K381" s="27" t="str">
        <x:v>Stock price prediction is important for value investments in the stock market. In particular, short-term prediction that exploits financial news articles is promising in recent years. In this paper, we propose a novel deep neural network DP-LSTM for stock price prediction, which incorporates the news articles as hidden information and integrates difference news sources through the differential privacy mechanism. First, based on the autoregressive moving average model (ARMA), a sentiment-ARMA is formulated by taking into consideration the information of financial news articles in the model. Then, an LSTM-based deep neural network is designed, which consists of three components: LSTM, VADER model and differential privacy (DP) mechanism. The proposed DP-LSTM scheme can reduce prediction errors and increase the robustness. Extensive experiments on S&amp;P 500 stocks show that (i) the proposed DP-LSTM achieves 0.32% improvement in mean MPA of prediction result, and (ii) for the prediction of the market index S&amp;P 500, we achieve up to 65.79% improvement in MSE.</x:v>
      </x:c>
      <x:c r="L381" s="17" t="str">
        <x:v>http://arxiv.org/abs/1912.10806v1</x:v>
      </x:c>
      <x:c r="M381" s="23" t="n">
        <x:v>0.015151515151515152</x:v>
      </x:c>
      <x:c r="N381" s="17" t="str">
        <x:v>arxiv-paper-eval-20260727-105551-results.jsonl</x:v>
      </x:c>
      <x:c r="O381" s="24" t="str">
        <x:v>1</x:v>
      </x:c>
      <x:c r="P381" s="28" t="str">
        <x:v>将差分隐私机制用于新闻融合，未清晰给出标准DP训练权衡。</x:v>
      </x:c>
      <x:c r="Q381" s="25" t="str"/>
      <x:c r="R381" s="24" t="str">
        <x:f>IF(Q381&lt;&gt;"",Q381,O381)</x:f>
        <x:v>1</x:v>
      </x:c>
      <x:c r="S381" s="29" t="str"/>
    </x:row>
    <x:row r="382" ht="54" customHeight="1">
      <x:c r="A382" s="17" t="str">
        <x:v>csq020-r01</x:v>
      </x:c>
      <x:c r="B382" s="17" t="str">
        <x:v>csq020</x:v>
      </x:c>
      <x:c r="C382" s="17" t="str">
        <x:v>security_and_privacy</x:v>
      </x:c>
      <x:c r="D382" s="17" t="str">
        <x:v>membership_inference</x:v>
      </x:c>
      <x:c r="E382" s="27" t="str">
        <x:v>How do black-box and white-box membership inference attacks against machine learning models compare in their assumptions, methods, and evaluations?</x:v>
      </x:c>
      <x:c r="F382" s="22" t="n">
        <x:v>1</x:v>
      </x:c>
      <x:c r="G382" s="17" t="str">
        <x:v>arXiv:2511.01952</x:v>
      </x:c>
      <x:c r="H382" s="27" t="str">
        <x:v>Black-Box Membership Inference Attack for LVLMs via Prior Knowledge-Calibrated Memory Probing</x:v>
      </x:c>
      <x:c r="I382" s="17" t="str">
        <x:v>Jinhua Yin; Peiru Yang; Chen Yang; Huili Wang; Zhiyang Hu; Shangguang Wang; Yongfeng Huang; Tao Qi</x:v>
      </x:c>
      <x:c r="J382" s="22" t="n">
        <x:v>2025</x:v>
      </x:c>
      <x:c r="K382" s="27" t="str">
        <x:v>Large vision-language models (LVLMs) derive their capabilities from extensive training on vast corpora of visual and textual data. Empowered by large-scale parameters, these models often exhibit strong memorization of their training data, rendering them susceptible to membership inference attacks (MIAs). Existing MIA methods for LVLMs typically operate under white- or gray-box assumptions, by extracting likelihood-based features for the suspected data samples based on the target LVLMs. However, mainstream LVLMs generally only expose generated outputs while concealing internal computational features during inference, limiting the applicability of these methods. In this work, we propose the first black-box MIA framework for LVLMs, based on a prior knowledge-calibrated memory probing mechanism. The core idea is to assess the model memorization of the private semantic information embedded within the suspected image data, which is unlikely to be inferred from general world knowledge alone. We conducted extensive experiments across four LVLMs and three datasets. Empirical results demonstrate that our method effectively identifies training data of LVLMs in a purely black-box setting and even achieves performance comparable to gray-box and white-box methods. Further analysis reveals the robustness of our method against potential adversarial manipulations, and the effectiveness of the methodology designs. Our code and data are available at https://github.com/spmede/KCMP.</x:v>
      </x:c>
      <x:c r="L382" s="17" t="str">
        <x:v>http://arxiv.org/abs/2511.01952v1</x:v>
      </x:c>
      <x:c r="M382" s="23" t="n">
        <x:v>0.06402049075403121</x:v>
      </x:c>
      <x:c r="N382" s="17" t="str">
        <x:v>arxiv-paper-eval-20260727-105551-results.jsonl</x:v>
      </x:c>
      <x:c r="O382" s="24" t="str">
        <x:v>2</x:v>
      </x:c>
      <x:c r="P382" s="28" t="str">
        <x:v>提出仅输出访问的黑盒LVLM成员推断并对照既有访问假设。</x:v>
      </x:c>
      <x:c r="Q382" s="25" t="str"/>
      <x:c r="R382" s="24" t="str">
        <x:f>IF(Q382&lt;&gt;"",Q382,O382)</x:f>
        <x:v>2</x:v>
      </x:c>
      <x:c r="S382" s="29" t="str"/>
    </x:row>
    <x:row r="383" ht="54" customHeight="1">
      <x:c r="A383" s="17" t="str">
        <x:v>csq020-r02</x:v>
      </x:c>
      <x:c r="B383" s="17" t="str">
        <x:v>csq020</x:v>
      </x:c>
      <x:c r="C383" s="17" t="str">
        <x:v>security_and_privacy</x:v>
      </x:c>
      <x:c r="D383" s="17" t="str">
        <x:v>membership_inference</x:v>
      </x:c>
      <x:c r="E383" s="27" t="str">
        <x:v>How do black-box and white-box membership inference attacks against machine learning models compare in their assumptions, methods, and evaluations?</x:v>
      </x:c>
      <x:c r="F383" s="22" t="n">
        <x:v>2</x:v>
      </x:c>
      <x:c r="G383" s="17" t="str">
        <x:v>arXiv:2510.10625</x:v>
      </x:c>
      <x:c r="H383" s="27" t="str">
        <x:v>ImpMIA: Leveraging Implicit Bias for Membership Inference Attack</x:v>
      </x:c>
      <x:c r="I383" s="17" t="str">
        <x:v>Yuval Golbari; Navve Wasserman; Gal Vardi; Michal Irani</x:v>
      </x:c>
      <x:c r="J383" s="22" t="n">
        <x:v>2025</x:v>
      </x:c>
      <x:c r="K383" s="27" t="str">
        <x:v>Determining which data samples were used to train a model, known as Membership Inference Attack (MIA), is a well-studied and important problem with implications on data privacy. SotA methods (which are black-box attacks) rely on training many auxiliary reference models to imitate the behavior of the attacked model. As such, they rely on assumptions which rarely hold in real-world settings: (i) the attacker knows the training hyperparameters; (ii) all available non-training samples come from the same distribution as the training data; and (iii) the fraction of training data in the evaluation set is known. We show that removing these assumptions significantly harms the performance of black-box attacks. We introduce ImpMIA, a Membership Inference Attack that exploits the Implicit Bias of neural networks. Building on the maximum-margin implicit bias theory, ImpMIA uses the Karush-Kuhn-Tucker (KKT) optimality conditions to identify training samples -- those whose gradients most strongly reconstruct the trained model's parameters. Our approach is optimization-based, and requires NO training of reference-models, thus removing the need for any knowledge/assumptions regarding the attacked model's training procedure. While ImpMIA is a white-box attack (a setting which assumes access to model weights), this is becoming increasingly realistic given that many models are publicly available (e.g., via Hugging Face). ImpMIA achieves SotA performance compared to both black and white box attacks in settings where only the model weights are known, and a superset of the training data is available.</x:v>
      </x:c>
      <x:c r="L383" s="17" t="str">
        <x:v>http://arxiv.org/abs/2510.10625v3</x:v>
      </x:c>
      <x:c r="M383" s="23" t="n">
        <x:v>0.06102753653156879</x:v>
      </x:c>
      <x:c r="N383" s="17" t="str">
        <x:v>arxiv-paper-eval-20260727-105551-results.jsonl</x:v>
      </x:c>
      <x:c r="O383" s="24" t="str">
        <x:v>2</x:v>
      </x:c>
      <x:c r="P383" s="28" t="str">
        <x:v>分析黑盒MIA参考模型的强假设并提出替代攻击。</x:v>
      </x:c>
      <x:c r="Q383" s="25" t="str"/>
      <x:c r="R383" s="24" t="str">
        <x:f>IF(Q383&lt;&gt;"",Q383,O383)</x:f>
        <x:v>2</x:v>
      </x:c>
      <x:c r="S383" s="29" t="str"/>
    </x:row>
    <x:row r="384" ht="54" customHeight="1">
      <x:c r="A384" s="17" t="str">
        <x:v>csq020-r03</x:v>
      </x:c>
      <x:c r="B384" s="17" t="str">
        <x:v>csq020</x:v>
      </x:c>
      <x:c r="C384" s="17" t="str">
        <x:v>security_and_privacy</x:v>
      </x:c>
      <x:c r="D384" s="17" t="str">
        <x:v>membership_inference</x:v>
      </x:c>
      <x:c r="E384" s="27" t="str">
        <x:v>How do black-box and white-box membership inference attacks against machine learning models compare in their assumptions, methods, and evaluations?</x:v>
      </x:c>
      <x:c r="F384" s="22" t="n">
        <x:v>3</x:v>
      </x:c>
      <x:c r="G384" s="17" t="str">
        <x:v>arXiv:2306.05093</x:v>
      </x:c>
      <x:c r="H384" s="27" t="str">
        <x:v>Investigating the Effect of Misalignment on Membership Privacy in the White-box Setting</x:v>
      </x:c>
      <x:c r="I384" s="17" t="str">
        <x:v>Ana-Maria Cretu; Daniel Jones; Yves-Alexandre de Montjoye; Shruti Tople</x:v>
      </x:c>
      <x:c r="J384" s="22" t="n">
        <x:v>2023</x:v>
      </x:c>
      <x:c r="K384" s="27" t="str">
        <x:v>Machine learning models have been shown to leak sensitive information about their training datasets. Models are increasingly deployed on devices, raising concerns that white-box access to the model parameters increases the attack surface compared to black-box access which only provides query access. Directly extending the shadow modelling technique from the black-box to the white-box setting has been shown, in general, not to perform better than black-box only attacks. A potential reason is misalignment, a known characteristic of deep neural networks. In the shadow modelling context, misalignment means that, while the shadow models learn similar features in each layer, the features are located in different positions. We here present the first systematic analysis of the causes of misalignment in shadow models and show the use of a different weight initialisation to be the main cause. We then extend several re-alignment techniques, previously developed in the model fusion literature, to the shadow modelling context, where the goal is to re-align the layers of a shadow model to those of the target model. We show re-alignment techniques to significantly reduce the measured misalignment between the target and shadow models. Finally, we perform a comprehensive evaluation of white-box membership inference attacks (MIA). Our analysis reveals that internal layer activation-based MIAs suffer strongly from shadow model misalignment, while gradient-based MIAs are only sometimes significantly affected. We show that re-aligning the shadow models strongly improves the former's performance and can also improve the latter's performance, although less frequently. Taken together, our results highlight that on-device deployment increases the attack surface and that the newly available information can be used to build more powerful attacks.</x:v>
      </x:c>
      <x:c r="L384" s="17" t="str">
        <x:v>http://arxiv.org/abs/2306.05093v2</x:v>
      </x:c>
      <x:c r="M384" s="23" t="n">
        <x:v>0.045008912655971484</x:v>
      </x:c>
      <x:c r="N384" s="17" t="str">
        <x:v>arxiv-paper-eval-20260727-105551-results.jsonl</x:v>
      </x:c>
      <x:c r="O384" s="24" t="str">
        <x:v>2</x:v>
      </x:c>
      <x:c r="P384" s="28" t="str">
        <x:v>直接比较白盒参数访问与黑盒查询及其攻击效果。</x:v>
      </x:c>
      <x:c r="Q384" s="25" t="str"/>
      <x:c r="R384" s="24" t="str">
        <x:f>IF(Q384&lt;&gt;"",Q384,O384)</x:f>
        <x:v>2</x:v>
      </x:c>
      <x:c r="S384" s="29" t="str"/>
    </x:row>
    <x:row r="385" ht="54" customHeight="1">
      <x:c r="A385" s="17" t="str">
        <x:v>csq020-r04</x:v>
      </x:c>
      <x:c r="B385" s="17" t="str">
        <x:v>csq020</x:v>
      </x:c>
      <x:c r="C385" s="17" t="str">
        <x:v>security_and_privacy</x:v>
      </x:c>
      <x:c r="D385" s="17" t="str">
        <x:v>membership_inference</x:v>
      </x:c>
      <x:c r="E385" s="27" t="str">
        <x:v>How do black-box and white-box membership inference attacks against machine learning models compare in their assumptions, methods, and evaluations?</x:v>
      </x:c>
      <x:c r="F385" s="22" t="n">
        <x:v>4</x:v>
      </x:c>
      <x:c r="G385" s="17" t="str">
        <x:v>arXiv:2408.10647</x:v>
      </x:c>
      <x:c r="H385" s="27" t="str">
        <x:v>Privacy-preserving Universal Adversarial Defense for Black-box Models</x:v>
      </x:c>
      <x:c r="I385" s="17" t="str">
        <x:v>Qiao Li; Cong Wu; Jing Chen; Zijun Zhang; Kun He; Ruiying Du; Xinxin Wang; Qingchuang Zhao; Yang Liu</x:v>
      </x:c>
      <x:c r="J385" s="22" t="n">
        <x:v>2024</x:v>
      </x:c>
      <x:c r="K385" s="27" t="str">
        <x:v>Deep neural networks (DNNs) are increasingly used in critical applications such as identity authentication and autonomous driving, where robustness against adversarial attacks is crucial. These attacks can exploit minor perturbations to cause significant prediction errors, making it essential to enhance the resilience of DNNs. Traditional defense methods often rely on access to detailed model information, which raises privacy concerns, as model owners may be reluctant to share such data. In contrast, existing black-box defense methods fail to offer a universal defense against various types of adversarial attacks. To address these challenges, we introduce DUCD, a universal black-box defense method that does not require access to the target model's parameters or architecture. Our approach involves distilling the target model by querying it with data, creating a white-box surrogate while preserving data privacy. We further enhance this surrogate model using a certified defense based on randomized smoothing and optimized noise selection, enabling robust defense against a broad range of adversarial attacks. Comparative evaluations between the certified defenses of the surrogate and target models demonstrate the effectiveness of our approach. Experiments on multiple image classification datasets show that DUCD not only outperforms existing black-box defenses but also matches the accuracy of white-box defenses, all while enhancing data privacy and reducing the success rate of membership inference attacks.</x:v>
      </x:c>
      <x:c r="L385" s="17" t="str">
        <x:v>http://arxiv.org/abs/2408.10647v1</x:v>
      </x:c>
      <x:c r="M385" s="23" t="n">
        <x:v>0.04434349989184512</x:v>
      </x:c>
      <x:c r="N385" s="17" t="str">
        <x:v>arxiv-paper-eval-20260727-105551-results.jsonl</x:v>
      </x:c>
      <x:c r="O385" s="24" t="str">
        <x:v>0</x:v>
      </x:c>
      <x:c r="P385" s="28" t="str">
        <x:v>研究对抗攻击防御，不是成员推断攻击。</x:v>
      </x:c>
      <x:c r="Q385" s="25" t="str"/>
      <x:c r="R385" s="24" t="str">
        <x:f>IF(Q385&lt;&gt;"",Q385,O385)</x:f>
        <x:v>0</x:v>
      </x:c>
      <x:c r="S385" s="29" t="str"/>
    </x:row>
    <x:row r="386" ht="54" customHeight="1">
      <x:c r="A386" s="17" t="str">
        <x:v>csq020-r05</x:v>
      </x:c>
      <x:c r="B386" s="17" t="str">
        <x:v>csq020</x:v>
      </x:c>
      <x:c r="C386" s="17" t="str">
        <x:v>security_and_privacy</x:v>
      </x:c>
      <x:c r="D386" s="17" t="str">
        <x:v>membership_inference</x:v>
      </x:c>
      <x:c r="E386" s="27" t="str">
        <x:v>How do black-box and white-box membership inference attacks against machine learning models compare in their assumptions, methods, and evaluations?</x:v>
      </x:c>
      <x:c r="F386" s="22" t="n">
        <x:v>5</x:v>
      </x:c>
      <x:c r="G386" s="17" t="str">
        <x:v>arXiv:2308.06405</x:v>
      </x:c>
      <x:c r="H386" s="27" t="str">
        <x:v>White-box Membership Inference Attacks against Diffusion Models</x:v>
      </x:c>
      <x:c r="I386" s="17" t="str">
        <x:v>Yan Pang; Tianhao Wang; Xuhui Kang; Mengdi Huai; Yang Zhang</x:v>
      </x:c>
      <x:c r="J386" s="22" t="n">
        <x:v>2023</x:v>
      </x:c>
      <x:c r="K386" s="27" t="str">
        <x:v>Diffusion models have begun to overshadow GANs and other generative models in industrial applications due to their superior image generation performance. The complex architecture of these models furnishes an extensive array of attack features. In light of this, we aim to design membership inference attacks (MIAs) catered to diffusion models. We first conduct an exhaustive analysis of existing MIAs on diffusion models, taking into account factors such as black-box/white-box models and the selection of attack features. We found that white-box attacks are highly applicable in real-world scenarios, and the most effective attacks presently are white-box. Departing from earlier research, which employs model loss as the attack feature for white-box MIAs, we employ model gradients in our attack, leveraging the fact that these gradients provide a more profound understanding of model responses to various samples. We subject these models to rigorous testing across a range of parameters, including training steps, sampling frequency, diffusion steps, and data variance. Across all experimental settings, our method consistently demonstrated near-flawless attack performance, with attack success rate approaching 100% and attack AUCROC near 1.0. We also evaluate our attack against common defense mechanisms, and observe our attacks continue to exhibit commendable performance.</x:v>
      </x:c>
      <x:c r="L386" s="17" t="str">
        <x:v>http://arxiv.org/abs/2308.06405v3</x:v>
      </x:c>
      <x:c r="M386" s="23" t="n">
        <x:v>0.03252247488101534</x:v>
      </x:c>
      <x:c r="N386" s="17" t="str">
        <x:v>arxiv-paper-eval-20260727-105551-results.jsonl</x:v>
      </x:c>
      <x:c r="O386" s="24" t="str">
        <x:v>2</x:v>
      </x:c>
      <x:c r="P386" s="28" t="str">
        <x:v>系统分析扩散模型黑白盒MIA特征并提出白盒攻击。</x:v>
      </x:c>
      <x:c r="Q386" s="25" t="str"/>
      <x:c r="R386" s="24" t="str">
        <x:f>IF(Q386&lt;&gt;"",Q386,O386)</x:f>
        <x:v>2</x:v>
      </x:c>
      <x:c r="S386" s="29" t="str"/>
    </x:row>
    <x:row r="387" ht="54" customHeight="1">
      <x:c r="A387" s="17" t="str">
        <x:v>csq020-r06</x:v>
      </x:c>
      <x:c r="B387" s="17" t="str">
        <x:v>csq020</x:v>
      </x:c>
      <x:c r="C387" s="17" t="str">
        <x:v>security_and_privacy</x:v>
      </x:c>
      <x:c r="D387" s="17" t="str">
        <x:v>membership_inference</x:v>
      </x:c>
      <x:c r="E387" s="27" t="str">
        <x:v>How do black-box and white-box membership inference attacks against machine learning models compare in their assumptions, methods, and evaluations?</x:v>
      </x:c>
      <x:c r="F387" s="22" t="n">
        <x:v>6</x:v>
      </x:c>
      <x:c r="G387" s="17" t="str">
        <x:v>arXiv:2405.07562</x:v>
      </x:c>
      <x:c r="H387" s="27" t="str">
        <x:v>GLiRA: Black-Box Membership Inference Attack via Knowledge Distillation</x:v>
      </x:c>
      <x:c r="I387" s="17" t="str">
        <x:v>Andrey V. Galichin; Mikhail Pautov; Alexey Zhavoronkin; Oleg Y. Rogov; Ivan Oseledets</x:v>
      </x:c>
      <x:c r="J387" s="22" t="n">
        <x:v>2024</x:v>
      </x:c>
      <x:c r="K387" s="27" t="str">
        <x:v>While Deep Neural Networks (DNNs) have demonstrated remarkable performance in tasks related to perception and control, there are still several unresolved concerns regarding the privacy of their training data, particularly in the context of vulnerability to Membership Inference Attacks (MIAs). In this paper, we explore a connection between the susceptibility to membership inference attacks and the vulnerability to distillation-based functionality stealing attacks. In particular, we propose {GLiRA}, a distillation-guided approach to membership inference attack on the black-box neural network. We observe that the knowledge distillation significantly improves the efficiency of likelihood ratio of membership inference attack, especially in the black-box setting, i.e., when the architecture of the target model is unknown to the attacker. We evaluate the proposed method across multiple image classification datasets and models and demonstrate that likelihood ratio attacks when guided by the knowledge distillation, outperform the current state-of-the-art membership inference attacks in the black-box setting.</x:v>
      </x:c>
      <x:c r="L387" s="17" t="str">
        <x:v>http://arxiv.org/abs/2405.07562v1</x:v>
      </x:c>
      <x:c r="M387" s="23" t="n">
        <x:v>0.032266458495966696</x:v>
      </x:c>
      <x:c r="N387" s="17" t="str">
        <x:v>arxiv-paper-eval-20260727-105551-results.jsonl</x:v>
      </x:c>
      <x:c r="O387" s="24" t="str">
        <x:v>2</x:v>
      </x:c>
      <x:c r="P387" s="28" t="str">
        <x:v>提出知识蒸馏引导的黑盒成员推断攻击。</x:v>
      </x:c>
      <x:c r="Q387" s="25" t="str"/>
      <x:c r="R387" s="24" t="str">
        <x:f>IF(Q387&lt;&gt;"",Q387,O387)</x:f>
        <x:v>2</x:v>
      </x:c>
      <x:c r="S387" s="29" t="str"/>
    </x:row>
    <x:row r="388" ht="54" customHeight="1">
      <x:c r="A388" s="17" t="str">
        <x:v>csq020-r07</x:v>
      </x:c>
      <x:c r="B388" s="17" t="str">
        <x:v>csq020</x:v>
      </x:c>
      <x:c r="C388" s="17" t="str">
        <x:v>security_and_privacy</x:v>
      </x:c>
      <x:c r="D388" s="17" t="str">
        <x:v>membership_inference</x:v>
      </x:c>
      <x:c r="E388" s="27" t="str">
        <x:v>How do black-box and white-box membership inference attacks against machine learning models compare in their assumptions, methods, and evaluations?</x:v>
      </x:c>
      <x:c r="F388" s="22" t="n">
        <x:v>7</x:v>
      </x:c>
      <x:c r="G388" s="17" t="str">
        <x:v>arXiv:2406.11544</x:v>
      </x:c>
      <x:c r="H388" s="27" t="str">
        <x:v>Do Parameters Reveal More than Loss for Membership Inference?</x:v>
      </x:c>
      <x:c r="I388" s="17" t="str">
        <x:v>Anshuman Suri; Xiao Zhang; David Evans</x:v>
      </x:c>
      <x:c r="J388" s="22" t="n">
        <x:v>2024</x:v>
      </x:c>
      <x:c r="K388" s="27" t="str">
        <x:v>Membership inference attacks are used as a key tool for disclosure auditing. They aim to infer whether an individual record was used to train a model. While such evaluations are useful to demonstrate risk, they are computationally expensive and often make strong assumptions about potential adversaries' access to models and training environments, and thus do not provide tight bounds on leakage from potential attacks. We show how prior claims around black-box access being sufficient for optimal membership inference do not hold for stochastic gradient descent, and that optimal membership inference indeed requires white-box access. Our theoretical results lead to a new white-box inference attack, IHA (Inverse Hessian Attack), that explicitly uses model parameters by taking advantage of computing inverse-Hessian vector products. Our results show that both auditors and adversaries may be able to benefit from access to model parameters, and we advocate for further research into white-box methods for membership inference.</x:v>
      </x:c>
      <x:c r="L388" s="17" t="str">
        <x:v>http://arxiv.org/abs/2406.11544v4</x:v>
      </x:c>
      <x:c r="M388" s="23" t="n">
        <x:v>0.030158730158730156</x:v>
      </x:c>
      <x:c r="N388" s="17" t="str">
        <x:v>arxiv-paper-eval-20260727-105551-results.jsonl</x:v>
      </x:c>
      <x:c r="O388" s="24" t="str">
        <x:v>2</x:v>
      </x:c>
      <x:c r="P388" s="28" t="str">
        <x:v>理论和实验直接检验白盒参数是否优于黑盒损失。</x:v>
      </x:c>
      <x:c r="Q388" s="25" t="str"/>
      <x:c r="R388" s="24" t="str">
        <x:f>IF(Q388&lt;&gt;"",Q388,O388)</x:f>
        <x:v>2</x:v>
      </x:c>
      <x:c r="S388" s="29" t="str"/>
    </x:row>
    <x:row r="389" ht="54" customHeight="1">
      <x:c r="A389" s="17" t="str">
        <x:v>csq020-r08</x:v>
      </x:c>
      <x:c r="B389" s="17" t="str">
        <x:v>csq020</x:v>
      </x:c>
      <x:c r="C389" s="17" t="str">
        <x:v>security_and_privacy</x:v>
      </x:c>
      <x:c r="D389" s="17" t="str">
        <x:v>membership_inference</x:v>
      </x:c>
      <x:c r="E389" s="27" t="str">
        <x:v>How do black-box and white-box membership inference attacks against machine learning models compare in their assumptions, methods, and evaluations?</x:v>
      </x:c>
      <x:c r="F389" s="22" t="n">
        <x:v>8</x:v>
      </x:c>
      <x:c r="G389" s="17" t="str">
        <x:v>arXiv:2405.20771</x:v>
      </x:c>
      <x:c r="H389" s="27" t="str">
        <x:v>Towards Black-Box Membership Inference Attack for Diffusion Models</x:v>
      </x:c>
      <x:c r="I389" s="17" t="str">
        <x:v>Jingwei Li; Jing Dong; Tianxing He; Jingzhao Zhang</x:v>
      </x:c>
      <x:c r="J389" s="22" t="n">
        <x:v>2024</x:v>
      </x:c>
      <x:c r="K389" s="27" t="str">
        <x:v>Given the rising popularity of AI-generated art and the associated copyright concerns, identifying whether an artwork was used to train a diffusion model is an important research topic. The work approaches this problem from the membership inference attack (MIA) perspective. We first identify the limitation of applying existing MIA methods for proprietary diffusion models: the required access of internal U-nets. To address the above problem, we introduce a novel membership inference attack method that uses only the image-to-image variation API and operates without access to the model's internal U-net. Our method is based on the intuition that the model can more easily obtain an unbiased noise prediction estimate for images from the training set. By applying the API multiple times to the target image, averaging the outputs, and comparing the result to the original image, our approach can classify whether a sample was part of the training set. We validate our method using DDIM and Stable Diffusion setups and further extend both our approach and existing algorithms to the Diffusion Transformer architecture. Our experimental results consistently outperform previous methods.</x:v>
      </x:c>
      <x:c r="L389" s="17" t="str">
        <x:v>http://arxiv.org/abs/2405.20771v5</x:v>
      </x:c>
      <x:c r="M389" s="23" t="n">
        <x:v>0.029910714285714284</x:v>
      </x:c>
      <x:c r="N389" s="17" t="str">
        <x:v>arxiv-paper-eval-20260727-105551-results.jsonl</x:v>
      </x:c>
      <x:c r="O389" s="24" t="str">
        <x:v>2</x:v>
      </x:c>
      <x:c r="P389" s="28" t="str">
        <x:v>针对专有扩散API提出无需内部网络的黑盒MIA。</x:v>
      </x:c>
      <x:c r="Q389" s="25" t="str"/>
      <x:c r="R389" s="24" t="str">
        <x:f>IF(Q389&lt;&gt;"",Q389,O389)</x:f>
        <x:v>2</x:v>
      </x:c>
      <x:c r="S389" s="29" t="str"/>
    </x:row>
    <x:row r="390" ht="54" customHeight="1">
      <x:c r="A390" s="17" t="str">
        <x:v>csq020-r09</x:v>
      </x:c>
      <x:c r="B390" s="17" t="str">
        <x:v>csq020</x:v>
      </x:c>
      <x:c r="C390" s="17" t="str">
        <x:v>security_and_privacy</x:v>
      </x:c>
      <x:c r="D390" s="17" t="str">
        <x:v>membership_inference</x:v>
      </x:c>
      <x:c r="E390" s="27" t="str">
        <x:v>How do black-box and white-box membership inference attacks against machine learning models compare in their assumptions, methods, and evaluations?</x:v>
      </x:c>
      <x:c r="F390" s="22" t="n">
        <x:v>9</x:v>
      </x:c>
      <x:c r="G390" s="17" t="str">
        <x:v>arXiv:2306.00578</x:v>
      </x:c>
      <x:c r="H390" s="27" t="str">
        <x:v>Does Black-box Attribute Inference Attacks on Graph Neural Networks Constitute Privacy Risk?</x:v>
      </x:c>
      <x:c r="I390" s="17" t="str">
        <x:v>Iyiola E. Olatunji; Anmar Hizber; Oliver Sihlovec; Megha Khosla</x:v>
      </x:c>
      <x:c r="J390" s="22" t="n">
        <x:v>2023</x:v>
      </x:c>
      <x:c r="K390" s="27" t="str">
        <x:v>Graph neural networks (GNNs) have shown promising results on real-life datasets and applications, including healthcare, finance, and education. However, recent studies have shown that GNNs are highly vulnerable to attacks such as membership inference attack and link reconstruction attack. Surprisingly, attribute inference attacks has received little attention. In this paper, we initiate the first investigation into attribute inference attack where an attacker aims to infer the sensitive user attributes based on her public or non-sensitive attributes. We ask the question whether black-box attribute inference attack constitutes a significant privacy risk for graph-structured data and their corresponding GNN model. We take a systematic approach to launch the attacks by varying the adversarial knowledge and assumptions. Our findings reveal that when an attacker has black-box access to the target model, GNNs generally do not reveal significantly more information compared to missing value estimation techniques. Code is available.</x:v>
      </x:c>
      <x:c r="L390" s="17" t="str">
        <x:v>http://arxiv.org/abs/2306.00578v1</x:v>
      </x:c>
      <x:c r="M390" s="23" t="n">
        <x:v>0.029273504273504274</x:v>
      </x:c>
      <x:c r="N390" s="17" t="str">
        <x:v>arxiv-paper-eval-20260727-105551-results.jsonl</x:v>
      </x:c>
      <x:c r="O390" s="24" t="str">
        <x:v>0</x:v>
      </x:c>
      <x:c r="P390" s="28" t="str">
        <x:v>研究属性推断而非成员推断。</x:v>
      </x:c>
      <x:c r="Q390" s="25" t="str"/>
      <x:c r="R390" s="24" t="str">
        <x:f>IF(Q390&lt;&gt;"",Q390,O390)</x:f>
        <x:v>0</x:v>
      </x:c>
      <x:c r="S390" s="29" t="str"/>
    </x:row>
    <x:row r="391" ht="54" customHeight="1">
      <x:c r="A391" s="17" t="str">
        <x:v>csq020-r10</x:v>
      </x:c>
      <x:c r="B391" s="17" t="str">
        <x:v>csq020</x:v>
      </x:c>
      <x:c r="C391" s="17" t="str">
        <x:v>security_and_privacy</x:v>
      </x:c>
      <x:c r="D391" s="17" t="str">
        <x:v>membership_inference</x:v>
      </x:c>
      <x:c r="E391" s="27" t="str">
        <x:v>How do black-box and white-box membership inference attacks against machine learning models compare in their assumptions, methods, and evaluations?</x:v>
      </x:c>
      <x:c r="F391" s="22" t="n">
        <x:v>10</x:v>
      </x:c>
      <x:c r="G391" s="17" t="str">
        <x:v>arXiv:2508.06244</x:v>
      </x:c>
      <x:c r="H391" s="27" t="str">
        <x:v>Membership Inference Attack with Partial Features</x:v>
      </x:c>
      <x:c r="I391" s="17" t="str">
        <x:v>Xurun Wang; Guangrui Liu; Xinjie Li; Haoyu He; Lin Yao; Zhongyun Hua; Weizhe Zhang</x:v>
      </x:c>
      <x:c r="J391" s="22" t="n">
        <x:v>2025</x:v>
      </x:c>
      <x:c r="K391" s="27" t="str">
        <x:v>Machine learning models are vulnerable to membership inference attack, which can be used to determine whether a given sample appears in the training data. Most existing methods assume the attacker has full access to the features of the target sample. This assumption, however, does not hold in many real-world scenarios where only partial features are available, thereby limiting the applicability of these methods. In this work, we introduce Partial Feature Membership Inference (PFMI), a scenario where the adversary observes only partial features of each sample and aims to infer whether this observed subset was present in the training set. To address this problem, we propose MRAD (Memory-guided Reconstruction and Anomaly Detection), a two-stage attack framework that works in both white-box and black-box settings. In the first stage, MRAD leverages the latent memory of the target model to reconstruct the unknown features of the sample. We observe that when the known features are absent from the training set, the reconstructed sample deviates significantly from the true data distribution. Consequently, in the second stage, we use anomaly detection algorithms to measure the deviation between the reconstructed sample and the training data distribution, thereby determining whether the known features belong to a member of the training set. Empirical results demonstrate that MRAD is effective across various datasets, and maintains compatibility with off-the-shelf anomaly detection techniques. For example, on STL-10, our attack exceeds an AUC of around 0.75 even with 60% of the missing features.</x:v>
      </x:c>
      <x:c r="L391" s="17" t="str">
        <x:v>http://arxiv.org/abs/2508.06244v2</x:v>
      </x:c>
      <x:c r="M391" s="23" t="n">
        <x:v>0.028850145288501453</x:v>
      </x:c>
      <x:c r="N391" s="17" t="str">
        <x:v>arxiv-paper-eval-20260727-105551-results.jsonl</x:v>
      </x:c>
      <x:c r="O391" s="24" t="str">
        <x:v>2</x:v>
      </x:c>
      <x:c r="P391" s="28" t="str">
        <x:v>放宽完整特征访问假设并提出部分特征MIA。</x:v>
      </x:c>
      <x:c r="Q391" s="25" t="str"/>
      <x:c r="R391" s="24" t="str">
        <x:f>IF(Q391&lt;&gt;"",Q391,O391)</x:f>
        <x:v>2</x:v>
      </x:c>
      <x:c r="S391" s="29" t="str"/>
    </x:row>
    <x:row r="392" ht="54" customHeight="1">
      <x:c r="A392" s="17" t="str">
        <x:v>csq020-r11</x:v>
      </x:c>
      <x:c r="B392" s="17" t="str">
        <x:v>csq020</x:v>
      </x:c>
      <x:c r="C392" s="17" t="str">
        <x:v>security_and_privacy</x:v>
      </x:c>
      <x:c r="D392" s="17" t="str">
        <x:v>membership_inference</x:v>
      </x:c>
      <x:c r="E392" s="27" t="str">
        <x:v>How do black-box and white-box membership inference attacks against machine learning models compare in their assumptions, methods, and evaluations?</x:v>
      </x:c>
      <x:c r="F392" s="22" t="n">
        <x:v>11</x:v>
      </x:c>
      <x:c r="G392" s="17" t="str">
        <x:v>arXiv:2506.07399</x:v>
      </x:c>
      <x:c r="H392" s="27" t="str">
        <x:v>MrM: Black-Box Membership Inference Attacks against Multimodal RAG Systems</x:v>
      </x:c>
      <x:c r="I392" s="17" t="str">
        <x:v>Peiru Yang; Jinhua Yin; Haoran Zheng; Xueying Bai; Huili Wang; Yufei Sun; Xintian Li; Shangguang Wang; Yongfeng Huang; Tao Qi</x:v>
      </x:c>
      <x:c r="J392" s="22" t="n">
        <x:v>2025</x:v>
      </x:c>
      <x:c r="K392" s="27" t="str">
        <x:v>Multimodal retrieval-augmented generation (RAG) systems enhance large vision-language models by integrating cross-modal knowledge, enabling their increasing adoption across real-world multimodal tasks. These knowledge databases may contain sensitive information that requires privacy protection. However, multimodal RAG systems inherently grant external users indirect access to such data, making them potentially vulnerable to privacy attacks, particularly membership inference attacks (MIAs). % Existing MIA methods targeting RAG systems predominantly focus on the textual modality, while the visual modality remains relatively underexplored. To bridge this gap, we propose MrM, the first black-box MIA framework targeted at multimodal RAG systems. It utilizes a multi-object data perturbation framework constrained by counterfactual attacks, which can concurrently induce the RAG systems to retrieve the target data and generate information that leaks the membership information. Our method first employs an object-aware data perturbation method to constrain the perturbation to key semantics and ensure successful retrieval. Building on this, we design a counterfact-informed mask selection strategy to prioritize the most informative masked regions, aiming to eliminate the interference of model self-knowledge and amplify attack efficacy. Finally, we perform statistical membership inference by modeling query trials to extract features that reflect the reconstruction of masked semantics from response patterns. Experiments on two visual datasets and eight mainstream commercial visual-language models (e.g., GPT-4o, Gemini-2) demonstrate that MrM achieves consistently strong performance across both sample-level and set-level evaluations, and remains robust under adaptive defenses.</x:v>
      </x:c>
      <x:c r="L392" s="17" t="str">
        <x:v>http://arxiv.org/abs/2506.07399v1</x:v>
      </x:c>
      <x:c r="M392" s="23" t="n">
        <x:v>0.028790389395194696</x:v>
      </x:c>
      <x:c r="N392" s="17" t="str">
        <x:v>arxiv-paper-eval-20260727-105551-results.jsonl</x:v>
      </x:c>
      <x:c r="O392" s="24" t="str">
        <x:v>2</x:v>
      </x:c>
      <x:c r="P392" s="28" t="str">
        <x:v>提出针对多模态RAG的黑盒成员推断攻击。</x:v>
      </x:c>
      <x:c r="Q392" s="25" t="str"/>
      <x:c r="R392" s="24" t="str">
        <x:f>IF(Q392&lt;&gt;"",Q392,O392)</x:f>
        <x:v>2</x:v>
      </x:c>
      <x:c r="S392" s="29" t="str"/>
    </x:row>
    <x:row r="393" ht="54" customHeight="1">
      <x:c r="A393" s="17" t="str">
        <x:v>csq020-r12</x:v>
      </x:c>
      <x:c r="B393" s="17" t="str">
        <x:v>csq020</x:v>
      </x:c>
      <x:c r="C393" s="17" t="str">
        <x:v>security_and_privacy</x:v>
      </x:c>
      <x:c r="D393" s="17" t="str">
        <x:v>membership_inference</x:v>
      </x:c>
      <x:c r="E393" s="27" t="str">
        <x:v>How do black-box and white-box membership inference attacks against machine learning models compare in their assumptions, methods, and evaluations?</x:v>
      </x:c>
      <x:c r="F393" s="22" t="n">
        <x:v>12</x:v>
      </x:c>
      <x:c r="G393" s="17" t="str">
        <x:v>arXiv:2503.02256</x:v>
      </x:c>
      <x:c r="H393" s="27" t="str">
        <x:v>Multi-Robot Data-Free Continual Communicative Learning (CCL) from Black-Box Visual Place Recognition Models</x:v>
      </x:c>
      <x:c r="I393" s="17" t="str">
        <x:v>Kenta Tsukahara; Kanji Tanaka; Daiki Iwata; Jonathan Tay Yu Liang</x:v>
      </x:c>
      <x:c r="J393" s="22" t="n">
        <x:v>2025</x:v>
      </x:c>
      <x:c r="K393" s="27" t="str">
        <x:v>In emerging multi-robot societies, heterogeneous agents must continually extract and integrate local knowledge from one another through communication, even when their internal models are completely opaque. Existing approaches to continual or collaborative learning for visual place recognition (VPR) largely assume white-box access to model parameters or shared training datasets, which is unrealistic when robots encounter unknown peers in the wild. This paper introduces \emph{Continual Communicative Learning (CCL)}, a data-free multi-robot framework in which a traveler robot (student) continually improves its VPR capability by communicating with black-box teacher models via a constrained query--response channel. We repurpose Membership Inference Attacks (MIA), originally developed as privacy attacks on machine learning models, as a constructive communication primitive to reconstruct pseudo-training sets from black-box VPR teachers without accessing their parameters or raw data. To overcome the intrinsic communication bottleneck caused by the low sampling efficiency of black-box MIA, we propose a prior-based query strategy that leverages the student's own VPR prior to focus queries on informative regions of the embedding space, thereby reducing the knowledge transfer (KT) cost. Experimental results on a standard multi-session VPR benchmark demonstrate that the proposed CCL framework yields substantial performance gains for low-performing robots under modest communication budgets, highlighting CCL as a promising building block for scalable and fault-tolerant multi-robot systems. Furthermore, we propose a Distributed Statistic Integration (DSI) framework that theoretically eliminates catastrophic forgetting by efficiently aggregating sufficient statistics from black-box VPR models while maintaining data privacy and reducing communication overhead to a sample-invariant constant complexity.</x:v>
      </x:c>
      <x:c r="L393" s="17" t="str">
        <x:v>http://arxiv.org/abs/2503.02256v3</x:v>
      </x:c>
      <x:c r="M393" s="23" t="n">
        <x:v>0.027598020555767037</x:v>
      </x:c>
      <x:c r="N393" s="17" t="str">
        <x:v>arxiv-paper-eval-20260727-105551-results.jsonl</x:v>
      </x:c>
      <x:c r="O393" s="24" t="str">
        <x:v>0</x:v>
      </x:c>
      <x:c r="P393" s="28" t="str">
        <x:v>研究机器人黑盒知识学习，不涉及成员推断。</x:v>
      </x:c>
      <x:c r="Q393" s="25" t="str"/>
      <x:c r="R393" s="24" t="str">
        <x:f>IF(Q393&lt;&gt;"",Q393,O393)</x:f>
        <x:v>0</x:v>
      </x:c>
      <x:c r="S393" s="29" t="str"/>
    </x:row>
    <x:row r="394" ht="54" customHeight="1">
      <x:c r="A394" s="17" t="str">
        <x:v>csq020-r13</x:v>
      </x:c>
      <x:c r="B394" s="17" t="str">
        <x:v>csq020</x:v>
      </x:c>
      <x:c r="C394" s="17" t="str">
        <x:v>security_and_privacy</x:v>
      </x:c>
      <x:c r="D394" s="17" t="str">
        <x:v>membership_inference</x:v>
      </x:c>
      <x:c r="E394" s="27" t="str">
        <x:v>How do black-box and white-box membership inference attacks against machine learning models compare in their assumptions, methods, and evaluations?</x:v>
      </x:c>
      <x:c r="F394" s="22" t="n">
        <x:v>13</x:v>
      </x:c>
      <x:c r="G394" s="17" t="str">
        <x:v>arXiv:1908.11229</x:v>
      </x:c>
      <x:c r="H394" s="27" t="str">
        <x:v>White-box vs Black-box: Bayes Optimal Strategies for Membership Inference</x:v>
      </x:c>
      <x:c r="I394" s="17" t="str">
        <x:v>Alexandre Sablayrolles; Matthijs Douze; Yann Ollivier; Cordelia Schmid; Hervé Jégou</x:v>
      </x:c>
      <x:c r="J394" s="22" t="n">
        <x:v>2019</x:v>
      </x:c>
      <x:c r="K394" s="27" t="str">
        <x:v>Membership inference determines, given a sample and trained parameters of a machine learning model, whether the sample was part of the training set. In this paper, we derive the optimal strategy for membership inference with a few assumptions on the distribution of the parameters. We show that optimal attacks only depend on the loss function, and thus black-box attacks are as good as white-box attacks. As the optimal strategy is not tractable, we provide approximations of it leading to several inference methods, and show that existing membership inference methods are coarser approximations of this optimal strategy. Our membership attacks outperform the state of the art in various settings, ranging from a simple logistic regression to more complex architectures and datasets, such as ResNet-101 and Imagenet.</x:v>
      </x:c>
      <x:c r="L394" s="17" t="str">
        <x:v>http://arxiv.org/abs/1908.11229v1</x:v>
      </x:c>
      <x:c r="M394" s="23" t="n">
        <x:v>0.01639344262295082</x:v>
      </x:c>
      <x:c r="N394" s="17" t="str">
        <x:v>arxiv-paper-eval-20260727-105551-results.jsonl</x:v>
      </x:c>
      <x:c r="O394" s="24" t="str">
        <x:v>2</x:v>
      </x:c>
      <x:c r="P394" s="28" t="str">
        <x:v>直接推导并比较贝叶斯最优黑盒与白盒MIA。</x:v>
      </x:c>
      <x:c r="Q394" s="25" t="str"/>
      <x:c r="R394" s="24" t="str">
        <x:f>IF(Q394&lt;&gt;"",Q394,O394)</x:f>
        <x:v>2</x:v>
      </x:c>
      <x:c r="S394" s="29" t="str"/>
    </x:row>
    <x:row r="395" ht="54" customHeight="1">
      <x:c r="A395" s="17" t="str">
        <x:v>csq020-r14</x:v>
      </x:c>
      <x:c r="B395" s="17" t="str">
        <x:v>csq020</x:v>
      </x:c>
      <x:c r="C395" s="17" t="str">
        <x:v>security_and_privacy</x:v>
      </x:c>
      <x:c r="D395" s="17" t="str">
        <x:v>membership_inference</x:v>
      </x:c>
      <x:c r="E395" s="27" t="str">
        <x:v>How do black-box and white-box membership inference attacks against machine learning models compare in their assumptions, methods, and evaluations?</x:v>
      </x:c>
      <x:c r="F395" s="22" t="n">
        <x:v>14</x:v>
      </x:c>
      <x:c r="G395" s="17" t="str">
        <x:v>arXiv:1906.11798</x:v>
      </x:c>
      <x:c r="H395" s="27" t="str">
        <x:v>Stolen Memories: Leveraging Model Memorization for Calibrated White-Box Membership Inference</x:v>
      </x:c>
      <x:c r="I395" s="17" t="str">
        <x:v>Klas Leino; Matt Fredrikson</x:v>
      </x:c>
      <x:c r="J395" s="22" t="n">
        <x:v>2019</x:v>
      </x:c>
      <x:c r="K395" s="27" t="str">
        <x:v>Membership inference (MI) attacks exploit the fact that machine learning algorithms sometimes leak information about their training data through the learned model. In this work, we study membership inference in the white-box setting in order to exploit the internals of a model, which have not been effectively utilized by previous work. Leveraging new insights about how overfitting occurs in deep neural networks, we show how a model's idiosyncratic use of features can provide evidence for membership to white-box attackers---even when the model's black-box behavior appears to generalize well---and demonstrate that this attack outperforms prior black-box methods. Taking the position that an effective attack should have the ability to provide confident positive inferences, we find that previous attacks do not often provide a meaningful basis for confidently inferring membership, whereas our attack can be effectively calibrated for high precision. Finally, we examine popular defenses against MI attacks, finding that (1) smaller generalization error is not sufficient to prevent attacks on real models, and (2) while small-$ε$-differential privacy reduces the attack's effectiveness, this often comes at a significant cost to the model's accuracy; and for larger $ε$ that are sometimes used in practice (e.g., $ε=16$), the attack can achieve nearly the same accuracy as on the unprotected model.</x:v>
      </x:c>
      <x:c r="L395" s="17" t="str">
        <x:v>http://arxiv.org/abs/1906.11798v2</x:v>
      </x:c>
      <x:c r="M395" s="23" t="n">
        <x:v>0.016129032258064516</x:v>
      </x:c>
      <x:c r="N395" s="17" t="str">
        <x:v>arxiv-paper-eval-20260727-105551-results.jsonl</x:v>
      </x:c>
      <x:c r="O395" s="24" t="str">
        <x:v>2</x:v>
      </x:c>
      <x:c r="P395" s="28" t="str">
        <x:v>利用模型内部特征提出白盒MIA并与黑盒行为对比。</x:v>
      </x:c>
      <x:c r="Q395" s="25" t="str"/>
      <x:c r="R395" s="24" t="str">
        <x:f>IF(Q395&lt;&gt;"",Q395,O395)</x:f>
        <x:v>2</x:v>
      </x:c>
      <x:c r="S395" s="29" t="str"/>
    </x:row>
    <x:row r="396" ht="54" customHeight="1">
      <x:c r="A396" s="17" t="str">
        <x:v>csq020-r15</x:v>
      </x:c>
      <x:c r="B396" s="17" t="str">
        <x:v>csq020</x:v>
      </x:c>
      <x:c r="C396" s="17" t="str">
        <x:v>security_and_privacy</x:v>
      </x:c>
      <x:c r="D396" s="17" t="str">
        <x:v>membership_inference</x:v>
      </x:c>
      <x:c r="E396" s="27" t="str">
        <x:v>How do black-box and white-box membership inference attacks against machine learning models compare in their assumptions, methods, and evaluations?</x:v>
      </x:c>
      <x:c r="F396" s="22" t="n">
        <x:v>15</x:v>
      </x:c>
      <x:c r="G396" s="17" t="str">
        <x:v>arXiv:2302.03262</x:v>
      </x:c>
      <x:c r="H396" s="27" t="str">
        <x:v>Membership Inference Attacks against Diffusion Models</x:v>
      </x:c>
      <x:c r="I396" s="17" t="str">
        <x:v>Tomoya Matsumoto; Takayuki Miura; Naoto Yanai</x:v>
      </x:c>
      <x:c r="J396" s="22" t="n">
        <x:v>2023</x:v>
      </x:c>
      <x:c r="K396" s="27" t="str">
        <x:v>Diffusion models have attracted attention in recent years as innovative generative models. In this paper, we investigate whether a diffusion model is resistant to a membership inference attack, which evaluates the privacy leakage of a machine learning model. We primarily discuss the diffusion model from the standpoints of comparison with a generative adversarial network (GAN) as conventional models and hyperparameters unique to the diffusion model, i.e., time steps, sampling steps, and sampling variances. We conduct extensive experiments with DDIM as a diffusion model and DCGAN as a GAN on the CelebA and CIFAR-10 datasets in both white-box and black-box settings and then confirm if the diffusion model is comparably resistant to a membership inference attack as GAN. Next, we demonstrate that the impact of time steps is significant and intermediate steps in a noise schedule are the most vulnerable to the attack. We also found two key insights through further analysis. First, we identify that DDIM is vulnerable to the attack for small sample sizes instead of achieving a lower FID. Second, sampling steps in hyperparameters are important for resistance to the attack, whereas the impact of sampling variances is quite limited.</x:v>
      </x:c>
      <x:c r="L396" s="17" t="str">
        <x:v>http://arxiv.org/abs/2302.03262v2</x:v>
      </x:c>
      <x:c r="M396" s="23" t="n">
        <x:v>0.015873015873015872</x:v>
      </x:c>
      <x:c r="N396" s="17" t="str">
        <x:v>arxiv-paper-eval-20260727-105551-results.jsonl</x:v>
      </x:c>
      <x:c r="O396" s="24" t="str">
        <x:v>2</x:v>
      </x:c>
      <x:c r="P396" s="28" t="str">
        <x:v>在扩散模型上同时实验白盒和黑盒成员推断。</x:v>
      </x:c>
      <x:c r="Q396" s="25" t="str"/>
      <x:c r="R396" s="24" t="str">
        <x:f>IF(Q396&lt;&gt;"",Q396,O396)</x:f>
        <x:v>2</x:v>
      </x:c>
      <x:c r="S396" s="29" t="str"/>
    </x:row>
    <x:row r="397" ht="54" customHeight="1">
      <x:c r="A397" s="17" t="str">
        <x:v>csq020-r16</x:v>
      </x:c>
      <x:c r="B397" s="17" t="str">
        <x:v>csq020</x:v>
      </x:c>
      <x:c r="C397" s="17" t="str">
        <x:v>security_and_privacy</x:v>
      </x:c>
      <x:c r="D397" s="17" t="str">
        <x:v>membership_inference</x:v>
      </x:c>
      <x:c r="E397" s="27" t="str">
        <x:v>How do black-box and white-box membership inference attacks against machine learning models compare in their assumptions, methods, and evaluations?</x:v>
      </x:c>
      <x:c r="F397" s="22" t="n">
        <x:v>16</x:v>
      </x:c>
      <x:c r="G397" s="17" t="str">
        <x:v>arXiv:1909.10594</x:v>
      </x:c>
      <x:c r="H397" s="27" t="str">
        <x:v>MemGuard: Defending against Black-Box Membership Inference Attacks via Adversarial Examples</x:v>
      </x:c>
      <x:c r="I397" s="17" t="str">
        <x:v>Jinyuan Jia; Ahmed Salem; Michael Backes; Yang Zhang; Neil Zhenqiang Gong</x:v>
      </x:c>
      <x:c r="J397" s="22" t="n">
        <x:v>2019</x:v>
      </x:c>
      <x:c r="K397" s="27" t="str">
        <x:v>In a membership inference attack, an attacker aims to infer whether a data sample is in a target classifier's training dataset or not. Specifically, given a black-box access to the target classifier, the attacker trains a binary classifier, which takes a data sample's confidence score vector predicted by the target classifier as an input and predicts the data sample to be a member or non-member of the target classifier's training dataset. Membership inference attacks pose severe privacy and security threats to the training dataset. Most existing defenses leverage differential privacy when training the target classifier or regularize the training process of the target classifier. These defenses suffer from two key limitations: 1) they do not have formal utility-loss guarantees of the confidence score vectors, and 2) they achieve suboptimal privacy-utility tradeoffs. In this work, we propose MemGuard, the first defense with formal utility-loss guarantees against black-box membership inference attacks. Instead of tampering the training process of the target classifier, MemGuard adds noise to each confidence score vector predicted by the target classifier. Our key observation is that attacker uses a classifier to predict member or non-member and classifier is vulnerable to adversarial examples. Based on the observation, we propose to add a carefully crafted noise vector to a confidence score vector to turn it into an adversarial example that misleads the attacker's classifier. Our experimental results on three datasets show that MemGuard can effectively defend against membership inference attacks and achieve better privacy-utility tradeoffs than existing defenses. Our work is the first one to show that adversarial examples can be used as defensive mechanisms to defend against membership inference attacks.</x:v>
      </x:c>
      <x:c r="L397" s="17" t="str">
        <x:v>http://arxiv.org/abs/1909.10594v3</x:v>
      </x:c>
      <x:c r="M397" s="23" t="n">
        <x:v>0.015625</x:v>
      </x:c>
      <x:c r="N397" s="17" t="str">
        <x:v>arxiv-paper-eval-20260727-105551-results.jsonl</x:v>
      </x:c>
      <x:c r="O397" s="24" t="str">
        <x:v>1</x:v>
      </x:c>
      <x:c r="P397" s="28" t="str">
        <x:v>主要贡献是防御黑盒MIA，但清楚描述其访问与方法。</x:v>
      </x:c>
      <x:c r="Q397" s="25" t="str"/>
      <x:c r="R397" s="24" t="str">
        <x:f>IF(Q397&lt;&gt;"",Q397,O397)</x:f>
        <x:v>1</x:v>
      </x:c>
      <x:c r="S397" s="29" t="str"/>
    </x:row>
    <x:row r="398" ht="54" customHeight="1">
      <x:c r="A398" s="17" t="str">
        <x:v>csq020-r17</x:v>
      </x:c>
      <x:c r="B398" s="17" t="str">
        <x:v>csq020</x:v>
      </x:c>
      <x:c r="C398" s="17" t="str">
        <x:v>security_and_privacy</x:v>
      </x:c>
      <x:c r="D398" s="17" t="str">
        <x:v>membership_inference</x:v>
      </x:c>
      <x:c r="E398" s="27" t="str">
        <x:v>How do black-box and white-box membership inference attacks against machine learning models compare in their assumptions, methods, and evaluations?</x:v>
      </x:c>
      <x:c r="F398" s="22" t="n">
        <x:v>17</x:v>
      </x:c>
      <x:c r="G398" s="17" t="str">
        <x:v>arXiv:2207.12535</x:v>
      </x:c>
      <x:c r="H398" s="27" t="str">
        <x:v>Semi-Leak: Membership Inference Attacks Against Semi-supervised Learning</x:v>
      </x:c>
      <x:c r="I398" s="17" t="str">
        <x:v>Xinlei He; Hongbin Liu; Neil Zhenqiang Gong; Yang Zhang</x:v>
      </x:c>
      <x:c r="J398" s="22" t="n">
        <x:v>2022</x:v>
      </x:c>
      <x:c r="K398" s="27" t="str">
        <x:v>Semi-supervised learning (SSL) leverages both labeled and unlabeled data to train machine learning (ML) models. State-of-the-art SSL methods can achieve comparable performance to supervised learning by leveraging much fewer labeled data. However, most existing works focus on improving the performance of SSL. In this work, we take a different angle by studying the training data privacy of SSL. Specifically, we propose the first data augmentation-based membership inference attacks against ML models trained by SSL. Given a data sample and the black-box access to a model, the goal of membership inference attack is to determine whether the data sample belongs to the training dataset of the model. Our evaluation shows that the proposed attack can consistently outperform existing membership inference attacks and achieves the best performance against the model trained by SSL. Moreover, we uncover that the reason for membership leakage in SSL is different from the commonly believed one in supervised learning, i.e., overfitting (the gap between training and testing accuracy). We observe that the SSL model is well generalized to the testing data (with almost 0 overfitting) but ''memorizes'' the training data by giving a more confident prediction regardless of its correctness. We also explore early stopping as a countermeasure to prevent membership inference attacks against SSL. The results show that early stopping can mitigate the membership inference attack, but with the cost of model's utility degradation.</x:v>
      </x:c>
      <x:c r="L398" s="17" t="str">
        <x:v>http://arxiv.org/abs/2207.12535v1</x:v>
      </x:c>
      <x:c r="M398" s="23" t="n">
        <x:v>0.015384615384615385</x:v>
      </x:c>
      <x:c r="N398" s="17" t="str">
        <x:v>arxiv-paper-eval-20260727-105551-results.jsonl</x:v>
      </x:c>
      <x:c r="O398" s="24" t="str">
        <x:v>2</x:v>
      </x:c>
      <x:c r="P398" s="28" t="str">
        <x:v>针对半监督模型提出数据增强黑盒MIA。</x:v>
      </x:c>
      <x:c r="Q398" s="25" t="str"/>
      <x:c r="R398" s="24" t="str">
        <x:f>IF(Q398&lt;&gt;"",Q398,O398)</x:f>
        <x:v>2</x:v>
      </x:c>
      <x:c r="S398" s="29" t="str"/>
    </x:row>
    <x:row r="399" ht="54" customHeight="1">
      <x:c r="A399" s="17" t="str">
        <x:v>csq020-r18</x:v>
      </x:c>
      <x:c r="B399" s="17" t="str">
        <x:v>csq020</x:v>
      </x:c>
      <x:c r="C399" s="17" t="str">
        <x:v>security_and_privacy</x:v>
      </x:c>
      <x:c r="D399" s="17" t="str">
        <x:v>membership_inference</x:v>
      </x:c>
      <x:c r="E399" s="27" t="str">
        <x:v>How do black-box and white-box membership inference attacks against machine learning models compare in their assumptions, methods, and evaluations?</x:v>
      </x:c>
      <x:c r="F399" s="22" t="n">
        <x:v>18</x:v>
      </x:c>
      <x:c r="G399" s="17" t="str">
        <x:v>arXiv:1812.00910</x:v>
      </x:c>
      <x:c r="H399" s="27" t="str">
        <x:v>Comprehensive Privacy Analysis of Deep Learning: Passive and Active White-box Inference Attacks against Centralized and Federated Learning</x:v>
      </x:c>
      <x:c r="I399" s="17" t="str">
        <x:v>Milad Nasr; Reza Shokri; Amir Houmansadr</x:v>
      </x:c>
      <x:c r="J399" s="22" t="n">
        <x:v>2018</x:v>
      </x:c>
      <x:c r="K399" s="27" t="str">
        <x:v>Deep neural networks are susceptible to various inference attacks as they remember information about their training data. We design white-box inference attacks to perform a comprehensive privacy analysis of deep learning models. We measure the privacy leakage through parameters of fully trained models as well as the parameter updates of models during training. We design inference algorithms for both centralized and federated learning, with respect to passive and active inference attackers, and assuming different adversary prior knowledge. We evaluate our novel white-box membership inference attacks against deep learning algorithms to trace their training data records. We show that a straightforward extension of the known black-box attacks to the white-box setting (through analyzing the outputs of activation functions) is ineffective. We therefore design new algorithms tailored to the white-box setting by exploiting the privacy vulnerabilities of the stochastic gradient descent algorithm, which is the algorithm used to train deep neural networks. We investigate the reasons why deep learning models may leak information about their training data. We then show that even well-generalized models are significantly susceptible to white-box membership inference attacks, by analyzing state-of-the-art pre-trained and publicly available models for the CIFAR dataset. We also show how adversarial participants, in the federated learning setting, can successfully run active membership inference attacks against other participants, even when the global model achieves high prediction accuracies.</x:v>
      </x:c>
      <x:c r="L399" s="17" t="str">
        <x:v>http://arxiv.org/abs/1812.00910v2</x:v>
      </x:c>
      <x:c r="M399" s="23" t="n">
        <x:v>0.015384615384615385</x:v>
      </x:c>
      <x:c r="N399" s="17" t="str">
        <x:v>arxiv-paper-eval-20260727-105551-results.jsonl</x:v>
      </x:c>
      <x:c r="O399" s="24" t="str">
        <x:v>2</x:v>
      </x:c>
      <x:c r="P399" s="28" t="str">
        <x:v>全面设计并评估集中式与联邦白盒成员推断。</x:v>
      </x:c>
      <x:c r="Q399" s="25" t="str"/>
      <x:c r="R399" s="24" t="str">
        <x:f>IF(Q399&lt;&gt;"",Q399,O399)</x:f>
        <x:v>2</x:v>
      </x:c>
      <x:c r="S399" s="29" t="str"/>
    </x:row>
    <x:row r="400" ht="54" customHeight="1">
      <x:c r="A400" s="17" t="str">
        <x:v>csq020-r19</x:v>
      </x:c>
      <x:c r="B400" s="17" t="str">
        <x:v>csq020</x:v>
      </x:c>
      <x:c r="C400" s="17" t="str">
        <x:v>security_and_privacy</x:v>
      </x:c>
      <x:c r="D400" s="17" t="str">
        <x:v>membership_inference</x:v>
      </x:c>
      <x:c r="E400" s="27" t="str">
        <x:v>How do black-box and white-box membership inference attacks against machine learning models compare in their assumptions, methods, and evaluations?</x:v>
      </x:c>
      <x:c r="F400" s="22" t="n">
        <x:v>19</x:v>
      </x:c>
      <x:c r="G400" s="17" t="str">
        <x:v>arXiv:2308.12143</x:v>
      </x:c>
      <x:c r="H400" s="27" t="str">
        <x:v>A Probabilistic Fluctuation based Membership Inference Attack for Diffusion Models</x:v>
      </x:c>
      <x:c r="I400" s="17" t="str">
        <x:v>Wenjie Fu; Huandong Wang; Liyuan Zhang; Chen Gao; Yong Li; Tao Jiang</x:v>
      </x:c>
      <x:c r="J400" s="22" t="n">
        <x:v>2023</x:v>
      </x:c>
      <x:c r="K400" s="27" t="str">
        <x:v>Membership Inference Attack (MIA) identifies whether a record exists in a machine learning model's training set by querying the model. MIAs on the classic classification models have been well-studied, and recent works have started to explore how to transplant MIA onto generative models. Our investigation indicates that existing MIAs designed for generative models mainly depend on the overfitting in target models. However, overfitting can be avoided by employing various regularization techniques, whereas existing MIAs demonstrate poor performance in practice. Unlike overfitting, memorization is essential for deep learning models to attain optimal performance, making it a more prevalent phenomenon. Memorization in generative models leads to an increasing trend in the probability distribution of generating records around the member record. Therefore, we propose a Probabilistic Fluctuation Assessing Membership Inference Attack (PFAMI), a black-box MIA that infers memberships by detecting these trends via analyzing the overall probabilistic fluctuations around given records. We conduct extensive experiments across multiple generative models and datasets, which demonstrate PFAMI can improve the attack success rate (ASR) by about 27.9% when compared with the best baseline.</x:v>
      </x:c>
      <x:c r="L400" s="17" t="str">
        <x:v>http://arxiv.org/abs/2308.12143v5</x:v>
      </x:c>
      <x:c r="M400" s="23" t="n">
        <x:v>0.015151515151515152</x:v>
      </x:c>
      <x:c r="N400" s="17" t="str">
        <x:v>arxiv-paper-eval-20260727-105551-results.jsonl</x:v>
      </x:c>
      <x:c r="O400" s="24" t="str">
        <x:v>2</x:v>
      </x:c>
      <x:c r="P400" s="28" t="str">
        <x:v>提出基于查询波动的扩散模型成员推断。</x:v>
      </x:c>
      <x:c r="Q400" s="25" t="str"/>
      <x:c r="R400" s="24" t="str">
        <x:f>IF(Q400&lt;&gt;"",Q400,O400)</x:f>
        <x:v>2</x:v>
      </x:c>
      <x:c r="S400" s="29" t="str"/>
    </x:row>
    <x:row r="401" ht="54" customHeight="1">
      <x:c r="A401" s="17" t="str">
        <x:v>csq020-r20</x:v>
      </x:c>
      <x:c r="B401" s="17" t="str">
        <x:v>csq020</x:v>
      </x:c>
      <x:c r="C401" s="17" t="str">
        <x:v>security_and_privacy</x:v>
      </x:c>
      <x:c r="D401" s="17" t="str">
        <x:v>membership_inference</x:v>
      </x:c>
      <x:c r="E401" s="27" t="str">
        <x:v>How do black-box and white-box membership inference attacks against machine learning models compare in their assumptions, methods, and evaluations?</x:v>
      </x:c>
      <x:c r="F401" s="22" t="n">
        <x:v>20</x:v>
      </x:c>
      <x:c r="G401" s="17" t="str">
        <x:v>arXiv:2511.07503</x:v>
      </x:c>
      <x:c r="H401" s="27" t="str">
        <x:v>Biologically-Informed Hybrid Membership Inference Attacks on Generative Genomic Models</x:v>
      </x:c>
      <x:c r="I401" s="17" t="str">
        <x:v>Asia Belfiore; Jonathan Passerat-Palmbach; Dmitrii Usynin</x:v>
      </x:c>
      <x:c r="J401" s="22" t="n">
        <x:v>2025</x:v>
      </x:c>
      <x:c r="K401" s="27" t="str">
        <x:v>The increased availability of genetic data has transformed genomics research, but raised many privacy concerns regarding its handling due to its sensitive nature. This work explores the use of language models (LMs) for the generation of synthetic genetic mutation profiles, leveraging differential privacy (DP) for the protection of sensitive genetic data. We empirically evaluate the privacy guarantees of our DP modes by introducing a novel Biologically-Informed Hybrid Membership Inference Attack (biHMIA), which combines traditional black box MIA with contextual genomics metrics for enhanced attack power. Our experiments show that both small and large transformer GPT-like models are viable synthetic variant generators for small-scale genomics, and that our hybrid attack leads, on average, to higher adversarial success compared to traditional metric-based MIAs.</x:v>
      </x:c>
      <x:c r="L401" s="17" t="str">
        <x:v>http://arxiv.org/abs/2511.07503v3</x:v>
      </x:c>
      <x:c r="M401" s="23" t="n">
        <x:v>0.014925373134328358</x:v>
      </x:c>
      <x:c r="N401" s="17" t="str">
        <x:v>arxiv-paper-eval-20260727-105551-results.jsonl</x:v>
      </x:c>
      <x:c r="O401" s="24" t="str">
        <x:v>2</x:v>
      </x:c>
      <x:c r="P401" s="28" t="str">
        <x:v>提出融合黑盒MIA与基因组指标的混合攻击。</x:v>
      </x:c>
      <x:c r="Q401" s="25" t="str"/>
      <x:c r="R401" s="24" t="str">
        <x:f>IF(Q401&lt;&gt;"",Q401,O401)</x:f>
        <x:v>2</x:v>
      </x:c>
      <x:c r="S401" s="29" t="str"/>
    </x:row>
    <x:row r="402" ht="54" customHeight="1">
      <x:c r="A402" s="17" t="str">
        <x:v>csq021-r01</x:v>
      </x:c>
      <x:c r="B402" s="17" t="str">
        <x:v>csq021</x:v>
      </x:c>
      <x:c r="C402" s="17" t="str">
        <x:v>security_and_privacy</x:v>
      </x:c>
      <x:c r="D402" s="17" t="str">
        <x:v>software_supply_chain</x:v>
      </x:c>
      <x:c r="E402" s="27" t="str">
        <x:v>Which datasets, benchmarks, and metrics are used to evaluate software supply-chain vulnerability and malicious-package detection methods?</x:v>
      </x:c>
      <x:c r="F402" s="22" t="n">
        <x:v>1</x:v>
      </x:c>
      <x:c r="G402" s="17" t="str">
        <x:v>arXiv:2505.13804</x:v>
      </x:c>
      <x:c r="H402" s="27" t="str">
        <x:v>QUT-DV25: A Dataset for Dynamic Analysis of Next-Gen Software Supply Chain Attacks</x:v>
      </x:c>
      <x:c r="I402" s="17" t="str">
        <x:v>Sk Tanzir Mehedi; Raja Jurdak; Chadni Islam; Gowri Ramachandran</x:v>
      </x:c>
      <x:c r="J402" s="22" t="n">
        <x:v>2025</x:v>
      </x:c>
      <x:c r="K402" s="27" t="str">
        <x:v>Securing software supply chains is a growing challenge due to the inadequacy of existing datasets in capturing the complexity of next-gen attacks, such as multiphase malware execution, remote access activation, and dynamic payload generation. Existing datasets, which rely on metadata inspection and static code analysis, are inadequate for detecting such attacks. This creates a critical gap because these datasets do not capture what happens during and after a package is installed. To address this gap, we present QUT-DV25, a dynamic analysis dataset specifically designed to support and advance research on detecting and mitigating supply chain attacks within the Python Package Index (PyPI) ecosystem. This dataset captures install and post-install-time traces from 14,271 Python packages, of which 7,127 are malicious. The packages are executed in an isolated sandbox environment using an extended Berkeley Packet Filter (eBPF) kernel and user-level probes. It captures 36 real-time features, that includes system calls, network traffic, resource usages, directory access patterns, dependency logs, and installation behaviors, enabling the study of next-gen attack vectors. ML analysis using the QUT-DV25 dataset identified four malicious PyPI packages previously labeled as benign, each with thousands of downloads. These packages deployed covert remote access and multi-phase payloads, were reported to PyPI maintainers, and subsequently removed. This highlights the practical value of QUT-DV25, as it outperforms reactive, metadata, and static datasets, offering a robust foundation for developing and benchmarking advanced threat detection within the evolving software supply chain ecosystem.</x:v>
      </x:c>
      <x:c r="L402" s="17" t="str">
        <x:v>http://arxiv.org/abs/2505.13804v2</x:v>
      </x:c>
      <x:c r="M402" s="23" t="n">
        <x:v>0.03131881575727918</x:v>
      </x:c>
      <x:c r="N402" s="17" t="str">
        <x:v>arxiv-paper-eval-20260727-105551-results.jsonl</x:v>
      </x:c>
      <x:c r="O402" s="24" t="str">
        <x:v>2</x:v>
      </x:c>
      <x:c r="P402" s="28" t="str">
        <x:v>直接提供软件供应链攻击动态分析数据集与检测评测。</x:v>
      </x:c>
      <x:c r="Q402" s="25" t="str"/>
      <x:c r="R402" s="24" t="str">
        <x:f>IF(Q402&lt;&gt;"",Q402,O402)</x:f>
        <x:v>2</x:v>
      </x:c>
      <x:c r="S402" s="29" t="str"/>
    </x:row>
    <x:row r="403" ht="54" customHeight="1">
      <x:c r="A403" s="17" t="str">
        <x:v>csq021-r02</x:v>
      </x:c>
      <x:c r="B403" s="17" t="str">
        <x:v>csq021</x:v>
      </x:c>
      <x:c r="C403" s="17" t="str">
        <x:v>security_and_privacy</x:v>
      </x:c>
      <x:c r="D403" s="17" t="str">
        <x:v>software_supply_chain</x:v>
      </x:c>
      <x:c r="E403" s="27" t="str">
        <x:v>Which datasets, benchmarks, and metrics are used to evaluate software supply-chain vulnerability and malicious-package detection methods?</x:v>
      </x:c>
      <x:c r="F403" s="22" t="n">
        <x:v>2</x:v>
      </x:c>
      <x:c r="G403" s="17" t="str">
        <x:v>arXiv:2411.08550</x:v>
      </x:c>
      <x:c r="H403" s="27" t="str">
        <x:v>Graph Neural Networks in Supply Chain Analytics and Optimization: Concepts, Perspectives, Dataset and Benchmarks</x:v>
      </x:c>
      <x:c r="I403" s="17" t="str">
        <x:v>Azmine Toushik Wasi; MD Shafikul Islam; Adipto Raihan Akib; Mahathir Mohammad Bappy</x:v>
      </x:c>
      <x:c r="J403" s="22" t="n">
        <x:v>2024</x:v>
      </x:c>
      <x:c r="K403" s="27" t="str">
        <x:v>Graph Neural Networks (GNNs) have recently gained traction in transportation, bioinformatics, language and image processing, but research on their application to supply chain management remains limited. Supply chains are inherently graph-like, making them ideal for GNN methodologies, which can optimize and solve complex problems. The barriers include a lack of proper conceptual foundations, familiarity with graph applications in SCM, and real-world benchmark datasets for GNN-based supply chain research. To address this, we discuss and connect supply chains with graph structures for effective GNN application, providing detailed formulations, examples, mathematical definitions, and task guidelines. Additionally, we present a multi-perspective real-world benchmark dataset from a leading FMCG company in Bangladesh, focusing on supply chain planning. We discuss various supply chain tasks using GNNs and benchmark several state-of-the-art models on homogeneous and heterogeneous graphs across six supply chain analytics tasks. Our analysis shows that GNN-based models consistently outperform statistical Machine Learning and other Deep Learning models by around 10-30% in regression, 10-30% in classification and detection tasks, and 15-40% in anomaly detection tasks on designated metrics. With this work, we lay the groundwork for solving supply chain problems using GNNs, supported by conceptual discussions, methodological insights, and a comprehensive dataset.</x:v>
      </x:c>
      <x:c r="L403" s="17" t="str">
        <x:v>http://arxiv.org/abs/2411.08550v2</x:v>
      </x:c>
      <x:c r="M403" s="23" t="n">
        <x:v>0.029857397504456328</x:v>
      </x:c>
      <x:c r="N403" s="17" t="str">
        <x:v>arxiv-paper-eval-20260727-105551-results.jsonl</x:v>
      </x:c>
      <x:c r="O403" s="24" t="str">
        <x:v>0</x:v>
      </x:c>
      <x:c r="P403" s="28" t="str">
        <x:v>研究实体供应链规划，并非软件供应链安全。</x:v>
      </x:c>
      <x:c r="Q403" s="25" t="str"/>
      <x:c r="R403" s="24" t="str">
        <x:f>IF(Q403&lt;&gt;"",Q403,O403)</x:f>
        <x:v>0</x:v>
      </x:c>
      <x:c r="S403" s="29" t="str"/>
    </x:row>
    <x:row r="404" ht="54" customHeight="1">
      <x:c r="A404" s="17" t="str">
        <x:v>csq021-r03</x:v>
      </x:c>
      <x:c r="B404" s="17" t="str">
        <x:v>csq021</x:v>
      </x:c>
      <x:c r="C404" s="17" t="str">
        <x:v>security_and_privacy</x:v>
      </x:c>
      <x:c r="D404" s="17" t="str">
        <x:v>software_supply_chain</x:v>
      </x:c>
      <x:c r="E404" s="27" t="str">
        <x:v>Which datasets, benchmarks, and metrics are used to evaluate software supply-chain vulnerability and malicious-package detection methods?</x:v>
      </x:c>
      <x:c r="F404" s="22" t="n">
        <x:v>3</x:v>
      </x:c>
      <x:c r="G404" s="17" t="str">
        <x:v>arXiv:2507.18105</x:v>
      </x:c>
      <x:c r="H404" s="27" t="str">
        <x:v>Understanding the Supply Chain and Risks of Large Language Model Applications</x:v>
      </x:c>
      <x:c r="I404" s="17" t="str">
        <x:v>Yujie Ma; Lili Quan; Xiaofei Xie; Qiang Hu; Jiongchi Yu; Yao Zhang; Sen Chen</x:v>
      </x:c>
      <x:c r="J404" s="22" t="n">
        <x:v>2025</x:v>
      </x:c>
      <x:c r="K404" s="27" t="str">
        <x:v>The rise of Large Language Models (LLMs) has led to the widespread deployment of LLM-based systems across diverse domains. As these systems proliferate, understanding the risks associated with their complex supply chains is increasingly important. LLM-based systems are not standalone as they rely on interconnected supply chains involving pretrained models, third-party libraries, datasets, and infrastructure. Yet, most risk assessments narrowly focus on model or data level, overlooking broader supply chain vulnerabilities. While recent studies have begun to address LLM supply chain risks, there remains a lack of benchmarks for systematic research. To address this gap, we introduce the first comprehensive dataset for analyzing and benchmarking LLM supply chain security. We collect 3,859 real-world LLM applications and perform interdependency analysis, identifying 109,211 models, 2,474 datasets, and 9,862 libraries. We extract model fine-tuning paths, dataset reuse, and library reliance, mapping the ecosystem's structure. To evaluate security, we gather 1,555 risk-related issues-50 for applications, 325 for models, 18 for datasets, and 1,229 for libraries from public vulnerability databases. Using this dataset, we empirically analyze component dependencies and risks. Our findings reveal deeply nested dependencies in LLM applications and significant vulnerabilities across the supply chain, underscoring the need for comprehensive security analysis. We conclude with practical recommendations to guide researchers and developers toward safer, more trustworthy LLM-enabled systems.</x:v>
      </x:c>
      <x:c r="L404" s="17" t="str">
        <x:v>http://arxiv.org/abs/2507.18105v1</x:v>
      </x:c>
      <x:c r="M404" s="23" t="n">
        <x:v>0.028370221327967807</x:v>
      </x:c>
      <x:c r="N404" s="17" t="str">
        <x:v>arxiv-paper-eval-20260727-105551-results.jsonl</x:v>
      </x:c>
      <x:c r="O404" s="24" t="str">
        <x:v>2</x:v>
      </x:c>
      <x:c r="P404" s="28" t="str">
        <x:v>提供LLM应用软件供应链风险数据集与基准分析。</x:v>
      </x:c>
      <x:c r="Q404" s="25" t="str"/>
      <x:c r="R404" s="24" t="str">
        <x:f>IF(Q404&lt;&gt;"",Q404,O404)</x:f>
        <x:v>2</x:v>
      </x:c>
      <x:c r="S404" s="29" t="str"/>
    </x:row>
    <x:row r="405" ht="54" customHeight="1">
      <x:c r="A405" s="17" t="str">
        <x:v>csq021-r04</x:v>
      </x:c>
      <x:c r="B405" s="17" t="str">
        <x:v>csq021</x:v>
      </x:c>
      <x:c r="C405" s="17" t="str">
        <x:v>security_and_privacy</x:v>
      </x:c>
      <x:c r="D405" s="17" t="str">
        <x:v>software_supply_chain</x:v>
      </x:c>
      <x:c r="E405" s="27" t="str">
        <x:v>Which datasets, benchmarks, and metrics are used to evaluate software supply-chain vulnerability and malicious-package detection methods?</x:v>
      </x:c>
      <x:c r="F405" s="22" t="n">
        <x:v>4</x:v>
      </x:c>
      <x:c r="G405" s="17" t="str">
        <x:v>arXiv:2506.01342</x:v>
      </x:c>
      <x:c r="H405" s="27" t="str">
        <x:v>Propagation-Based Vulnerability Impact Assessment for Software Supply Chains</x:v>
      </x:c>
      <x:c r="I405" s="17" t="str">
        <x:v>Bonan Ruan; Zhiwei Lin; Jiahao Liu; Chuqi Zhang; Kaihang Ji; Zhenkai Liang</x:v>
      </x:c>
      <x:c r="J405" s="22" t="n">
        <x:v>2025</x:v>
      </x:c>
      <x:c r="K405" s="27" t="str">
        <x:v>Identifying the impact scope and scale is critical for software supply chain vulnerability assessment. However, existing studies face substantial limitations. First, prior studies either work at coarse package-level granularity, producing many false positives, or fail to accomplish whole-ecosystem vulnerability propagation analysis. Second, although vulnerability assessment indicators like CVSS characterize individual vulnerabilities, no metric exists to specifically quantify the dynamic impact of vulnerability propagation across software supply chains. To address these limitations and enable accurate and comprehensive vulnerability impact assessment, we propose a novel approach: (i) a hierarchical worklist-based algorithm for whole-ecosystem and call-graph-level vulnerability propagation analysis and (ii) the Vulnerability Propagation Scoring System (VPSS), a dynamic metric to quantify the scope and evolution of vulnerability impacts in software supply chains. We implement a prototype of our approach in the Java Maven ecosystem and evaluate it on 100 real-world vulnerabilities. Experimental results demonstrate that our approach enables effective ecosystem-wide vulnerability propagation analysis, and provides a practical, quantitative measure of vulnerability impact through VPSS.</x:v>
      </x:c>
      <x:c r="L405" s="17" t="str">
        <x:v>http://arxiv.org/abs/2506.01342v2</x:v>
      </x:c>
      <x:c r="M405" s="23" t="n">
        <x:v>0.01639344262295082</x:v>
      </x:c>
      <x:c r="N405" s="17" t="str">
        <x:v>arxiv-paper-eval-20260727-105551-results.jsonl</x:v>
      </x:c>
      <x:c r="O405" s="24" t="str">
        <x:v>2</x:v>
      </x:c>
      <x:c r="P405" s="28" t="str">
        <x:v>提出并评测软件供应链漏洞传播指标VPSS。</x:v>
      </x:c>
      <x:c r="Q405" s="25" t="str"/>
      <x:c r="R405" s="24" t="str">
        <x:f>IF(Q405&lt;&gt;"",Q405,O405)</x:f>
        <x:v>2</x:v>
      </x:c>
      <x:c r="S405" s="29" t="str"/>
    </x:row>
    <x:row r="406" ht="54" customHeight="1">
      <x:c r="A406" s="17" t="str">
        <x:v>csq021-r05</x:v>
      </x:c>
      <x:c r="B406" s="17" t="str">
        <x:v>csq021</x:v>
      </x:c>
      <x:c r="C406" s="17" t="str">
        <x:v>security_and_privacy</x:v>
      </x:c>
      <x:c r="D406" s="17" t="str">
        <x:v>software_supply_chain</x:v>
      </x:c>
      <x:c r="E406" s="27" t="str">
        <x:v>Which datasets, benchmarks, and metrics are used to evaluate software supply-chain vulnerability and malicious-package detection methods?</x:v>
      </x:c>
      <x:c r="F406" s="22" t="n">
        <x:v>5</x:v>
      </x:c>
      <x:c r="G406" s="17" t="str">
        <x:v>arXiv:2407.04442</x:v>
      </x:c>
      <x:c r="H406" s="27" t="str">
        <x:v>GoSurf: Identifying Software Supply Chain Attack Vectors in Go</x:v>
      </x:c>
      <x:c r="I406" s="17" t="str">
        <x:v>Carmine Cesarano; Vivi Andersson; Roberto Natella; Martin Monperrus</x:v>
      </x:c>
      <x:c r="J406" s="22" t="n">
        <x:v>2024</x:v>
      </x:c>
      <x:c r="K406" s="27" t="str">
        <x:v>In Go, the widespread adoption of open-source software has led to a flourishing ecosystem of third-party dependencies, which are often integrated into critical systems. However, the reuse of dependencies introduces significant supply chain security risks, as a single compromised package can have cascading impacts. Existing supply chain attack taxonomies overlook language-specific features that can be exploited by attackers to hide malicious code. In this paper, we propose a novel taxonomy of 12 distinct attack vectors tailored for the Go language and its package lifecycle. Our taxonomy identifies patterns in which language-specific Go features, intended for benign purposes, can be misused to propagate malicious code stealthily through supply chains. Additionally, we introduce GoSurf, a static analysis tool that analyzes the attack surface of Go packages according to our proposed taxonomy. We evaluate GoSurf on a corpus of widely used, real-world Go packages. Our work provides preliminary insights for securing the open-source software supply chain within the Go ecosystem, allowing developers and security analysts to prioritize code audit efforts and uncover hidden malicious behaviors.</x:v>
      </x:c>
      <x:c r="L406" s="17" t="str">
        <x:v>http://arxiv.org/abs/2407.04442v2</x:v>
      </x:c>
      <x:c r="M406" s="23" t="n">
        <x:v>0.01639344262295082</x:v>
      </x:c>
      <x:c r="N406" s="17" t="str">
        <x:v>arxiv-paper-eval-20260727-105551-results.jsonl</x:v>
      </x:c>
      <x:c r="O406" s="24" t="str">
        <x:v>1</x:v>
      </x:c>
      <x:c r="P406" s="28" t="str">
        <x:v>提出Go供应链攻击面工具并以真实包语料评测，但非评测综述。</x:v>
      </x:c>
      <x:c r="Q406" s="25" t="str"/>
      <x:c r="R406" s="24" t="str">
        <x:f>IF(Q406&lt;&gt;"",Q406,O406)</x:f>
        <x:v>1</x:v>
      </x:c>
      <x:c r="S406" s="29" t="str"/>
    </x:row>
    <x:row r="407" ht="54" customHeight="1">
      <x:c r="A407" s="17" t="str">
        <x:v>csq021-r06</x:v>
      </x:c>
      <x:c r="B407" s="17" t="str">
        <x:v>csq021</x:v>
      </x:c>
      <x:c r="C407" s="17" t="str">
        <x:v>security_and_privacy</x:v>
      </x:c>
      <x:c r="D407" s="17" t="str">
        <x:v>software_supply_chain</x:v>
      </x:c>
      <x:c r="E407" s="27" t="str">
        <x:v>Which datasets, benchmarks, and metrics are used to evaluate software supply-chain vulnerability and malicious-package detection methods?</x:v>
      </x:c>
      <x:c r="F407" s="22" t="n">
        <x:v>6</x:v>
      </x:c>
      <x:c r="G407" s="17" t="str">
        <x:v>arXiv:2507.09223</x:v>
      </x:c>
      <x:c r="H407" s="27" t="str">
        <x:v>Coordinated Communication and Inventory Optimization in Multi-Retailer Supply Chains</x:v>
      </x:c>
      <x:c r="I407" s="17" t="str">
        <x:v>Sagar Sudhakara; Yuchong Zhang</x:v>
      </x:c>
      <x:c r="J407" s="22" t="n">
        <x:v>2025</x:v>
      </x:c>
      <x:c r="K407" s="27" t="str">
        <x:v>We consider a multi-retailer supply chain where each retailer can dynamically choose when to share information (e.g., local inventory levels or demand observations) with other retailers, incurring a communication cost for each sharing event. This flexible information exchange mechanism contrasts with fixed protocols such as always sharing or never sharing. We formulate a joint optimization of inventory control and communication strategies, aiming to balance the trade-off between communication overhead and operational performance (service levels, holding, and stockout costs). We adopt a common information framework and derive a centralized Partially Observable Markov Decision Process (POMDP) model for a supply chain coordinator. Solving this coordinator's POMDP via dynamic programming characterizes the structure of optimal policies, determining when retailers should communicate and how they should adjust orders based on available information. We show that, in this setting, retailers can often act optimally by sharing only limited summaries of their private data, reducing communication frequency without compromising performance. We also incorporate practical constraints on communication frequency and propose an approximate point-based POMDP solution method (PBVI/SARSOP) to address computational complexity. Numerical experiments on multi-retailer inventory scenarios demonstrate that our approach significantly improves the cost-service trade-off compared to static information sharing policies, effectively optimizing the schedule of information exchange for cooperative inventory control.</x:v>
      </x:c>
      <x:c r="L407" s="17" t="str">
        <x:v>http://arxiv.org/abs/2507.09223v1</x:v>
      </x:c>
      <x:c r="M407" s="23" t="n">
        <x:v>0.016129032258064516</x:v>
      </x:c>
      <x:c r="N407" s="17" t="str">
        <x:v>arxiv-paper-eval-20260727-105551-results.jsonl</x:v>
      </x:c>
      <x:c r="O407" s="24" t="str">
        <x:v>0</x:v>
      </x:c>
      <x:c r="P407" s="28" t="str">
        <x:v>研究库存与通信优化，与软件安全无关。</x:v>
      </x:c>
      <x:c r="Q407" s="25" t="str"/>
      <x:c r="R407" s="24" t="str">
        <x:f>IF(Q407&lt;&gt;"",Q407,O407)</x:f>
        <x:v>0</x:v>
      </x:c>
      <x:c r="S407" s="29" t="str"/>
    </x:row>
    <x:row r="408" ht="54" customHeight="1">
      <x:c r="A408" s="17" t="str">
        <x:v>csq021-r07</x:v>
      </x:c>
      <x:c r="B408" s="17" t="str">
        <x:v>csq021</x:v>
      </x:c>
      <x:c r="C408" s="17" t="str">
        <x:v>security_and_privacy</x:v>
      </x:c>
      <x:c r="D408" s="17" t="str">
        <x:v>software_supply_chain</x:v>
      </x:c>
      <x:c r="E408" s="27" t="str">
        <x:v>Which datasets, benchmarks, and metrics are used to evaluate software supply-chain vulnerability and malicious-package detection methods?</x:v>
      </x:c>
      <x:c r="F408" s="22" t="n">
        <x:v>7</x:v>
      </x:c>
      <x:c r="G408" s="17" t="str">
        <x:v>arXiv:2501.19012</x:v>
      </x:c>
      <x:c r="H408" s="27" t="str">
        <x:v>Importing Phantoms: Measuring LLM Package Hallucination Vulnerabilities</x:v>
      </x:c>
      <x:c r="I408" s="17" t="str">
        <x:v>Arjun Krishna; Erick Galinkin; Leon Derczynski; Jeffrey Martin</x:v>
      </x:c>
      <x:c r="J408" s="22" t="n">
        <x:v>2025</x:v>
      </x:c>
      <x:c r="K408" s="27" t="str">
        <x:v>Large Language Models (LLMs) have become an essential tool in the programmer's toolkit, but their tendency to hallucinate code can be used by malicious actors to introduce vulnerabilities to broad swathes of the software supply chain. In this work, we analyze package hallucination behaviour in LLMs across popular programming languages examining both existing package references and fictional dependencies. By analyzing this package hallucination behaviour we find potential attacks and suggest defensive strategies to defend against these attacks. We discover that package hallucination rate is predicated not only on model choice, but also programming language, model size, and specificity of the coding task request. The Pareto optimality boundary between code generation performance and package hallucination is sparsely populated, suggesting that coding models are not being optimized for secure code. Additionally, we find an inverse correlation between package hallucination rate and the HumanEval coding benchmark, offering a heuristic for evaluating the propensity of a model to hallucinate packages. Our metrics, findings and analyses provide a base for future models, securing AI-assisted software development workflows against package supply chain attacks.</x:v>
      </x:c>
      <x:c r="L408" s="17" t="str">
        <x:v>http://arxiv.org/abs/2501.19012v1</x:v>
      </x:c>
      <x:c r="M408" s="23" t="n">
        <x:v>0.016129032258064516</x:v>
      </x:c>
      <x:c r="N408" s="17" t="str">
        <x:v>arxiv-paper-eval-20260727-105551-results.jsonl</x:v>
      </x:c>
      <x:c r="O408" s="24" t="str">
        <x:v>1</x:v>
      </x:c>
      <x:c r="P408" s="28" t="str">
        <x:v>研究包幻觉引发的供应链风险及指标，属相邻攻击场景。</x:v>
      </x:c>
      <x:c r="Q408" s="25" t="str"/>
      <x:c r="R408" s="24" t="str">
        <x:f>IF(Q408&lt;&gt;"",Q408,O408)</x:f>
        <x:v>1</x:v>
      </x:c>
      <x:c r="S408" s="29" t="str"/>
    </x:row>
    <x:row r="409" ht="54" customHeight="1">
      <x:c r="A409" s="17" t="str">
        <x:v>csq021-r08</x:v>
      </x:c>
      <x:c r="B409" s="17" t="str">
        <x:v>csq021</x:v>
      </x:c>
      <x:c r="C409" s="17" t="str">
        <x:v>security_and_privacy</x:v>
      </x:c>
      <x:c r="D409" s="17" t="str">
        <x:v>software_supply_chain</x:v>
      </x:c>
      <x:c r="E409" s="27" t="str">
        <x:v>Which datasets, benchmarks, and metrics are used to evaluate software supply-chain vulnerability and malicious-package detection methods?</x:v>
      </x:c>
      <x:c r="F409" s="22" t="n">
        <x:v>8</x:v>
      </x:c>
      <x:c r="G409" s="17" t="str">
        <x:v>arXiv:2409.09356</x:v>
      </x:c>
      <x:c r="H409" s="27" t="str">
        <x:v>Towards Robust Detection of Open Source Software Supply Chain Poisoning Attacks in Industry Environments</x:v>
      </x:c>
      <x:c r="I409" s="17" t="str">
        <x:v>Xinyi Zheng; Chen Wei; Shenao Wang; Yanjie Zhao; Peiming Gao; Yuanchao Zhang; Kailong Wang; Haoyu Wang</x:v>
      </x:c>
      <x:c r="J409" s="22" t="n">
        <x:v>2024</x:v>
      </x:c>
      <x:c r="K409" s="27" t="str">
        <x:v>The exponential growth of open-source package ecosystems, particularly NPM and PyPI, has led to an alarming increase in software supply chain poisoning attacks. Existing static analysis methods struggle with high false positive rates and are easily thwarted by obfuscation and dynamic code execution techniques. While dynamic analysis approaches offer improvements, they often suffer from capturing non-package behaviors and employing simplistic testing strategies that fail to trigger sophisticated malicious behaviors. To address these challenges, we present OSCAR, a robust dynamic code poisoning detection pipeline for NPM and PyPI ecosystems. OSCAR fully executes packages in a sandbox environment, employs fuzz testing on exported functions and classes, and implements aspect-based behavior monitoring with tailored API hook points. We evaluate OSCAR against six existing tools using a comprehensive benchmark dataset of real-world malicious and benign packages. OSCAR achieves an F1 score of 0.95 in NPM and 0.91 in PyPI, confirming that OSCAR is as effective as the current state-of-the-art technologies. Furthermore, for benign packages exhibiting characteristics typical of malicious packages, OSCAR reduces the false positive rate by an average of 32.06% in NPM (from 34.63% to 2.57%) and 39.87% in PyPI (from 41.10% to 1.23%), compared to other tools, significantly reducing the workload of manual reviews in real-world deployments. In cooperation with Ant Group, a leading financial technology company, we have deployed OSCAR on its NPM and PyPI mirrors since January 2023, identifying 10,404 malicious NPM packages and 1,235 malicious PyPI packages over 18 months. This work not only bridges the gap between academic research and industrial application in code poisoning detection but also provides a robust and practical solution that has been thoroughly tested in a real-world industrial setting.</x:v>
      </x:c>
      <x:c r="L409" s="17" t="str">
        <x:v>http://arxiv.org/abs/2409.09356v1</x:v>
      </x:c>
      <x:c r="M409" s="23" t="n">
        <x:v>0.016129032258064516</x:v>
      </x:c>
      <x:c r="N409" s="17" t="str">
        <x:v>arxiv-paper-eval-20260727-105551-results.jsonl</x:v>
      </x:c>
      <x:c r="O409" s="24" t="str">
        <x:v>2</x:v>
      </x:c>
      <x:c r="P409" s="28" t="str">
        <x:v>直接以恶意/良性包基准、F1和误报率比较检测工具。</x:v>
      </x:c>
      <x:c r="Q409" s="25" t="str"/>
      <x:c r="R409" s="24" t="str">
        <x:f>IF(Q409&lt;&gt;"",Q409,O409)</x:f>
        <x:v>2</x:v>
      </x:c>
      <x:c r="S409" s="29" t="str"/>
    </x:row>
    <x:row r="410" ht="54" customHeight="1">
      <x:c r="A410" s="17" t="str">
        <x:v>csq021-r09</x:v>
      </x:c>
      <x:c r="B410" s="17" t="str">
        <x:v>csq021</x:v>
      </x:c>
      <x:c r="C410" s="17" t="str">
        <x:v>security_and_privacy</x:v>
      </x:c>
      <x:c r="D410" s="17" t="str">
        <x:v>software_supply_chain</x:v>
      </x:c>
      <x:c r="E410" s="27" t="str">
        <x:v>Which datasets, benchmarks, and metrics are used to evaluate software supply-chain vulnerability and malicious-package detection methods?</x:v>
      </x:c>
      <x:c r="F410" s="22" t="n">
        <x:v>9</x:v>
      </x:c>
      <x:c r="G410" s="17" t="str">
        <x:v>arXiv:2512.01630</x:v>
      </x:c>
      <x:c r="H410" s="27" t="str">
        <x:v>Package Dashboard: A Cross-Ecosystem Framework for Dual-Perspective Analysis of Software Packages</x:v>
      </x:c>
      <x:c r="I410" s="17" t="str">
        <x:v>Ziheng Liu; Runzhi He; Minghui Zhou</x:v>
      </x:c>
      <x:c r="J410" s="22" t="n">
        <x:v>2025</x:v>
      </x:c>
      <x:c r="K410" s="27" t="str">
        <x:v>Software supply chain attacks have revealed blind spots in existing SCA tools, which are often limited to a single ecosystem and assess either software artifacts or community activity in isolation. This fragmentation across tools and ecosystems forces developers to manually reconcile scattered data, undermining risk assessments. We present Package Dashboard, a cross-ecosystem framework that provides a unified platform for supply chain analysis, enabling a holistic, dual-perspective risk assessment by integrating package metadata, vulnerability information, and upstream community health metrics. By combining dependency resolution with repository analysis, it reduces cognitive load and improves traceability. Demonstrating the framework's versatility, a large-scale study of 374,000 packages across five Linux distributions shows its ability to uncover not only conventional vulnerabilities and license conflicts but also overlooked risks such as archived or inaccessible repositories. Ultimately, Package Dashboard provides a unified view of risk, equipping developers and DevSecOps engineers with actionable insights to strengthen the transparency, trustworthiness, and traceability of open-source ecosystems. Package Dashboard is publicly available at https://github.com/n19htfall/PackageDashboard, and a demonstration video can be found at https://youtu.be/y9ncftP8KPQ. Besides, the online version is available at https://pkgdash.osslab-pku.org.</x:v>
      </x:c>
      <x:c r="L410" s="17" t="str">
        <x:v>http://arxiv.org/abs/2512.01630v1</x:v>
      </x:c>
      <x:c r="M410" s="23" t="n">
        <x:v>0.015873015873015872</x:v>
      </x:c>
      <x:c r="N410" s="17" t="str">
        <x:v>arxiv-paper-eval-20260727-105551-results.jsonl</x:v>
      </x:c>
      <x:c r="O410" s="24" t="str">
        <x:v>1</x:v>
      </x:c>
      <x:c r="P410" s="28" t="str">
        <x:v>聚合包漏洞和社区风险，能作风险评估背景但非检测基准研究。</x:v>
      </x:c>
      <x:c r="Q410" s="25" t="str"/>
      <x:c r="R410" s="24" t="str">
        <x:f>IF(Q410&lt;&gt;"",Q410,O410)</x:f>
        <x:v>1</x:v>
      </x:c>
      <x:c r="S410" s="29" t="str"/>
    </x:row>
    <x:row r="411" ht="54" customHeight="1">
      <x:c r="A411" s="17" t="str">
        <x:v>csq021-r10</x:v>
      </x:c>
      <x:c r="B411" s="17" t="str">
        <x:v>csq021</x:v>
      </x:c>
      <x:c r="C411" s="17" t="str">
        <x:v>security_and_privacy</x:v>
      </x:c>
      <x:c r="D411" s="17" t="str">
        <x:v>software_supply_chain</x:v>
      </x:c>
      <x:c r="E411" s="27" t="str">
        <x:v>Which datasets, benchmarks, and metrics are used to evaluate software supply-chain vulnerability and malicious-package detection methods?</x:v>
      </x:c>
      <x:c r="F411" s="22" t="n">
        <x:v>10</x:v>
      </x:c>
      <x:c r="G411" s="17" t="str">
        <x:v>arXiv:2402.08980</x:v>
      </x:c>
      <x:c r="H411" s="27" t="str">
        <x:v>OmniBOR: A System for Automatic, Verifiable Artifact Resolution across Software Supply Chains</x:v>
      </x:c>
      <x:c r="I411" s="17" t="str">
        <x:v>Bharathi Seshadri; Yongkui Han; Chris Olson; David Pollak; Vojislav Tomasevic</x:v>
      </x:c>
      <x:c r="J411" s="22" t="n">
        <x:v>2024</x:v>
      </x:c>
      <x:c r="K411" s="27" t="str">
        <x:v>Software supply chain attacks, which exploit the build process or artifacts used in the process of building a software product, are increasingly of concern. To combat these attacks, one must be able to check that every artifact that a software product depends on does not contain vulnerabilities. In this paper, we introduce OmniBOR, (Universal Bill of Receipts) a minimalistic scheme for build tools to create an artifact dependency graph which can be used to track every software artifact incorporated into a built software product. We present the architecture of OmniBOR, the underlying data representations, and two implementations that produce OmniBOR data and embed an OmniBOR Identifier into built software, including a compiler-based approach and one based on tracing the build process. We demonstrate the efficacy of this approach on benchmarks including a Linux distribution for applications such as Common Vulnerabilities and Exposures (CVE) detection and software bill of materials (SBOM) computation.</x:v>
      </x:c>
      <x:c r="L411" s="17" t="str">
        <x:v>http://arxiv.org/abs/2402.08980v1</x:v>
      </x:c>
      <x:c r="M411" s="23" t="n">
        <x:v>0.015873015873015872</x:v>
      </x:c>
      <x:c r="N411" s="17" t="str">
        <x:v>arxiv-paper-eval-20260727-105551-results.jsonl</x:v>
      </x:c>
      <x:c r="O411" s="24" t="str">
        <x:v>1</x:v>
      </x:c>
      <x:c r="P411" s="28" t="str">
        <x:v>用基准展示CVE检测，提供部分评测证据但非核心比较。</x:v>
      </x:c>
      <x:c r="Q411" s="25" t="str"/>
      <x:c r="R411" s="24" t="str">
        <x:f>IF(Q411&lt;&gt;"",Q411,O411)</x:f>
        <x:v>1</x:v>
      </x:c>
      <x:c r="S411" s="29" t="str"/>
    </x:row>
    <x:row r="412" ht="54" customHeight="1">
      <x:c r="A412" s="17" t="str">
        <x:v>csq021-r11</x:v>
      </x:c>
      <x:c r="B412" s="17" t="str">
        <x:v>csq021</x:v>
      </x:c>
      <x:c r="C412" s="17" t="str">
        <x:v>security_and_privacy</x:v>
      </x:c>
      <x:c r="D412" s="17" t="str">
        <x:v>software_supply_chain</x:v>
      </x:c>
      <x:c r="E412" s="27" t="str">
        <x:v>Which datasets, benchmarks, and metrics are used to evaluate software supply-chain vulnerability and malicious-package detection methods?</x:v>
      </x:c>
      <x:c r="F412" s="22" t="n">
        <x:v>11</x:v>
      </x:c>
      <x:c r="G412" s="17" t="str">
        <x:v>arXiv:2010.14573</x:v>
      </x:c>
      <x:c r="H412" s="27" t="str">
        <x:v>Dependency Smells in JavaScript Projects</x:v>
      </x:c>
      <x:c r="I412" s="17" t="str">
        <x:v>Abbas Javan Jafari; Diego Elias Costa; Rabe Abdalkareem; Emad Shihab; Nikolaos Tsantalis</x:v>
      </x:c>
      <x:c r="J412" s="22" t="n">
        <x:v>2020</x:v>
      </x:c>
      <x:c r="K412" s="27" t="str">
        <x:v>Dependency management in modern software development poses many challenges for developers who wish to stay up to date with the latest features and fixes whilst ensuring backwards compatibility. Project maintainers have opted for varied, and sometimes conflicting, approaches for maintaining their dependencies. Opting for unsuitable approaches can introduce bugs and vulnerabilities into the project, introduce breaking changes, cause extraneous installations, and reduce dependency understandability, making it harder for others to contribute effectively. In this paper, we empirically examine evidence of recurring dependency management issues (dependency smells). We look at the commit data for a dataset of 1,146 active JavaScript repositories to catalog, quantify and understand dependency smells. Through a series of surveys with practitioners, we identify and quantify seven dependency smells with varying degrees of popularity and investigate why they are introduced throughout project history. Our findings indicate that dependency smells are prevalent in JavaScript projects with two or more distinct smells appearing in 80% of the projects, but they generally infect a minority of a project's dependencies. Our observations show that the number of dependency smells tend to increase over time. Practitioners agree that dependency smells bring about many problems including security threats, bugs, dependency breakage, runtime errors, and other maintenance issues. These smells are generally introduced as developers react to dependency misbehaviour and the shortcomings of the npm ecosystem.</x:v>
      </x:c>
      <x:c r="L412" s="17" t="str">
        <x:v>http://arxiv.org/abs/2010.14573v2</x:v>
      </x:c>
      <x:c r="M412" s="23" t="n">
        <x:v>0.015873015873015872</x:v>
      </x:c>
      <x:c r="N412" s="17" t="str">
        <x:v>arxiv-paper-eval-20260727-105551-results.jsonl</x:v>
      </x:c>
      <x:c r="O412" s="24" t="str">
        <x:v>1</x:v>
      </x:c>
      <x:c r="P412" s="28" t="str">
        <x:v>依赖异味数据与安全风险有关，但不直接评测漏洞或恶意包检测。</x:v>
      </x:c>
      <x:c r="Q412" s="25" t="str"/>
      <x:c r="R412" s="24" t="str">
        <x:f>IF(Q412&lt;&gt;"",Q412,O412)</x:f>
        <x:v>1</x:v>
      </x:c>
      <x:c r="S412" s="29" t="str"/>
    </x:row>
    <x:row r="413" ht="54" customHeight="1">
      <x:c r="A413" s="17" t="str">
        <x:v>csq021-r12</x:v>
      </x:c>
      <x:c r="B413" s="17" t="str">
        <x:v>csq021</x:v>
      </x:c>
      <x:c r="C413" s="17" t="str">
        <x:v>security_and_privacy</x:v>
      </x:c>
      <x:c r="D413" s="17" t="str">
        <x:v>software_supply_chain</x:v>
      </x:c>
      <x:c r="E413" s="27" t="str">
        <x:v>Which datasets, benchmarks, and metrics are used to evaluate software supply-chain vulnerability and malicious-package detection methods?</x:v>
      </x:c>
      <x:c r="F413" s="22" t="n">
        <x:v>12</x:v>
      </x:c>
      <x:c r="G413" s="17" t="str">
        <x:v>arXiv:2511.01395</x:v>
      </x:c>
      <x:c r="H413" s="27" t="str">
        <x:v>Characterizing Build Compromises Through Vulnerability Disclosure Analysis</x:v>
      </x:c>
      <x:c r="I413" s="17" t="str">
        <x:v>Maimouna Tamah Diao; Moustapha Awwalou Diouf; Iyiola Emmanuel Olatunji; Abdoul Kader Kaboré; Gervais Mendy; Jacques Klein; Tegawendé F. Bissyandé</x:v>
      </x:c>
      <x:c r="J413" s="22" t="n">
        <x:v>2025</x:v>
      </x:c>
      <x:c r="K413" s="27" t="str">
        <x:v>The software build process transforms source code into deployable artifacts, representing a critical yet vulnerable stage in software development. Build infrastructure security poses unique challenges: the complexity of multi-component systems (source code, dependencies, build tools), the difficulty of detecting intrusions during compilation, and prevalent build non-determinism that masks malicious modifications. Despite these risks, the security community lacks a systematic understanding of build-specific attack vectors, hindering effective defense design. This paper presents an empirically-derived taxonomy of attack vectors targeting the build process, constructed through a large-scale CVE mining (of 621 vulnerability disclosures from the NVD database). We categorize attack vectors by their injection points across the build pipeline, from source code manipulation to compiler compromise. To validate our taxonomy, we analyzed 168 documented software supply chain attacks, identifying 40 incidents specifically targeting build phases. Our analysis reveals that 23.8\% of supply chain attacks exploit build vulnerabilities, with dependency confusion and build script injection representing the most prevalent vectors. Dataset available at: https://anonymous.4open.science/r/Taxonomizing-Build-Attacks-8BB0.</x:v>
      </x:c>
      <x:c r="L413" s="17" t="str">
        <x:v>http://arxiv.org/abs/2511.01395v1</x:v>
      </x:c>
      <x:c r="M413" s="23" t="n">
        <x:v>0.015625</x:v>
      </x:c>
      <x:c r="N413" s="17" t="str">
        <x:v>arxiv-paper-eval-20260727-105551-results.jsonl</x:v>
      </x:c>
      <x:c r="O413" s="24" t="str">
        <x:v>2</x:v>
      </x:c>
      <x:c r="P413" s="28" t="str">
        <x:v>构建构建阶段攻击CVE与事件数据集，可用于供应链安全评测。</x:v>
      </x:c>
      <x:c r="Q413" s="25" t="str"/>
      <x:c r="R413" s="24" t="str">
        <x:f>IF(Q413&lt;&gt;"",Q413,O413)</x:f>
        <x:v>2</x:v>
      </x:c>
      <x:c r="S413" s="29" t="str"/>
    </x:row>
    <x:row r="414" ht="54" customHeight="1">
      <x:c r="A414" s="17" t="str">
        <x:v>csq021-r13</x:v>
      </x:c>
      <x:c r="B414" s="17" t="str">
        <x:v>csq021</x:v>
      </x:c>
      <x:c r="C414" s="17" t="str">
        <x:v>security_and_privacy</x:v>
      </x:c>
      <x:c r="D414" s="17" t="str">
        <x:v>software_supply_chain</x:v>
      </x:c>
      <x:c r="E414" s="27" t="str">
        <x:v>Which datasets, benchmarks, and metrics are used to evaluate software supply-chain vulnerability and malicious-package detection methods?</x:v>
      </x:c>
      <x:c r="F414" s="22" t="n">
        <x:v>13</x:v>
      </x:c>
      <x:c r="G414" s="17" t="str">
        <x:v>arXiv:2510.14522</x:v>
      </x:c>
      <x:c r="H414" s="27" t="str">
        <x:v>Lexo: Eliminating Stealthy Supply-Chain Attacks via LLM-Assisted Program Regeneration</x:v>
      </x:c>
      <x:c r="I414" s="17" t="str">
        <x:v>Evangelos Lamprou; Julian Dai; Grigoris Ntousakis; Martin C. Rinard; Nikos Vasilakis</x:v>
      </x:c>
      <x:c r="J414" s="22" t="n">
        <x:v>2025</x:v>
      </x:c>
      <x:c r="K414" s="27" t="str">
        <x:v>Software supply-chain attacks are an important and ongoing concern in the open source software ecosystem. These attacks maintain the standard functionality that a component implements, but additionally hide malicious functionality activated only when the component reaches its target environment. Lexo addresses such stealthy attacks by automatically learning and regenerating vulnerability-free versions of potentially malicious components. Lexo first generates a set of input-output pairs to model a component's full observable behavior, which it then uses to synthesize a new version of the original component. The new component implements the original functionality but avoids stealthy malicious behavior. Throughout this regeneration process, Lexo consults several distinct instances of Large Language Models (LLMs), uses correctness and coverage metrics to shepherd these instances, and guardrails their results. An evaluation on 100+ real-world packages, including high-profile stealthy supply-chain attacks, indicates that Lexo scales across multiple domains, regenerates code efficiently (&lt;30m on average), maintains compatibility, and succeeds in eliminating malicious code in several real-world supply-chain-attacks, even in cases when a state-of-the-art LLM fails to eliminate malicious code when given the source code of the component and prompted to do so.</x:v>
      </x:c>
      <x:c r="L414" s="17" t="str">
        <x:v>http://arxiv.org/abs/2510.14522v3</x:v>
      </x:c>
      <x:c r="M414" s="23" t="n">
        <x:v>0.015625</x:v>
      </x:c>
      <x:c r="N414" s="17" t="str">
        <x:v>arxiv-paper-eval-20260727-105551-results.jsonl</x:v>
      </x:c>
      <x:c r="O414" s="24" t="str">
        <x:v>2</x:v>
      </x:c>
      <x:c r="P414" s="28" t="str">
        <x:v>以真实攻击包和覆盖/正确性指标评测供应链防护方法。</x:v>
      </x:c>
      <x:c r="Q414" s="25" t="str"/>
      <x:c r="R414" s="24" t="str">
        <x:f>IF(Q414&lt;&gt;"",Q414,O414)</x:f>
        <x:v>2</x:v>
      </x:c>
      <x:c r="S414" s="29" t="str"/>
    </x:row>
    <x:row r="415" ht="54" customHeight="1">
      <x:c r="A415" s="17" t="str">
        <x:v>csq021-r14</x:v>
      </x:c>
      <x:c r="B415" s="17" t="str">
        <x:v>csq021</x:v>
      </x:c>
      <x:c r="C415" s="17" t="str">
        <x:v>security_and_privacy</x:v>
      </x:c>
      <x:c r="D415" s="17" t="str">
        <x:v>software_supply_chain</x:v>
      </x:c>
      <x:c r="E415" s="27" t="str">
        <x:v>Which datasets, benchmarks, and metrics are used to evaluate software supply-chain vulnerability and malicious-package detection methods?</x:v>
      </x:c>
      <x:c r="F415" s="22" t="n">
        <x:v>14</x:v>
      </x:c>
      <x:c r="G415" s="17" t="str">
        <x:v>arXiv:2401.15299</x:v>
      </x:c>
      <x:c r="H415" s="27" t="str">
        <x:v>SupplyGraph: A Benchmark Dataset for Supply Chain Planning using Graph Neural Networks</x:v>
      </x:c>
      <x:c r="I415" s="17" t="str">
        <x:v>Azmine Toushik Wasi; MD Shafikul Islam; Adipto Raihan Akib</x:v>
      </x:c>
      <x:c r="J415" s="22" t="n">
        <x:v>2024</x:v>
      </x:c>
      <x:c r="K415" s="27" t="str">
        <x:v>Graph Neural Networks (GNNs) have gained traction across different domains such as transportation, bio-informatics, language processing, and computer vision. However, there is a noticeable absence of research on applying GNNs to supply chain networks. Supply chain networks are inherently graph-like in structure, making them prime candidates for applying GNN methodologies. This opens up a world of possibilities for optimizing, predicting, and solving even the most complex supply chain problems. A major setback in this approach lies in the absence of real-world benchmark datasets to facilitate the research and resolution of supply chain problems using GNNs. To address the issue, we present a real-world benchmark dataset for temporal tasks, obtained from one of the leading FMCG companies in Bangladesh, focusing on supply chain planning for production purposes. The dataset includes temporal data as node features to enable sales predictions, production planning, and the identification of factory issues. By utilizing this dataset, researchers can employ GNNs to address numerous supply chain problems, thereby advancing the field of supply chain analytics and planning. Source: https://github.com/CIOL-SUST/SupplyGraph</x:v>
      </x:c>
      <x:c r="L415" s="17" t="str">
        <x:v>http://arxiv.org/abs/2401.15299v3</x:v>
      </x:c>
      <x:c r="M415" s="23" t="n">
        <x:v>0.015625</x:v>
      </x:c>
      <x:c r="N415" s="17" t="str">
        <x:v>arxiv-paper-eval-20260727-105551-results.jsonl</x:v>
      </x:c>
      <x:c r="O415" s="24" t="str">
        <x:v>0</x:v>
      </x:c>
      <x:c r="P415" s="28" t="str">
        <x:v>研究FMCG供应链规划，与软件安全无关。</x:v>
      </x:c>
      <x:c r="Q415" s="25" t="str"/>
      <x:c r="R415" s="24" t="str">
        <x:f>IF(Q415&lt;&gt;"",Q415,O415)</x:f>
        <x:v>0</x:v>
      </x:c>
      <x:c r="S415" s="29" t="str"/>
    </x:row>
    <x:row r="416" ht="54" customHeight="1">
      <x:c r="A416" s="17" t="str">
        <x:v>csq021-r15</x:v>
      </x:c>
      <x:c r="B416" s="17" t="str">
        <x:v>csq021</x:v>
      </x:c>
      <x:c r="C416" s="17" t="str">
        <x:v>security_and_privacy</x:v>
      </x:c>
      <x:c r="D416" s="17" t="str">
        <x:v>software_supply_chain</x:v>
      </x:c>
      <x:c r="E416" s="27" t="str">
        <x:v>Which datasets, benchmarks, and metrics are used to evaluate software supply-chain vulnerability and malicious-package detection methods?</x:v>
      </x:c>
      <x:c r="F416" s="22" t="n">
        <x:v>15</x:v>
      </x:c>
      <x:c r="G416" s="17" t="str">
        <x:v>arXiv:2511.13341</x:v>
      </x:c>
      <x:c r="H416" s="27" t="str">
        <x:v>An LLM-based Quantitative Framework for Evaluating High-Stealthy Backdoor Risks in OSS Supply Chains</x:v>
      </x:c>
      <x:c r="I416" s="17" t="str">
        <x:v>Zihe Yan; Kai Luo; Haoyu Yang; Yang Yu; Zhuosheng Zhang; Guancheng Li</x:v>
      </x:c>
      <x:c r="J416" s="22" t="n">
        <x:v>2025</x:v>
      </x:c>
      <x:c r="K416" s="27" t="str">
        <x:v>In modern software development workflows, the open-source software supply chain contributes significantly to efficient and convenient engineering practices. With increasing system complexity, using open-source software as third-party dependencies has become a common practice. However, the lack of maintenance for underlying dependencies and insufficient community auditing create challenges in ensuring source code security and the legitimacy of repository maintainers, especially under high-stealthy backdoor attacks exemplified by the XZ-Util incident. To address these problems, we propose a fine-grained project evaluation framework for backdoor risk assessment in open-source software. The framework models stealthy backdoor attacks from the viewpoint of the attacker and defines targeted metrics for each attack stage. In addition, to overcome the limitations of static analysis in assessing the reliability of repository maintenance activities such as irregular committer privilege escalation and limited participation in reviews, the framework uses large language models (LLMs) to conduct semantic evaluation of code repositories without relying on manually crafted patterns. The framework is evaluated on sixty six high-priority packages in the Debian ecosystem. The experimental results indicate that the current open-source software supply chain is exposed to various security risks.</x:v>
      </x:c>
      <x:c r="L416" s="17" t="str">
        <x:v>http://arxiv.org/abs/2511.13341v1</x:v>
      </x:c>
      <x:c r="M416" s="23" t="n">
        <x:v>0.015384615384615385</x:v>
      </x:c>
      <x:c r="N416" s="17" t="str">
        <x:v>arxiv-paper-eval-20260727-105551-results.jsonl</x:v>
      </x:c>
      <x:c r="O416" s="24" t="str">
        <x:v>2</x:v>
      </x:c>
      <x:c r="P416" s="28" t="str">
        <x:v>提出开源供应链后门风险指标并在软件包上评测。</x:v>
      </x:c>
      <x:c r="Q416" s="25" t="str"/>
      <x:c r="R416" s="24" t="str">
        <x:f>IF(Q416&lt;&gt;"",Q416,O416)</x:f>
        <x:v>2</x:v>
      </x:c>
      <x:c r="S416" s="29" t="str"/>
    </x:row>
    <x:row r="417" ht="54" customHeight="1">
      <x:c r="A417" s="17" t="str">
        <x:v>csq021-r16</x:v>
      </x:c>
      <x:c r="B417" s="17" t="str">
        <x:v>csq021</x:v>
      </x:c>
      <x:c r="C417" s="17" t="str">
        <x:v>security_and_privacy</x:v>
      </x:c>
      <x:c r="D417" s="17" t="str">
        <x:v>software_supply_chain</x:v>
      </x:c>
      <x:c r="E417" s="27" t="str">
        <x:v>Which datasets, benchmarks, and metrics are used to evaluate software supply-chain vulnerability and malicious-package detection methods?</x:v>
      </x:c>
      <x:c r="F417" s="22" t="n">
        <x:v>16</x:v>
      </x:c>
      <x:c r="G417" s="17" t="str">
        <x:v>arXiv:2510.14778</x:v>
      </x:c>
      <x:c r="H417" s="27" t="str">
        <x:v>Leveraging Code Cohesion Analysis to Identify Source Code Supply Chain Attacks</x:v>
      </x:c>
      <x:c r="I417" s="17" t="str">
        <x:v>Maor Reuben; Ido Mendel; Or Feldman; Moshe Kravchik; Mordehai Guri; Rami Puzis</x:v>
      </x:c>
      <x:c r="J417" s="22" t="n">
        <x:v>2025</x:v>
      </x:c>
      <x:c r="K417" s="27" t="str">
        <x:v>Supply chain attacks significantly threaten software security with malicious code injections within legitimate projects. Such attacks are very rare but may have a devastating impact. Detecting spurious code injections using automated tools is further complicated as it often requires deciphering the intention of both the inserted code and its context. In this study, we propose an unsupervised approach for highlighting spurious code injections by quantifying cohesion disruptions in the source code. Using a name-prediction-based cohesion (NPC) metric, we analyze how function cohesion changes when malicious code is introduced compared to natural cohesion fluctuations. An analysis of 54,707 functions over 369 open-source C++ repositories reveals that code injection reduces cohesion and shifts naming patterns toward shorter, less descriptive names compared to genuine function updates. Considering the sporadic nature of real supply-chain attacks, we evaluate the proposed method with extreme test-set imbalance and show that monitoring high-cohesion functions with NPC can effectively detect functions with injected code, achieving a Precision@100 of 36.41% at a 1:1,000 ratio and 12.47% at 1:10,000. These results suggest that automated cohesion measurements, in general, and name-prediction-based cohesion, in particular, may help identify supply chain attacks, improving source code integrity.</x:v>
      </x:c>
      <x:c r="L417" s="17" t="str">
        <x:v>http://arxiv.org/abs/2510.14778v2</x:v>
      </x:c>
      <x:c r="M417" s="23" t="n">
        <x:v>0.015384615384615385</x:v>
      </x:c>
      <x:c r="N417" s="17" t="str">
        <x:v>arxiv-paper-eval-20260727-105551-results.jsonl</x:v>
      </x:c>
      <x:c r="O417" s="24" t="str">
        <x:v>2</x:v>
      </x:c>
      <x:c r="P417" s="28" t="str">
        <x:v>直接评测供应链恶意代码检测并报告Precision@100。</x:v>
      </x:c>
      <x:c r="Q417" s="25" t="str"/>
      <x:c r="R417" s="24" t="str">
        <x:f>IF(Q417&lt;&gt;"",Q417,O417)</x:f>
        <x:v>2</x:v>
      </x:c>
      <x:c r="S417" s="29" t="str"/>
    </x:row>
    <x:row r="418" ht="54" customHeight="1">
      <x:c r="A418" s="17" t="str">
        <x:v>csq021-r17</x:v>
      </x:c>
      <x:c r="B418" s="17" t="str">
        <x:v>csq021</x:v>
      </x:c>
      <x:c r="C418" s="17" t="str">
        <x:v>security_and_privacy</x:v>
      </x:c>
      <x:c r="D418" s="17" t="str">
        <x:v>software_supply_chain</x:v>
      </x:c>
      <x:c r="E418" s="27" t="str">
        <x:v>Which datasets, benchmarks, and metrics are used to evaluate software supply-chain vulnerability and malicious-package detection methods?</x:v>
      </x:c>
      <x:c r="F418" s="22" t="n">
        <x:v>17</x:v>
      </x:c>
      <x:c r="G418" s="17" t="str">
        <x:v>arXiv:2005.09535</x:v>
      </x:c>
      <x:c r="H418" s="27" t="str">
        <x:v>Backstabber's Knife Collection: A Review of Open Source Software Supply Chain Attacks</x:v>
      </x:c>
      <x:c r="I418" s="17" t="str">
        <x:v>Marc Ohm; Henrik Plate; Arnold Sykosch; Michael Meier</x:v>
      </x:c>
      <x:c r="J418" s="22" t="n">
        <x:v>2020</x:v>
      </x:c>
      <x:c r="K418" s="27" t="str">
        <x:v>A software supply chain attack is characterized by the injection of malicious code into a software package in order to compromise dependent systems further down the chain. Recent years saw a number of supply chain attacks that leverage the increasing use of open source during software development, which is facilitated by dependency managers that automatically resolve, download and install hundreds of open source packages throughout the software life cycle. This paper presents a dataset of 174 malicious software packages that were used in real-world attacks on open source software supply chains, and which were distributed via the popular package repositories npm, PyPI, and RubyGems. Those packages, dating from November 2015 to November 2019, were manually collected and analyzed. The paper also presents two general attack trees to provide a structured overview about techniques to inject malicious code into the dependency tree of downstream users, and to execute such code at different times and under different conditions. This work is meant to facilitate the future development of preventive and detective safeguards by open source and research communities.</x:v>
      </x:c>
      <x:c r="L418" s="17" t="str">
        <x:v>http://arxiv.org/abs/2005.09535v1</x:v>
      </x:c>
      <x:c r="M418" s="23" t="n">
        <x:v>0.015384615384615385</x:v>
      </x:c>
      <x:c r="N418" s="17" t="str">
        <x:v>arxiv-paper-eval-20260727-105551-results.jsonl</x:v>
      </x:c>
      <x:c r="O418" s="24" t="str">
        <x:v>2</x:v>
      </x:c>
      <x:c r="P418" s="28" t="str">
        <x:v>发布真实恶意软件包数据集，直接支持检测基准。</x:v>
      </x:c>
      <x:c r="Q418" s="25" t="str"/>
      <x:c r="R418" s="24" t="str">
        <x:f>IF(Q418&lt;&gt;"",Q418,O418)</x:f>
        <x:v>2</x:v>
      </x:c>
      <x:c r="S418" s="29" t="str"/>
    </x:row>
    <x:row r="419" ht="54" customHeight="1">
      <x:c r="A419" s="17" t="str">
        <x:v>csq021-r18</x:v>
      </x:c>
      <x:c r="B419" s="17" t="str">
        <x:v>csq021</x:v>
      </x:c>
      <x:c r="C419" s="17" t="str">
        <x:v>security_and_privacy</x:v>
      </x:c>
      <x:c r="D419" s="17" t="str">
        <x:v>software_supply_chain</x:v>
      </x:c>
      <x:c r="E419" s="27" t="str">
        <x:v>Which datasets, benchmarks, and metrics are used to evaluate software supply-chain vulnerability and malicious-package detection methods?</x:v>
      </x:c>
      <x:c r="F419" s="22" t="n">
        <x:v>18</x:v>
      </x:c>
      <x:c r="G419" s="17" t="str">
        <x:v>arXiv:2102.09674</x:v>
      </x:c>
      <x:c r="H419" s="27" t="str">
        <x:v>NATOs Mission-Critical Space Capabilities under Threat: Cybersecurity Gaps in the Military Space Asset Supply Chain</x:v>
      </x:c>
      <x:c r="I419" s="17" t="str">
        <x:v>Berenike Vollmer</x:v>
      </x:c>
      <x:c r="J419" s="22" t="n">
        <x:v>2021</x:v>
      </x:c>
      <x:c r="K419" s="27" t="str">
        <x:v>The North Atlantic Treaty Organizations (NATO) public-private Space Asset Supply Chain (SASC) currently exhibits significant cybersecurity gaps. It is well-established that data obtained from space assets is fundamental to NATO, as they allow for the facilitation of its missions, self-defence and effective deterrence of its adversaries. Any hostile cyber operation, suspending control over a space asset, severely impacts both NATO missions and allied Member States national security. This threat is exacerbated by NATOs mostly unregulated cyber SASC. Hence, this thesis answers a twofold research question: a) What are current cybersecurity gaps along NATOs global SASC; and b) How can NATO and its allied Member States gain greater control over such gaps to safeguard the supply of NATO mission-critical information? An ontological field study is carried out by conducting nineteen semi-structured interviews with high-level representatives from relevant public, private and academic organizations. This research was undertaken in collaboration with the NATO Cooperative Cyber Defence Centre of Excellence (CCDCOE) in Tallinn, Estonia. This thesis concludes that current cybersecurity gaps along NATOs SASC are caused by cyber vulnerabilities such as legacy systems or the use of Commercial-Off-the-Shelf (COTS) technology. Inadequate cyber SASC management is caused by hindrances such as misaligned classification levels and significant understaffing. On this basis, NATO should consider two major collaboration initiatives: a) Raising Awareness throughout the whole of the NATO system, and b) Pushing forward the creation of regulation through a standardized security framework on SASC cybersecurity. Doing so would enable NATO and its Member States to recognise cyberthreats to mission-critical data early on along its cyber SASC, and thus increase transparency, responsibility, and liability.</x:v>
      </x:c>
      <x:c r="L419" s="17" t="str">
        <x:v>http://arxiv.org/abs/2102.09674v1</x:v>
      </x:c>
      <x:c r="M419" s="23" t="n">
        <x:v>0.015151515151515152</x:v>
      </x:c>
      <x:c r="N419" s="17" t="str">
        <x:v>arxiv-paper-eval-20260727-105551-results.jsonl</x:v>
      </x:c>
      <x:c r="O419" s="24" t="str">
        <x:v>0</x:v>
      </x:c>
      <x:c r="P419" s="28" t="str">
        <x:v>讨论军事空间资产供应链管理，未提供软件包检测评测。</x:v>
      </x:c>
      <x:c r="Q419" s="25" t="str"/>
      <x:c r="R419" s="24" t="str">
        <x:f>IF(Q419&lt;&gt;"",Q419,O419)</x:f>
        <x:v>0</x:v>
      </x:c>
      <x:c r="S419" s="29" t="str"/>
    </x:row>
    <x:row r="420" ht="54" customHeight="1">
      <x:c r="A420" s="17" t="str">
        <x:v>csq021-r19</x:v>
      </x:c>
      <x:c r="B420" s="17" t="str">
        <x:v>csq021</x:v>
      </x:c>
      <x:c r="C420" s="17" t="str">
        <x:v>security_and_privacy</x:v>
      </x:c>
      <x:c r="D420" s="17" t="str">
        <x:v>software_supply_chain</x:v>
      </x:c>
      <x:c r="E420" s="27" t="str">
        <x:v>Which datasets, benchmarks, and metrics are used to evaluate software supply-chain vulnerability and malicious-package detection methods?</x:v>
      </x:c>
      <x:c r="F420" s="22" t="n">
        <x:v>19</x:v>
      </x:c>
      <x:c r="G420" s="17" t="str">
        <x:v>arXiv:2107.09167</x:v>
      </x:c>
      <x:c r="H420" s="27" t="str">
        <x:v>Pharmaceutical Supply Chain Reliability and Effects on Drug Shortages</x:v>
      </x:c>
      <x:c r="I420" s="17" t="str">
        <x:v>Emily L. Tucker; Mark S. Daskin</x:v>
      </x:c>
      <x:c r="J420" s="22" t="n">
        <x:v>2021</x:v>
      </x:c>
      <x:c r="K420" s="27" t="str">
        <x:v>Drug shortages occur frequently and are often caused by supply chain disruptions. For improvements to occur, it is necessary to be able to estimate the vulnerability of pharmaceutical supply chains. In this work, we present the first model of pharmaceutical supply chain reliability. We consider three key approaches that companies may use to improve reliability: configuration, risk of disruptions, and speed of recovery. Key metrics include expected drug shortages, average time-to-shortage, and average time-to-recovery. We parametrize the model using data from major drug shortage databases and a case example of a generic injectable oncology drug. With a lean supply chain configuration, we observe that expected shortages at status quo conditions are 10%. By either doubling the speed of recovery or halving the disruption rate, expected shortages could drop to 5%. The most influential single change would be to add a back-up supplier to a lean configuration, leading to expected shortages of 4%. We also consider profitability and present the breakeven prices for different configurations. The results from our analyses could lead to immediate policy impact, providing evidence of the benefits of redundancy and improving facility quality.</x:v>
      </x:c>
      <x:c r="L420" s="17" t="str">
        <x:v>http://arxiv.org/abs/2107.09167v2</x:v>
      </x:c>
      <x:c r="M420" s="23" t="n">
        <x:v>0.015151515151515152</x:v>
      </x:c>
      <x:c r="N420" s="17" t="str">
        <x:v>arxiv-paper-eval-20260727-105551-results.jsonl</x:v>
      </x:c>
      <x:c r="O420" s="24" t="str">
        <x:v>0</x:v>
      </x:c>
      <x:c r="P420" s="28" t="str">
        <x:v>研究药品实体供应链可靠性，与软件安全无关。</x:v>
      </x:c>
      <x:c r="Q420" s="25" t="str"/>
      <x:c r="R420" s="24" t="str">
        <x:f>IF(Q420&lt;&gt;"",Q420,O420)</x:f>
        <x:v>0</x:v>
      </x:c>
      <x:c r="S420" s="29" t="str"/>
    </x:row>
    <x:row r="421" ht="54" customHeight="1">
      <x:c r="A421" s="17" t="str">
        <x:v>csq021-r20</x:v>
      </x:c>
      <x:c r="B421" s="17" t="str">
        <x:v>csq021</x:v>
      </x:c>
      <x:c r="C421" s="17" t="str">
        <x:v>security_and_privacy</x:v>
      </x:c>
      <x:c r="D421" s="17" t="str">
        <x:v>software_supply_chain</x:v>
      </x:c>
      <x:c r="E421" s="27" t="str">
        <x:v>Which datasets, benchmarks, and metrics are used to evaluate software supply-chain vulnerability and malicious-package detection methods?</x:v>
      </x:c>
      <x:c r="F421" s="22" t="n">
        <x:v>20</x:v>
      </x:c>
      <x:c r="G421" s="17" t="str">
        <x:v>arXiv:2308.11169</x:v>
      </x:c>
      <x:c r="H421" s="27" t="str">
        <x:v>Blockchain-Powered Supply Chain Management for Kidney Organ Preservation</x:v>
      </x:c>
      <x:c r="I421" s="17" t="str">
        <x:v>Kapil Panda; Anirudh Mazumder</x:v>
      </x:c>
      <x:c r="J421" s="22" t="n">
        <x:v>2023</x:v>
      </x:c>
      <x:c r="K421" s="27" t="str">
        <x:v>Due to the shortage of available kidney organs for transplants, handling every donor kidney with utmost care is crucial to preserve the organ's health, especially during the organ supply chain where kidneys are prone to deterioration during transportation. Therefore, this research proposes a blockchain platform to aid in managing kidneys in the supply chain. This framework establishes a secure system that meticulously tracks the organ's location and handling, safeguarding the health from donor to recipient. Additionally, a machine-learning algorithm is embedded to monitor organ health in real-time against various metrics for prompt detection of possible kidney damage.</x:v>
      </x:c>
      <x:c r="L421" s="17" t="str">
        <x:v>http://arxiv.org/abs/2308.11169v2</x:v>
      </x:c>
      <x:c r="M421" s="23" t="n">
        <x:v>0.014925373134328358</x:v>
      </x:c>
      <x:c r="N421" s="17" t="str">
        <x:v>arxiv-paper-eval-20260727-105551-results.jsonl</x:v>
      </x:c>
      <x:c r="O421" s="24" t="str">
        <x:v>0</x:v>
      </x:c>
      <x:c r="P421" s="28" t="str">
        <x:v>研究器官运输供应链，与软件安全无关。</x:v>
      </x:c>
      <x:c r="Q421" s="25" t="str"/>
      <x:c r="R421" s="24" t="str">
        <x:f>IF(Q421&lt;&gt;"",Q421,O421)</x:f>
        <x:v>0</x:v>
      </x:c>
      <x:c r="S421" s="29" t="str"/>
    </x:row>
    <x:row r="422" ht="54" customHeight="1">
      <x:c r="A422" s="17" t="str">
        <x:v>csq022-r01</x:v>
      </x:c>
      <x:c r="B422" s="17" t="str">
        <x:v>csq022</x:v>
      </x:c>
      <x:c r="C422" s="17" t="str">
        <x:v>security_and_privacy</x:v>
      </x:c>
      <x:c r="D422" s="17" t="str">
        <x:v>federated_learning_security</x:v>
      </x:c>
      <x:c r="E422" s="27" t="str">
        <x:v>What security and privacy attacks against federated learning have been demonstrated, and which proposed defenses remain limited under adaptive attackers?</x:v>
      </x:c>
      <x:c r="F422" s="22" t="n">
        <x:v>1</x:v>
      </x:c>
      <x:c r="G422" s="17" t="str">
        <x:v>arXiv:1911.07963</x:v>
      </x:c>
      <x:c r="H422" s="27" t="str">
        <x:v>Can You Really Backdoor Federated Learning?</x:v>
      </x:c>
      <x:c r="I422" s="17" t="str">
        <x:v>Ziteng Sun; Peter Kairouz; Ananda Theertha Suresh; H. Brendan McMahan</x:v>
      </x:c>
      <x:c r="J422" s="22" t="n">
        <x:v>2019</x:v>
      </x:c>
      <x:c r="K422" s="27" t="str">
        <x:v>The decentralized nature of federated learning makes detecting and defending against adversarial attacks a challenging task. This paper focuses on backdoor attacks in the federated learning setting, where the goal of the adversary is to reduce the performance of the model on targeted tasks while maintaining good performance on the main task. Unlike existing works, we allow non-malicious clients to have correctly labeled samples from the targeted tasks. We conduct a comprehensive study of backdoor attacks and defenses for the EMNIST dataset, a real-life, user-partitioned, and non-iid dataset. We observe that in the absence of defenses, the performance of the attack largely depends on the fraction of adversaries present and the "complexity'' of the targeted task. Moreover, we show that norm clipping and "weak'' differential privacy mitigate the attacks without hurting the overall performance. We have implemented the attacks and defenses in TensorFlow Federated (TFF), a TensorFlow framework for federated learning. In open-sourcing our code, our goal is to encourage researchers to contribute new attacks and defenses and evaluate them on standard federated datasets.</x:v>
      </x:c>
      <x:c r="L422" s="17" t="str">
        <x:v>http://arxiv.org/abs/1911.07963v2</x:v>
      </x:c>
      <x:c r="M422" s="23" t="n">
        <x:v>0.031754032258064516</x:v>
      </x:c>
      <x:c r="N422" s="17" t="str">
        <x:v>arxiv-paper-eval-20260727-105551-results.jsonl</x:v>
      </x:c>
      <x:c r="O422" s="24" t="str">
        <x:v>2</x:v>
      </x:c>
      <x:c r="P422" s="28" t="str">
        <x:v>直接实证联邦学习后门攻击及裁剪、差分隐私防御。</x:v>
      </x:c>
      <x:c r="Q422" s="25" t="str"/>
      <x:c r="R422" s="24" t="str">
        <x:f>IF(Q422&lt;&gt;"",Q422,O422)</x:f>
        <x:v>2</x:v>
      </x:c>
      <x:c r="S422" s="29" t="str"/>
    </x:row>
    <x:row r="423" ht="54" customHeight="1">
      <x:c r="A423" s="17" t="str">
        <x:v>csq022-r02</x:v>
      </x:c>
      <x:c r="B423" s="17" t="str">
        <x:v>csq022</x:v>
      </x:c>
      <x:c r="C423" s="17" t="str">
        <x:v>security_and_privacy</x:v>
      </x:c>
      <x:c r="D423" s="17" t="str">
        <x:v>federated_learning_security</x:v>
      </x:c>
      <x:c r="E423" s="27" t="str">
        <x:v>What security and privacy attacks against federated learning have been demonstrated, and which proposed defenses remain limited under adaptive attackers?</x:v>
      </x:c>
      <x:c r="F423" s="22" t="n">
        <x:v>2</x:v>
      </x:c>
      <x:c r="G423" s="17" t="str">
        <x:v>arXiv:2206.02535</x:v>
      </x:c>
      <x:c r="H423" s="27" t="str">
        <x:v>Certified Robustness in Federated Learning</x:v>
      </x:c>
      <x:c r="I423" s="17" t="str">
        <x:v>Motasem Alfarra; Juan C. Pérez; Egor Shulgin; Peter Richtárik; Bernard Ghanem</x:v>
      </x:c>
      <x:c r="J423" s="22" t="n">
        <x:v>2022</x:v>
      </x:c>
      <x:c r="K423" s="27" t="str">
        <x:v>Federated learning has recently gained significant attention and popularity due to its effectiveness in training machine learning models on distributed data privately. However, as in the single-node supervised learning setup, models trained in federated learning suffer from vulnerability to imperceptible input transformations known as adversarial attacks, questioning their deployment in security-related applications. In this work, we study the interplay between federated training, personalization, and certified robustness. In particular, we deploy randomized smoothing, a widely-used and scalable certification method, to certify deep networks trained on a federated setup against input perturbations and transformations. We find that the simple federated averaging technique is effective in building not only more accurate, but also more certifiably-robust models, compared to training solely on local data. We further analyze personalization, a popular technique in federated training that increases the model's bias towards local data, on robustness. We show several advantages of personalization over both~(that is, only training on local data and federated training) in building more robust models with faster training. Finally, we explore the robustness of mixtures of global and local~(i.e. personalized) models, and find that the robustness of local models degrades as they diverge from the global model</x:v>
      </x:c>
      <x:c r="L423" s="17" t="str">
        <x:v>http://arxiv.org/abs/2206.02535v2</x:v>
      </x:c>
      <x:c r="M423" s="23" t="n">
        <x:v>0.031746031746031744</x:v>
      </x:c>
      <x:c r="N423" s="17" t="str">
        <x:v>arxiv-paper-eval-20260727-105551-results.jsonl</x:v>
      </x:c>
      <x:c r="O423" s="24" t="str">
        <x:v>2</x:v>
      </x:c>
      <x:c r="P423" s="28" t="str">
        <x:v>直接研究联邦学习对抗攻击与认证鲁棒防御。</x:v>
      </x:c>
      <x:c r="Q423" s="25" t="str"/>
      <x:c r="R423" s="24" t="str">
        <x:f>IF(Q423&lt;&gt;"",Q423,O423)</x:f>
        <x:v>2</x:v>
      </x:c>
      <x:c r="S423" s="29" t="str"/>
    </x:row>
    <x:row r="424" ht="54" customHeight="1">
      <x:c r="A424" s="17" t="str">
        <x:v>csq022-r03</x:v>
      </x:c>
      <x:c r="B424" s="17" t="str">
        <x:v>csq022</x:v>
      </x:c>
      <x:c r="C424" s="17" t="str">
        <x:v>security_and_privacy</x:v>
      </x:c>
      <x:c r="D424" s="17" t="str">
        <x:v>federated_learning_security</x:v>
      </x:c>
      <x:c r="E424" s="27" t="str">
        <x:v>What security and privacy attacks against federated learning have been demonstrated, and which proposed defenses remain limited under adaptive attackers?</x:v>
      </x:c>
      <x:c r="F424" s="22" t="n">
        <x:v>3</x:v>
      </x:c>
      <x:c r="G424" s="17" t="str">
        <x:v>arXiv:1808.04866</x:v>
      </x:c>
      <x:c r="H424" s="27" t="str">
        <x:v>Mitigating Sybils in Federated Learning Poisoning</x:v>
      </x:c>
      <x:c r="I424" s="17" t="str">
        <x:v>Clement Fung; Chris J. M. Yoon; Ivan Beschastnikh</x:v>
      </x:c>
      <x:c r="J424" s="22" t="n">
        <x:v>2018</x:v>
      </x:c>
      <x:c r="K424" s="27" t="str">
        <x:v>Machine learning (ML) over distributed multi-party data is required for a variety of domains. Existing approaches, such as federated learning, collect the outputs computed by a group of devices at a central aggregator and run iterative algorithms to train a globally shared model. Unfortunately, such approaches are susceptible to a variety of attacks, including model poisoning, which is made substantially worse in the presence of sybils. In this paper we first evaluate the vulnerability of federated learning to sybil-based poisoning attacks. We then describe \emph{FoolsGold}, a novel defense to this problem that identifies poisoning sybils based on the diversity of client updates in the distributed learning process. Unlike prior work, our system does not bound the expected number of attackers, requires no auxiliary information outside of the learning process, and makes fewer assumptions about clients and their data. In our evaluation we show that FoolsGold exceeds the capabilities of existing state of the art approaches to countering sybil-based label-flipping and backdoor poisoning attacks. Our results hold for different distributions of client data, varying poisoning targets, and various sybil strategies. Code can be found at: https://github.com/DistributedML/FoolsGold</x:v>
      </x:c>
      <x:c r="L424" s="17" t="str">
        <x:v>http://arxiv.org/abs/1808.04866v5</x:v>
      </x:c>
      <x:c r="M424" s="23" t="n">
        <x:v>0.03055037313432836</x:v>
      </x:c>
      <x:c r="N424" s="17" t="str">
        <x:v>arxiv-paper-eval-20260727-105551-results.jsonl</x:v>
      </x:c>
      <x:c r="O424" s="24" t="str">
        <x:v>2</x:v>
      </x:c>
      <x:c r="P424" s="28" t="str">
        <x:v>直接研究女巫式投毒并提出FoolsGold防御。</x:v>
      </x:c>
      <x:c r="Q424" s="25" t="str"/>
      <x:c r="R424" s="24" t="str">
        <x:f>IF(Q424&lt;&gt;"",Q424,O424)</x:f>
        <x:v>2</x:v>
      </x:c>
      <x:c r="S424" s="29" t="str"/>
    </x:row>
    <x:row r="425" ht="54" customHeight="1">
      <x:c r="A425" s="17" t="str">
        <x:v>csq022-r04</x:v>
      </x:c>
      <x:c r="B425" s="17" t="str">
        <x:v>csq022</x:v>
      </x:c>
      <x:c r="C425" s="17" t="str">
        <x:v>security_and_privacy</x:v>
      </x:c>
      <x:c r="D425" s="17" t="str">
        <x:v>federated_learning_security</x:v>
      </x:c>
      <x:c r="E425" s="27" t="str">
        <x:v>What security and privacy attacks against federated learning have been demonstrated, and which proposed defenses remain limited under adaptive attackers?</x:v>
      </x:c>
      <x:c r="F425" s="22" t="n">
        <x:v>4</x:v>
      </x:c>
      <x:c r="G425" s="17" t="str">
        <x:v>arXiv:2410.08244</x:v>
      </x:c>
      <x:c r="H425" s="27" t="str">
        <x:v>RAB$^2$-DEF: Dynamic and explainable defense against adversarial attacks in Federated Learning to fair poor clients</x:v>
      </x:c>
      <x:c r="I425" s="17" t="str">
        <x:v>Nuria Rodríguez-Barroso; M. Victoria Luzón; Francisco Herrera</x:v>
      </x:c>
      <x:c r="J425" s="22" t="n">
        <x:v>2024</x:v>
      </x:c>
      <x:c r="K425" s="27" t="str">
        <x:v>At the same time that artificial intelligence is becoming popular, concern and the need for regulation is growing, including among other requirements the data privacy. In this context, Federated Learning is proposed as a solution to data privacy concerns derived from different source data scenarios due to its distributed learning. The defense mechanisms proposed in literature are just focused on defending against adversarial attacks and the performance, leaving aside other important qualities such as explainability, fairness to poor quality clients, dynamism in terms of attacks configuration and generality in terms of being resilient against different kinds of attacks. In this work, we propose RAB$^2$-DEF, a $\textbf{r}$esilient $\textbf{a}$gainst $\textbf{b}\text{yzantine}$ and $\textbf{b}$ackdoor attacks which is $\textbf{d}$ynamic, $\textbf{e}$xplainable and $\textbf{f}$air to poor clients using local linear explanations. We test the performance of RAB$^2$-DEF in image datasets and both byzantine and backdoor attacks considering the state-of-the-art defenses and achieve that RAB$^2$-DEF is a proper defense at the same time that it boosts the other qualities towards trustworthy artificial intelligence.</x:v>
      </x:c>
      <x:c r="L425" s="17" t="str">
        <x:v>http://arxiv.org/abs/2410.08244v2</x:v>
      </x:c>
      <x:c r="M425" s="23" t="n">
        <x:v>0.028991596638655463</x:v>
      </x:c>
      <x:c r="N425" s="17" t="str">
        <x:v>arxiv-paper-eval-20260727-105551-results.jsonl</x:v>
      </x:c>
      <x:c r="O425" s="24" t="str">
        <x:v>2</x:v>
      </x:c>
      <x:c r="P425" s="28" t="str">
        <x:v>直接提出并评测拜占庭和后门攻击防御。</x:v>
      </x:c>
      <x:c r="Q425" s="25" t="str"/>
      <x:c r="R425" s="24" t="str">
        <x:f>IF(Q425&lt;&gt;"",Q425,O425)</x:f>
        <x:v>2</x:v>
      </x:c>
      <x:c r="S425" s="29" t="str"/>
    </x:row>
    <x:row r="426" ht="54" customHeight="1">
      <x:c r="A426" s="17" t="str">
        <x:v>csq022-r05</x:v>
      </x:c>
      <x:c r="B426" s="17" t="str">
        <x:v>csq022</x:v>
      </x:c>
      <x:c r="C426" s="17" t="str">
        <x:v>security_and_privacy</x:v>
      </x:c>
      <x:c r="D426" s="17" t="str">
        <x:v>federated_learning_security</x:v>
      </x:c>
      <x:c r="E426" s="27" t="str">
        <x:v>What security and privacy attacks against federated learning have been demonstrated, and which proposed defenses remain limited under adaptive attackers?</x:v>
      </x:c>
      <x:c r="F426" s="22" t="n">
        <x:v>5</x:v>
      </x:c>
      <x:c r="G426" s="17" t="str">
        <x:v>arXiv:2404.09430</x:v>
      </x:c>
      <x:c r="H426" s="27" t="str">
        <x:v>On the Efficiency of Privacy Attacks in Federated Learning</x:v>
      </x:c>
      <x:c r="I426" s="17" t="str">
        <x:v>Nawrin Tabassum; Ka-Ho Chow; Xuyu Wang; Wenbin Zhang; Yanzhao Wu</x:v>
      </x:c>
      <x:c r="J426" s="22" t="n">
        <x:v>2024</x:v>
      </x:c>
      <x:c r="K426" s="27" t="str">
        <x:v>Recent studies have revealed severe privacy risks in federated learning, represented by Gradient Leakage Attacks. However, existing studies mainly aim at increasing the privacy attack success rate and overlook the high computation costs for recovering private data, making the privacy attack impractical in real applications. In this study, we examine privacy attacks from the perspective of efficiency and propose a framework for improving the Efficiency of Privacy Attacks in Federated Learning (EPAFL). We make three novel contributions. First, we systematically evaluate the computational costs for representative privacy attacks in federated learning, which exhibits a high potential to optimize efficiency. Second, we propose three early-stopping techniques to effectively reduce the computational costs of these privacy attacks. Third, we perform experiments on benchmark datasets and show that our proposed method can significantly reduce computational costs and maintain comparable attack success rates for state-of-the-art privacy attacks in federated learning. We provide the codes on GitHub at https://github.com/mlsysx/EPAFL.</x:v>
      </x:c>
      <x:c r="L426" s="17" t="str">
        <x:v>http://arxiv.org/abs/2404.09430v1</x:v>
      </x:c>
      <x:c r="M426" s="23" t="n">
        <x:v>0.01639344262295082</x:v>
      </x:c>
      <x:c r="N426" s="17" t="str">
        <x:v>arxiv-paper-eval-20260727-105551-results.jsonl</x:v>
      </x:c>
      <x:c r="O426" s="24" t="str">
        <x:v>2</x:v>
      </x:c>
      <x:c r="P426" s="28" t="str">
        <x:v>系统评测联邦学习梯度泄露攻击及效率。</x:v>
      </x:c>
      <x:c r="Q426" s="25" t="str"/>
      <x:c r="R426" s="24" t="str">
        <x:f>IF(Q426&lt;&gt;"",Q426,O426)</x:f>
        <x:v>2</x:v>
      </x:c>
      <x:c r="S426" s="29" t="str"/>
    </x:row>
    <x:row r="427" ht="54" customHeight="1">
      <x:c r="A427" s="17" t="str">
        <x:v>csq022-r06</x:v>
      </x:c>
      <x:c r="B427" s="17" t="str">
        <x:v>csq022</x:v>
      </x:c>
      <x:c r="C427" s="17" t="str">
        <x:v>security_and_privacy</x:v>
      </x:c>
      <x:c r="D427" s="17" t="str">
        <x:v>federated_learning_security</x:v>
      </x:c>
      <x:c r="E427" s="27" t="str">
        <x:v>What security and privacy attacks against federated learning have been demonstrated, and which proposed defenses remain limited under adaptive attackers?</x:v>
      </x:c>
      <x:c r="F427" s="22" t="n">
        <x:v>6</x:v>
      </x:c>
      <x:c r="G427" s="17" t="str">
        <x:v>arXiv:2402.00342</x:v>
      </x:c>
      <x:c r="H427" s="27" t="str">
        <x:v>Survey of Privacy Threats and Countermeasures in Federated Learning</x:v>
      </x:c>
      <x:c r="I427" s="17" t="str">
        <x:v>Masahiro Hayashitani; Junki Mori; Isamu Teranishi</x:v>
      </x:c>
      <x:c r="J427" s="22" t="n">
        <x:v>2024</x:v>
      </x:c>
      <x:c r="K427" s="27" t="str">
        <x:v>Federated learning is widely considered to be as a privacy-aware learning method because no training data is exchanged directly between clients. Nevertheless, there are threats to privacy in federated learning, and privacy countermeasures have been studied. However, we note that common and unique privacy threats among typical types of federated learning have not been categorized and described in a comprehensive and specific way. In this paper, we describe privacy threats and countermeasures for the typical types of federated learning; horizontal federated learning, vertical federated learning, and transfer federated learning.</x:v>
      </x:c>
      <x:c r="L427" s="17" t="str">
        <x:v>http://arxiv.org/abs/2402.00342v2</x:v>
      </x:c>
      <x:c r="M427" s="23" t="n">
        <x:v>0.01639344262295082</x:v>
      </x:c>
      <x:c r="N427" s="17" t="str">
        <x:v>arxiv-paper-eval-20260727-105551-results.jsonl</x:v>
      </x:c>
      <x:c r="O427" s="24" t="str">
        <x:v>2</x:v>
      </x:c>
      <x:c r="P427" s="28" t="str">
        <x:v>综述联邦学习隐私威胁与对策，直接覆盖题目。</x:v>
      </x:c>
      <x:c r="Q427" s="25" t="str"/>
      <x:c r="R427" s="24" t="str">
        <x:f>IF(Q427&lt;&gt;"",Q427,O427)</x:f>
        <x:v>2</x:v>
      </x:c>
      <x:c r="S427" s="29" t="str"/>
    </x:row>
    <x:row r="428" ht="54" customHeight="1">
      <x:c r="A428" s="17" t="str">
        <x:v>csq022-r07</x:v>
      </x:c>
      <x:c r="B428" s="17" t="str">
        <x:v>csq022</x:v>
      </x:c>
      <x:c r="C428" s="17" t="str">
        <x:v>security_and_privacy</x:v>
      </x:c>
      <x:c r="D428" s="17" t="str">
        <x:v>federated_learning_security</x:v>
      </x:c>
      <x:c r="E428" s="27" t="str">
        <x:v>What security and privacy attacks against federated learning have been demonstrated, and which proposed defenses remain limited under adaptive attackers?</x:v>
      </x:c>
      <x:c r="F428" s="22" t="n">
        <x:v>7</x:v>
      </x:c>
      <x:c r="G428" s="17" t="str">
        <x:v>arXiv:2210.10880</x:v>
      </x:c>
      <x:c r="H428" s="27" t="str">
        <x:v>Learning to Invert: Simple Adaptive Attacks for Gradient Inversion in Federated Learning</x:v>
      </x:c>
      <x:c r="I428" s="17" t="str">
        <x:v>Ruihan Wu; Xiangyu Chen; Chuan Guo; Kilian Q. Weinberger</x:v>
      </x:c>
      <x:c r="J428" s="22" t="n">
        <x:v>2022</x:v>
      </x:c>
      <x:c r="K428" s="27" t="str">
        <x:v>Gradient inversion attack enables recovery of training samples from model gradients in federated learning (FL), and constitutes a serious threat to data privacy. To mitigate this vulnerability, prior work proposed both principled defenses based on differential privacy, as well as heuristic defenses based on gradient compression as countermeasures. These defenses have so far been very effective, in particular those based on gradient compression that allow the model to maintain high accuracy while greatly reducing the effectiveness of attacks. In this work, we argue that such findings underestimate the privacy risk in FL. As a counterexample, we show that existing defenses can be broken by a simple adaptive attack, where a model trained on auxiliary data is able to invert gradients on both vision and language tasks.</x:v>
      </x:c>
      <x:c r="L428" s="17" t="str">
        <x:v>http://arxiv.org/abs/2210.10880v2</x:v>
      </x:c>
      <x:c r="M428" s="23" t="n">
        <x:v>0.01639344262295082</x:v>
      </x:c>
      <x:c r="N428" s="17" t="str">
        <x:v>arxiv-paper-eval-20260727-105551-results.jsonl</x:v>
      </x:c>
      <x:c r="O428" s="24" t="str">
        <x:v>2</x:v>
      </x:c>
      <x:c r="P428" s="28" t="str">
        <x:v>直接证明压缩等防御可被自适应梯度反演攻破。</x:v>
      </x:c>
      <x:c r="Q428" s="25" t="str"/>
      <x:c r="R428" s="24" t="str">
        <x:f>IF(Q428&lt;&gt;"",Q428,O428)</x:f>
        <x:v>2</x:v>
      </x:c>
      <x:c r="S428" s="29" t="str"/>
    </x:row>
    <x:row r="429" ht="54" customHeight="1">
      <x:c r="A429" s="17" t="str">
        <x:v>csq022-r08</x:v>
      </x:c>
      <x:c r="B429" s="17" t="str">
        <x:v>csq022</x:v>
      </x:c>
      <x:c r="C429" s="17" t="str">
        <x:v>security_and_privacy</x:v>
      </x:c>
      <x:c r="D429" s="17" t="str">
        <x:v>federated_learning_security</x:v>
      </x:c>
      <x:c r="E429" s="27" t="str">
        <x:v>What security and privacy attacks against federated learning have been demonstrated, and which proposed defenses remain limited under adaptive attackers?</x:v>
      </x:c>
      <x:c r="F429" s="22" t="n">
        <x:v>8</x:v>
      </x:c>
      <x:c r="G429" s="17" t="str">
        <x:v>arXiv:2409.13004</x:v>
      </x:c>
      <x:c r="H429" s="27" t="str">
        <x:v>Data Poisoning and Leakage Analysis in Federated Learning</x:v>
      </x:c>
      <x:c r="I429" s="17" t="str">
        <x:v>Wenqi Wei; Tiansheng Huang; Zachary Yahn; Anoop Singhal; Margaret Loper; Ling Liu</x:v>
      </x:c>
      <x:c r="J429" s="22" t="n">
        <x:v>2024</x:v>
      </x:c>
      <x:c r="K429" s="27" t="str">
        <x:v>Data poisoning and leakage risks impede the massive deployment of federated learning in the real world. This chapter reveals the truths and pitfalls of understanding two dominating threats: {\em training data privacy intrusion} and {\em training data poisoning}. We first investigate training data privacy threat and present our observations on when and how training data may be leaked during the course of federated training. One promising defense strategy is to perturb the raw gradient update by adding some controlled randomized noise prior to sharing during each round of federated learning. We discuss the importance of determining the proper amount of randomized noise and the proper location to add such noise for effective mitigation of gradient leakage threats against training data privacy. Then we will review and compare different training data poisoning threats and analyze why and when such data poisoning induced model Trojan attacks may lead to detrimental damage on the performance of the global model. We will categorize and compare representative poisoning attacks and the effectiveness of their mitigation techniques, delivering an in-depth understanding of the negative impact of data poisoning. Finally, we demonstrate the potential of dynamic model perturbation in simultaneously ensuring privacy protection, poisoning resilience, and model performance. The chapter concludes with a discussion on additional risk factors in federated learning, including the negative impact of skewness, data and algorithmic biases, as well as misinformation in training data. Powered by empirical evidence, our analytical study offers some transformative insights into effective privacy protection and security assurance strategies in attack-resilient federated learning.</x:v>
      </x:c>
      <x:c r="L429" s="17" t="str">
        <x:v>http://arxiv.org/abs/2409.13004v1</x:v>
      </x:c>
      <x:c r="M429" s="23" t="n">
        <x:v>0.016129032258064516</x:v>
      </x:c>
      <x:c r="N429" s="17" t="str">
        <x:v>arxiv-paper-eval-20260727-105551-results.jsonl</x:v>
      </x:c>
      <x:c r="O429" s="24" t="str">
        <x:v>2</x:v>
      </x:c>
      <x:c r="P429" s="28" t="str">
        <x:v>系统分析泄露、投毒及其缓解方法。</x:v>
      </x:c>
      <x:c r="Q429" s="25" t="str"/>
      <x:c r="R429" s="24" t="str">
        <x:f>IF(Q429&lt;&gt;"",Q429,O429)</x:f>
        <x:v>2</x:v>
      </x:c>
      <x:c r="S429" s="29" t="str"/>
    </x:row>
    <x:row r="430" ht="54" customHeight="1">
      <x:c r="A430" s="17" t="str">
        <x:v>csq022-r09</x:v>
      </x:c>
      <x:c r="B430" s="17" t="str">
        <x:v>csq022</x:v>
      </x:c>
      <x:c r="C430" s="17" t="str">
        <x:v>security_and_privacy</x:v>
      </x:c>
      <x:c r="D430" s="17" t="str">
        <x:v>federated_learning_security</x:v>
      </x:c>
      <x:c r="E430" s="27" t="str">
        <x:v>What security and privacy attacks against federated learning have been demonstrated, and which proposed defenses remain limited under adaptive attackers?</x:v>
      </x:c>
      <x:c r="F430" s="22" t="n">
        <x:v>9</x:v>
      </x:c>
      <x:c r="G430" s="17" t="str">
        <x:v>arXiv:2306.13273</x:v>
      </x:c>
      <x:c r="H430" s="27" t="str">
        <x:v>A First Order Meta Stackelberg Method for Robust Federated Learning (Technical Report)</x:v>
      </x:c>
      <x:c r="I430" s="17" t="str">
        <x:v>Henger Li; Tianyi Xu; Tao Li; Yunian Pan; Quanyan Zhu; Zizhan Zheng</x:v>
      </x:c>
      <x:c r="J430" s="22" t="n">
        <x:v>2023</x:v>
      </x:c>
      <x:c r="K430" s="27" t="str">
        <x:v>Recent research efforts indicate that federated learning (FL) systems are vulnerable to a variety of security breaches. While numerous defense strategies have been suggested, they are mainly designed to counter specific attack patterns and lack adaptability, rendering them less effective when facing uncertain or adaptive threats. This work models adversarial FL as a Bayesian Stackelberg Markov game (BSMG) between the defender and the attacker to address the lack of adaptability to uncertain adaptive attacks. We further devise an effective meta-learning technique to solve for the Stackelberg equilibrium, leading to a resilient and adaptable defense. The experiment results suggest that our meta-Stackelberg learning approach excels in combating intense model poisoning and backdoor attacks of indeterminate types.</x:v>
      </x:c>
      <x:c r="L430" s="17" t="str">
        <x:v>http://arxiv.org/abs/2306.13273v3</x:v>
      </x:c>
      <x:c r="M430" s="23" t="n">
        <x:v>0.016129032258064516</x:v>
      </x:c>
      <x:c r="N430" s="17" t="str">
        <x:v>arxiv-paper-eval-20260727-105551-results.jsonl</x:v>
      </x:c>
      <x:c r="O430" s="24" t="str">
        <x:v>2</x:v>
      </x:c>
      <x:c r="P430" s="28" t="str">
        <x:v>明确针对不确定和自适应投毒、后门攻击设计防御。</x:v>
      </x:c>
      <x:c r="Q430" s="25" t="str"/>
      <x:c r="R430" s="24" t="str">
        <x:f>IF(Q430&lt;&gt;"",Q430,O430)</x:f>
        <x:v>2</x:v>
      </x:c>
      <x:c r="S430" s="29" t="str"/>
    </x:row>
    <x:row r="431" ht="54" customHeight="1">
      <x:c r="A431" s="17" t="str">
        <x:v>csq022-r10</x:v>
      </x:c>
      <x:c r="B431" s="17" t="str">
        <x:v>csq022</x:v>
      </x:c>
      <x:c r="C431" s="17" t="str">
        <x:v>security_and_privacy</x:v>
      </x:c>
      <x:c r="D431" s="17" t="str">
        <x:v>federated_learning_security</x:v>
      </x:c>
      <x:c r="E431" s="27" t="str">
        <x:v>What security and privacy attacks against federated learning have been demonstrated, and which proposed defenses remain limited under adaptive attackers?</x:v>
      </x:c>
      <x:c r="F431" s="22" t="n">
        <x:v>10</x:v>
      </x:c>
      <x:c r="G431" s="17" t="str">
        <x:v>arXiv:2505.10297</x:v>
      </x:c>
      <x:c r="H431" s="27" t="str">
        <x:v>Defending the Edge: Representative-Attention Defense against Backdoor Attacks in Federated Learning</x:v>
      </x:c>
      <x:c r="I431" s="17" t="str">
        <x:v>Chibueze Peace Obioma; Youcheng Sun; Mustafa A. Mustafa</x:v>
      </x:c>
      <x:c r="J431" s="22" t="n">
        <x:v>2025</x:v>
      </x:c>
      <x:c r="K431" s="27" t="str">
        <x:v>Federated learning (FL) remains highly vulnerable to adaptive backdoor attacks that preserve stealth by closely imitating benign update statistics. Existing defenses predominantly rely on anomaly detection in parameter or gradient space, overlooking behavioral constraints that backdoor attacks must satisfy to ensure reliable trigger activation. These anomaly-centric methods fail against adaptive attacks that normalize update magnitudes and mimic benign statistical patterns while preserving backdoor functionality, creating a fundamental detection gap. To address this limitation, this paper introduces FeRA (Federated Representative Attention) -- a novel attention-driven defense that shifts the detection paradigm from anomaly-centric to consistency-centric analysis. FeRA exploits the intrinsic need for backdoor persistence across training rounds, identifying malicious clients through suppressed representation-space variance, an orthogonal property to traditional magnitude-based statistics. The framework conducts multi-dimensional behavioral analysis combining spectral and spatial attention, directional alignment, mutual similarity, and norm inflation across two complementary detection mechanisms: consistency analysis and norm-inflation detection. Through this mechanism, FeRA isolates malicious clients that exhibit low-variance consistency or magnitude amplification. Extensive evaluation across six datasets, nine attacks, and three model architectures under both Independent and Identically Distributed (IID) and non-IID settings confirm FeRA achieves superior backdoor mitigation. Under different non-IID settings, FeRA achieved the lowest average Backdoor Accuracy (BA), about 1.67% while maintaining high clean accuracy compared to other state-of-the-art defenses. The code is available at https://github.com/Peatech/FeRA_defense.git.</x:v>
      </x:c>
      <x:c r="L431" s="17" t="str">
        <x:v>http://arxiv.org/abs/2505.10297v3</x:v>
      </x:c>
      <x:c r="M431" s="23" t="n">
        <x:v>0.015873015873015872</x:v>
      </x:c>
      <x:c r="N431" s="17" t="str">
        <x:v>arxiv-paper-eval-20260727-105551-results.jsonl</x:v>
      </x:c>
      <x:c r="O431" s="24" t="str">
        <x:v>2</x:v>
      </x:c>
      <x:c r="P431" s="28" t="str">
        <x:v>明确指出既有防御对自适应后门失效并提出新方法。</x:v>
      </x:c>
      <x:c r="Q431" s="25" t="str"/>
      <x:c r="R431" s="24" t="str">
        <x:f>IF(Q431&lt;&gt;"",Q431,O431)</x:f>
        <x:v>2</x:v>
      </x:c>
      <x:c r="S431" s="29" t="str"/>
    </x:row>
    <x:row r="432" ht="54" customHeight="1">
      <x:c r="A432" s="17" t="str">
        <x:v>csq022-r11</x:v>
      </x:c>
      <x:c r="B432" s="17" t="str">
        <x:v>csq022</x:v>
      </x:c>
      <x:c r="C432" s="17" t="str">
        <x:v>security_and_privacy</x:v>
      </x:c>
      <x:c r="D432" s="17" t="str">
        <x:v>federated_learning_security</x:v>
      </x:c>
      <x:c r="E432" s="27" t="str">
        <x:v>What security and privacy attacks against federated learning have been demonstrated, and which proposed defenses remain limited under adaptive attackers?</x:v>
      </x:c>
      <x:c r="F432" s="22" t="n">
        <x:v>11</x:v>
      </x:c>
      <x:c r="G432" s="17" t="str">
        <x:v>arXiv:2509.08089</x:v>
      </x:c>
      <x:c r="H432" s="27" t="str">
        <x:v>Hammer and Anvil: Toward a Theory of Backdoors in Federated Learning</x:v>
      </x:c>
      <x:c r="I432" s="17" t="str">
        <x:v>Lucas Fenaux; Zheng Wang; Jacob Yan; Nathan Chung; Florian Kerschbaum</x:v>
      </x:c>
      <x:c r="J432" s="22" t="n">
        <x:v>2025</x:v>
      </x:c>
      <x:c r="K432" s="27" t="str">
        <x:v>Federated Learning (FL) enables distributed model training but is vulnerable to backdoor attacks, where malicious clients embed attacker-controlled behaviors into the global model. Existing defenses fail against adaptive adversaries. In this paper, we present "Hammer and Anvil", a principled theoretical framework that categorizes backdoors by the deviation, $δ$, of their updates to the mean of the updates. We identify two fundamental defense types: "Type 1 (The Anvil)", comprising outlier detection and robust aggregation effective against large-deviation attacks, and "Type 2 (The Hammer)", consisting of removal-based defenses effective against small-deviation attacks. We demonstrate that defenses of a single type and non-principled combined defenses inherently leave an exploitable gap for adaptive attackers. To bridge this gap, we propose the principled combination of Type 1 and Type 2 defenses. We evaluate our framework against a new, worst-case, full-information adaptive adversary that knows the benign updates, the aggregation algorithm, and its parameters, and yet this adversary fails against our combined defenses. Our empirical evaluation across various datasets and settings shows that single-typed and non-principled combined defenses are easily broken, often by a single malicious client. In contrast, our best combined defense variants, $HA_{Flame}^{CSFT}$, $HA_{Krum}^{CSFT}$, and $HA_{Multi-Metrics}^{CSFT}$, remain undefeated even in the most adversarial settings. Our results provide a principled approach for research on backdoors in federated learning.</x:v>
      </x:c>
      <x:c r="L432" s="17" t="str">
        <x:v>http://arxiv.org/abs/2509.08089v2</x:v>
      </x:c>
      <x:c r="M432" s="23" t="n">
        <x:v>0.015625</x:v>
      </x:c>
      <x:c r="N432" s="17" t="str">
        <x:v>arxiv-paper-eval-20260727-105551-results.jsonl</x:v>
      </x:c>
      <x:c r="O432" s="24" t="str">
        <x:v>2</x:v>
      </x:c>
      <x:c r="P432" s="28" t="str">
        <x:v>直接刻画自适应后门对单类防御的可利用缺口。</x:v>
      </x:c>
      <x:c r="Q432" s="25" t="str"/>
      <x:c r="R432" s="24" t="str">
        <x:f>IF(Q432&lt;&gt;"",Q432,O432)</x:f>
        <x:v>2</x:v>
      </x:c>
      <x:c r="S432" s="29" t="str"/>
    </x:row>
    <x:row r="433" ht="54" customHeight="1">
      <x:c r="A433" s="17" t="str">
        <x:v>csq022-r12</x:v>
      </x:c>
      <x:c r="B433" s="17" t="str">
        <x:v>csq022</x:v>
      </x:c>
      <x:c r="C433" s="17" t="str">
        <x:v>security_and_privacy</x:v>
      </x:c>
      <x:c r="D433" s="17" t="str">
        <x:v>federated_learning_security</x:v>
      </x:c>
      <x:c r="E433" s="27" t="str">
        <x:v>What security and privacy attacks against federated learning have been demonstrated, and which proposed defenses remain limited under adaptive attackers?</x:v>
      </x:c>
      <x:c r="F433" s="22" t="n">
        <x:v>12</x:v>
      </x:c>
      <x:c r="G433" s="17" t="str">
        <x:v>arXiv:2504.03077</x:v>
      </x:c>
      <x:c r="H433" s="27" t="str">
        <x:v>Integrating Identity-Based Identification against Adaptive Adversaries in Federated Learning</x:v>
      </x:c>
      <x:c r="I433" s="17" t="str">
        <x:v>Jakub Kacper Szelag; Ji-Jian Chin; Lauren Ansell; Sook-Chin Yip</x:v>
      </x:c>
      <x:c r="J433" s="22" t="n">
        <x:v>2025</x:v>
      </x:c>
      <x:c r="K433" s="27" t="str">
        <x:v>Federated Learning (FL) has recently emerged as a promising paradigm for privacy-preserving, distributed machine learning. However, FL systems face significant security threats, particularly from adaptive adversaries capable of modifying their attack strategies to evade detection. One such threat is the presence of Reconnecting Malicious Clients (RMCs), which exploit FLs open connectivity by reconnecting to the system with modified attack strategies. To address this vulnerability, we propose integration of Identity-Based Identification (IBI) as a security measure within FL environments. By leveraging IBI, we enable FL systems to authenticate clients based on cryptographic identity schemes, effectively preventing previously disconnected malicious clients from re-entering the system. Our approach is implemented using the TNC-IBI (Tan-Ng-Chin) scheme over elliptic curves to ensure computational efficiency, particularly in resource-constrained environments like Internet of Things (IoT). Experimental results demonstrate that integrating IBI with secure aggregation algorithms, such as Krum and Trimmed Mean, significantly improves FL robustness by mitigating the impact of RMCs. We further discuss the broader implications of IBI in FL security, highlighting research directions for adaptive adversary detection, reputation-based mechanisms, and the applicability of identity-based cryptographic frameworks in decentralized FL architectures. Our findings advocate for a holistic approach to FL security, emphasizing the necessity of proactive defence strategies against evolving adaptive adversarial threats.</x:v>
      </x:c>
      <x:c r="L433" s="17" t="str">
        <x:v>http://arxiv.org/abs/2504.03077v1</x:v>
      </x:c>
      <x:c r="M433" s="23" t="n">
        <x:v>0.015384615384615385</x:v>
      </x:c>
      <x:c r="N433" s="17" t="str">
        <x:v>arxiv-paper-eval-20260727-105551-results.jsonl</x:v>
      </x:c>
      <x:c r="O433" s="24" t="str">
        <x:v>2</x:v>
      </x:c>
      <x:c r="P433" s="28" t="str">
        <x:v>直接研究重连自适应恶意客户端及身份防御。</x:v>
      </x:c>
      <x:c r="Q433" s="25" t="str"/>
      <x:c r="R433" s="24" t="str">
        <x:f>IF(Q433&lt;&gt;"",Q433,O433)</x:f>
        <x:v>2</x:v>
      </x:c>
      <x:c r="S433" s="29" t="str"/>
    </x:row>
    <x:row r="434" ht="54" customHeight="1">
      <x:c r="A434" s="17" t="str">
        <x:v>csq022-r13</x:v>
      </x:c>
      <x:c r="B434" s="17" t="str">
        <x:v>csq022</x:v>
      </x:c>
      <x:c r="C434" s="17" t="str">
        <x:v>security_and_privacy</x:v>
      </x:c>
      <x:c r="D434" s="17" t="str">
        <x:v>federated_learning_security</x:v>
      </x:c>
      <x:c r="E434" s="27" t="str">
        <x:v>What security and privacy attacks against federated learning have been demonstrated, and which proposed defenses remain limited under adaptive attackers?</x:v>
      </x:c>
      <x:c r="F434" s="22" t="n">
        <x:v>13</x:v>
      </x:c>
      <x:c r="G434" s="17" t="str">
        <x:v>arXiv:2209.05724</x:v>
      </x:c>
      <x:c r="H434" s="27" t="str">
        <x:v>Concealing Sensitive Samples against Gradient Leakage in Federated Learning</x:v>
      </x:c>
      <x:c r="I434" s="17" t="str">
        <x:v>Jing Wu; Munawar Hayat; Mingyi Zhou; Mehrtash Harandi</x:v>
      </x:c>
      <x:c r="J434" s="22" t="n">
        <x:v>2022</x:v>
      </x:c>
      <x:c r="K434" s="27" t="str">
        <x:v>Federated Learning (FL) is a distributed learning paradigm that enhances users privacy by eliminating the need for clients to share raw, private data with the server. Despite the success, recent studies expose the vulnerability of FL to model inversion attacks, where adversaries reconstruct users private data via eavesdropping on the shared gradient information. We hypothesize that a key factor in the success of such attacks is the low entanglement among gradients per data within the batch during stochastic optimization. This creates a vulnerability that an adversary can exploit to reconstruct the sensitive data. Building upon this insight, we present a simple, yet effective defense strategy that obfuscates the gradients of the sensitive data with concealed samples. To achieve this, we propose synthesizing concealed samples to mimic the sensitive data at the gradient level while ensuring their visual dissimilarity from the actual sensitive data. Compared to the previous art, our empirical evaluations suggest that the proposed technique provides the strongest protection while simultaneously maintaining the FL performance.</x:v>
      </x:c>
      <x:c r="L434" s="17" t="str">
        <x:v>http://arxiv.org/abs/2209.05724v2</x:v>
      </x:c>
      <x:c r="M434" s="23" t="n">
        <x:v>0.015384615384615385</x:v>
      </x:c>
      <x:c r="N434" s="17" t="str">
        <x:v>arxiv-paper-eval-20260727-105551-results.jsonl</x:v>
      </x:c>
      <x:c r="O434" s="24" t="str">
        <x:v>2</x:v>
      </x:c>
      <x:c r="P434" s="28" t="str">
        <x:v>研究模型反演攻击并提出梯度混淆防御。</x:v>
      </x:c>
      <x:c r="Q434" s="25" t="str"/>
      <x:c r="R434" s="24" t="str">
        <x:f>IF(Q434&lt;&gt;"",Q434,O434)</x:f>
        <x:v>2</x:v>
      </x:c>
      <x:c r="S434" s="29" t="str"/>
    </x:row>
    <x:row r="435" ht="54" customHeight="1">
      <x:c r="A435" s="17" t="str">
        <x:v>csq022-r14</x:v>
      </x:c>
      <x:c r="B435" s="17" t="str">
        <x:v>csq022</x:v>
      </x:c>
      <x:c r="C435" s="17" t="str">
        <x:v>security_and_privacy</x:v>
      </x:c>
      <x:c r="D435" s="17" t="str">
        <x:v>federated_learning_security</x:v>
      </x:c>
      <x:c r="E435" s="27" t="str">
        <x:v>What security and privacy attacks against federated learning have been demonstrated, and which proposed defenses remain limited under adaptive attackers?</x:v>
      </x:c>
      <x:c r="F435" s="22" t="n">
        <x:v>14</x:v>
      </x:c>
      <x:c r="G435" s="17" t="str">
        <x:v>arXiv:2011.10464</x:v>
      </x:c>
      <x:c r="H435" s="27" t="str">
        <x:v>A Reputation Mechanism Is All You Need: Collaborative Fairness and Adversarial Robustness in Federated Learning</x:v>
      </x:c>
      <x:c r="I435" s="17" t="str">
        <x:v>Xinyi Xu; Lingjuan Lyu</x:v>
      </x:c>
      <x:c r="J435" s="22" t="n">
        <x:v>2020</x:v>
      </x:c>
      <x:c r="K435" s="27" t="str">
        <x:v>Federated learning (FL) is an emerging practical framework for effective and scalable machine learning among multiple participants, such as end users, organizations and companies. However, most existing FL or distributed learning frameworks have not well addressed two important issues together: collaborative fairness and adversarial robustness (e.g. free-riders and malicious participants). In conventional FL, all participants receive the global model (equal rewards), which might be unfair to the high-contributing participants. Furthermore, due to the lack of a safeguard mechanism, free-riders or malicious adversaries could game the system to access the global model for free or to sabotage it. In this paper, we propose a novel Robust and Fair Federated Learning (RFFL) framework to achieve collaborative fairness and adversarial robustness simultaneously via a reputation mechanism. RFFL maintains a reputation for each participant by examining their contributions via their uploaded gradients (using vector similarity) and thus identifies non-contributing or malicious participants to be removed. Our approach differentiates itself by not requiring any auxiliary/validation dataset. Extensive experiments on benchmark datasets show that RFFL can achieve high fairness and is very robust to different types of adversaries while achieving competitive predictive accuracy.</x:v>
      </x:c>
      <x:c r="L435" s="17" t="str">
        <x:v>http://arxiv.org/abs/2011.10464v2</x:v>
      </x:c>
      <x:c r="M435" s="23" t="n">
        <x:v>0.015384615384615385</x:v>
      </x:c>
      <x:c r="N435" s="17" t="str">
        <x:v>arxiv-paper-eval-20260727-105551-results.jsonl</x:v>
      </x:c>
      <x:c r="O435" s="24" t="str">
        <x:v>2</x:v>
      </x:c>
      <x:c r="P435" s="28" t="str">
        <x:v>研究恶意参与者与鲁棒聚合防御。</x:v>
      </x:c>
      <x:c r="Q435" s="25" t="str"/>
      <x:c r="R435" s="24" t="str">
        <x:f>IF(Q435&lt;&gt;"",Q435,O435)</x:f>
        <x:v>2</x:v>
      </x:c>
      <x:c r="S435" s="29" t="str"/>
    </x:row>
    <x:row r="436" ht="54" customHeight="1">
      <x:c r="A436" s="17" t="str">
        <x:v>csq022-r15</x:v>
      </x:c>
      <x:c r="B436" s="17" t="str">
        <x:v>csq022</x:v>
      </x:c>
      <x:c r="C436" s="17" t="str">
        <x:v>security_and_privacy</x:v>
      </x:c>
      <x:c r="D436" s="17" t="str">
        <x:v>federated_learning_security</x:v>
      </x:c>
      <x:c r="E436" s="27" t="str">
        <x:v>What security and privacy attacks against federated learning have been demonstrated, and which proposed defenses remain limited under adaptive attackers?</x:v>
      </x:c>
      <x:c r="F436" s="22" t="n">
        <x:v>15</x:v>
      </x:c>
      <x:c r="G436" s="17" t="str">
        <x:v>arXiv:2502.05041</x:v>
      </x:c>
      <x:c r="H436" s="27" t="str">
        <x:v>Federated Learning for Anomaly Detection in Energy Consumption Data: Assessing the Vulnerability to Adversarial Attacks</x:v>
      </x:c>
      <x:c r="I436" s="17" t="str">
        <x:v>Yohannis Kifle Telila; Damitha Senevirathne; Dumindu Tissera; Apurva Narayan; Miriam A. M. Capretz; Katarina Grolinger</x:v>
      </x:c>
      <x:c r="J436" s="22" t="n">
        <x:v>2025</x:v>
      </x:c>
      <x:c r="K436" s="27" t="str">
        <x:v>Anomaly detection is crucial in the energy sector to identify irregular patterns indicating equipment failures, energy theft, or other issues. Machine learning techniques for anomaly detection have achieved great success, but are typically centralized, involving sharing local data with a central server which raises privacy and security concerns. Federated Learning (FL) has been gaining popularity as it enables distributed learning without sharing local data. However, FL depends on neural networks, which are vulnerable to adversarial attacks that manipulate data, leading models to make erroneous predictions. While adversarial attacks have been explored in the image domain, they remain largely unexplored in time series problems, especially in the energy domain. Moreover, the effect of adversarial attacks in the FL setting is also mostly unknown. This paper assesses the vulnerability of FL-based anomaly detection in energy data to adversarial attacks. Specifically, two state-of-the-art models, Long Short Term Memory (LSTM) and Transformers, are used to detect anomalies in an FL setting, and two white-box attack methods, Fast Gradient Sign Method (FGSM) and Projected Gradient Descent (PGD), are employed to perturb the data. The results show that FL is more sensitive to PGD attacks than to FGSM attacks, attributed to PGD's iterative nature, resulting in an accuracy drop of over 10% even with naive, weaker attacks. Moreover, FL is more affected by these attacks than centralized learning, highlighting the need for defense mechanisms in FL.</x:v>
      </x:c>
      <x:c r="L436" s="17" t="str">
        <x:v>http://arxiv.org/abs/2502.05041v1</x:v>
      </x:c>
      <x:c r="M436" s="23" t="n">
        <x:v>0.015151515151515152</x:v>
      </x:c>
      <x:c r="N436" s="17" t="str">
        <x:v>arxiv-paper-eval-20260727-105551-results.jsonl</x:v>
      </x:c>
      <x:c r="O436" s="24" t="str">
        <x:v>2</x:v>
      </x:c>
      <x:c r="P436" s="28" t="str">
        <x:v>实证联邦异常检测遭FGSM和PGD攻击。</x:v>
      </x:c>
      <x:c r="Q436" s="25" t="str"/>
      <x:c r="R436" s="24" t="str">
        <x:f>IF(Q436&lt;&gt;"",Q436,O436)</x:f>
        <x:v>2</x:v>
      </x:c>
      <x:c r="S436" s="29" t="str"/>
    </x:row>
    <x:row r="437" ht="54" customHeight="1">
      <x:c r="A437" s="17" t="str">
        <x:v>csq022-r16</x:v>
      </x:c>
      <x:c r="B437" s="17" t="str">
        <x:v>csq022</x:v>
      </x:c>
      <x:c r="C437" s="17" t="str">
        <x:v>security_and_privacy</x:v>
      </x:c>
      <x:c r="D437" s="17" t="str">
        <x:v>federated_learning_security</x:v>
      </x:c>
      <x:c r="E437" s="27" t="str">
        <x:v>What security and privacy attacks against federated learning have been demonstrated, and which proposed defenses remain limited under adaptive attackers?</x:v>
      </x:c>
      <x:c r="F437" s="22" t="n">
        <x:v>16</x:v>
      </x:c>
      <x:c r="G437" s="17" t="str">
        <x:v>arXiv:2508.12978</x:v>
      </x:c>
      <x:c r="H437" s="27" t="str">
        <x:v>Beyond Trade-offs: A Unified Framework for Privacy, Robustness, and Communication Efficiency in Federated Learning</x:v>
      </x:c>
      <x:c r="I437" s="17" t="str">
        <x:v>Yue Xia; Tayyebeh Jahani-Nezhad; Rawad Bitar</x:v>
      </x:c>
      <x:c r="J437" s="22" t="n">
        <x:v>2025</x:v>
      </x:c>
      <x:c r="K437" s="27" t="str">
        <x:v>We propose Fed-DPRoC, a novel federated learning framework designed to jointly provide differential privacy (DP), Byzantine robustness, and communication efficiency. Central to our approach is the concept of robust-compatible compression, which allows reducing the bi-directional communication overhead without undermining the robustness of the aggregation. We instantiate our framework as RobAJoL, which integrates the Johnson-Lindenstrauss (JL)-based compression mechanism with robust averaging for robustness. Our theoretical analysis establishes the compatibility of JL transform with robust averaging, ensuring that RobAJoL maintains robustness guarantees, satisfies DP, and substantially reduces communication overhead. We further present simulation results on CIFAR-10, Fashion MNIST, and FEMNIST, validating our theoretical claims. We compare RobAJoL with a state-of-the-art communication-efficient and robust FL scheme augmented with DP for a fair comparison, demonstrating that RobAJoL outperforms existing methods in terms of robustness and utility under different Byzantine attacks.</x:v>
      </x:c>
      <x:c r="L437" s="17" t="str">
        <x:v>http://arxiv.org/abs/2508.12978v2</x:v>
      </x:c>
      <x:c r="M437" s="23" t="n">
        <x:v>0.015151515151515152</x:v>
      </x:c>
      <x:c r="N437" s="17" t="str">
        <x:v>arxiv-paper-eval-20260727-105551-results.jsonl</x:v>
      </x:c>
      <x:c r="O437" s="24" t="str">
        <x:v>2</x:v>
      </x:c>
      <x:c r="P437" s="28" t="str">
        <x:v>提出兼顾隐私与拜占庭鲁棒性的联邦防御。</x:v>
      </x:c>
      <x:c r="Q437" s="25" t="str"/>
      <x:c r="R437" s="24" t="str">
        <x:f>IF(Q437&lt;&gt;"",Q437,O437)</x:f>
        <x:v>2</x:v>
      </x:c>
      <x:c r="S437" s="29" t="str"/>
    </x:row>
    <x:row r="438" ht="54" customHeight="1">
      <x:c r="A438" s="17" t="str">
        <x:v>csq022-r17</x:v>
      </x:c>
      <x:c r="B438" s="17" t="str">
        <x:v>csq022</x:v>
      </x:c>
      <x:c r="C438" s="17" t="str">
        <x:v>security_and_privacy</x:v>
      </x:c>
      <x:c r="D438" s="17" t="str">
        <x:v>federated_learning_security</x:v>
      </x:c>
      <x:c r="E438" s="27" t="str">
        <x:v>What security and privacy attacks against federated learning have been demonstrated, and which proposed defenses remain limited under adaptive attackers?</x:v>
      </x:c>
      <x:c r="F438" s="22" t="n">
        <x:v>17</x:v>
      </x:c>
      <x:c r="G438" s="17" t="str">
        <x:v>arXiv:2306.03600</x:v>
      </x:c>
      <x:c r="H438" s="27" t="str">
        <x:v>Avoid Adversarial Adaption in Federated Learning by Multi-Metric Investigations</x:v>
      </x:c>
      <x:c r="I438" s="17" t="str">
        <x:v>Torsten Krauß; Alexandra Dmitrienko</x:v>
      </x:c>
      <x:c r="J438" s="22" t="n">
        <x:v>2023</x:v>
      </x:c>
      <x:c r="K438" s="27" t="str">
        <x:v>Federated Learning (FL) facilitates decentralized machine learning model training, preserving data privacy, lowering communication costs, and boosting model performance through diversified data sources. Yet, FL faces vulnerabilities such as poisoning attacks, undermining model integrity with both untargeted performance degradation and targeted backdoor attacks. Preventing backdoors proves especially challenging due to their stealthy nature. Prominent mitigation techniques against poisoning attacks rely on monitoring certain metrics and filtering malicious model updates. While shown effective in evaluations, we argue that previous works didn't consider realistic real-world adversaries and data distributions. We define a new notion of strong adaptive adversaries, capable of adapting to multiple objectives simultaneously. Through extensive empirical tests, we show that existing defense methods can be easily circumvented in this adversary model. We also demonstrate, that existing defenses have limited effectiveness when no assumptions are made about underlying data distributions. We introduce Metric-Cascades (MESAS), a novel defense method for more realistic scenarios and adversary models. MESAS employs multiple detection metrics simultaneously to identify poisoned model updates, creating a complex multi-objective optimization problem for adaptive attackers. In our extensive evaluation featuring nine backdoors and three datasets, MESAS consistently detects even strong adaptive attackers. Furthermore, MESAS outperforms existing defenses in distinguishing backdoors from data distribution-related distortions within and across clients. MESAS is the first defense robust against strong adaptive adversaries, effective in real-world data scenarios, with an average overhead of just 24.37 seconds.</x:v>
      </x:c>
      <x:c r="L438" s="17" t="str">
        <x:v>http://arxiv.org/abs/2306.03600v2</x:v>
      </x:c>
      <x:c r="M438" s="23" t="n">
        <x:v>0.015151515151515152</x:v>
      </x:c>
      <x:c r="N438" s="17" t="str">
        <x:v>arxiv-paper-eval-20260727-105551-results.jsonl</x:v>
      </x:c>
      <x:c r="O438" s="24" t="str">
        <x:v>2</x:v>
      </x:c>
      <x:c r="P438" s="28" t="str">
        <x:v>直接展示现有防御可被强自适应攻击绕过。</x:v>
      </x:c>
      <x:c r="Q438" s="25" t="str"/>
      <x:c r="R438" s="24" t="str">
        <x:f>IF(Q438&lt;&gt;"",Q438,O438)</x:f>
        <x:v>2</x:v>
      </x:c>
      <x:c r="S438" s="29" t="str"/>
    </x:row>
    <x:row r="439" ht="54" customHeight="1">
      <x:c r="A439" s="17" t="str">
        <x:v>csq022-r18</x:v>
      </x:c>
      <x:c r="B439" s="17" t="str">
        <x:v>csq022</x:v>
      </x:c>
      <x:c r="C439" s="17" t="str">
        <x:v>security_and_privacy</x:v>
      </x:c>
      <x:c r="D439" s="17" t="str">
        <x:v>federated_learning_security</x:v>
      </x:c>
      <x:c r="E439" s="27" t="str">
        <x:v>What security and privacy attacks against federated learning have been demonstrated, and which proposed defenses remain limited under adaptive attackers?</x:v>
      </x:c>
      <x:c r="F439" s="22" t="n">
        <x:v>18</x:v>
      </x:c>
      <x:c r="G439" s="17" t="str">
        <x:v>arXiv:2508.12672</x:v>
      </x:c>
      <x:c r="H439" s="27" t="str">
        <x:v>Robust Federated Learning under Adversarial Attacks via Loss-Based Client Clustering</x:v>
      </x:c>
      <x:c r="I439" s="17" t="str">
        <x:v>Emmanouil Kritharakis; Dusan Jakovetic; Antonios Makris; Konstantinos Tserpes</x:v>
      </x:c>
      <x:c r="J439" s="22" t="n">
        <x:v>2025</x:v>
      </x:c>
      <x:c r="K439" s="27" t="str">
        <x:v>Federated Learning (FL) enables collaborative model training across multiple clients without sharing private data. We consider FL scenarios wherein FL clients are subject to adversarial (Byzantine) attacks, while the FL server is trusted (honest) and has a trustworthy side dataset. This may correspond to, e.g., cases where the server possesses trusted data prior to federation, or to the presence of a trusted client that temporarily assumes the server role. Our approach requires only two honest participants, i.e., the server and one client, to function effectively, without prior knowledge of the number of malicious clients. Theoretical analysis demonstrates bounded optimality gaps even under strong Byzantine attacks. Experimental results show that our algorithm significantly outperforms standard and robust FL baselines such as Mean, Trimmed Mean, Median, Krum, and Multi-Krum under various attack strategies including label flipping, sign flipping, and Gaussian noise addition across MNIST, FMNIST, and CIFAR-10 benchmarks using the Flower framework.</x:v>
      </x:c>
      <x:c r="L439" s="17" t="str">
        <x:v>http://arxiv.org/abs/2508.12672v4</x:v>
      </x:c>
      <x:c r="M439" s="23" t="n">
        <x:v>0.014925373134328358</x:v>
      </x:c>
      <x:c r="N439" s="17" t="str">
        <x:v>arxiv-paper-eval-20260727-105551-results.jsonl</x:v>
      </x:c>
      <x:c r="O439" s="24" t="str">
        <x:v>2</x:v>
      </x:c>
      <x:c r="P439" s="28" t="str">
        <x:v>评测多种拜占庭攻击与鲁棒聚合防御。</x:v>
      </x:c>
      <x:c r="Q439" s="25" t="str"/>
      <x:c r="R439" s="24" t="str">
        <x:f>IF(Q439&lt;&gt;"",Q439,O439)</x:f>
        <x:v>2</x:v>
      </x:c>
      <x:c r="S439" s="29" t="str"/>
    </x:row>
    <x:row r="440" ht="54" customHeight="1">
      <x:c r="A440" s="17" t="str">
        <x:v>csq022-r19</x:v>
      </x:c>
      <x:c r="B440" s="17" t="str">
        <x:v>csq022</x:v>
      </x:c>
      <x:c r="C440" s="17" t="str">
        <x:v>security_and_privacy</x:v>
      </x:c>
      <x:c r="D440" s="17" t="str">
        <x:v>federated_learning_security</x:v>
      </x:c>
      <x:c r="E440" s="27" t="str">
        <x:v>What security and privacy attacks against federated learning have been demonstrated, and which proposed defenses remain limited under adaptive attackers?</x:v>
      </x:c>
      <x:c r="F440" s="22" t="n">
        <x:v>19</x:v>
      </x:c>
      <x:c r="G440" s="17" t="str">
        <x:v>arXiv:2410.17431</x:v>
      </x:c>
      <x:c r="H440" s="27" t="str">
        <x:v>Meta Stackelberg Game: Robust Federated Learning against Adaptive and Mixed Poisoning Attacks</x:v>
      </x:c>
      <x:c r="I440" s="17" t="str">
        <x:v>Tao Li; Henger Li; Yunian Pan; Tianyi Xu; Zizhan Zheng; Quanyan Zhu</x:v>
      </x:c>
      <x:c r="J440" s="22" t="n">
        <x:v>2024</x:v>
      </x:c>
      <x:c r="K440" s="27" t="str">
        <x:v>Federated learning (FL) is susceptible to a range of security threats. Although various defense mechanisms have been proposed, they are typically non-adaptive and tailored to specific types of attacks, leaving them insufficient in the face of multiple uncertain, unknown, and adaptive attacks employing diverse strategies. This work formulates adversarial federated learning under a mixture of various attacks as a Bayesian Stackelberg Markov game, based on which we propose the meta-Stackelberg defense composed of pre-training and online adaptation. {The gist is to simulate strong attack behavior using reinforcement learning (RL-based attacks) in pre-training and then design meta-RL-based defense to combat diverse and adaptive attacks.} We develop an efficient meta-learning approach to solve the game, leading to a robust and adaptive FL defense. Theoretically, our meta-learning algorithm, meta-Stackelberg learning, provably converges to the first-order $\varepsilon$-meta-equilibrium point in $O(\varepsilon^{-2})$ gradient iterations with $O(\varepsilon^{-4})$ samples per iteration. Experiments show that our meta-Stackelberg framework performs superbly against strong model poisoning and backdoor attacks of uncertain and unknown types.</x:v>
      </x:c>
      <x:c r="L440" s="17" t="str">
        <x:v>http://arxiv.org/abs/2410.17431v1</x:v>
      </x:c>
      <x:c r="M440" s="23" t="n">
        <x:v>0.014925373134328358</x:v>
      </x:c>
      <x:c r="N440" s="17" t="str">
        <x:v>arxiv-paper-eval-20260727-105551-results.jsonl</x:v>
      </x:c>
      <x:c r="O440" s="24" t="str">
        <x:v>2</x:v>
      </x:c>
      <x:c r="P440" s="28" t="str">
        <x:v>明确研究混合、自适应投毒攻击及适应性防御。</x:v>
      </x:c>
      <x:c r="Q440" s="25" t="str"/>
      <x:c r="R440" s="24" t="str">
        <x:f>IF(Q440&lt;&gt;"",Q440,O440)</x:f>
        <x:v>2</x:v>
      </x:c>
      <x:c r="S440" s="29" t="str"/>
    </x:row>
    <x:row r="441" ht="54" customHeight="1">
      <x:c r="A441" s="17" t="str">
        <x:v>csq022-r20</x:v>
      </x:c>
      <x:c r="B441" s="17" t="str">
        <x:v>csq022</x:v>
      </x:c>
      <x:c r="C441" s="17" t="str">
        <x:v>security_and_privacy</x:v>
      </x:c>
      <x:c r="D441" s="17" t="str">
        <x:v>federated_learning_security</x:v>
      </x:c>
      <x:c r="E441" s="27" t="str">
        <x:v>What security and privacy attacks against federated learning have been demonstrated, and which proposed defenses remain limited under adaptive attackers?</x:v>
      </x:c>
      <x:c r="F441" s="22" t="n">
        <x:v>20</x:v>
      </x:c>
      <x:c r="G441" s="17" t="str">
        <x:v>arXiv:2509.00027</x:v>
      </x:c>
      <x:c r="H441" s="27" t="str">
        <x:v>Mitigating Data Exfiltration Attacks through Layer-Wise Learning Rate Decay Fine-Tuning</x:v>
      </x:c>
      <x:c r="I441" s="17" t="str">
        <x:v>Elie Thellier; Huiyu Li; Nicholas Ayache; Hervé Delingette</x:v>
      </x:c>
      <x:c r="J441" s="22" t="n">
        <x:v>2025</x:v>
      </x:c>
      <x:c r="K441" s="27" t="str">
        <x:v>Data lakes enable the training of powerful machine learning models on sensitive, high-value medical datasets, but also introduce serious privacy risks due to potential leakage of protected health information. Recent studies show adversaries can exfiltrate training data by embedding latent representations into model parameters or inducing memorization via multi-task learning. These attacks disguise themselves as benign utility models while enabling reconstruction of high-fidelity medical images, posing severe privacy threats with legal and ethical implications. In this work, we propose a simple yet effective mitigation strategy that perturbs model parameters at export time through fine-tuning with a decaying layer-wise learning rate to corrupt embedded data without degrading task performance. Evaluations on DermaMNIST, ChestMNIST, and MIMIC-CXR show that our approach maintains utility task performance, effectively disrupts state-of-the-art exfiltration attacks, outperforms prior defenses, and renders exfiltrated data unusable for training. Ablations and discussions on adaptive attacks highlight challenges and future directions. Our findings offer a practical defense against data leakage in data lake-trained models and centralized federated learning.</x:v>
      </x:c>
      <x:c r="L441" s="17" t="str">
        <x:v>http://arxiv.org/abs/2509.00027v1</x:v>
      </x:c>
      <x:c r="M441" s="23" t="n">
        <x:v>0.014705882352941176</x:v>
      </x:c>
      <x:c r="N441" s="17" t="str">
        <x:v>arxiv-paper-eval-20260727-105551-results.jsonl</x:v>
      </x:c>
      <x:c r="O441" s="24" t="str">
        <x:v>1</x:v>
      </x:c>
      <x:c r="P441" s="28" t="str">
        <x:v>聚焦数据湖与集中式联邦场景的数据外泄，属相关但范围较偏。</x:v>
      </x:c>
      <x:c r="Q441" s="25" t="str"/>
      <x:c r="R441" s="24" t="str">
        <x:f>IF(Q441&lt;&gt;"",Q441,O441)</x:f>
        <x:v>1</x:v>
      </x:c>
      <x:c r="S441" s="29" t="str"/>
    </x:row>
    <x:row r="442" ht="54" customHeight="1">
      <x:c r="A442" s="17" t="str">
        <x:v>csq023-r01</x:v>
      </x:c>
      <x:c r="B442" s="17" t="str">
        <x:v>csq023</x:v>
      </x:c>
      <x:c r="C442" s="17" t="str">
        <x:v>software_engineering</x:v>
      </x:c>
      <x:c r="D442" s="17" t="str">
        <x:v>automated_program_repair</x:v>
      </x:c>
      <x:c r="E442" s="27" t="str">
        <x:v>What are the main neural and large-language-model-based approaches to automated program repair, and how do they generate and validate patches?</x:v>
      </x:c>
      <x:c r="F442" s="22" t="n">
        <x:v>1</x:v>
      </x:c>
      <x:c r="G442" s="17" t="str">
        <x:v>arXiv:2404.15236</x:v>
      </x:c>
      <x:c r="H442" s="27" t="str">
        <x:v>Revisiting Unnaturalness for Automated Program Repair in the Era of Large Language Models</x:v>
      </x:c>
      <x:c r="I442" s="17" t="str">
        <x:v>Aidan Z. H. Yang; Sophia Kolak; Vincent J. Hellendoorn; Ruben Martins; Claire Le Goues</x:v>
      </x:c>
      <x:c r="J442" s="22" t="n">
        <x:v>2024</x:v>
      </x:c>
      <x:c r="K442" s="27" t="str">
        <x:v>Language models have improved by orders of magnitude with the recent emergence of Transformer-based Large Language Models (LLMs). LLMs have demonstrated their ability to generate natural code that is highly similar to code written by professional developers. One intermediate value an LLM can emit is entropy, which measures the naturalness of a token of code. We hypothesize that entropy can be used to improve the performance of Automated Program Repair (APR) tasks. While much progress has been made in Automated Program Repair (APR), fault localization techniques suffer from a lack of diversity in ranking scores, patch generation tools tend to be inefficient as all tests need to run before determining if a patch is likely to be correct, and patch ranking often suffers from the test-suite over-fitting problem. However, using an LLM directly for APR introduces concerns for training data leakage. In this work, we introduce a novel way of using the entropy of LLMs in combination with prior APR tools to improve all stages of APR. We show that entropy is highly complementary with prior fault localization tools. Our proposed re-ranking method achieves a 50% Top-5 score improvement over SBFL. We propose a patch-naturalness measurement, entropy-delta, to improve the efficiency of template-based repair techniques by ranking plausible patches before undergoing testing. When using entropy-delta for patch ranking and classification, our proposed method can rank correct patches more effectively than state-of-the-art machine learning tools with an 49% improvement in Top-1. Our work suggests that LLMs can be an effective addition to compliment prior APR tasks while minimizing both the test-suite overfitting problem and the LLM data leakage problem.</x:v>
      </x:c>
      <x:c r="L442" s="17" t="str">
        <x:v>http://arxiv.org/abs/2404.15236v1</x:v>
      </x:c>
      <x:c r="M442" s="23" t="n">
        <x:v>0.047643442622950824</x:v>
      </x:c>
      <x:c r="N442" s="17" t="str">
        <x:v>arxiv-paper-eval-20260727-105551-results.jsonl</x:v>
      </x:c>
      <x:c r="O442" s="24" t="str">
        <x:v>2</x:v>
      </x:c>
      <x:c r="P442" s="28" t="str">
        <x:v>直接用LLM自然度辅助定位、补丁排序和验证。</x:v>
      </x:c>
      <x:c r="Q442" s="25" t="str"/>
      <x:c r="R442" s="24" t="str">
        <x:f>IF(Q442&lt;&gt;"",Q442,O442)</x:f>
        <x:v>2</x:v>
      </x:c>
      <x:c r="S442" s="29" t="str"/>
    </x:row>
    <x:row r="443" ht="54" customHeight="1">
      <x:c r="A443" s="17" t="str">
        <x:v>csq023-r02</x:v>
      </x:c>
      <x:c r="B443" s="17" t="str">
        <x:v>csq023</x:v>
      </x:c>
      <x:c r="C443" s="17" t="str">
        <x:v>software_engineering</x:v>
      </x:c>
      <x:c r="D443" s="17" t="str">
        <x:v>automated_program_repair</x:v>
      </x:c>
      <x:c r="E443" s="27" t="str">
        <x:v>What are the main neural and large-language-model-based approaches to automated program repair, and how do they generate and validate patches?</x:v>
      </x:c>
      <x:c r="F443" s="22" t="n">
        <x:v>2</x:v>
      </x:c>
      <x:c r="G443" s="17" t="str">
        <x:v>arXiv:2411.07586</x:v>
      </x:c>
      <x:c r="H443" s="27" t="str">
        <x:v>A Comprehensive Survey of AI-Driven Advancements and Techniques in Automated Program Repair and Code Generation</x:v>
      </x:c>
      <x:c r="I443" s="17" t="str">
        <x:v>Avinash Anand; Akshit Gupta; Nishchay Yadav; Shaurya Bajaj</x:v>
      </x:c>
      <x:c r="J443" s="22" t="n">
        <x:v>2024</x:v>
      </x:c>
      <x:c r="K443" s="27" t="str">
        <x:v>Bug fixing and code generation have been core research topics in software development for many years. The recent explosive growth in Large Language Models has completely transformed these spaces, putting in reach incredibly powerful tools for both. In this survey, 27 recent papers have been reviewed and split into two groups: one dedicated to Automated Program Repair (APR) and LLM integration and the other to code generation using LLMs. The first group consists of new methods for bug detection and repair, which include locating semantic errors, security vulnerabilities, and runtime failure bugs. The place of LLMs in reducing manual debugging efforts is emphasized in this work by APR toward context-aware fixes, with innovations that boost accuracy and efficiency in automatic debugging. The second group dwells on code generation, providing an overview of both general-purpose LLMs fine-tuned for programming and task-specific models. It also presents methods to improve code generation, such as identifier-aware training, fine-tuning at the instruction level, and incorporating semantic code structures. This survey work contrasts the methodologies in APR and code generation to identify trends such as using LLMs, feedback loops to enable iterative code improvement and open-source models. It also discusses the challenges of achieving functional correctness and security and outlines future directions for research in LLM-based software development.</x:v>
      </x:c>
      <x:c r="L443" s="17" t="str">
        <x:v>http://arxiv.org/abs/2411.07586v1</x:v>
      </x:c>
      <x:c r="M443" s="23" t="n">
        <x:v>0.03278688524590164</x:v>
      </x:c>
      <x:c r="N443" s="17" t="str">
        <x:v>arxiv-paper-eval-20260727-105551-results.jsonl</x:v>
      </x:c>
      <x:c r="O443" s="24" t="str">
        <x:v>2</x:v>
      </x:c>
      <x:c r="P443" s="28" t="str">
        <x:v>综述AI与LLM驱动程序修复方法及反馈验证。</x:v>
      </x:c>
      <x:c r="Q443" s="25" t="str"/>
      <x:c r="R443" s="24" t="str">
        <x:f>IF(Q443&lt;&gt;"",Q443,O443)</x:f>
        <x:v>2</x:v>
      </x:c>
      <x:c r="S443" s="29" t="str"/>
    </x:row>
    <x:row r="444" ht="54" customHeight="1">
      <x:c r="A444" s="17" t="str">
        <x:v>csq023-r03</x:v>
      </x:c>
      <x:c r="B444" s="17" t="str">
        <x:v>csq023</x:v>
      </x:c>
      <x:c r="C444" s="17" t="str">
        <x:v>software_engineering</x:v>
      </x:c>
      <x:c r="D444" s="17" t="str">
        <x:v>automated_program_repair</x:v>
      </x:c>
      <x:c r="E444" s="27" t="str">
        <x:v>What are the main neural and large-language-model-based approaches to automated program repair, and how do they generate and validate patches?</x:v>
      </x:c>
      <x:c r="F444" s="22" t="n">
        <x:v>3</x:v>
      </x:c>
      <x:c r="G444" s="17" t="str">
        <x:v>arXiv:2407.08958</x:v>
      </x:c>
      <x:c r="H444" s="27" t="str">
        <x:v>Towards Practical and Useful Automated Program Repair for Debugging</x:v>
      </x:c>
      <x:c r="I444" s="17" t="str">
        <x:v>Qi Xin; Haojun Wu; Steven P. Reiss; Jifeng Xuan</x:v>
      </x:c>
      <x:c r="J444" s="22" t="n">
        <x:v>2024</x:v>
      </x:c>
      <x:c r="K444" s="27" t="str">
        <x:v>Current automated program repair (APR) techniques are far from being practical and useful enough to be considered for realistic debugging. They rely on unrealistic assumptions including the requirement of a comprehensive suite of test cases as the correctness criterion and frequent program re-execution for patch validation; they are not fast; and their ability of repairing the commonly arising complex bugs by fixing multiple locations of the program is very limited. We hope to substantially improve APR's practicality, effectiveness, and usefulness to help people debug. Towards this goal, we envision PracAPR, an interactive repair system that works in an Integrated Development Environment (IDE) to provide effective repair suggestions for debugging. PracAPR does not require a test suite or program re-execution. It assumes that the developer uses an IDE debugger and the program has suspended at a location where a problem is observed. It interacts with the developer to obtain a problem specification. Based on the specification, it performs test-free, flow-analysis-based fault localization, patch generation that combines large language model-based local repair and tailored strategy-driven global repair, and program re-execution-free patch validation based on simulated trace comparison to suggest repairs. By having PracAPR, we hope to take a significant step towards making APR useful and an everyday part of debugging.</x:v>
      </x:c>
      <x:c r="L444" s="17" t="str">
        <x:v>http://arxiv.org/abs/2407.08958v1</x:v>
      </x:c>
      <x:c r="M444" s="23" t="n">
        <x:v>0.0304147465437788</x:v>
      </x:c>
      <x:c r="N444" s="17" t="str">
        <x:v>arxiv-paper-eval-20260727-105551-results.jsonl</x:v>
      </x:c>
      <x:c r="O444" s="24" t="str">
        <x:v>2</x:v>
      </x:c>
      <x:c r="P444" s="28" t="str">
        <x:v>提出结合LLM生成与无重执行验证的修复流程。</x:v>
      </x:c>
      <x:c r="Q444" s="25" t="str"/>
      <x:c r="R444" s="24" t="str">
        <x:f>IF(Q444&lt;&gt;"",Q444,O444)</x:f>
        <x:v>2</x:v>
      </x:c>
      <x:c r="S444" s="29" t="str"/>
    </x:row>
    <x:row r="445" ht="54" customHeight="1">
      <x:c r="A445" s="17" t="str">
        <x:v>csq023-r04</x:v>
      </x:c>
      <x:c r="B445" s="17" t="str">
        <x:v>csq023</x:v>
      </x:c>
      <x:c r="C445" s="17" t="str">
        <x:v>software_engineering</x:v>
      </x:c>
      <x:c r="D445" s="17" t="str">
        <x:v>automated_program_repair</x:v>
      </x:c>
      <x:c r="E445" s="27" t="str">
        <x:v>What are the main neural and large-language-model-based approaches to automated program repair, and how do they generate and validate patches?</x:v>
      </x:c>
      <x:c r="F445" s="22" t="n">
        <x:v>4</x:v>
      </x:c>
      <x:c r="G445" s="17" t="str">
        <x:v>arXiv:2301.13246</x:v>
      </x:c>
      <x:c r="H445" s="27" t="str">
        <x:v>Conversational Automated Program Repair</x:v>
      </x:c>
      <x:c r="I445" s="17" t="str">
        <x:v>Chunqiu Steven Xia; Lingming Zhang</x:v>
      </x:c>
      <x:c r="J445" s="22" t="n">
        <x:v>2023</x:v>
      </x:c>
      <x:c r="K445" s="27" t="str">
        <x:v>Automated Program Repair (APR) can help developers automatically generate patches for bugs. Due to the impressive performance obtained using Large Pre-Trained Language Models (LLMs) on many code related tasks, researchers have started to directly use LLMs for APR. However, prior approaches simply repeatedly sample the LLM given the same constructed input/prompt created from the original buggy code, which not only leads to generating the same incorrect patches repeatedly but also miss the critical information in testcases. To address these limitations, we propose conversational APR, a new paradigm for program repair that alternates between patch generation and validation in a conversational manner. In conversational APR, we iteratively build the input to the model by combining previously generated patches with validation feedback. As such, we leverage the long-term context window of LLMs to not only avoid generating previously incorrect patches but also incorporate validation feedback to help the model understand the semantic meaning of the program under test. We evaluate 10 different LLM including the newly developed ChatGPT model to demonstrate the improvement of conversational APR over the prior LLM for APR approach.</x:v>
      </x:c>
      <x:c r="L445" s="17" t="str">
        <x:v>http://arxiv.org/abs/2301.13246v1</x:v>
      </x:c>
      <x:c r="M445" s="23" t="n">
        <x:v>0.03036576949620428</x:v>
      </x:c>
      <x:c r="N445" s="17" t="str">
        <x:v>arxiv-paper-eval-20260727-105551-results.jsonl</x:v>
      </x:c>
      <x:c r="O445" s="24" t="str">
        <x:v>2</x:v>
      </x:c>
      <x:c r="P445" s="28" t="str">
        <x:v>直接以验证反馈迭代驱动LLM生成补丁。</x:v>
      </x:c>
      <x:c r="Q445" s="25" t="str"/>
      <x:c r="R445" s="24" t="str">
        <x:f>IF(Q445&lt;&gt;"",Q445,O445)</x:f>
        <x:v>2</x:v>
      </x:c>
      <x:c r="S445" s="29" t="str"/>
    </x:row>
    <x:row r="446" ht="54" customHeight="1">
      <x:c r="A446" s="17" t="str">
        <x:v>csq023-r05</x:v>
      </x:c>
      <x:c r="B446" s="17" t="str">
        <x:v>csq023</x:v>
      </x:c>
      <x:c r="C446" s="17" t="str">
        <x:v>software_engineering</x:v>
      </x:c>
      <x:c r="D446" s="17" t="str">
        <x:v>automated_program_repair</x:v>
      </x:c>
      <x:c r="E446" s="27" t="str">
        <x:v>What are the main neural and large-language-model-based approaches to automated program repair, and how do they generate and validate patches?</x:v>
      </x:c>
      <x:c r="F446" s="22" t="n">
        <x:v>5</x:v>
      </x:c>
      <x:c r="G446" s="17" t="str">
        <x:v>arXiv:2301.03270</x:v>
      </x:c>
      <x:c r="H446" s="27" t="str">
        <x:v>A Survey of Learning-based Automated Program Repair</x:v>
      </x:c>
      <x:c r="I446" s="17" t="str">
        <x:v>Quanjun Zhang; Chunrong Fang; Yuxiang Ma; Weisong Sun; Zhenyu Chen</x:v>
      </x:c>
      <x:c r="J446" s="22" t="n">
        <x:v>2023</x:v>
      </x:c>
      <x:c r="K446" s="27" t="str">
        <x:v>Automated program repair (APR) aims to fix software bugs automatically and plays a crucial role in software development and maintenance. With the recent advances in deep learning (DL), an increasing number of APR techniques have been proposed to leverage neural networks to learn bug-fixing patterns from massive open-source code repositories. Such learning-based techniques usually treat APR as a neural machine translation (NMT) task, where buggy code snippets (i.e., source language) are translated into fixed code snippets (i.e., target language) automatically. Benefiting from the powerful capability of DL to learn hidden relationships from previous bug-fixing datasets, learning-based APR techniques have achieved remarkable performance. In this paper, we provide a systematic survey to summarize the current state-of-the-art research in the learning-based APR community. We illustrate the general workflow of learning-based APR techniques and detail the crucial components, including fault localization, patch generation, patch ranking, patch validation, and patch correctness phases. We then discuss the widely-adopted datasets and evaluation metrics and outline existing empirical studies. We discuss several critical aspects of learning-based APR techniques, such as repair domains, industrial deployment, and the open science issue. We highlight several practical guidelines on applying DL techniques for future APR studies, such as exploring explainable patch generation and utilizing code features. Overall, our paper can help researchers gain a comprehensive understanding about the achievements of the existing learning-based APR techniques and promote the practical application of these techniques. Our artifacts are publicly available at \url{https://github.com/QuanjunZhang/AwesomeLearningAPR}.</x:v>
      </x:c>
      <x:c r="L446" s="17" t="str">
        <x:v>http://arxiv.org/abs/2301.03270v3</x:v>
      </x:c>
      <x:c r="M446" s="23" t="n">
        <x:v>0.03036576949620428</x:v>
      </x:c>
      <x:c r="N446" s="17" t="str">
        <x:v>arxiv-paper-eval-20260727-105551-results.jsonl</x:v>
      </x:c>
      <x:c r="O446" s="24" t="str">
        <x:v>2</x:v>
      </x:c>
      <x:c r="P446" s="28" t="str">
        <x:v>系统综述神经程序修复的生成、排序与验证流程。</x:v>
      </x:c>
      <x:c r="Q446" s="25" t="str"/>
      <x:c r="R446" s="24" t="str">
        <x:f>IF(Q446&lt;&gt;"",Q446,O446)</x:f>
        <x:v>2</x:v>
      </x:c>
      <x:c r="S446" s="29" t="str"/>
    </x:row>
    <x:row r="447" ht="54" customHeight="1">
      <x:c r="A447" s="17" t="str">
        <x:v>csq023-r06</x:v>
      </x:c>
      <x:c r="B447" s="17" t="str">
        <x:v>csq023</x:v>
      </x:c>
      <x:c r="C447" s="17" t="str">
        <x:v>software_engineering</x:v>
      </x:c>
      <x:c r="D447" s="17" t="str">
        <x:v>automated_program_repair</x:v>
      </x:c>
      <x:c r="E447" s="27" t="str">
        <x:v>What are the main neural and large-language-model-based approaches to automated program repair, and how do they generate and validate patches?</x:v>
      </x:c>
      <x:c r="F447" s="22" t="n">
        <x:v>6</x:v>
      </x:c>
      <x:c r="G447" s="17" t="str">
        <x:v>arXiv:2309.00608</x:v>
      </x:c>
      <x:c r="H447" s="27" t="str">
        <x:v>Copiloting the Copilots: Fusing Large Language Models with Completion Engines for Automated Program Repair</x:v>
      </x:c>
      <x:c r="I447" s="17" t="str">
        <x:v>Yuxiang Wei; Chunqiu Steven Xia; Lingming Zhang</x:v>
      </x:c>
      <x:c r="J447" s="22" t="n">
        <x:v>2023</x:v>
      </x:c>
      <x:c r="K447" s="27" t="str">
        <x:v>During Automated Program Repair (APR), it can be challenging to synthesize correct patches for real-world systems in general-purpose programming languages. Recent Large Language Models (LLMs) have been shown to be helpful "copilots" in assisting developers with various coding tasks, and have also been directly applied for patch synthesis. However, most LLMs treat programs as sequences of tokens, meaning that they are ignorant of the underlying semantics constraints of the target programming language. This results in plenty of statically invalid generated patches, impeding the practicality of the technique. Therefore, we propose Repilot, a general code generation framework to further copilot the AI "copilots" (i.e., LLMs) by synthesizing more valid patches during the repair process. Our key insight is that many LLMs produce outputs autoregressively (i.e., token by token), resembling human writing programs, which can be significantly boosted and guided through a Completion Engine. Repilot synergistically synthesizes a candidate patch through the interaction between an LLM and a Completion Engine, which 1) prunes away infeasible tokens suggested by the LLM and 2) proactively completes the token based on the suggestions provided by the Completion Engine. Our evaluation on a subset of the widely-used Defects4j 1.2 and 2.0 datasets shows that Repilot outperforms state-of-the-art techniques by fixing 27% and 47% more bugs, respectively. Moreover, Repilot produces more valid and correct patches than the base LLM with the same budget. While we focus on leveraging Repilot for APR in this work, the overall approach is also generalizable to other code generation tasks.</x:v>
      </x:c>
      <x:c r="L447" s="17" t="str">
        <x:v>http://arxiv.org/abs/2309.00608v3</x:v>
      </x:c>
      <x:c r="M447" s="23" t="n">
        <x:v>0.028814262023217248</x:v>
      </x:c>
      <x:c r="N447" s="17" t="str">
        <x:v>arxiv-paper-eval-20260727-105551-results.jsonl</x:v>
      </x:c>
      <x:c r="O447" s="24" t="str">
        <x:v>2</x:v>
      </x:c>
      <x:c r="P447" s="28" t="str">
        <x:v>以补全引擎约束LLM补丁生成并评测正确性。</x:v>
      </x:c>
      <x:c r="Q447" s="25" t="str"/>
      <x:c r="R447" s="24" t="str">
        <x:f>IF(Q447&lt;&gt;"",Q447,O447)</x:f>
        <x:v>2</x:v>
      </x:c>
      <x:c r="S447" s="29" t="str"/>
    </x:row>
    <x:row r="448" ht="54" customHeight="1">
      <x:c r="A448" s="17" t="str">
        <x:v>csq023-r07</x:v>
      </x:c>
      <x:c r="B448" s="17" t="str">
        <x:v>csq023</x:v>
      </x:c>
      <x:c r="C448" s="17" t="str">
        <x:v>software_engineering</x:v>
      </x:c>
      <x:c r="D448" s="17" t="str">
        <x:v>automated_program_repair</x:v>
      </x:c>
      <x:c r="E448" s="27" t="str">
        <x:v>What are the main neural and large-language-model-based approaches to automated program repair, and how do they generate and validate patches?</x:v>
      </x:c>
      <x:c r="F448" s="22" t="n">
        <x:v>7</x:v>
      </x:c>
      <x:c r="G448" s="17" t="str">
        <x:v>arXiv:2507.19909</x:v>
      </x:c>
      <x:c r="H448" s="27" t="str">
        <x:v>The Impact of Fine-tuning Large Language Models on Automated Program Repair</x:v>
      </x:c>
      <x:c r="I448" s="17" t="str">
        <x:v>Roman Macháček; Anastasiia Grishina; Max Hort; Leon Moonen</x:v>
      </x:c>
      <x:c r="J448" s="22" t="n">
        <x:v>2025</x:v>
      </x:c>
      <x:c r="K448" s="27" t="str">
        <x:v>Automated Program Repair (APR) uses various tools and techniques to help developers achieve functional and error-free code faster. In recent years, Large Language Models (LLMs) have gained popularity as components in APR tool chains because of their performance and flexibility. However, training such models requires a significant amount of resources. Fine-tuning techniques have been developed to adapt pre-trained LLMs to specific tasks, such as APR, and enhance their performance at far lower computational costs than training from scratch. In this study, we empirically investigate the impact of various fine-tuning techniques on the performance of LLMs used for APR. Our experiments provide insights into the performance of a selection of state-of-the-art LLMs pre-trained on code. The evaluation is done on three popular APR benchmarks (i.e., QuixBugs, Defects4J and HumanEval-Java) and considers six different LLMs with varying parameter sizes (resp. CodeGen, CodeT5, StarCoder, DeepSeekCoder, Bloom, and CodeLlama-2). We consider three training regimens: no fine-tuning, full fine-tuning, and parameter-efficient fine-tuning (PEFT) using LoRA and IA3. We observe that full fine-tuning techniques decrease the benchmarking performance of various models due to different data distributions and overfitting. By using parameter-efficient fine-tuning methods, we restrict models in the amount of trainable parameters and achieve better results. Keywords: large language models, automated program repair, parameter-efficient fine-tuning, AI4Code, AI4SE, ML4SE.</x:v>
      </x:c>
      <x:c r="L448" s="17" t="str">
        <x:v>http://arxiv.org/abs/2507.19909v1</x:v>
      </x:c>
      <x:c r="M448" s="23" t="n">
        <x:v>0.016129032258064516</x:v>
      </x:c>
      <x:c r="N448" s="17" t="str">
        <x:v>arxiv-paper-eval-20260727-105551-results.jsonl</x:v>
      </x:c>
      <x:c r="O448" s="24" t="str">
        <x:v>2</x:v>
      </x:c>
      <x:c r="P448" s="28" t="str">
        <x:v>实证比较多种LLM微调修复方案与基准表现。</x:v>
      </x:c>
      <x:c r="Q448" s="25" t="str"/>
      <x:c r="R448" s="24" t="str">
        <x:f>IF(Q448&lt;&gt;"",Q448,O448)</x:f>
        <x:v>2</x:v>
      </x:c>
      <x:c r="S448" s="29" t="str"/>
    </x:row>
    <x:row r="449" ht="54" customHeight="1">
      <x:c r="A449" s="17" t="str">
        <x:v>csq023-r08</x:v>
      </x:c>
      <x:c r="B449" s="17" t="str">
        <x:v>csq023</x:v>
      </x:c>
      <x:c r="C449" s="17" t="str">
        <x:v>software_engineering</x:v>
      </x:c>
      <x:c r="D449" s="17" t="str">
        <x:v>automated_program_repair</x:v>
      </x:c>
      <x:c r="E449" s="27" t="str">
        <x:v>What are the main neural and large-language-model-based approaches to automated program repair, and how do they generate and validate patches?</x:v>
      </x:c>
      <x:c r="F449" s="22" t="n">
        <x:v>8</x:v>
      </x:c>
      <x:c r="G449" s="17" t="str">
        <x:v>arXiv:2507.01827</x:v>
      </x:c>
      <x:c r="H449" s="27" t="str">
        <x:v>PSearch: Search-based Patch Generation in the Era of LLM-based Automated Program Repair</x:v>
      </x:c>
      <x:c r="I449" s="17" t="str">
        <x:v>Haichuan Hu; Ye Shang; Weifeng Sun; Quanjun Zhang</x:v>
      </x:c>
      <x:c r="J449" s="22" t="n">
        <x:v>2025</x:v>
      </x:c>
      <x:c r="K449" s="27" t="str">
        <x:v>Large Language Models (LLMs) have substantially advanced Automated Program Repair (APR), yet most existing LLM-based APR methods still rely on trial-and-error to generate patches. Such a strategy explores candidate patches in a weakly structured manner, making it difficult to assess the future potential of search directions and allocate search budget effectively. To address this limitation, we propose Psearch, a search-based patch generation framework for LLM-based APR centered on iterative patch evaluation and refinement. Instead of treating patch generation as repeated independent sampling, Psearch maintains a structured search state over intermediate patches, continuously evaluates the promise of explored search paths, and prioritizes the most promising ones for further refinement. This design enables Psearch to abandon weak directions early and progressively approach correct fixes through long-horizon search. Importantly, Psearch can be integrated with different search algorithms, while our current implementation adopts Monte Carlo Tree Search as one effective instantiation. We evaluate Psearch on five widely used bug and vulnerability benchmarks. Experimental results show that Psearch correctly repairs 201 out of 835 bugs in Defects4J, outperforming all 12 state-of-the-art baselines. Psearch also fixes 27 of 79 vulnerabilities in VUL4J and resolves 164 of 300 issues in SWE-Bench-Lite. Moreover, with a patch size of 16, Psearch reduces monetary cost to roughly 50% of strong baselines while maintaining superior repair effectiveness. These results highlight the effectiveness of Psearch for improving LLM-based APR. The code and results can be found at https://github.com/Tomsawyerhu/Psearch</x:v>
      </x:c>
      <x:c r="L449" s="17" t="str">
        <x:v>http://arxiv.org/abs/2507.01827v5</x:v>
      </x:c>
      <x:c r="M449" s="23" t="n">
        <x:v>0.016129032258064516</x:v>
      </x:c>
      <x:c r="N449" s="17" t="str">
        <x:v>arxiv-paper-eval-20260727-105551-results.jsonl</x:v>
      </x:c>
      <x:c r="O449" s="24" t="str">
        <x:v>2</x:v>
      </x:c>
      <x:c r="P449" s="28" t="str">
        <x:v>提出搜索式LLM补丁生成、评估与迭代细化。</x:v>
      </x:c>
      <x:c r="Q449" s="25" t="str"/>
      <x:c r="R449" s="24" t="str">
        <x:f>IF(Q449&lt;&gt;"",Q449,O449)</x:f>
        <x:v>2</x:v>
      </x:c>
      <x:c r="S449" s="29" t="str"/>
    </x:row>
    <x:row r="450" ht="54" customHeight="1">
      <x:c r="A450" s="17" t="str">
        <x:v>csq023-r09</x:v>
      </x:c>
      <x:c r="B450" s="17" t="str">
        <x:v>csq023</x:v>
      </x:c>
      <x:c r="C450" s="17" t="str">
        <x:v>software_engineering</x:v>
      </x:c>
      <x:c r="D450" s="17" t="str">
        <x:v>automated_program_repair</x:v>
      </x:c>
      <x:c r="E450" s="27" t="str">
        <x:v>What are the main neural and large-language-model-based approaches to automated program repair, and how do they generate and validate patches?</x:v>
      </x:c>
      <x:c r="F450" s="22" t="n">
        <x:v>9</x:v>
      </x:c>
      <x:c r="G450" s="17" t="str">
        <x:v>arXiv:2401.07994</x:v>
      </x:c>
      <x:c r="H450" s="27" t="str">
        <x:v>Assessing the Latent Automated Program Repair Capabilities of Large Language Models using Round-Trip Translation</x:v>
      </x:c>
      <x:c r="I450" s="17" t="str">
        <x:v>Fernando Vallecillos Ruiz; Anastasiia Grishina; Max Hort; Leon Moonen</x:v>
      </x:c>
      <x:c r="J450" s="22" t="n">
        <x:v>2024</x:v>
      </x:c>
      <x:c r="K450" s="27" t="str">
        <x:v>Research shows that errors in natural language can be corrected by translating texts to another language and back using language models. We explore to what extent this latent correction capability extends to Automated Program Repair (APR) by investigating Round-Trip Translation (RTT): translating code from one programming language into another programming or natural language and back, using Large Language Models (LLMs). We hypothesize that RTT restores patterns most commonly seen in the LLM's training corpora through regression toward the mean, replacing infrequent bugs with more frequent, natural, bug-free code. To test this hypothesis, we employ nine LLMs and four common APR benchmarks in Java, and perform a detailed quantitative and qualitative analysis of RTT-generated patches. We find that RTT through English generates plausible patches for 100 of 164 bugs with GPT-4 on the HumanEval-Java benchmark, and 97 are found to be correct in our manual assessment. Moreover, RTT uniquely generates plausible patches for 46 bugs that were missed by LLMs specifically fine-tuned for APR. While this demonstrates the viability of RTT for APR, we also observe limitations, such as a lower overall bug fix rate than the state-of-the-art and diluting the original coding style. We analyze the impact of these limitations and discuss the potential of using RTT as a complementary component in APR frameworks. A replication package is available for download from https://doi.org/10.5281/zenodo.10500593. Keywords: automated program repair, large language model, machine translation</x:v>
      </x:c>
      <x:c r="L450" s="17" t="str">
        <x:v>http://arxiv.org/abs/2401.07994v2</x:v>
      </x:c>
      <x:c r="M450" s="23" t="n">
        <x:v>0.015873015873015872</x:v>
      </x:c>
      <x:c r="N450" s="17" t="str">
        <x:v>arxiv-paper-eval-20260727-105551-results.jsonl</x:v>
      </x:c>
      <x:c r="O450" s="24" t="str">
        <x:v>2</x:v>
      </x:c>
      <x:c r="P450" s="28" t="str">
        <x:v>研究往返翻译生成补丁及人工正确性验证。</x:v>
      </x:c>
      <x:c r="Q450" s="25" t="str"/>
      <x:c r="R450" s="24" t="str">
        <x:f>IF(Q450&lt;&gt;"",Q450,O450)</x:f>
        <x:v>2</x:v>
      </x:c>
      <x:c r="S450" s="29" t="str"/>
    </x:row>
    <x:row r="451" ht="54" customHeight="1">
      <x:c r="A451" s="17" t="str">
        <x:v>csq023-r10</x:v>
      </x:c>
      <x:c r="B451" s="17" t="str">
        <x:v>csq023</x:v>
      </x:c>
      <x:c r="C451" s="17" t="str">
        <x:v>software_engineering</x:v>
      </x:c>
      <x:c r="D451" s="17" t="str">
        <x:v>automated_program_repair</x:v>
      </x:c>
      <x:c r="E451" s="27" t="str">
        <x:v>What are the main neural and large-language-model-based approaches to automated program repair, and how do they generate and validate patches?</x:v>
      </x:c>
      <x:c r="F451" s="22" t="n">
        <x:v>10</x:v>
      </x:c>
      <x:c r="G451" s="17" t="str">
        <x:v>arXiv:2506.08311</x:v>
      </x:c>
      <x:c r="H451" s="27" t="str">
        <x:v>Understanding Automated Program Repair Agents Through the Lens of Traceability: An Empirical Study</x:v>
      </x:c>
      <x:c r="I451" s="17" t="str">
        <x:v>Ira Ceka; Hailie Mitchell; Saurabh Pujar; Luca Buratti; Shyam Ramji; Junfeng Yang; Gail Kaiser; Baishakhi Ray</x:v>
      </x:c>
      <x:c r="J451" s="22" t="n">
        <x:v>2025</x:v>
      </x:c>
      <x:c r="K451" s="27" t="str">
        <x:v>Automated Program Repair (APR) agents leverage Large Language Models (LLMs) to autonomously diagnose and fix software bugs through reasoning, planning, and tool use. Despite impressive leaderboard gains on benchmarks such as SWE-bench, little is understood about how these agents take actions, where they fail, and how their behavior compares to that of human developers. This paper presents the first systematic analysis of five state-of-the-art APR agents across 500 real-world repair tasks, tracing their full decision-making pipelines -- from issue description to patch validation. Our study reveals that while agents excel at simple fixes, they struggle with logic-intensive bugs, often producing verbose or overfitted patches that merely satisfy existing tests. We find that test generation and regression test selection remain major bottlenecks, with agents frequently failing to reproduce issues or run relevant regression tests. Moreover, most agents operate with primitive tooling (e.g., bash scripts) and lack access to debuggers or program analyzers, which constrains their reasoning and patch quality. These findings highlight key limitations in current APR systems and motivate a shift-left approach -- emphasizing early, high-quality test generation and validation -- to reduce spurious fixes and improve semantic correctness. We further outline concrete directions for next-generation APR design: (1) richer and more integrated tool ecosystems, (2) diversified agentic architectures that combine complementary strengths, and (3) benchmarks that prioritize semantic repair quality and test generation fidelity over surface-level success metrics.</x:v>
      </x:c>
      <x:c r="L451" s="17" t="str">
        <x:v>http://arxiv.org/abs/2506.08311v2</x:v>
      </x:c>
      <x:c r="M451" s="23" t="n">
        <x:v>0.015625</x:v>
      </x:c>
      <x:c r="N451" s="17" t="str">
        <x:v>arxiv-paper-eval-20260727-105551-results.jsonl</x:v>
      </x:c>
      <x:c r="O451" s="24" t="str">
        <x:v>2</x:v>
      </x:c>
      <x:c r="P451" s="28" t="str">
        <x:v>系统分析修复代理从定位到补丁验证的全过程与瓶颈。</x:v>
      </x:c>
      <x:c r="Q451" s="25" t="str"/>
      <x:c r="R451" s="24" t="str">
        <x:f>IF(Q451&lt;&gt;"",Q451,O451)</x:f>
        <x:v>2</x:v>
      </x:c>
      <x:c r="S451" s="29" t="str"/>
    </x:row>
    <x:row r="452" ht="54" customHeight="1">
      <x:c r="A452" s="17" t="str">
        <x:v>csq023-r11</x:v>
      </x:c>
      <x:c r="B452" s="17" t="str">
        <x:v>csq023</x:v>
      </x:c>
      <x:c r="C452" s="17" t="str">
        <x:v>software_engineering</x:v>
      </x:c>
      <x:c r="D452" s="17" t="str">
        <x:v>automated_program_repair</x:v>
      </x:c>
      <x:c r="E452" s="27" t="str">
        <x:v>What are the main neural and large-language-model-based approaches to automated program repair, and how do they generate and validate patches?</x:v>
      </x:c>
      <x:c r="F452" s="22" t="n">
        <x:v>11</x:v>
      </x:c>
      <x:c r="G452" s="17" t="str">
        <x:v>arXiv:2506.13186</x:v>
      </x:c>
      <x:c r="H452" s="27" t="str">
        <x:v>Empirical Evaluation of Large Language Models in Automated Program Repair</x:v>
      </x:c>
      <x:c r="I452" s="17" t="str">
        <x:v>Jiajun Sun; Fengjie Li; Xinzhu Qi; Hongyu Zhang; Jiajun Jiang</x:v>
      </x:c>
      <x:c r="J452" s="22" t="n">
        <x:v>2025</x:v>
      </x:c>
      <x:c r="K452" s="27" t="str">
        <x:v>The increasing prevalence of software bugs has made automated program repair (APR) a key research focus. Large language models (LLMs) offer new opportunities for APR, but existing studies mostly rely on smaller, earlier-generation models and Java benchmarks. The repair capabilities of modern, large-scale LLMs across diverse languages and scenarios remain underexplored. To address this, we conduct a comprehensive empirical study of four open-source LLMs, CodeLlama, LLaMA, StarCoder, and DeepSeek-Coder, spanning 7B to 33B parameters, diverse architectures, and purposes. We evaluate them across two bug scenarios (enterprise-grades and algorithmic), three languages (Java, C/C++, Python), and four prompting strategies, analyzing over 600K generated patches on six benchmarks. Key findings include: (1) model specialization (e.g., CodeLlama) can outperform larger general-purpose models (e.g., LLaMA); (2) repair performance does not scale linearly with model size; (3) correct patches often appear early in generation; and (4) prompts significantly affect results. These insights offer practical guidance for designing effective and efficient LLM-based APR systems.</x:v>
      </x:c>
      <x:c r="L452" s="17" t="str">
        <x:v>http://arxiv.org/abs/2506.13186v1</x:v>
      </x:c>
      <x:c r="M452" s="23" t="n">
        <x:v>0.015384615384615385</x:v>
      </x:c>
      <x:c r="N452" s="17" t="str">
        <x:v>arxiv-paper-eval-20260727-105551-results.jsonl</x:v>
      </x:c>
      <x:c r="O452" s="24" t="str">
        <x:v>2</x:v>
      </x:c>
      <x:c r="P452" s="28" t="str">
        <x:v>大规模评测LLM补丁生成策略与有效性。</x:v>
      </x:c>
      <x:c r="Q452" s="25" t="str"/>
      <x:c r="R452" s="24" t="str">
        <x:f>IF(Q452&lt;&gt;"",Q452,O452)</x:f>
        <x:v>2</x:v>
      </x:c>
      <x:c r="S452" s="29" t="str"/>
    </x:row>
    <x:row r="453" ht="54" customHeight="1">
      <x:c r="A453" s="17" t="str">
        <x:v>csq023-r12</x:v>
      </x:c>
      <x:c r="B453" s="17" t="str">
        <x:v>csq023</x:v>
      </x:c>
      <x:c r="C453" s="17" t="str">
        <x:v>software_engineering</x:v>
      </x:c>
      <x:c r="D453" s="17" t="str">
        <x:v>automated_program_repair</x:v>
      </x:c>
      <x:c r="E453" s="27" t="str">
        <x:v>What are the main neural and large-language-model-based approaches to automated program repair, and how do they generate and validate patches?</x:v>
      </x:c>
      <x:c r="F453" s="22" t="n">
        <x:v>12</x:v>
      </x:c>
      <x:c r="G453" s="17" t="str">
        <x:v>arXiv:2410.07516</x:v>
      </x:c>
      <x:c r="H453" s="27" t="str">
        <x:v>Exploring and Lifting the Robustness of LLM-powered Automated Program Repair with Metamorphic Testing</x:v>
      </x:c>
      <x:c r="I453" s="17" t="str">
        <x:v>Pengyu Xue; Linhao Wu; Zhen Yang; Zhongxing Yu; Zhi Jin; Ge Li; Yan Xiao; Shuo Liu; Xinyi Li; Hongyi Lin; Jingwen Wu</x:v>
      </x:c>
      <x:c r="J453" s="22" t="n">
        <x:v>2024</x:v>
      </x:c>
      <x:c r="K453" s="27" t="str">
        <x:v>In recent years, Large language model-powered Automated Program Repair (LAPR) techniques have achieved state-of-the-art bug-fixing performance and have been pervasively applied and studied in both industry and academia. Nonetheless, LLMs were proved to be highly sensitive to input prompts, with slight differences in the expressions of semantically equivalent programs potentially causing repair failures. Therefore, it is crucial to conduct robustness testing on LAPR techniques before their practical deployment. However, related research is scarce. To this end, we propose MT-LAPR, a Metamorphic Testing framework exclusively for LAPR techniques, which summarizes nine widely-recognized Metamorphic Relations (MRs) by developers across three perturbation levels: token, statement, and block. Afterward, our proposed MRs are applied to buggy codes to generate test cases, which are semantically equivalent yet to affect the inference of LAPR. Experiments are carried out on two extensively examined bug-fixing datasets, i.e., Defect4J and QuixBugs, and four bug-fixing abled LLMs released recently, demonstrating that 34.4% - 48.5% of the test cases expose the instability of LAPR techniques on average, showing the effectiveness of MT-LAPR and uncovering a positive correlation between code readability and the robustness of LAPR techniques. Inspired by the above findings, this paper uses the test cases generated by MT-LAPR as samples to train a CodeT5-based code editing model aiming at improving code readability and then embeds it into the LAPR workflow as a data preprocessing step. Extensive experiments demonstrate that this approach significantly enhances the robustness of LAPR by 49.32% at most.</x:v>
      </x:c>
      <x:c r="L453" s="17" t="str">
        <x:v>http://arxiv.org/abs/2410.07516v2</x:v>
      </x:c>
      <x:c r="M453" s="23" t="n">
        <x:v>0.015384615384615385</x:v>
      </x:c>
      <x:c r="N453" s="17" t="str">
        <x:v>arxiv-paper-eval-20260727-105551-results.jsonl</x:v>
      </x:c>
      <x:c r="O453" s="24" t="str">
        <x:v>2</x:v>
      </x:c>
      <x:c r="P453" s="28" t="str">
        <x:v>研究LLM修复鲁棒性并用变形测试验证。</x:v>
      </x:c>
      <x:c r="Q453" s="25" t="str"/>
      <x:c r="R453" s="24" t="str">
        <x:f>IF(Q453&lt;&gt;"",Q453,O453)</x:f>
        <x:v>2</x:v>
      </x:c>
      <x:c r="S453" s="29" t="str"/>
    </x:row>
    <x:row r="454" ht="54" customHeight="1">
      <x:c r="A454" s="17" t="str">
        <x:v>csq023-r13</x:v>
      </x:c>
      <x:c r="B454" s="17" t="str">
        <x:v>csq023</x:v>
      </x:c>
      <x:c r="C454" s="17" t="str">
        <x:v>software_engineering</x:v>
      </x:c>
      <x:c r="D454" s="17" t="str">
        <x:v>automated_program_repair</x:v>
      </x:c>
      <x:c r="E454" s="27" t="str">
        <x:v>What are the main neural and large-language-model-based approaches to automated program repair, and how do they generate and validate patches?</x:v>
      </x:c>
      <x:c r="F454" s="22" t="n">
        <x:v>13</x:v>
      </x:c>
      <x:c r="G454" s="17" t="str">
        <x:v>arXiv:2303.18184</x:v>
      </x:c>
      <x:c r="H454" s="27" t="str">
        <x:v>A Survey on Automated Program Repair Techniques</x:v>
      </x:c>
      <x:c r="I454" s="17" t="str">
        <x:v>Kai Huang; Zhengzi Xu; Su Yang; Hongyu Sun; Xuejun Li; Zheng Yan; Yuqing Zhang</x:v>
      </x:c>
      <x:c r="J454" s="22" t="n">
        <x:v>2023</x:v>
      </x:c>
      <x:c r="K454" s="27" t="str">
        <x:v>With the rapid development and large-scale popularity of program software, modern society increasingly relies on software systems. However, the problems exposed by software have also come to the fore. Software defect has become an important factor troubling developers. In this context, Automated Program Repair (APR) techniques have emerged, aiming to automatically fix software defect problems and reduce manual debugging work. In particular, benefiting from the advances in deep learning, numerous learning-based APR techniques have emerged in recent years, which also bring new opportunities for APR research. To give researchers a quick overview of APR techniques' complete development and future opportunities, we revisit the evolution of APR techniques and discuss in depth the latest advances in APR research. In this paper, the development of APR techniques is introduced in terms of four different patch generation schemes: search-based, constraint-based, template-based, and learning-based. Moreover, we propose a uniform set of criteria to review and compare each APR tool, summarize the advantages and disadvantages of APR techniques, and discuss the current state of APR development. Furthermore, we introduce the research on the related technical areas of APR that have also provided a strong motivation to advance APR development. Finally, we analyze current challenges and future directions, especially highlighting the critical opportunities that large language models bring to APR research.</x:v>
      </x:c>
      <x:c r="L454" s="17" t="str">
        <x:v>http://arxiv.org/abs/2303.18184v3</x:v>
      </x:c>
      <x:c r="M454" s="23" t="n">
        <x:v>0.015384615384615385</x:v>
      </x:c>
      <x:c r="N454" s="17" t="str">
        <x:v>arxiv-paper-eval-20260727-105551-results.jsonl</x:v>
      </x:c>
      <x:c r="O454" s="24" t="str">
        <x:v>2</x:v>
      </x:c>
      <x:c r="P454" s="28" t="str">
        <x:v>综述搜索、约束、模板和学习式补丁生成路线。</x:v>
      </x:c>
      <x:c r="Q454" s="25" t="str"/>
      <x:c r="R454" s="24" t="str">
        <x:f>IF(Q454&lt;&gt;"",Q454,O454)</x:f>
        <x:v>2</x:v>
      </x:c>
      <x:c r="S454" s="29" t="str"/>
    </x:row>
    <x:row r="455" ht="54" customHeight="1">
      <x:c r="A455" s="17" t="str">
        <x:v>csq023-r14</x:v>
      </x:c>
      <x:c r="B455" s="17" t="str">
        <x:v>csq023</x:v>
      </x:c>
      <x:c r="C455" s="17" t="str">
        <x:v>software_engineering</x:v>
      </x:c>
      <x:c r="D455" s="17" t="str">
        <x:v>automated_program_repair</x:v>
      </x:c>
      <x:c r="E455" s="27" t="str">
        <x:v>What are the main neural and large-language-model-based approaches to automated program repair, and how do they generate and validate patches?</x:v>
      </x:c>
      <x:c r="F455" s="22" t="n">
        <x:v>14</x:v>
      </x:c>
      <x:c r="G455" s="17" t="str">
        <x:v>arXiv:2506.21211</x:v>
      </x:c>
      <x:c r="H455" s="27" t="str">
        <x:v>$T^3$: Multi-level Tree-based Automatic Program Repair with Large Language Models</x:v>
      </x:c>
      <x:c r="I455" s="17" t="str">
        <x:v>Quanming Liu; Xupeng Bu; Zhichao Yan; Ru Li</x:v>
      </x:c>
      <x:c r="J455" s="22" t="n">
        <x:v>2025</x:v>
      </x:c>
      <x:c r="K455" s="27" t="str">
        <x:v>Automatic Program Repair (APR) is a core technology in software development and maintenance, with aims to enable automated defect repair with minimal human intervention. In recent years, the substantial advancements in Large Language Models (LLMs) and the Chain-of-Thought (CoT) techniques have significantly enhanced the reasoning capabilities of these models. However, due to the complex logic and multi-step reasoning ability needed, the application of CoT techniques in the APR domain remains insufficient. This study systematically evaluates the performance of several common CoT techniques in APR tasks and proposes an innovative framework $T^3$, which integrates the powerful reasoning capabilities of LLMs with tree search, effectively improving the precision of generating candidate repair solutions. Furthermore, $T^3$ provides valuable guidance for optimizing sample selection and repair strategies in APR tasks, establishing a robust framework for achieving efficient automated debugging.</x:v>
      </x:c>
      <x:c r="L455" s="17" t="str">
        <x:v>http://arxiv.org/abs/2506.21211v1</x:v>
      </x:c>
      <x:c r="M455" s="23" t="n">
        <x:v>0.015151515151515152</x:v>
      </x:c>
      <x:c r="N455" s="17" t="str">
        <x:v>arxiv-paper-eval-20260727-105551-results.jsonl</x:v>
      </x:c>
      <x:c r="O455" s="24" t="str">
        <x:v>2</x:v>
      </x:c>
      <x:c r="P455" s="28" t="str">
        <x:v>提出树搜索与推理结合的LLM补丁生成框架。</x:v>
      </x:c>
      <x:c r="Q455" s="25" t="str"/>
      <x:c r="R455" s="24" t="str">
        <x:f>IF(Q455&lt;&gt;"",Q455,O455)</x:f>
        <x:v>2</x:v>
      </x:c>
      <x:c r="S455" s="29" t="str"/>
    </x:row>
    <x:row r="456" ht="54" customHeight="1">
      <x:c r="A456" s="17" t="str">
        <x:v>csq023-r15</x:v>
      </x:c>
      <x:c r="B456" s="17" t="str">
        <x:v>csq023</x:v>
      </x:c>
      <x:c r="C456" s="17" t="str">
        <x:v>software_engineering</x:v>
      </x:c>
      <x:c r="D456" s="17" t="str">
        <x:v>automated_program_repair</x:v>
      </x:c>
      <x:c r="E456" s="27" t="str">
        <x:v>What are the main neural and large-language-model-based approaches to automated program repair, and how do they generate and validate patches?</x:v>
      </x:c>
      <x:c r="F456" s="22" t="n">
        <x:v>15</x:v>
      </x:c>
      <x:c r="G456" s="17" t="str">
        <x:v>arXiv:2406.00992</x:v>
      </x:c>
      <x:c r="H456" s="27" t="str">
        <x:v>Hybrid Automated Program Repair by Combining Large Language Models and Program Analysis</x:v>
      </x:c>
      <x:c r="I456" s="17" t="str">
        <x:v>Fengjie Li; Jiajun Jiang; Jiajun Sun; Hongyu Zhang</x:v>
      </x:c>
      <x:c r="J456" s="22" t="n">
        <x:v>2024</x:v>
      </x:c>
      <x:c r="K456" s="27" t="str">
        <x:v>Automated Program Repair (APR) has garnered significant attention due to its potential to streamline the bug repair process for human developers. Recently, LLM-based APR methods have shown promise in repairing real-world bugs. However, existing APR methods often utilize patches generated by LLMs without further optimization, resulting in reduced effectiveness due to the lack of program-specific knowledge. Furthermore, the evaluations of these APR methods have typically been conducted under the assumption of perfect fault localization, which may not accurately reflect their real-world effectiveness. To address these limitations, this paper introduces an innovative APR approach called GIANTREPAIR. Our approach leverages the insight that LLM-generated patches, although not necessarily correct, offer valuable guidance for the patch generation process. Based on this insight, GIANTREPAIR first constructs patch skeletons from LLM-generated patches to confine the patch space, and then generates high-quality patches tailored to specific programs through context-aware patch generation by instantiating the skeletons. To evaluate the performance of our approach, we conduct two large-scale experiments. The results demonstrate that GIANTREPAIR not only effectively repairs more bugs (an average of 27.78% on Defects4J v1.2 and 23.40% on Defects4J v2.0) than using LLM-generated patches directly, but also outperforms state-of-the-art APR methods by repairing at least 42 and 7 more bugs under perfect and automated fault localization scenarios, respectively.</x:v>
      </x:c>
      <x:c r="L456" s="17" t="str">
        <x:v>http://arxiv.org/abs/2406.00992v2</x:v>
      </x:c>
      <x:c r="M456" s="23" t="n">
        <x:v>0.015151515151515152</x:v>
      </x:c>
      <x:c r="N456" s="17" t="str">
        <x:v>arxiv-paper-eval-20260727-105551-results.jsonl</x:v>
      </x:c>
      <x:c r="O456" s="24" t="str">
        <x:v>2</x:v>
      </x:c>
      <x:c r="P456" s="28" t="str">
        <x:v>结合LLM补丁骨架和程序分析生成高质量补丁。</x:v>
      </x:c>
      <x:c r="Q456" s="25" t="str"/>
      <x:c r="R456" s="24" t="str">
        <x:f>IF(Q456&lt;&gt;"",Q456,O456)</x:f>
        <x:v>2</x:v>
      </x:c>
      <x:c r="S456" s="29" t="str"/>
    </x:row>
    <x:row r="457" ht="54" customHeight="1">
      <x:c r="A457" s="17" t="str">
        <x:v>csq023-r16</x:v>
      </x:c>
      <x:c r="B457" s="17" t="str">
        <x:v>csq023</x:v>
      </x:c>
      <x:c r="C457" s="17" t="str">
        <x:v>software_engineering</x:v>
      </x:c>
      <x:c r="D457" s="17" t="str">
        <x:v>automated_program_repair</x:v>
      </x:c>
      <x:c r="E457" s="27" t="str">
        <x:v>What are the main neural and large-language-model-based approaches to automated program repair, and how do they generate and validate patches?</x:v>
      </x:c>
      <x:c r="F457" s="22" t="n">
        <x:v>16</x:v>
      </x:c>
      <x:c r="G457" s="17" t="str">
        <x:v>arXiv:2405.15690</x:v>
      </x:c>
      <x:c r="H457" s="27" t="str">
        <x:v>A Case Study of LLM for Automated Vulnerability Repair: Assessing Impact of Reasoning and Patch Validation Feedback</x:v>
      </x:c>
      <x:c r="I457" s="17" t="str">
        <x:v>Ummay Kulsum; Haotian Zhu; Bowen Xu; Marcelo d'Amorim</x:v>
      </x:c>
      <x:c r="J457" s="22" t="n">
        <x:v>2024</x:v>
      </x:c>
      <x:c r="K457" s="27" t="str">
        <x:v>Recent work in automated program repair (APR) proposes the use of reasoning and patch validation feedback to reduce the semantic gap between the LLMs and the code under analysis. The idea has been shown to perform well for general APR, but its effectiveness in other particular contexts remains underexplored. In this work, we assess the impact of reasoning and patch validation feedback to LLMs in the context of vulnerability repair, an important and challenging task in security. To support the evaluation, we present VRpilot, an LLM-based vulnerability repair technique based on reasoning and patch validation feedback. VRpilot (1) uses a chain-of-thought prompt to reason about a vulnerability prior to generating patch candidates and (2) iteratively refines prompts according to the output of external tools (e.g., compiler, code sanitizers, test suite, etc.) on previously-generated patches. To evaluate performance, we compare VRpilot against the state-of-the-art vulnerability repair techniques for C and Java using public datasets from the literature. Our results show that VRpilot generates, on average, 14% and 7.6% more correct patches than the baseline techniques on C and Java, respectively. We show, through an ablation study, that reasoning and patch validation feedback are critical. We report several lessons from this study and potential directions for advancing LLM-empowered vulnerability repair</x:v>
      </x:c>
      <x:c r="L457" s="17" t="str">
        <x:v>http://arxiv.org/abs/2405.15690v1</x:v>
      </x:c>
      <x:c r="M457" s="23" t="n">
        <x:v>0.015151515151515152</x:v>
      </x:c>
      <x:c r="N457" s="17" t="str">
        <x:v>arxiv-paper-eval-20260727-105551-results.jsonl</x:v>
      </x:c>
      <x:c r="O457" s="24" t="str">
        <x:v>2</x:v>
      </x:c>
      <x:c r="P457" s="28" t="str">
        <x:v>直接研究推理与编译器、测试等验证反馈的补丁迭代。</x:v>
      </x:c>
      <x:c r="Q457" s="25" t="str"/>
      <x:c r="R457" s="24" t="str">
        <x:f>IF(Q457&lt;&gt;"",Q457,O457)</x:f>
        <x:v>2</x:v>
      </x:c>
      <x:c r="S457" s="29" t="str"/>
    </x:row>
    <x:row r="458" ht="54" customHeight="1">
      <x:c r="A458" s="17" t="str">
        <x:v>csq023-r17</x:v>
      </x:c>
      <x:c r="B458" s="17" t="str">
        <x:v>csq023</x:v>
      </x:c>
      <x:c r="C458" s="17" t="str">
        <x:v>software_engineering</x:v>
      </x:c>
      <x:c r="D458" s="17" t="str">
        <x:v>automated_program_repair</x:v>
      </x:c>
      <x:c r="E458" s="27" t="str">
        <x:v>What are the main neural and large-language-model-based approaches to automated program repair, and how do they generate and validate patches?</x:v>
      </x:c>
      <x:c r="F458" s="22" t="n">
        <x:v>17</x:v>
      </x:c>
      <x:c r="G458" s="17" t="str">
        <x:v>arXiv:2405.01466</x:v>
      </x:c>
      <x:c r="H458" s="27" t="str">
        <x:v>A Systematic Literature Review on Large Language Models for Automated Program Repair</x:v>
      </x:c>
      <x:c r="I458" s="17" t="str">
        <x:v>Quanjun Zhang; Chunrong Fang; Yang Xie; YuXiang Ma; Weisong Sun; Yun Yang; Zhenyu Chen</x:v>
      </x:c>
      <x:c r="J458" s="22" t="n">
        <x:v>2024</x:v>
      </x:c>
      <x:c r="K458" s="27" t="str">
        <x:v>Automated Program Repair (APR) attempts to patch software bugs and reduce manual debugging efforts. Very recently, with the advances in Large Language Models (LLMs), an increasing number of APR techniques have been proposed, facilitating software development and maintenance and demonstrating remarkable performance. However, due to ongoing explorations in the LLM-based APR field, it is challenging for researchers to understand the current achievements, challenges, and potential opportunities. This work provides the first systematic literature review to summarize the applications of LLMs in APR between 2020 and 2025. We analyze 189 relevant papers from LLMs, APR and their integration perspectives. First, we categorize existing popular LLMs that are applied to support APR and outline four types of utilization strategies for their deployment. Besides, we detail some specific repair scenarios that benefit from LLMs, e.g., semantic bugs and security vulnerabilities. Furthermore, we discuss several critical aspects of integrating LLMs into APR research, e.g., input forms and open science. Finally, we highlight a set of challenges remaining to be investigated and the potential guidelines for future research. Overall, our paper provides a systematic overview of the research landscape to the APR community, helping researchers gain a comprehensive understanding of achievements and promote future research.</x:v>
      </x:c>
      <x:c r="L458" s="17" t="str">
        <x:v>http://arxiv.org/abs/2405.01466v4</x:v>
      </x:c>
      <x:c r="M458" s="23" t="n">
        <x:v>0.014925373134328358</x:v>
      </x:c>
      <x:c r="N458" s="17" t="str">
        <x:v>arxiv-paper-eval-20260727-105551-results.jsonl</x:v>
      </x:c>
      <x:c r="O458" s="24" t="str">
        <x:v>2</x:v>
      </x:c>
      <x:c r="P458" s="28" t="str">
        <x:v>系统综述LLM程序修复策略、场景与挑战。</x:v>
      </x:c>
      <x:c r="Q458" s="25" t="str"/>
      <x:c r="R458" s="24" t="str">
        <x:f>IF(Q458&lt;&gt;"",Q458,O458)</x:f>
        <x:v>2</x:v>
      </x:c>
      <x:c r="S458" s="29" t="str"/>
    </x:row>
    <x:row r="459" ht="54" customHeight="1">
      <x:c r="A459" s="17" t="str">
        <x:v>csq023-r18</x:v>
      </x:c>
      <x:c r="B459" s="17" t="str">
        <x:v>csq023</x:v>
      </x:c>
      <x:c r="C459" s="17" t="str">
        <x:v>software_engineering</x:v>
      </x:c>
      <x:c r="D459" s="17" t="str">
        <x:v>automated_program_repair</x:v>
      </x:c>
      <x:c r="E459" s="27" t="str">
        <x:v>What are the main neural and large-language-model-based approaches to automated program repair, and how do they generate and validate patches?</x:v>
      </x:c>
      <x:c r="F459" s="22" t="n">
        <x:v>18</x:v>
      </x:c>
      <x:c r="G459" s="17" t="str">
        <x:v>arXiv:2202.10868</x:v>
      </x:c>
      <x:c r="H459" s="27" t="str">
        <x:v>Neural Program Repair: Systems, Challenges and Solutions</x:v>
      </x:c>
      <x:c r="I459" s="17" t="str">
        <x:v>Wenkang Zhong; Chuanyi Li; Jidong Ge; Bin Luo</x:v>
      </x:c>
      <x:c r="J459" s="22" t="n">
        <x:v>2022</x:v>
      </x:c>
      <x:c r="K459" s="27" t="str">
        <x:v>Automated Program Repair (APR) aims to automatically fix bugs in the source code. Recently, as advances in Deep Learning (DL) field, there is a rise of Neural Program Repair (NPR) studies, which formulate APR as a translation task from buggy code to correct code and adopt neural networks based on encoder-decoder architecture. Compared with other APR techniques, NPR approaches have a great advantage in applicability because they do not need any specification (i.e., a test suite). Although NPR has been a hot research direction, there isn't any overview on this field yet. In order to help interested readers understand architectures, challenges and corresponding solutions of existing NPR systems, we conduct a literature review on latest studies in this paper. We begin with introducing the background knowledge on this field. Next, to be understandable, we decompose the NPR procedure into a series of modules and explicate various design choices on each module. Furthermore, we identify several challenges and discuss the effect of existing solutions. Finally, we conclude and provide some promising directions for future research.</x:v>
      </x:c>
      <x:c r="L459" s="17" t="str">
        <x:v>http://arxiv.org/abs/2202.10868v2</x:v>
      </x:c>
      <x:c r="M459" s="23" t="n">
        <x:v>0.014925373134328358</x:v>
      </x:c>
      <x:c r="N459" s="17" t="str">
        <x:v>arxiv-paper-eval-20260727-105551-results.jsonl</x:v>
      </x:c>
      <x:c r="O459" s="24" t="str">
        <x:v>2</x:v>
      </x:c>
      <x:c r="P459" s="28" t="str">
        <x:v>综述编码器解码器式神经程序修复及其模块。</x:v>
      </x:c>
      <x:c r="Q459" s="25" t="str"/>
      <x:c r="R459" s="24" t="str">
        <x:f>IF(Q459&lt;&gt;"",Q459,O459)</x:f>
        <x:v>2</x:v>
      </x:c>
      <x:c r="S459" s="29" t="str"/>
    </x:row>
    <x:row r="460" ht="54" customHeight="1">
      <x:c r="A460" s="17" t="str">
        <x:v>csq023-r19</x:v>
      </x:c>
      <x:c r="B460" s="17" t="str">
        <x:v>csq023</x:v>
      </x:c>
      <x:c r="C460" s="17" t="str">
        <x:v>software_engineering</x:v>
      </x:c>
      <x:c r="D460" s="17" t="str">
        <x:v>automated_program_repair</x:v>
      </x:c>
      <x:c r="E460" s="27" t="str">
        <x:v>What are the main neural and large-language-model-based approaches to automated program repair, and how do they generate and validate patches?</x:v>
      </x:c>
      <x:c r="F460" s="22" t="n">
        <x:v>19</x:v>
      </x:c>
      <x:c r="G460" s="17" t="str">
        <x:v>arXiv:2510.03217</x:v>
      </x:c>
      <x:c r="H460" s="27" t="str">
        <x:v>Abstain and Validate: A Dual-LLM Policy for Reducing Noise in Agentic Program Repair</x:v>
      </x:c>
      <x:c r="I460" s="17" t="str">
        <x:v>José Cambronero; Michele Tufano; Sherry Shi; Renyao Wei; Grant Uy; Runxiang Cheng; Chin-Jung Liu; Shiying Pan; Satish Chandra; Pat Rondon</x:v>
      </x:c>
      <x:c r="J460" s="22" t="n">
        <x:v>2025</x:v>
      </x:c>
      <x:c r="K460" s="27" t="str">
        <x:v>Agentic Automated Program Repair (APR) is increasingly tackling complex, repository-level bugs in industry, but ultimately these patches still need to be reviewed by a human before committing them to ensure they address the bug. Showing patches unlikely to be accepted can lead to substantial noise, wasting valuable developer time and eroding trust in automated code changes. We introduce two complementary LLM-based policies to reduce such noise: bug abstention and patch validation policies. Bug abstention excludes bugs that the agentic APR system is unlikely to fix. Patch validation rejects patches that are unlikely to be a good fix for the given bug. We evaluate both policies on three sets of bugs from Google's codebase, and their candidate patches generated by an internal agentic APR system. On a set of 174 human-reported bugs, removing bugs and patches rejected by our policies can raise success rates by up to 13 percentage points and 15 percentage points, respectively, and by up to 39 percentage points in combination. On null pointer exceptions and sanitizer-reported bugs with machine-generated bug reports, patch validation also improves average single-sample success rates. This two-policy approach provides a practical path to the reliable, industrial-scale deployment of agentic APR systems.</x:v>
      </x:c>
      <x:c r="L460" s="17" t="str">
        <x:v>http://arxiv.org/abs/2510.03217v2</x:v>
      </x:c>
      <x:c r="M460" s="23" t="n">
        <x:v>0.014705882352941176</x:v>
      </x:c>
      <x:c r="N460" s="17" t="str">
        <x:v>arxiv-paper-eval-20260727-105551-results.jsonl</x:v>
      </x:c>
      <x:c r="O460" s="24" t="str">
        <x:v>2</x:v>
      </x:c>
      <x:c r="P460" s="28" t="str">
        <x:v>提出双LLM的修复任务弃权与补丁验证策略。</x:v>
      </x:c>
      <x:c r="Q460" s="25" t="str"/>
      <x:c r="R460" s="24" t="str">
        <x:f>IF(Q460&lt;&gt;"",Q460,O460)</x:f>
        <x:v>2</x:v>
      </x:c>
      <x:c r="S460" s="29" t="str"/>
    </x:row>
    <x:row r="461" ht="54" customHeight="1">
      <x:c r="A461" s="17" t="str">
        <x:v>csq023-r20</x:v>
      </x:c>
      <x:c r="B461" s="17" t="str">
        <x:v>csq023</x:v>
      </x:c>
      <x:c r="C461" s="17" t="str">
        <x:v>software_engineering</x:v>
      </x:c>
      <x:c r="D461" s="17" t="str">
        <x:v>automated_program_repair</x:v>
      </x:c>
      <x:c r="E461" s="27" t="str">
        <x:v>What are the main neural and large-language-model-based approaches to automated program repair, and how do they generate and validate patches?</x:v>
      </x:c>
      <x:c r="F461" s="22" t="n">
        <x:v>20</x:v>
      </x:c>
      <x:c r="G461" s="17" t="str">
        <x:v>arXiv:2406.05639</x:v>
      </x:c>
      <x:c r="H461" s="27" t="str">
        <x:v>Exploring Parameter-Efficient Fine-Tuning of Large Language Model on Automated Program Repair</x:v>
      </x:c>
      <x:c r="I461" s="17" t="str">
        <x:v>Guochang Li; Chen Zhi; Jialiang Chen; Junxiao Han; Shuiguang Deng</x:v>
      </x:c>
      <x:c r="J461" s="22" t="n">
        <x:v>2024</x:v>
      </x:c>
      <x:c r="K461" s="27" t="str">
        <x:v>Automated Program Repair (APR) aims to fix bugs by generating patches. And existing work has demonstrated that "pre-training and fine-tuning" paradigm enables Large Language Models (LLMs) improve fixing capabilities on APR. However, existing work mainly focuses on Full-Model Fine-Tuning (FMFT) for APR and limited research has been conducted on the execution-based evaluation of Parameter-Efficient Fine-Tuning (PEFT) for APR. Comparing to FMFT, PEFT can reduce computing resource consumption without compromising performance and has been widely adopted to other software engineering tasks. To fill this gap, we enhance the existing APR dataset by employing prompt engineering to create an instruction dataset, APR-INSTRUCTION, at first. Secondly, we fine-tune four pre-trained LLMs using four different PEFT methods with APR-INSTRUCTION. The best fine-tuned model fixes 58% more bugs than the state-of-the-art LLM-based APR techniques. The results also show that $(IA)^3$ improves the creativity of LLMs more effectively through fine-tuning and achieves the highest fixing capability compared to the other three PEFT methods. Thirdly, we explore the optimal configuration of PEFT hyperparameters, and assess the impact of instruction dataset size, showing that a larger number of parameters and a larger training dataset do not necessarily result in better performance for PEFT. Lastly, we analyze peak memory usage and trainable parameters to show the efficiency of PEFT. This work provides a comprehensive exploration of PEFT on APR and suggests potentially promising directions for extension to other software engineering downstream tasks. APR-INSTRUCTION, PEFT weights, and the fine-tuning code are publicly available as open-source resources.</x:v>
      </x:c>
      <x:c r="L461" s="17" t="str">
        <x:v>http://arxiv.org/abs/2406.05639v2</x:v>
      </x:c>
      <x:c r="M461" s="23" t="n">
        <x:v>0.014705882352941176</x:v>
      </x:c>
      <x:c r="N461" s="17" t="str">
        <x:v>arxiv-paper-eval-20260727-105551-results.jsonl</x:v>
      </x:c>
      <x:c r="O461" s="24" t="str">
        <x:v>2</x:v>
      </x:c>
      <x:c r="P461" s="28" t="str">
        <x:v>研究参数高效微调生成补丁并执行评测。</x:v>
      </x:c>
      <x:c r="Q461" s="25" t="str"/>
      <x:c r="R461" s="24" t="str">
        <x:f>IF(Q461&lt;&gt;"",Q461,O461)</x:f>
        <x:v>2</x:v>
      </x:c>
      <x:c r="S461" s="29" t="str"/>
    </x:row>
    <x:row r="462" ht="54" customHeight="1">
      <x:c r="A462" s="17" t="str">
        <x:v>csq024-r01</x:v>
      </x:c>
      <x:c r="B462" s="17" t="str">
        <x:v>csq024</x:v>
      </x:c>
      <x:c r="C462" s="17" t="str">
        <x:v>software_engineering</x:v>
      </x:c>
      <x:c r="D462" s="17" t="str">
        <x:v>code_generation</x:v>
      </x:c>
      <x:c r="E462" s="27" t="str">
        <x:v>How do execution-based, test-based, and model-based evaluation approaches for code generation compare?</x:v>
      </x:c>
      <x:c r="F462" s="22" t="n">
        <x:v>1</x:v>
      </x:c>
      <x:c r="G462" s="17" t="str">
        <x:v>arXiv:2404.00566</x:v>
      </x:c>
      <x:c r="H462" s="27" t="str">
        <x:v>CodeBenchGen: Creating Scalable Execution-based Code Generation Benchmarks</x:v>
      </x:c>
      <x:c r="I462" s="17" t="str">
        <x:v>Yiqing Xie; Alex Xie; Divyanshu Sheth; Pengfei Liu; Daniel Fried; Carolyn Rose</x:v>
      </x:c>
      <x:c r="J462" s="22" t="n">
        <x:v>2024</x:v>
      </x:c>
      <x:c r="K462" s="27" t="str">
        <x:v>To adequately test modern code generation systems, evaluation benchmarks must execute and test the code generated by the system. However, these execution and testing requirements have largely limited benchmarks to settings where code is easily executable or has human-written tests. To facilitate evaluation of code generation systems across diverse scenarios, we present CodeBenchGen, a framework to create scalable execution-based benchmarks from naturally occurring code sources. Specifically, we leverage a large language model (LLM) to sandbox arbitrary pieces of code into evaluation examples, including test cases for execution-based evaluation. We illustrate the usefulness of our framework by creating a dataset, Exec-CSN, which includes 1,931 examples involving 293 libraries converted from code in 367 GitHub repositories taken from the Code- SearchNet dataset. To demonstrate the solvability of examples in Exec-CSN, we present a human study demonstrating that 81.3% of the examples can be solved by humans and 61% are rated as "requires effort to solve". We conduct code generation experiments on open-source and proprietary models and analyze the performance of both humans and models. We provide code and data at: https://github.com/yiqingxyq/CodeBenchGen.</x:v>
      </x:c>
      <x:c r="L462" s="17" t="str">
        <x:v>http://arxiv.org/abs/2404.00566v4</x:v>
      </x:c>
      <x:c r="M462" s="23" t="n">
        <x:v>0.030834914611005692</x:v>
      </x:c>
      <x:c r="N462" s="17" t="str">
        <x:v>arxiv-paper-eval-20260727-105551-results.jsonl</x:v>
      </x:c>
      <x:c r="O462" s="24" t="str">
        <x:v>2</x:v>
      </x:c>
      <x:c r="P462" s="28" t="str">
        <x:v>直接构建可扩展执行与测试式代码生成基准。</x:v>
      </x:c>
      <x:c r="Q462" s="25" t="str"/>
      <x:c r="R462" s="24" t="str">
        <x:f>IF(Q462&lt;&gt;"",Q462,O462)</x:f>
        <x:v>2</x:v>
      </x:c>
      <x:c r="S462" s="29" t="str"/>
    </x:row>
    <x:row r="463" ht="54" customHeight="1">
      <x:c r="A463" s="17" t="str">
        <x:v>csq024-r02</x:v>
      </x:c>
      <x:c r="B463" s="17" t="str">
        <x:v>csq024</x:v>
      </x:c>
      <x:c r="C463" s="17" t="str">
        <x:v>software_engineering</x:v>
      </x:c>
      <x:c r="D463" s="17" t="str">
        <x:v>code_generation</x:v>
      </x:c>
      <x:c r="E463" s="27" t="str">
        <x:v>How do execution-based, test-based, and model-based evaluation approaches for code generation compare?</x:v>
      </x:c>
      <x:c r="F463" s="22" t="n">
        <x:v>2</x:v>
      </x:c>
      <x:c r="G463" s="17" t="str">
        <x:v>arXiv:2211.09374</x:v>
      </x:c>
      <x:c r="H463" s="27" t="str">
        <x:v>Execution-based Evaluation for Data Science Code Generation Models</x:v>
      </x:c>
      <x:c r="I463" s="17" t="str">
        <x:v>Junjie Huang; Chenglong Wang; Jipeng Zhang; Cong Yan; Haotian Cui; Jeevana Priya Inala; Colin Clement; Nan Duan; Jianfeng Gao</x:v>
      </x:c>
      <x:c r="J463" s="22" t="n">
        <x:v>2022</x:v>
      </x:c>
      <x:c r="K463" s="27" t="str">
        <x:v>Code generation models can benefit data scientists' productivity by automatically generating code from context and text descriptions. An important measure of the modeling progress is whether a model can generate code that can correctly execute to solve the task. However, due to the lack of an evaluation dataset that directly supports execution-based model evaluation, existing work relies on code surface form similarity metrics (e.g., BLEU, CodeBLEU) for model selection, which can be inaccurate. To remedy this, we introduce ExeDS, an evaluation dataset for execution evaluation for data science code generation tasks. ExeDS contains a set of 534 problems from Jupyter Notebooks, each consisting of code context, task description, reference program, and the desired execution output. With ExeDS, we evaluate the execution performance of five state-of-the-art code generation models that have achieved high surface-form evaluation scores. Our experiments show that models with high surface-form scores do not necessarily perform well on execution metrics, and execution-based metrics can better capture model code generation errors. Source code and data can be found at https://github.com/Jun-jie-Huang/ExeDS</x:v>
      </x:c>
      <x:c r="L463" s="17" t="str">
        <x:v>http://arxiv.org/abs/2211.09374v1</x:v>
      </x:c>
      <x:c r="M463" s="23" t="n">
        <x:v>0.03047794966520434</x:v>
      </x:c>
      <x:c r="N463" s="17" t="str">
        <x:v>arxiv-paper-eval-20260727-105551-results.jsonl</x:v>
      </x:c>
      <x:c r="O463" s="24" t="str">
        <x:v>2</x:v>
      </x:c>
      <x:c r="P463" s="28" t="str">
        <x:v>直接比较表面匹配指标与执行指标的有效性。</x:v>
      </x:c>
      <x:c r="Q463" s="25" t="str"/>
      <x:c r="R463" s="24" t="str">
        <x:f>IF(Q463&lt;&gt;"",Q463,O463)</x:f>
        <x:v>2</x:v>
      </x:c>
      <x:c r="S463" s="29" t="str"/>
    </x:row>
    <x:row r="464" ht="54" customHeight="1">
      <x:c r="A464" s="17" t="str">
        <x:v>csq024-r03</x:v>
      </x:c>
      <x:c r="B464" s="17" t="str">
        <x:v>csq024</x:v>
      </x:c>
      <x:c r="C464" s="17" t="str">
        <x:v>software_engineering</x:v>
      </x:c>
      <x:c r="D464" s="17" t="str">
        <x:v>code_generation</x:v>
      </x:c>
      <x:c r="E464" s="27" t="str">
        <x:v>How do execution-based, test-based, and model-based evaluation approaches for code generation compare?</x:v>
      </x:c>
      <x:c r="F464" s="22" t="n">
        <x:v>3</x:v>
      </x:c>
      <x:c r="G464" s="17" t="str">
        <x:v>arXiv:2408.13745</x:v>
      </x:c>
      <x:c r="H464" s="27" t="str">
        <x:v>DOCE: Finding the Sweet Spot for Execution-Based Code Generation</x:v>
      </x:c>
      <x:c r="I464" s="17" t="str">
        <x:v>Haau-Sing Li; Patrick Fernandes; Iryna Gurevych; André F. T. Martins</x:v>
      </x:c>
      <x:c r="J464" s="22" t="n">
        <x:v>2024</x:v>
      </x:c>
      <x:c r="K464" s="27" t="str">
        <x:v>Recently, a diverse set of decoding and reranking procedures have been shown effective for LLM-based code generation. However, a comprehensive framework that links and experimentally compares these methods is missing. We address this by proposing Decoding Objectives for Code Execution, a comprehensive framework that includes candidate generation, $n$-best reranking, minimum Bayes risk (MBR) decoding, and self-debugging as the core components. We then study the contributions of these components through execution-based evaluation metrics. Our findings highlight the importance of execution-based methods and the difference gap between execution-based and execution-free methods. Furthermore, we assess the impact of filtering based on trial unit tests, a simple and effective strategy that has been often overlooked in prior works. We also propose self-debugging on multiple candidates, obtaining state-of-the-art performance on reranking for code generation. We expect our framework to provide a solid guideline for future research on code generation.</x:v>
      </x:c>
      <x:c r="L464" s="17" t="str">
        <x:v>http://arxiv.org/abs/2408.13745v4</x:v>
      </x:c>
      <x:c r="M464" s="23" t="n">
        <x:v>0.029273504273504274</x:v>
      </x:c>
      <x:c r="N464" s="17" t="str">
        <x:v>arxiv-paper-eval-20260727-105551-results.jsonl</x:v>
      </x:c>
      <x:c r="O464" s="24" t="str">
        <x:v>2</x:v>
      </x:c>
      <x:c r="P464" s="28" t="str">
        <x:v>直接比较执行式与免执行式解码评测。</x:v>
      </x:c>
      <x:c r="Q464" s="25" t="str"/>
      <x:c r="R464" s="24" t="str">
        <x:f>IF(Q464&lt;&gt;"",Q464,O464)</x:f>
        <x:v>2</x:v>
      </x:c>
      <x:c r="S464" s="29" t="str"/>
    </x:row>
    <x:row r="465" ht="54" customHeight="1">
      <x:c r="A465" s="17" t="str">
        <x:v>csq024-r04</x:v>
      </x:c>
      <x:c r="B465" s="17" t="str">
        <x:v>csq024</x:v>
      </x:c>
      <x:c r="C465" s="17" t="str">
        <x:v>software_engineering</x:v>
      </x:c>
      <x:c r="D465" s="17" t="str">
        <x:v>code_generation</x:v>
      </x:c>
      <x:c r="E465" s="27" t="str">
        <x:v>How do execution-based, test-based, and model-based evaluation approaches for code generation compare?</x:v>
      </x:c>
      <x:c r="F465" s="22" t="n">
        <x:v>4</x:v>
      </x:c>
      <x:c r="G465" s="17" t="str">
        <x:v>arXiv:2301.09043</x:v>
      </x:c>
      <x:c r="H465" s="27" t="str">
        <x:v>CodeScore: Evaluating Code Generation by Learning Code Execution</x:v>
      </x:c>
      <x:c r="I465" s="17" t="str">
        <x:v>Yihong Dong; Jiazheng Ding; Xue Jiang; Ge Li; Zhuo Li; Zhi Jin</x:v>
      </x:c>
      <x:c r="J465" s="22" t="n">
        <x:v>2023</x:v>
      </x:c>
      <x:c r="K465" s="27" t="str">
        <x:v>A proper code evaluation metric (CEM) profoundly impacts the evolution of code generation, which is an important research field in NLP and software engineering. Prevailing match-based CEMs (e.g., BLEU, Accuracy, and CodeBLEU) suffer from two significant drawbacks. 1. They primarily measure the surface differences between codes without considering their functional equivalence. However, functional equivalence is pivotal in evaluating the effectiveness of code generation, as different codes can perform identical operations. 2. They are predominantly designed for the Ref-only input format. However, code evaluation necessitates versatility in input formats. Aside from Ref-only, there are NL-only and Ref\&amp;NL formats, which existing match-based CEMs cannot effectively accommodate. In this paper, we propose CodeScore, a large language model (LLM)-based CEM, which estimates the functional correctness of generated code on three input types. To acquire CodeScore, we present UniCE, a unified code generation learning framework, for LLMs to learn code execution (i.e., learning PassRatio and Executability of generated code) with unified input. Extensive experimental results on multiple code evaluation datasets demonstrate that CodeScore absolutely improves up to 58.87% correlation with functional correctness compared to other CEMs, achieves state-of-the-art performance, and effectively handles three input formats.</x:v>
      </x:c>
      <x:c r="L465" s="17" t="str">
        <x:v>http://arxiv.org/abs/2301.09043v4</x:v>
      </x:c>
      <x:c r="M465" s="23" t="n">
        <x:v>0.029206349206349208</x:v>
      </x:c>
      <x:c r="N465" s="17" t="str">
        <x:v>arxiv-paper-eval-20260727-105551-results.jsonl</x:v>
      </x:c>
      <x:c r="O465" s="24" t="str">
        <x:v>2</x:v>
      </x:c>
      <x:c r="P465" s="28" t="str">
        <x:v>提出模型式CodeScore并与匹配和功能正确性指标比较。</x:v>
      </x:c>
      <x:c r="Q465" s="25" t="str"/>
      <x:c r="R465" s="24" t="str">
        <x:f>IF(Q465&lt;&gt;"",Q465,O465)</x:f>
        <x:v>2</x:v>
      </x:c>
      <x:c r="S465" s="29" t="str"/>
    </x:row>
    <x:row r="466" ht="54" customHeight="1">
      <x:c r="A466" s="17" t="str">
        <x:v>csq024-r05</x:v>
      </x:c>
      <x:c r="B466" s="17" t="str">
        <x:v>csq024</x:v>
      </x:c>
      <x:c r="C466" s="17" t="str">
        <x:v>software_engineering</x:v>
      </x:c>
      <x:c r="D466" s="17" t="str">
        <x:v>code_generation</x:v>
      </x:c>
      <x:c r="E466" s="27" t="str">
        <x:v>How do execution-based, test-based, and model-based evaluation approaches for code generation compare?</x:v>
      </x:c>
      <x:c r="F466" s="22" t="n">
        <x:v>5</x:v>
      </x:c>
      <x:c r="G466" s="17" t="str">
        <x:v>arXiv:2504.15253</x:v>
      </x:c>
      <x:c r="H466" s="27" t="str">
        <x:v>Evaluating Judges as Evaluators: The JETTS Benchmark of LLM-as-Judges as Test-Time Scaling Evaluators</x:v>
      </x:c>
      <x:c r="I466" s="17" t="str">
        <x:v>Yilun Zhou; Austin Xu; Peifeng Wang; Caiming Xiong; Shafiq Joty</x:v>
      </x:c>
      <x:c r="J466" s="22" t="n">
        <x:v>2025</x:v>
      </x:c>
      <x:c r="K466" s="27" t="str">
        <x:v>Scaling test-time computation, or affording a generator large language model (LLM) extra compute during inference, typically employs the help of external non-generative evaluators (i.e., reward models). Concurrently, LLM-judges, models trained to generate evaluations and critiques (explanations) in natural language, are becoming increasingly popular in automatic evaluation. Despite judge empirical successes, their effectiveness as evaluators in test-time scaling settings is largely unknown. In this paper, we introduce the Judge Evaluation for Test-Time Scaling (JETTS) benchmark, which evaluates judge performance in three domains (math reasoning, code generation, and instruction following) under three task settings: response reranking, step-level beam search, and critique-based response refinement. We evaluate 10 different judge models (7B-70B parameters) for 8 different base generator models (6.7B-72B parameters). Our benchmark shows that while judges are competitive with outcome reward models in reranking, they are consistently worse than process reward models in beam search procedures. Furthermore, though unique to LLM-judges, their natural language critiques are currently ineffective in guiding the generator towards better responses.</x:v>
      </x:c>
      <x:c r="L466" s="17" t="str">
        <x:v>http://arxiv.org/abs/2504.15253v2</x:v>
      </x:c>
      <x:c r="M466" s="23" t="n">
        <x:v>0.028404512489927477</x:v>
      </x:c>
      <x:c r="N466" s="17" t="str">
        <x:v>arxiv-paper-eval-20260727-105551-results.jsonl</x:v>
      </x:c>
      <x:c r="O466" s="24" t="str">
        <x:v>2</x:v>
      </x:c>
      <x:c r="P466" s="28" t="str">
        <x:v>直接评测LLM裁判作为代码生成评价器的能力。</x:v>
      </x:c>
      <x:c r="Q466" s="25" t="str"/>
      <x:c r="R466" s="24" t="str">
        <x:f>IF(Q466&lt;&gt;"",Q466,O466)</x:f>
        <x:v>2</x:v>
      </x:c>
      <x:c r="S466" s="29" t="str"/>
    </x:row>
    <x:row r="467" ht="54" customHeight="1">
      <x:c r="A467" s="17" t="str">
        <x:v>csq024-r06</x:v>
      </x:c>
      <x:c r="B467" s="17" t="str">
        <x:v>csq024</x:v>
      </x:c>
      <x:c r="C467" s="17" t="str">
        <x:v>software_engineering</x:v>
      </x:c>
      <x:c r="D467" s="17" t="str">
        <x:v>code_generation</x:v>
      </x:c>
      <x:c r="E467" s="27" t="str">
        <x:v>How do execution-based, test-based, and model-based evaluation approaches for code generation compare?</x:v>
      </x:c>
      <x:c r="F467" s="22" t="n">
        <x:v>6</x:v>
      </x:c>
      <x:c r="G467" s="17" t="str">
        <x:v>arXiv:2410.04617</x:v>
      </x:c>
      <x:c r="H467" s="27" t="str">
        <x:v>Evaluation of Code LLMs on Geospatial Code Generation</x:v>
      </x:c>
      <x:c r="I467" s="17" t="str">
        <x:v>Piotr Gramacki; Bruno Martins; Piotr Szymański</x:v>
      </x:c>
      <x:c r="J467" s="22" t="n">
        <x:v>2024</x:v>
      </x:c>
      <x:c r="K467" s="27" t="str">
        <x:v>Software development support tools have been studied for a long time, with recent approaches using Large Language Models (LLMs) for code generation. These models can generate Python code for data science and machine learning applications. LLMs are helpful for software engineers because they increase productivity in daily work. An LLM can also serve as a "mentor" for inexperienced software developers, and be a viable learning support. High-quality code generation with LLMs can also be beneficial in geospatial data science. However, this domain poses different challenges, and code generation LLMs are typically not evaluated on geospatial tasks. Here, we show how we constructed an evaluation benchmark for code generation models, based on a selection of geospatial tasks. We categorised geospatial tasks based on their complexity and required tools. Then, we created a dataset with tasks that test model capabilities in spatial reasoning, spatial data processing, and geospatial tools usage. The dataset consists of specific coding problems that were manually created for high quality. For every problem, we proposed a set of test scenarios that make it possible to automatically check the generated code for correctness. In addition, we tested a selection of existing code generation LLMs for code generation in the geospatial domain. We share our dataset and reproducible evaluation code on a public GitHub repository, arguing that this can serve as an evaluation benchmark for new LLMs in the future. Our dataset will hopefully contribute to the development new models capable of solving geospatial coding tasks with high accuracy. These models will enable the creation of coding assistants tailored for geospatial applications.</x:v>
      </x:c>
      <x:c r="L467" s="17" t="str">
        <x:v>http://arxiv.org/abs/2410.04617v2</x:v>
      </x:c>
      <x:c r="M467" s="23" t="n">
        <x:v>0.02803921568627451</x:v>
      </x:c>
      <x:c r="N467" s="17" t="str">
        <x:v>arxiv-paper-eval-20260727-105551-results.jsonl</x:v>
      </x:c>
      <x:c r="O467" s="24" t="str">
        <x:v>1</x:v>
      </x:c>
      <x:c r="P467" s="28" t="str">
        <x:v>提供测试驱动的领域代码基准，但未比较三类评价路线。</x:v>
      </x:c>
      <x:c r="Q467" s="25" t="str"/>
      <x:c r="R467" s="24" t="str">
        <x:f>IF(Q467&lt;&gt;"",Q467,O467)</x:f>
        <x:v>1</x:v>
      </x:c>
      <x:c r="S467" s="29" t="str"/>
    </x:row>
    <x:row r="468" ht="54" customHeight="1">
      <x:c r="A468" s="17" t="str">
        <x:v>csq024-r07</x:v>
      </x:c>
      <x:c r="B468" s="17" t="str">
        <x:v>csq024</x:v>
      </x:c>
      <x:c r="C468" s="17" t="str">
        <x:v>software_engineering</x:v>
      </x:c>
      <x:c r="D468" s="17" t="str">
        <x:v>code_generation</x:v>
      </x:c>
      <x:c r="E468" s="27" t="str">
        <x:v>How do execution-based, test-based, and model-based evaluation approaches for code generation compare?</x:v>
      </x:c>
      <x:c r="F468" s="22" t="n">
        <x:v>7</x:v>
      </x:c>
      <x:c r="G468" s="17" t="str">
        <x:v>arXiv:2511.16787</x:v>
      </x:c>
      <x:c r="H468" s="27" t="str">
        <x:v>NALA_MAINZ at BLP-2025 Task 2: A Multi-agent Approach for Bangla Instruction to Python Code Generation</x:v>
      </x:c>
      <x:c r="I468" s="17" t="str">
        <x:v>Hossain Shaikh Saadi; Faria Alam; Mario Sanz-Guerrero; Minh Duc Bui; Manuel Mager; Katharina von der Wense</x:v>
      </x:c>
      <x:c r="J468" s="22" t="n">
        <x:v>2025</x:v>
      </x:c>
      <x:c r="K468" s="27" t="str">
        <x:v>This paper presents JGU Mainz's winning system for the BLP-2025 Shared Task on Code Generation from Bangla Instructions. We propose a multi-agent-based pipeline. First, a code-generation agent produces an initial solution from the input instruction. The candidate program is then executed against the provided unit tests (pytest-style, assert-based). Only the failing cases are forwarded to a debugger agent, which reruns the tests, extracts error traces, and, conditioning on the error messages, the current program, and the relevant test cases, generates a revised solution. Using this approach, our submission achieved first place in the shared task with a $Pass@1$ score of 95.4. We also make our code public.</x:v>
      </x:c>
      <x:c r="L468" s="17" t="str">
        <x:v>http://arxiv.org/abs/2511.16787v1</x:v>
      </x:c>
      <x:c r="M468" s="23" t="n">
        <x:v>0.01639344262295082</x:v>
      </x:c>
      <x:c r="N468" s="17" t="str">
        <x:v>arxiv-paper-eval-20260727-105551-results.jsonl</x:v>
      </x:c>
      <x:c r="O468" s="24" t="str">
        <x:v>1</x:v>
      </x:c>
      <x:c r="P468" s="28" t="str">
        <x:v>使用单元测试反馈生成代码，主要是系统方法而非评价比较。</x:v>
      </x:c>
      <x:c r="Q468" s="25" t="str"/>
      <x:c r="R468" s="24" t="str">
        <x:f>IF(Q468&lt;&gt;"",Q468,O468)</x:f>
        <x:v>1</x:v>
      </x:c>
      <x:c r="S468" s="29" t="str"/>
    </x:row>
    <x:row r="469" ht="54" customHeight="1">
      <x:c r="A469" s="17" t="str">
        <x:v>csq024-r08</x:v>
      </x:c>
      <x:c r="B469" s="17" t="str">
        <x:v>csq024</x:v>
      </x:c>
      <x:c r="C469" s="17" t="str">
        <x:v>software_engineering</x:v>
      </x:c>
      <x:c r="D469" s="17" t="str">
        <x:v>code_generation</x:v>
      </x:c>
      <x:c r="E469" s="27" t="str">
        <x:v>How do execution-based, test-based, and model-based evaluation approaches for code generation compare?</x:v>
      </x:c>
      <x:c r="F469" s="22" t="n">
        <x:v>8</x:v>
      </x:c>
      <x:c r="G469" s="17" t="str">
        <x:v>arXiv:2510.08665</x:v>
      </x:c>
      <x:c r="H469" s="27" t="str">
        <x:v>RA-Gen: A Controllable Code Generation Framework Using ReAct for Multi-Agent Task Execution</x:v>
      </x:c>
      <x:c r="I469" s="17" t="str">
        <x:v>Aofan Liu; Haoxuan Li; Bin Wang; Ao Yang; Hui Li</x:v>
      </x:c>
      <x:c r="J469" s="22" t="n">
        <x:v>2025</x:v>
      </x:c>
      <x:c r="K469" s="27" t="str">
        <x:v>Code generation models based on large language models (LLMs) have gained wide adoption, but challenges remain in ensuring safety, accuracy, and controllability, especially for complex tasks. Existing methods often lack dynamic integration of external tools, transparent reasoning, and user control over safety. To address these issues, we propose a controllable code generation framework utilizing the ReAct paradigm for multi-agent task execution. This framework is a multi-agent system designed to enable efficient, precise, and interpretable code generation through dynamic interactions between LLMs and external resources. The framework adopts a collaborative architecture comprising four specialized agents: a Planner for task decomposition, a Searcher that leverages the ReAct framework for reasoning and tool integration, a CodeGen agent for accurate code generation, and an Extractor for structured data retrieval. The ReAct-based Searcher alternates between generating reasoning traces and executing actions, facilitating seamless integration of internal knowledge with external tools (such as search engines) to enhance accuracy and user control. Experimental results show the framework's effectiveness across multiple languages, achieving a 94.8% security rate on the SVEN dataset with CodeQL, outperforming existing approaches. Its transparent reasoning process fosters user trust and improves controllability.</x:v>
      </x:c>
      <x:c r="L469" s="17" t="str">
        <x:v>http://arxiv.org/abs/2510.08665v1</x:v>
      </x:c>
      <x:c r="M469" s="23" t="n">
        <x:v>0.01639344262295082</x:v>
      </x:c>
      <x:c r="N469" s="17" t="str">
        <x:v>arxiv-paper-eval-20260727-105551-results.jsonl</x:v>
      </x:c>
      <x:c r="O469" s="24" t="str">
        <x:v>1</x:v>
      </x:c>
      <x:c r="P469" s="28" t="str">
        <x:v>用CodeQL评测生成代码安全性，提供单一评测实例。</x:v>
      </x:c>
      <x:c r="Q469" s="25" t="str"/>
      <x:c r="R469" s="24" t="str">
        <x:f>IF(Q469&lt;&gt;"",Q469,O469)</x:f>
        <x:v>1</x:v>
      </x:c>
      <x:c r="S469" s="29" t="str"/>
    </x:row>
    <x:row r="470" ht="54" customHeight="1">
      <x:c r="A470" s="17" t="str">
        <x:v>csq024-r09</x:v>
      </x:c>
      <x:c r="B470" s="17" t="str">
        <x:v>csq024</x:v>
      </x:c>
      <x:c r="C470" s="17" t="str">
        <x:v>software_engineering</x:v>
      </x:c>
      <x:c r="D470" s="17" t="str">
        <x:v>code_generation</x:v>
      </x:c>
      <x:c r="E470" s="27" t="str">
        <x:v>How do execution-based, test-based, and model-based evaluation approaches for code generation compare?</x:v>
      </x:c>
      <x:c r="F470" s="22" t="n">
        <x:v>9</x:v>
      </x:c>
      <x:c r="G470" s="17" t="str">
        <x:v>arXiv:2505.21514</x:v>
      </x:c>
      <x:c r="H470" s="27" t="str">
        <x:v>SIMCOPILOT: Evaluating Large Language Models for Copilot-Style Code Generation</x:v>
      </x:c>
      <x:c r="I470" s="17" t="str">
        <x:v>Mingchao Jiang; Abhinav Jain; Sophia Zorek; Chris Jermaine</x:v>
      </x:c>
      <x:c r="J470" s="22" t="n">
        <x:v>2025</x:v>
      </x:c>
      <x:c r="K470" s="27" t="str">
        <x:v>We introduce SIMCOPILOT, a benchmark that simulates the role of large language models (LLMs) as interactive, "copilot"-style coding assistants. Targeting both completion (finishing incomplete methods or code blocks) and infill tasks (filling missing segments within existing code), SIMCOPILOT provides a comprehensive framework for evaluating LLM coding capabilities. The benchmark comprises dedicated sub-benchmarks for Java (SIMCOPILOTJ) and Python (SIMCOPILOTP), covering diverse codebases varying in size and complexity. Our key contributions include: (a) establishing a realistic, detailed evaluation environment to assess LLM utility in practical coding scenarios, and (b) providing fine-grained analyses that address critical factors frequently overlooked by existing benchmarks, such as task-specific performance nuances, contextual understanding across code segments, and sensitivity to variable scope. Evaluations conducted across domains-including algorithms, databases, computer vision, and neural networks-offer insights into model strengths and highlight persistent challenges in maintaining logical consistency within complex dependency structures. Beyond benchmarking, our study sheds light on the current limitations of LLM-driven code generation and underscores the ongoing transition of LLMs from merely syntax-aware generators toward reliable, intelligent software development partners.</x:v>
      </x:c>
      <x:c r="L470" s="17" t="str">
        <x:v>http://arxiv.org/abs/2505.21514v1</x:v>
      </x:c>
      <x:c r="M470" s="23" t="n">
        <x:v>0.01639344262295082</x:v>
      </x:c>
      <x:c r="N470" s="17" t="str">
        <x:v>arxiv-paper-eval-20260727-105551-results.jsonl</x:v>
      </x:c>
      <x:c r="O470" s="24" t="str">
        <x:v>1</x:v>
      </x:c>
      <x:c r="P470" s="28" t="str">
        <x:v>提出代码补全基准，但摘要未比较执行、测试和模型评价。</x:v>
      </x:c>
      <x:c r="Q470" s="25" t="str"/>
      <x:c r="R470" s="24" t="str">
        <x:f>IF(Q470&lt;&gt;"",Q470,O470)</x:f>
        <x:v>1</x:v>
      </x:c>
      <x:c r="S470" s="29" t="str"/>
    </x:row>
    <x:row r="471" ht="54" customHeight="1">
      <x:c r="A471" s="17" t="str">
        <x:v>csq024-r10</x:v>
      </x:c>
      <x:c r="B471" s="17" t="str">
        <x:v>csq024</x:v>
      </x:c>
      <x:c r="C471" s="17" t="str">
        <x:v>software_engineering</x:v>
      </x:c>
      <x:c r="D471" s="17" t="str">
        <x:v>code_generation</x:v>
      </x:c>
      <x:c r="E471" s="27" t="str">
        <x:v>How do execution-based, test-based, and model-based evaluation approaches for code generation compare?</x:v>
      </x:c>
      <x:c r="F471" s="22" t="n">
        <x:v>10</x:v>
      </x:c>
      <x:c r="G471" s="17" t="str">
        <x:v>arXiv:2508.00013</x:v>
      </x:c>
      <x:c r="H471" s="27" t="str">
        <x:v>From Provable Correctness to Probabilistic Generation: A Comparative Review of Program Synthesis Paradigms</x:v>
      </x:c>
      <x:c r="I471" s="17" t="str">
        <x:v>Zurabi Kobaladze; Anna Arnania; Tamar Sanikidze</x:v>
      </x:c>
      <x:c r="J471" s="22" t="n">
        <x:v>2025</x:v>
      </x:c>
      <x:c r="K471" s="27" t="str">
        <x:v>Program synthesis--the automated generation of executable code from high-level specifications--has been a central goal of computer science for over fifty years. This thesis provides a comparative literature review of the main paradigms that have shaped the field, tracing its evolution from formal logic based methods to recent advances using large scale neural models. We examine five key approaches: logic based (deductive) synthesis, inductive (example based) synthesis, sketch/schema based synthesis, large language model based synthesis, and neuro-symbolic hybrids. For each, we analyze foundational principles, notable systems, and practical applications, highlighting trade offs between correctness guarantees, specification requirements, search complexity, and expressive power. By reviewing developments from formally verified synthesis tools such as KIDS and Coq to data driven models generating probabilistic code from natural language like Codex, we present a comprehensive narrative of progress and ongoing challenges. This work emphasizes the transition from symbolic to hybrid neuro-symbolic methods and outlines future directions for reliable and scalable program synthesis.</x:v>
      </x:c>
      <x:c r="L471" s="17" t="str">
        <x:v>http://arxiv.org/abs/2508.00013v1</x:v>
      </x:c>
      <x:c r="M471" s="23" t="n">
        <x:v>0.016129032258064516</x:v>
      </x:c>
      <x:c r="N471" s="17" t="str">
        <x:v>arxiv-paper-eval-20260727-105551-results.jsonl</x:v>
      </x:c>
      <x:c r="O471" s="24" t="str">
        <x:v>0</x:v>
      </x:c>
      <x:c r="P471" s="28" t="str">
        <x:v>比较程序合成范式而非代码生成评价方法。</x:v>
      </x:c>
      <x:c r="Q471" s="25" t="str"/>
      <x:c r="R471" s="24" t="str">
        <x:f>IF(Q471&lt;&gt;"",Q471,O471)</x:f>
        <x:v>0</x:v>
      </x:c>
      <x:c r="S471" s="29" t="str"/>
    </x:row>
    <x:row r="472" ht="54" customHeight="1">
      <x:c r="A472" s="17" t="str">
        <x:v>csq024-r11</x:v>
      </x:c>
      <x:c r="B472" s="17" t="str">
        <x:v>csq024</x:v>
      </x:c>
      <x:c r="C472" s="17" t="str">
        <x:v>software_engineering</x:v>
      </x:c>
      <x:c r="D472" s="17" t="str">
        <x:v>code_generation</x:v>
      </x:c>
      <x:c r="E472" s="27" t="str">
        <x:v>How do execution-based, test-based, and model-based evaluation approaches for code generation compare?</x:v>
      </x:c>
      <x:c r="F472" s="22" t="n">
        <x:v>11</x:v>
      </x:c>
      <x:c r="G472" s="17" t="str">
        <x:v>arXiv:2511.04355</x:v>
      </x:c>
      <x:c r="H472" s="27" t="str">
        <x:v>Where Do LLMs Still Struggle? An In-Depth Analysis of Code Generation Benchmarks</x:v>
      </x:c>
      <x:c r="I472" s="17" t="str">
        <x:v>Amir Molzam Sharifloo; Maedeh Heydari; Parsa Kazerooni; Daniel Maninger; Mira Mezini</x:v>
      </x:c>
      <x:c r="J472" s="22" t="n">
        <x:v>2025</x:v>
      </x:c>
      <x:c r="K472" s="27" t="str">
        <x:v>Large Language Models (LLMs) have achieved remarkable success in code generation, and the race to improve their performance has become a central focus of AI research. Benchmarks and leaderboards are increasingly popular, offering quantitative rankings of LLMs. However, they provide limited insight into the tasks that LLMs consistently fail to solve - information that is crucial for understanding current limitations and guiding the development of more capable models. To address this gap, we examined code generation tasks across four popular benchmarks, identifying those that major LLMs are most likely to fail. To understand the causes of these failures, we investigated whether the static complexity of solution code contributes to them, followed by a systematic inspection of 114 tasks that LLMs consistently struggled with. Our analysis revealed four recurring patterns of weaknesses in LLMs, as well as common complications within benchmark tasks that most often lead to failure.</x:v>
      </x:c>
      <x:c r="L472" s="17" t="str">
        <x:v>http://arxiv.org/abs/2511.04355v1</x:v>
      </x:c>
      <x:c r="M472" s="23" t="n">
        <x:v>0.016129032258064516</x:v>
      </x:c>
      <x:c r="N472" s="17" t="str">
        <x:v>arxiv-paper-eval-20260727-105551-results.jsonl</x:v>
      </x:c>
      <x:c r="O472" s="24" t="str">
        <x:v>1</x:v>
      </x:c>
      <x:c r="P472" s="28" t="str">
        <x:v>分析代码生成基准失败任务，可作评价背景。</x:v>
      </x:c>
      <x:c r="Q472" s="25" t="str"/>
      <x:c r="R472" s="24" t="str">
        <x:f>IF(Q472&lt;&gt;"",Q472,O472)</x:f>
        <x:v>1</x:v>
      </x:c>
      <x:c r="S472" s="29" t="str"/>
    </x:row>
    <x:row r="473" ht="54" customHeight="1">
      <x:c r="A473" s="17" t="str">
        <x:v>csq024-r12</x:v>
      </x:c>
      <x:c r="B473" s="17" t="str">
        <x:v>csq024</x:v>
      </x:c>
      <x:c r="C473" s="17" t="str">
        <x:v>software_engineering</x:v>
      </x:c>
      <x:c r="D473" s="17" t="str">
        <x:v>code_generation</x:v>
      </x:c>
      <x:c r="E473" s="27" t="str">
        <x:v>How do execution-based, test-based, and model-based evaluation approaches for code generation compare?</x:v>
      </x:c>
      <x:c r="F473" s="22" t="n">
        <x:v>12</x:v>
      </x:c>
      <x:c r="G473" s="17" t="str">
        <x:v>arXiv:2408.07846</x:v>
      </x:c>
      <x:c r="H473" s="27" t="str">
        <x:v>A System for Automated Unit Test Generation Using Large Language Models and Assessment of Generated Test Suites</x:v>
      </x:c>
      <x:c r="I473" s="17" t="str">
        <x:v>Andrea Lops; Fedelucio Narducci; Azzurra Ragone; Michelantonio Trizio; Claudio Bartolini</x:v>
      </x:c>
      <x:c r="J473" s="22" t="n">
        <x:v>2024</x:v>
      </x:c>
      <x:c r="K473" s="27" t="str">
        <x:v>Unit tests represent the most basic level of testing within the software testing lifecycle and are crucial to ensuring software correctness. Designing and creating unit tests is a costly and labor-intensive process that is ripe for automation. Recently, Large Language Models (LLMs) have been applied to various aspects of software development, including unit test generation. Although several empirical studies evaluating LLMs' capabilities in test code generation exist, they primarily focus on simple scenarios, such as the straightforward generation of unit tests for individual methods. These evaluations often involve independent and small-scale test units, providing a limited view of LLMs' performance in real-world software development scenarios. Moreover, previous studies do not approach the problem at a suitable scale for real-life applications. Generated unit tests are often evaluated via manual integration into the original projects, a process that limits the number of tests executed and reduces overall efficiency. To address these gaps, we have developed an approach for generating and evaluating more real-life complexity test suites. Our approach focuses on class-level test code generation and automates the entire process from test generation to test assessment. In this work, we present AgoneTest: an automated system for generating test suites for Java projects and a comprehensive and principled methodology for evaluating the generated test suites. Starting from a state-of-the-art dataset (i.e., Methods2Test), we built a new dataset for comparing human-written tests with those generated by LLMs. Our key contributions include a scalable automated software system, a new dataset, and a detailed methodology for evaluating test quality.</x:v>
      </x:c>
      <x:c r="L473" s="17" t="str">
        <x:v>http://arxiv.org/abs/2408.07846v2</x:v>
      </x:c>
      <x:c r="M473" s="23" t="n">
        <x:v>0.016129032258064516</x:v>
      </x:c>
      <x:c r="N473" s="17" t="str">
        <x:v>arxiv-paper-eval-20260727-105551-results.jsonl</x:v>
      </x:c>
      <x:c r="O473" s="24" t="str">
        <x:v>0</x:v>
      </x:c>
      <x:c r="P473" s="28" t="str">
        <x:v>评测对象是生成的单元测试套件，不是一般代码生成结果。</x:v>
      </x:c>
      <x:c r="Q473" s="25" t="str"/>
      <x:c r="R473" s="24" t="str">
        <x:f>IF(Q473&lt;&gt;"",Q473,O473)</x:f>
        <x:v>0</x:v>
      </x:c>
      <x:c r="S473" s="29" t="str"/>
    </x:row>
    <x:row r="474" ht="54" customHeight="1">
      <x:c r="A474" s="17" t="str">
        <x:v>csq024-r13</x:v>
      </x:c>
      <x:c r="B474" s="17" t="str">
        <x:v>csq024</x:v>
      </x:c>
      <x:c r="C474" s="17" t="str">
        <x:v>software_engineering</x:v>
      </x:c>
      <x:c r="D474" s="17" t="str">
        <x:v>code_generation</x:v>
      </x:c>
      <x:c r="E474" s="27" t="str">
        <x:v>How do execution-based, test-based, and model-based evaluation approaches for code generation compare?</x:v>
      </x:c>
      <x:c r="F474" s="22" t="n">
        <x:v>13</x:v>
      </x:c>
      <x:c r="G474" s="17" t="str">
        <x:v>arXiv:2506.10948</x:v>
      </x:c>
      <x:c r="H474" s="27" t="str">
        <x:v>Execution Guided Line-by-Line Code Generation</x:v>
      </x:c>
      <x:c r="I474" s="17" t="str">
        <x:v>Boaz Lavon; Shahar Katz; Lior Wolf</x:v>
      </x:c>
      <x:c r="J474" s="22" t="n">
        <x:v>2025</x:v>
      </x:c>
      <x:c r="K474" s="27" t="str">
        <x:v>We present a novel approach to neural code generation that incorporates real-time execution signals into the language model generation process. While large language models (LLMs) have demonstrated impressive code generation capabilities, they typically do not utilize execution feedback during inference, a critical signal that human programmers regularly leverage. Our method, Execution-Guided Classifier-Free Guidance (EG-CFG), dynamically incorporates execution signals as the model generates code, providing line-by-line feedback that guides the generation process toward executable solutions. EG-CFG employs a multi-stage process: first, we conduct beam search to sample candidate program completions for each line; second, we extract execution signals by executing these candidates against test cases; and finally, we incorporate these signals into the prompt during generation. By maintaining consistent signals across tokens within the same line and refreshing signals at line boundaries, our approach provides coherent guidance while preserving syntactic structure. Moreover, the method naturally supports native parallelism at the task level in which multiple agents operate in parallel, exploring diverse reasoning paths and collectively generating a broad set of candidate solutions. Our experiments across diverse coding tasks demonstrate that EG-CFG significantly improves code generation performance compared to standard approaches, achieving state-of-the-art results across various levels of complexity, from foundational problems to challenging competitive programming and data science tasks. Our code is available at: https://github.com/boazlavon/eg_cfg</x:v>
      </x:c>
      <x:c r="L474" s="17" t="str">
        <x:v>http://arxiv.org/abs/2506.10948v2</x:v>
      </x:c>
      <x:c r="M474" s="23" t="n">
        <x:v>0.015873015873015872</x:v>
      </x:c>
      <x:c r="N474" s="17" t="str">
        <x:v>arxiv-paper-eval-20260727-105551-results.jsonl</x:v>
      </x:c>
      <x:c r="O474" s="24" t="str">
        <x:v>1</x:v>
      </x:c>
      <x:c r="P474" s="28" t="str">
        <x:v>用执行测试信号指导生成，与执行评测相关但不比较评价路线。</x:v>
      </x:c>
      <x:c r="Q474" s="25" t="str"/>
      <x:c r="R474" s="24" t="str">
        <x:f>IF(Q474&lt;&gt;"",Q474,O474)</x:f>
        <x:v>1</x:v>
      </x:c>
      <x:c r="S474" s="29" t="str"/>
    </x:row>
    <x:row r="475" ht="54" customHeight="1">
      <x:c r="A475" s="17" t="str">
        <x:v>csq024-r14</x:v>
      </x:c>
      <x:c r="B475" s="17" t="str">
        <x:v>csq024</x:v>
      </x:c>
      <x:c r="C475" s="17" t="str">
        <x:v>software_engineering</x:v>
      </x:c>
      <x:c r="D475" s="17" t="str">
        <x:v>code_generation</x:v>
      </x:c>
      <x:c r="E475" s="27" t="str">
        <x:v>How do execution-based, test-based, and model-based evaluation approaches for code generation compare?</x:v>
      </x:c>
      <x:c r="F475" s="22" t="n">
        <x:v>14</x:v>
      </x:c>
      <x:c r="G475" s="17" t="str">
        <x:v>arXiv:2503.18460</x:v>
      </x:c>
      <x:c r="H475" s="27" t="str">
        <x:v>ModiGen: A Large Language Model-Based Workflow for Multi-Task Modelica Code Generation</x:v>
      </x:c>
      <x:c r="I475" s="17" t="str">
        <x:v>Jiahui Xiang; Tong Ye; Peiyu Liu; Yinan Zhang; Wenhai Wang</x:v>
      </x:c>
      <x:c r="J475" s="22" t="n">
        <x:v>2025</x:v>
      </x:c>
      <x:c r="K475" s="27" t="str">
        <x:v>Modelica is a widely adopted language for simulating complex physical systems, yet effective model creation and optimization require substantial domain expertise. Although large language models (LLMs) have demonstrated promising capabilities in code generation, their application to modeling remains largely unexplored. To address this gap, we have developed benchmark datasets specifically designed to evaluate the performance of LLMs in generating Modelica component models and test cases. Our evaluation reveals substantial limitations in current LLMs, as the generated code often fails to simulate successfully. To overcome these challenges, we propose a specialized workflow that integrates supervised fine-tuning, graph retrieval-augmented generation, and feedback optimization to improve the accuracy and reliability of Modelica code generation. The evaluation results demonstrate significant performance gains: the maximum improvement in pass@1 reached 0.3349 for the component generation task and 0.2457 for the test case generation task. This research underscores the potential of LLMs to advance intelligent modeling tools and offers valuable insights for future developments in system modeling and engineering applications.</x:v>
      </x:c>
      <x:c r="L475" s="17" t="str">
        <x:v>http://arxiv.org/abs/2503.18460v1</x:v>
      </x:c>
      <x:c r="M475" s="23" t="n">
        <x:v>0.015873015873015872</x:v>
      </x:c>
      <x:c r="N475" s="17" t="str">
        <x:v>arxiv-paper-eval-20260727-105551-results.jsonl</x:v>
      </x:c>
      <x:c r="O475" s="24" t="str">
        <x:v>1</x:v>
      </x:c>
      <x:c r="P475" s="28" t="str">
        <x:v>用仿真和Pass@1评价Modelica代码，属具体评测实例。</x:v>
      </x:c>
      <x:c r="Q475" s="25" t="str"/>
      <x:c r="R475" s="24" t="str">
        <x:f>IF(Q475&lt;&gt;"",Q475,O475)</x:f>
        <x:v>1</x:v>
      </x:c>
      <x:c r="S475" s="29" t="str"/>
    </x:row>
    <x:row r="476" ht="54" customHeight="1">
      <x:c r="A476" s="17" t="str">
        <x:v>csq024-r15</x:v>
      </x:c>
      <x:c r="B476" s="17" t="str">
        <x:v>csq024</x:v>
      </x:c>
      <x:c r="C476" s="17" t="str">
        <x:v>software_engineering</x:v>
      </x:c>
      <x:c r="D476" s="17" t="str">
        <x:v>code_generation</x:v>
      </x:c>
      <x:c r="E476" s="27" t="str">
        <x:v>How do execution-based, test-based, and model-based evaluation approaches for code generation compare?</x:v>
      </x:c>
      <x:c r="F476" s="22" t="n">
        <x:v>15</x:v>
      </x:c>
      <x:c r="G476" s="17" t="str">
        <x:v>arXiv:2508.13757</x:v>
      </x:c>
      <x:c r="H476" s="27" t="str">
        <x:v>COMPASS: A Multi-Dimensional Benchmark for Evaluating Code Generation in Large Language Models</x:v>
      </x:c>
      <x:c r="I476" s="17" t="str">
        <x:v>James Meaden; Michał Jarosz; Piotr Jodłowski; Grigori Melnik</x:v>
      </x:c>
      <x:c r="J476" s="22" t="n">
        <x:v>2025</x:v>
      </x:c>
      <x:c r="K476" s="27" t="str">
        <x:v>Current code generation benchmarks focus primarily on functional correctness while overlooking two critical aspects of real-world programming: algorithmic efficiency and code quality. We introduce COMPASS (COdility's Multi-dimensional Programming ASSessment), a comprehensive evaluation framework that assesses code generation across three dimensions: correctness, efficiency, and quality. COMPASS consists of 50 competitive programming problems from real Codility competitions, providing authentic human baselines from 393,150 submissions. Unlike existing benchmarks that treat algorithmically inefficient solutions identically to optimal ones provided they pass test cases, COMPASS systematically evaluates runtime efficiency and code quality using industry-standard analysis tools. Our evaluation of three leading reasoning-enhanced models, Anthropic Claude Opus 4, Google Gemini 2.5 Pro, and OpenAI O4-Mini-High, reveals that models achieving high correctness scores do not necessarily produce efficient algorithms or maintainable code. These findings highlight the importance of evaluating more than just correctness to truly understand the real-world capabilities of code generation models. COMPASS serves as a guiding framework, charting a path for future research toward AI systems that are robust, reliable, and ready for production use.</x:v>
      </x:c>
      <x:c r="L476" s="17" t="str">
        <x:v>http://arxiv.org/abs/2508.13757v1</x:v>
      </x:c>
      <x:c r="M476" s="23" t="n">
        <x:v>0.015873015873015872</x:v>
      </x:c>
      <x:c r="N476" s="17" t="str">
        <x:v>arxiv-paper-eval-20260727-105551-results.jsonl</x:v>
      </x:c>
      <x:c r="O476" s="24" t="str">
        <x:v>2</x:v>
      </x:c>
      <x:c r="P476" s="28" t="str">
        <x:v>直接提出正确性、效率和质量多维代码生成评价。</x:v>
      </x:c>
      <x:c r="Q476" s="25" t="str"/>
      <x:c r="R476" s="24" t="str">
        <x:f>IF(Q476&lt;&gt;"",Q476,O476)</x:f>
        <x:v>2</x:v>
      </x:c>
      <x:c r="S476" s="29" t="str"/>
    </x:row>
    <x:row r="477" ht="54" customHeight="1">
      <x:c r="A477" s="17" t="str">
        <x:v>csq024-r16</x:v>
      </x:c>
      <x:c r="B477" s="17" t="str">
        <x:v>csq024</x:v>
      </x:c>
      <x:c r="C477" s="17" t="str">
        <x:v>software_engineering</x:v>
      </x:c>
      <x:c r="D477" s="17" t="str">
        <x:v>code_generation</x:v>
      </x:c>
      <x:c r="E477" s="27" t="str">
        <x:v>How do execution-based, test-based, and model-based evaluation approaches for code generation compare?</x:v>
      </x:c>
      <x:c r="F477" s="22" t="n">
        <x:v>16</x:v>
      </x:c>
      <x:c r="G477" s="17" t="str">
        <x:v>arXiv:2503.10452</x:v>
      </x:c>
      <x:c r="H477" s="27" t="str">
        <x:v>DynaCode: A Dynamic Complexity-Aware Code Benchmark for Evaluating Large Language Models in Code Generation</x:v>
      </x:c>
      <x:c r="I477" s="17" t="str">
        <x:v>Wenhao Hu; Jinhao Duan; Chunchen Wei; Li Zhang; Yue Zhang; Kaidi Xu</x:v>
      </x:c>
      <x:c r="J477" s="22" t="n">
        <x:v>2025</x:v>
      </x:c>
      <x:c r="K477" s="27" t="str">
        <x:v>The rapid advancement of large language models (LLMs) has significantly improved their performance in code generation tasks. However, existing code benchmarks remain static, consisting of fixed datasets with predefined problems. This makes them vulnerable to memorization during training, where LLMs recall specific test cases instead of generalizing to new problems, leading to data contamination and unreliable evaluation results. To address these issues, we introduce DynaCode, a dynamic, complexity-aware benchmark that overcomes the limitations of static datasets. DynaCode evaluates LLMs systematically using a complexity-aware metric, incorporating both code complexity and call-graph structures. DynaCode achieves large-scale diversity, generating up to 189 million unique nested code problems across four distinct levels of code complexity, referred to as units, and 16 types of call graphs. Results on 12 latest LLMs show an average performance drop of 16.8% to 45.7% compared to MBPP+, a static code generation benchmark, with performance progressively decreasing as complexity increases. This demonstrates DynaCode's ability to effectively differentiate LLMs. Additionally, by leveraging call graphs, we gain insights into LLM behavior, particularly their preference for handling subfunction interactions within nested code. Our benchmark and evaluation code are available at https://github.com/HWH-2000/DynaCode.</x:v>
      </x:c>
      <x:c r="L477" s="17" t="str">
        <x:v>http://arxiv.org/abs/2503.10452v2</x:v>
      </x:c>
      <x:c r="M477" s="23" t="n">
        <x:v>0.015625</x:v>
      </x:c>
      <x:c r="N477" s="17" t="str">
        <x:v>arxiv-paper-eval-20260727-105551-results.jsonl</x:v>
      </x:c>
      <x:c r="O477" s="24" t="str">
        <x:v>1</x:v>
      </x:c>
      <x:c r="P477" s="28" t="str">
        <x:v>提出动态复杂度基准和指标，提供评价方案但未横向比较三类。</x:v>
      </x:c>
      <x:c r="Q477" s="25" t="str"/>
      <x:c r="R477" s="24" t="str">
        <x:f>IF(Q477&lt;&gt;"",Q477,O477)</x:f>
        <x:v>1</x:v>
      </x:c>
      <x:c r="S477" s="29" t="str"/>
    </x:row>
    <x:row r="478" ht="54" customHeight="1">
      <x:c r="A478" s="17" t="str">
        <x:v>csq024-r17</x:v>
      </x:c>
      <x:c r="B478" s="17" t="str">
        <x:v>csq024</x:v>
      </x:c>
      <x:c r="C478" s="17" t="str">
        <x:v>software_engineering</x:v>
      </x:c>
      <x:c r="D478" s="17" t="str">
        <x:v>code_generation</x:v>
      </x:c>
      <x:c r="E478" s="27" t="str">
        <x:v>How do execution-based, test-based, and model-based evaluation approaches for code generation compare?</x:v>
      </x:c>
      <x:c r="F478" s="22" t="n">
        <x:v>17</x:v>
      </x:c>
      <x:c r="G478" s="17" t="str">
        <x:v>arXiv:2402.16906</x:v>
      </x:c>
      <x:c r="H478" s="27" t="str">
        <x:v>Debug like a Human: A Large Language Model Debugger via Verifying Runtime Execution Step-by-step</x:v>
      </x:c>
      <x:c r="I478" s="17" t="str">
        <x:v>Li Zhong; Zilong Wang; Jingbo Shang</x:v>
      </x:c>
      <x:c r="J478" s="22" t="n">
        <x:v>2024</x:v>
      </x:c>
      <x:c r="K478" s="27" t="str">
        <x:v>Large language models (LLMs) are leading significant progress in code generation. Beyond one-pass code generation, recent works further integrate unit tests and program verifiers into LLMs to iteratively refine the generated programs. However, these works consider the generated programs as an indivisible entity, which falls short for LLMs in debugging the programs, especially when the programs contain complex logic flows and data operations. In contrast, when human developers debug programs, they typically set breakpoints and selectively examine runtime execution information. The execution flow and the intermediate variables play a crucial role in the debugging process, yet they are underutilized in the existing literature on code generation. In this study, we introduce Large Language Model Debugger (LDB), a novel debugging framework that enables LLMs to refine their generated programs with the runtime execution information. Specifically, LDB segments the programs into basic blocks and tracks the values of intermediate variables after each block throughout the runtime execution. This allows LLMs to concentrate on simpler code units within the overall execution flow, verify their correctness against the task description block by block, and efficiently pinpoint any potential errors. Experiments demonstrate that LDB consistently enhances the baseline performance by up to 9.8% across the HumanEval, MBPP, and TransCoder benchmarks, archiving new state-of-the-art performance in code debugging for various LLM selections.</x:v>
      </x:c>
      <x:c r="L478" s="17" t="str">
        <x:v>http://arxiv.org/abs/2402.16906v6</x:v>
      </x:c>
      <x:c r="M478" s="23" t="n">
        <x:v>0.015625</x:v>
      </x:c>
      <x:c r="N478" s="17" t="str">
        <x:v>arxiv-paper-eval-20260727-105551-results.jsonl</x:v>
      </x:c>
      <x:c r="O478" s="24" t="str">
        <x:v>1</x:v>
      </x:c>
      <x:c r="P478" s="28" t="str">
        <x:v>运行时逐块验证生成代码，提供执行验证证据。</x:v>
      </x:c>
      <x:c r="Q478" s="25" t="str"/>
      <x:c r="R478" s="24" t="str">
        <x:f>IF(Q478&lt;&gt;"",Q478,O478)</x:f>
        <x:v>1</x:v>
      </x:c>
      <x:c r="S478" s="29" t="str"/>
    </x:row>
    <x:row r="479" ht="54" customHeight="1">
      <x:c r="A479" s="17" t="str">
        <x:v>csq024-r18</x:v>
      </x:c>
      <x:c r="B479" s="17" t="str">
        <x:v>csq024</x:v>
      </x:c>
      <x:c r="C479" s="17" t="str">
        <x:v>software_engineering</x:v>
      </x:c>
      <x:c r="D479" s="17" t="str">
        <x:v>code_generation</x:v>
      </x:c>
      <x:c r="E479" s="27" t="str">
        <x:v>How do execution-based, test-based, and model-based evaluation approaches for code generation compare?</x:v>
      </x:c>
      <x:c r="F479" s="22" t="n">
        <x:v>18</x:v>
      </x:c>
      <x:c r="G479" s="17" t="str">
        <x:v>arXiv:2303.05510</x:v>
      </x:c>
      <x:c r="H479" s="27" t="str">
        <x:v>Planning with Large Language Models for Code Generation</x:v>
      </x:c>
      <x:c r="I479" s="17" t="str">
        <x:v>Shun Zhang; Zhenfang Chen; Yikang Shen; Mingyu Ding; Joshua B. Tenenbaum; Chuang Gan</x:v>
      </x:c>
      <x:c r="J479" s="22" t="n">
        <x:v>2023</x:v>
      </x:c>
      <x:c r="K479" s="27" t="str">
        <x:v>Existing large language model-based code generation pipelines typically use beam search or sampling algorithms during the decoding process. Although the programs they generate achieve high token-matching-based scores, they often fail to compile or generate incorrect outputs. The main reason is that conventional Transformer decoding algorithms may not be the best choice for code generation. In this work, we propose a novel Transformer decoding algorithm, Planning-Guided Transformer Decoding (PG-TD), that uses a planning algorithm to do lookahead search and guide the Transformer to generate better programs. Specifically, instead of simply optimizing the likelihood of the generated sequences, the Transformer makes use of a planner to generate candidate programs and test them on public test cases. The Transformer can therefore make more informed decisions and generate tokens that will eventually lead to higher-quality programs. We also design a mechanism that shares information between the Transformer and the planner to make our algorithm computationally efficient. We empirically evaluate our framework with several large language models as backbones on public coding challenge benchmarks, showing that 1) it can generate programs that consistently achieve higher performance compared with competing baseline methods; 2) it enables controllable code generation, such as concise codes and highly-commented codes by optimizing modified objective.</x:v>
      </x:c>
      <x:c r="L479" s="17" t="str">
        <x:v>http://arxiv.org/abs/2303.05510v1</x:v>
      </x:c>
      <x:c r="M479" s="23" t="n">
        <x:v>0.015625</x:v>
      </x:c>
      <x:c r="N479" s="17" t="str">
        <x:v>arxiv-paper-eval-20260727-105551-results.jsonl</x:v>
      </x:c>
      <x:c r="O479" s="24" t="str">
        <x:v>1</x:v>
      </x:c>
      <x:c r="P479" s="28" t="str">
        <x:v>以公开测试指导生成，属测试式评估的应用证据。</x:v>
      </x:c>
      <x:c r="Q479" s="25" t="str"/>
      <x:c r="R479" s="24" t="str">
        <x:f>IF(Q479&lt;&gt;"",Q479,O479)</x:f>
        <x:v>1</x:v>
      </x:c>
      <x:c r="S479" s="29" t="str"/>
    </x:row>
    <x:row r="480" ht="54" customHeight="1">
      <x:c r="A480" s="17" t="str">
        <x:v>csq024-r19</x:v>
      </x:c>
      <x:c r="B480" s="17" t="str">
        <x:v>csq024</x:v>
      </x:c>
      <x:c r="C480" s="17" t="str">
        <x:v>software_engineering</x:v>
      </x:c>
      <x:c r="D480" s="17" t="str">
        <x:v>code_generation</x:v>
      </x:c>
      <x:c r="E480" s="27" t="str">
        <x:v>How do execution-based, test-based, and model-based evaluation approaches for code generation compare?</x:v>
      </x:c>
      <x:c r="F480" s="22" t="n">
        <x:v>19</x:v>
      </x:c>
      <x:c r="G480" s="17" t="str">
        <x:v>arXiv:2107.00101</x:v>
      </x:c>
      <x:c r="H480" s="27" t="str">
        <x:v>Latent Execution for Neural Program Synthesis</x:v>
      </x:c>
      <x:c r="I480" s="17" t="str">
        <x:v>Xinyun Chen; Dawn Song; Yuandong Tian</x:v>
      </x:c>
      <x:c r="J480" s="22" t="n">
        <x:v>2021</x:v>
      </x:c>
      <x:c r="K480" s="27" t="str">
        <x:v>Program synthesis from input-output (IO) examples has been a long-standing challenge. While recent works demonstrated limited success on domain-specific languages (DSL), it remains highly challenging to apply them to real-world programming languages, such as C. Due to complicated syntax and token variation, there are three major challenges: (1) unlike many DSLs, programs in languages like C need to compile first and are not executed via interpreters; (2) the program search space grows exponentially when the syntax and semantics of the programming language become more complex; and (3) collecting a large-scale dataset of real-world programs is non-trivial. As a first step to address these challenges, we propose LaSynth and show its efficacy in a restricted-C domain. More specifically, LaSynth learns the latent representation to approximate the execution of partially generated programs, even if they are incomplete in syntax (addressing (1)). The learned execution significantly improves the performance of next token prediction over existing approaches, facilitating search (addressing (2)). Finally, once trained with randomly generated ground-truth programs and their IO pairs, LaSynth can synthesize more concise programs that resemble human-written code. Furthermore, retraining our model with these synthesized programs yields better performance with fewer samples for both Karel and C program synthesis, indicating the promise of leveraging the learned program synthesizer to improve the dataset quality for input-output program synthesis (addressing (3)). When evaluating on whether the program execution outputs match the IO pairs, LaSynth achieves 55.2% accuracy on generating simple C code with tens of tokens including loops and branches, outperforming existing approaches without executors by around 20%.</x:v>
      </x:c>
      <x:c r="L480" s="17" t="str">
        <x:v>http://arxiv.org/abs/2107.00101v2</x:v>
      </x:c>
      <x:c r="M480" s="23" t="n">
        <x:v>0.015625</x:v>
      </x:c>
      <x:c r="N480" s="17" t="str">
        <x:v>arxiv-paper-eval-20260727-105551-results.jsonl</x:v>
      </x:c>
      <x:c r="O480" s="24" t="str">
        <x:v>1</x:v>
      </x:c>
      <x:c r="P480" s="28" t="str">
        <x:v>研究潜在执行辅助合成，属模型化执行的相邻证据。</x:v>
      </x:c>
      <x:c r="Q480" s="25" t="str"/>
      <x:c r="R480" s="24" t="str">
        <x:f>IF(Q480&lt;&gt;"",Q480,O480)</x:f>
        <x:v>1</x:v>
      </x:c>
      <x:c r="S480" s="29" t="str"/>
    </x:row>
    <x:row r="481" ht="54" customHeight="1">
      <x:c r="A481" s="17" t="str">
        <x:v>csq024-r20</x:v>
      </x:c>
      <x:c r="B481" s="17" t="str">
        <x:v>csq024</x:v>
      </x:c>
      <x:c r="C481" s="17" t="str">
        <x:v>software_engineering</x:v>
      </x:c>
      <x:c r="D481" s="17" t="str">
        <x:v>code_generation</x:v>
      </x:c>
      <x:c r="E481" s="27" t="str">
        <x:v>How do execution-based, test-based, and model-based evaluation approaches for code generation compare?</x:v>
      </x:c>
      <x:c r="F481" s="22" t="n">
        <x:v>20</x:v>
      </x:c>
      <x:c r="G481" s="17" t="str">
        <x:v>arXiv:2302.00288</x:v>
      </x:c>
      <x:c r="H481" s="27" t="str">
        <x:v>CoderEval: A Benchmark of Pragmatic Code Generation with Generative Pre-trained Models</x:v>
      </x:c>
      <x:c r="I481" s="17" t="str">
        <x:v>Hao Yu; Bo Shen; Dezhi Ran; Jiaxin Zhang; Qi Zhang; Yuchi Ma; Guangtai Liang; Ying Li; Qianxiang Wang; Tao Xie</x:v>
      </x:c>
      <x:c r="J481" s="22" t="n">
        <x:v>2023</x:v>
      </x:c>
      <x:c r="K481" s="27" t="str">
        <x:v>Code generation models based on the pre-training and fine-tuning paradigm have been increasingly attempted by both academia and industry, resulting in well-known industrial models such as Codex, CodeGen, and PanGu-Coder. To evaluate the effectiveness of these models, multiple existing benchmarks are proposed, including only cases of generating a standalone function, i.e., a function that may invoke or access only built-in functions and standard libraries. However, non-standalone functions, which typically are not included in the existing benchmarks, constitute more than 70% of the functions in popular open-source projects, and evaluating models' effectiveness on standalone functions cannot reflect these models' effectiveness on pragmatic code generation scenarios. To help bridge the preceding gap, in this paper, we propose a benchmark named CoderEval, consisting of 230 Python and 230 Java code generation tasks carefully curated from popular real-world open-source projects and a self-contained execution platform to automatically assess the functional correctness of generated code. CoderEval supports code generation tasks from six levels of context dependency, where context refers to code elements such as types, APIs, variables, and consts defined outside the function under generation but within the dependent third-party libraries, current class, file, or project. CoderEval can be used to evaluate the effectiveness of models in generating code beyond only standalone functions. By evaluating three code generation models on CoderEval, we find that the effectiveness of these models in generating standalone functions is substantially higher than that in generating non-standalone functions. Our analysis highlights the current progress and pinpoints future directions to further improve a model's effectiveness by leveraging contextual information for pragmatic code generation.</x:v>
      </x:c>
      <x:c r="L481" s="17" t="str">
        <x:v>http://arxiv.org/abs/2302.00288v3</x:v>
      </x:c>
      <x:c r="M481" s="23" t="n">
        <x:v>0.015384615384615385</x:v>
      </x:c>
      <x:c r="N481" s="17" t="str">
        <x:v>arxiv-paper-eval-20260727-105551-results.jsonl</x:v>
      </x:c>
      <x:c r="O481" s="24" t="str">
        <x:v>2</x:v>
      </x:c>
      <x:c r="P481" s="28" t="str">
        <x:v>直接提供自包含执行平台评测生成代码功能正确性。</x:v>
      </x:c>
      <x:c r="Q481" s="25" t="str"/>
      <x:c r="R481" s="24" t="str">
        <x:f>IF(Q481&lt;&gt;"",Q481,O481)</x:f>
        <x:v>2</x:v>
      </x:c>
      <x:c r="S481" s="29" t="str"/>
    </x:row>
    <x:row r="482" ht="54" customHeight="1">
      <x:c r="A482" s="17" t="str">
        <x:v>csq025-r01</x:v>
      </x:c>
      <x:c r="B482" s="17" t="str">
        <x:v>csq025</x:v>
      </x:c>
      <x:c r="C482" s="17" t="str">
        <x:v>software_engineering</x:v>
      </x:c>
      <x:c r="D482" s="17" t="str">
        <x:v>vulnerability_detection</x:v>
      </x:c>
      <x:c r="E482" s="27" t="str">
        <x:v>Which datasets and evaluation protocols are used for machine-learning-based source-code vulnerability detection, and which forms of data leakage can inflate reported performance?</x:v>
      </x:c>
      <x:c r="F482" s="22" t="n">
        <x:v>1</x:v>
      </x:c>
      <x:c r="G482" s="17" t="str">
        <x:v>arXiv:2403.18624</x:v>
      </x:c>
      <x:c r="H482" s="27" t="str">
        <x:v>Vulnerability Detection with Code Language Models: How Far Are We?</x:v>
      </x:c>
      <x:c r="I482" s="17" t="str">
        <x:v>Yangruibo Ding; Yanjun Fu; Omniyyah Ibrahim; Chawin Sitawarin; Xinyun Chen; Basel Alomair; David Wagner; Baishakhi Ray; Yizheng Chen</x:v>
      </x:c>
      <x:c r="J482" s="22" t="n">
        <x:v>2024</x:v>
      </x:c>
      <x:c r="K482" s="27" t="str">
        <x:v>In the context of the rising interest in code language models (code LMs) and vulnerability detection, we study the effectiveness of code LMs for detecting vulnerabilities. Our analysis reveals significant shortcomings in existing vulnerability datasets, including poor data quality, low label accuracy, and high duplication rates, leading to unreliable model performance in realistic vulnerability detection scenarios. Additionally, the evaluation methods used with these datasets are not representative of real-world vulnerability detection. To address these challenges, we introduce PrimeVul, a new dataset for training and evaluating code LMs for vulnerability detection. PrimeVul incorporates a novel set of data labeling techniques that achieve comparable label accuracy to human-verified benchmarks while significantly expanding the dataset. It also implements a rigorous data de-duplication and chronological data splitting strategy to mitigate data leakage issues, alongside introducing more realistic evaluation metrics and settings. This comprehensive approach aims to provide a more accurate assessment of code LMs' performance in real-world conditions. Evaluating code LMs on PrimeVul reveals that existing benchmarks significantly overestimate the performance of these models. For instance, a state-of-the-art 7B model scored 68.26% F1 on BigVul but only 3.09% F1 on PrimeVul. Attempts to improve performance through advanced training techniques and larger models like GPT-3.5 and GPT-4 were unsuccessful, with results akin to random guessing in the most stringent settings. These findings underscore the considerable gap between current capabilities and the practical requirements for deploying code LMs in security roles, highlighting the need for more innovative research in this domain.</x:v>
      </x:c>
      <x:c r="L482" s="17" t="str">
        <x:v>http://arxiv.org/abs/2403.18624v2</x:v>
      </x:c>
      <x:c r="M482" s="23" t="n">
        <x:v>0.03252247488101534</x:v>
      </x:c>
      <x:c r="N482" s="17" t="str">
        <x:v>arxiv-paper-eval-20260727-105551-results.jsonl</x:v>
      </x:c>
      <x:c r="O482" s="24" t="str">
        <x:v>2</x:v>
      </x:c>
      <x:c r="P482" s="28" t="str">
        <x:v>直接讨论数据重复、去重和时间切分泄漏并提出PrimeVul。</x:v>
      </x:c>
      <x:c r="Q482" s="25" t="str"/>
      <x:c r="R482" s="24" t="str">
        <x:f>IF(Q482&lt;&gt;"",Q482,O482)</x:f>
        <x:v>2</x:v>
      </x:c>
      <x:c r="S482" s="29" t="str"/>
    </x:row>
    <x:row r="483" ht="54" customHeight="1">
      <x:c r="A483" s="17" t="str">
        <x:v>csq025-r02</x:v>
      </x:c>
      <x:c r="B483" s="17" t="str">
        <x:v>csq025</x:v>
      </x:c>
      <x:c r="C483" s="17" t="str">
        <x:v>software_engineering</x:v>
      </x:c>
      <x:c r="D483" s="17" t="str">
        <x:v>vulnerability_detection</x:v>
      </x:c>
      <x:c r="E483" s="27" t="str">
        <x:v>Which datasets and evaluation protocols are used for machine-learning-based source-code vulnerability detection, and which forms of data leakage can inflate reported performance?</x:v>
      </x:c>
      <x:c r="F483" s="22" t="n">
        <x:v>2</x:v>
      </x:c>
      <x:c r="G483" s="17" t="str">
        <x:v>arXiv:2303.07525</x:v>
      </x:c>
      <x:c r="H483" s="27" t="str">
        <x:v>Automated Vulnerability Detection in Source Code Using Quantum Natural Language Processing</x:v>
      </x:c>
      <x:c r="I483" s="17" t="str">
        <x:v>Mst Shapna Akter; Hossain Shahriar; Zakirul Alam Bhuiya</x:v>
      </x:c>
      <x:c r="J483" s="22" t="n">
        <x:v>2023</x:v>
      </x:c>
      <x:c r="K483" s="27" t="str">
        <x:v>One of the most important challenges in the field of software code audit is the presence of vulnerabilities in software source code. These flaws are highly likely ex-ploited and lead to system compromise, data leakage, or denial of ser-vice. C and C++ open source code are now available in order to create a large-scale, classical machine-learning and quantum machine-learning system for function-level vulnerability identification. We assembled a siz-able dataset of millions of open-source functions that point to poten-tial exploits. We created an efficient and scalable vulnerability detection method based on a deep neural network model Long Short Term Memory (LSTM), and quantum machine learning model Long Short Term Memory (QLSTM), that can learn features extracted from the source codes. The source code is first converted into a minimal intermediate representation to remove the pointless components and shorten the de-pendency. Therefore, We keep the semantic and syntactic information using state of the art word embedding algorithms such as Glove and fastText. The embedded vectors are subsequently fed into the classical and quantum convolutional neural networks to classify the possible vulnerabilities. To measure the performance, we used evaluation metrics such as F1 score, precision, re-call, accuracy, and total execution time. We made a comparison between the results derived from the classical LSTM and quantum LSTM using basic feature representation as well as semantic and syntactic represen-tation. We found that the QLSTM with semantic and syntactic features detects significantly accurate vulnerability and runs faster than its classical counterpart.</x:v>
      </x:c>
      <x:c r="L483" s="17" t="str">
        <x:v>http://arxiv.org/abs/2303.07525v1</x:v>
      </x:c>
      <x:c r="M483" s="23" t="n">
        <x:v>0.031544957774465976</x:v>
      </x:c>
      <x:c r="N483" s="17" t="str">
        <x:v>arxiv-paper-eval-20260727-105551-results.jsonl</x:v>
      </x:c>
      <x:c r="O483" s="24" t="str">
        <x:v>2</x:v>
      </x:c>
      <x:c r="P483" s="28" t="str">
        <x:v>给出源代码漏洞数据、模型和F1等评测指标。</x:v>
      </x:c>
      <x:c r="Q483" s="25" t="str"/>
      <x:c r="R483" s="24" t="str">
        <x:f>IF(Q483&lt;&gt;"",Q483,O483)</x:f>
        <x:v>2</x:v>
      </x:c>
      <x:c r="S483" s="29" t="str"/>
    </x:row>
    <x:row r="484" ht="54" customHeight="1">
      <x:c r="A484" s="17" t="str">
        <x:v>csq025-r03</x:v>
      </x:c>
      <x:c r="B484" s="17" t="str">
        <x:v>csq025</x:v>
      </x:c>
      <x:c r="C484" s="17" t="str">
        <x:v>software_engineering</x:v>
      </x:c>
      <x:c r="D484" s="17" t="str">
        <x:v>vulnerability_detection</x:v>
      </x:c>
      <x:c r="E484" s="27" t="str">
        <x:v>Which datasets and evaluation protocols are used for machine-learning-based source-code vulnerability detection, and which forms of data leakage can inflate reported performance?</x:v>
      </x:c>
      <x:c r="F484" s="22" t="n">
        <x:v>3</x:v>
      </x:c>
      <x:c r="G484" s="17" t="str">
        <x:v>arXiv:2503.17885</x:v>
      </x:c>
      <x:c r="H484" s="27" t="str">
        <x:v>Reasoning with LLMs for Zero-Shot Vulnerability Detection</x:v>
      </x:c>
      <x:c r="I484" s="17" t="str">
        <x:v>Arastoo Zibaeirad; Marco Vieira</x:v>
      </x:c>
      <x:c r="J484" s="22" t="n">
        <x:v>2025</x:v>
      </x:c>
      <x:c r="K484" s="27" t="str">
        <x:v>Automating software vulnerability detection (SVD) remains a critical challenge in an era of increasingly complex and interdependent software systems. Despite significant advances in Large Language Models (LLMs) for code analysis, prevailing evaluation methodologies often lack the \textbf{context-aware robustness} necessary to capture real-world intricacies and cross-component interactions. To address these limitations, we present \textbf{VulnSage}, a comprehensive evaluation framework and a dataset curated from diverse, large-scale open-source system software projects developed in C/C++. Unlike prior datasets, it leverages a heuristic noise pre-filtering approach combined with LLM-based reasoning to ensure a representative and minimally noisy spectrum of vulnerabilities. The framework supports multi-granular analysis across function, file, and inter-function levels and employs four diverse zero-shot prompt strategies: Baseline, Chain-of-Thought, Think, and Think &amp; Verify. Through this evaluation, we uncover that structured reasoning prompts substantially improve LLM performance, with Think &amp; Verify reducing ambiguous responses from 20.3% to 9.1% while increasing accuracy. We further demonstrate that code-specialized models consistently outperform general-purpose alternatives, with performance varying significantly across vulnerability types, revealing that no single approach universally excels across all security contexts. Link to dataset and codes: https://github.com/Erroristotle/VulnSage.git</x:v>
      </x:c>
      <x:c r="L484" s="17" t="str">
        <x:v>http://arxiv.org/abs/2503.17885v1</x:v>
      </x:c>
      <x:c r="M484" s="23" t="n">
        <x:v>0.01639344262295082</x:v>
      </x:c>
      <x:c r="N484" s="17" t="str">
        <x:v>arxiv-paper-eval-20260727-105551-results.jsonl</x:v>
      </x:c>
      <x:c r="O484" s="24" t="str">
        <x:v>2</x:v>
      </x:c>
      <x:c r="P484" s="28" t="str">
        <x:v>提出跨粒度漏洞检测数据集与零样本评测协议。</x:v>
      </x:c>
      <x:c r="Q484" s="25" t="str"/>
      <x:c r="R484" s="24" t="str">
        <x:f>IF(Q484&lt;&gt;"",Q484,O484)</x:f>
        <x:v>2</x:v>
      </x:c>
      <x:c r="S484" s="29" t="str"/>
    </x:row>
    <x:row r="485" ht="54" customHeight="1">
      <x:c r="A485" s="17" t="str">
        <x:v>csq025-r04</x:v>
      </x:c>
      <x:c r="B485" s="17" t="str">
        <x:v>csq025</x:v>
      </x:c>
      <x:c r="C485" s="17" t="str">
        <x:v>software_engineering</x:v>
      </x:c>
      <x:c r="D485" s="17" t="str">
        <x:v>vulnerability_detection</x:v>
      </x:c>
      <x:c r="E485" s="27" t="str">
        <x:v>Which datasets and evaluation protocols are used for machine-learning-based source-code vulnerability detection, and which forms of data leakage can inflate reported performance?</x:v>
      </x:c>
      <x:c r="F485" s="22" t="n">
        <x:v>4</x:v>
      </x:c>
      <x:c r="G485" s="17" t="str">
        <x:v>arXiv:1807.04320</x:v>
      </x:c>
      <x:c r="H485" s="27" t="str">
        <x:v>Automated Vulnerability Detection in Source Code Using Deep Representation Learning</x:v>
      </x:c>
      <x:c r="I485" s="17" t="str">
        <x:v>Rebecca L. Russell; Louis Kim; Lei H. Hamilton; Tomo Lazovich; Jacob A. Harer; Onur Ozdemir; Paul M. Ellingwood; Marc W. McConley</x:v>
      </x:c>
      <x:c r="J485" s="22" t="n">
        <x:v>2018</x:v>
      </x:c>
      <x:c r="K485" s="27" t="str">
        <x:v>Increasing numbers of software vulnerabilities are discovered every year whether they are reported publicly or discovered internally in proprietary code. These vulnerabilities can pose serious risk of exploit and result in system compromise, information leaks, or denial of service. We leveraged the wealth of C and C++ open-source code available to develop a large-scale function-level vulnerability detection system using machine learning. To supplement existing labeled vulnerability datasets, we compiled a vast dataset of millions of open-source functions and labeled it with carefully-selected findings from three different static analyzers that indicate potential exploits. The labeled dataset is available at: https://osf.io/d45bw/. Using these datasets, we developed a fast and scalable vulnerability detection tool based on deep feature representation learning that directly interprets lexed source code. We evaluated our tool on code from both real software packages and the NIST SATE IV benchmark dataset. Our results demonstrate that deep feature representation learning on source code is a promising approach for automated software vulnerability detection.</x:v>
      </x:c>
      <x:c r="L485" s="17" t="str">
        <x:v>http://arxiv.org/abs/1807.04320v2</x:v>
      </x:c>
      <x:c r="M485" s="23" t="n">
        <x:v>0.01639344262295082</x:v>
      </x:c>
      <x:c r="N485" s="17" t="str">
        <x:v>arxiv-paper-eval-20260727-105551-results.jsonl</x:v>
      </x:c>
      <x:c r="O485" s="24" t="str">
        <x:v>2</x:v>
      </x:c>
      <x:c r="P485" s="28" t="str">
        <x:v>构建大规模函数数据并在真实软件和NIST基准上评测。</x:v>
      </x:c>
      <x:c r="Q485" s="25" t="str"/>
      <x:c r="R485" s="24" t="str">
        <x:f>IF(Q485&lt;&gt;"",Q485,O485)</x:f>
        <x:v>2</x:v>
      </x:c>
      <x:c r="S485" s="29" t="str"/>
    </x:row>
    <x:row r="486" ht="54" customHeight="1">
      <x:c r="A486" s="17" t="str">
        <x:v>csq025-r05</x:v>
      </x:c>
      <x:c r="B486" s="17" t="str">
        <x:v>csq025</x:v>
      </x:c>
      <x:c r="C486" s="17" t="str">
        <x:v>software_engineering</x:v>
      </x:c>
      <x:c r="D486" s="17" t="str">
        <x:v>vulnerability_detection</x:v>
      </x:c>
      <x:c r="E486" s="27" t="str">
        <x:v>Which datasets and evaluation protocols are used for machine-learning-based source-code vulnerability detection, and which forms of data leakage can inflate reported performance?</x:v>
      </x:c>
      <x:c r="F486" s="22" t="n">
        <x:v>5</x:v>
      </x:c>
      <x:c r="G486" s="17" t="str">
        <x:v>arXiv:2304.00409</x:v>
      </x:c>
      <x:c r="H486" s="27" t="str">
        <x:v>DiverseVul: A New Vulnerable Source Code Dataset for Deep Learning Based Vulnerability Detection</x:v>
      </x:c>
      <x:c r="I486" s="17" t="str">
        <x:v>Yizheng Chen; Zhoujie Ding; Lamya Alowain; Xinyun Chen; David Wagner</x:v>
      </x:c>
      <x:c r="J486" s="22" t="n">
        <x:v>2023</x:v>
      </x:c>
      <x:c r="K486" s="27" t="str">
        <x:v>We propose and release a new vulnerable source code dataset. We curate the dataset by crawling security issue websites, extracting vulnerability-fixing commits and source codes from the corresponding projects. Our new dataset contains 18,945 vulnerable functions spanning 150 CWEs and 330,492 non-vulnerable functions extracted from 7,514 commits. Our dataset covers 295 more projects than all previous datasets combined. Combining our new dataset with previous datasets, we present an analysis of the challenges and promising research directions of using deep learning for detecting software vulnerabilities. We study 11 model architectures belonging to 4 families. Our results show that deep learning is still not ready for vulnerability detection, due to high false positive rate, low F1 score, and difficulty of detecting hard CWEs. In particular, we demonstrate an important generalization challenge for the deployment of deep learning-based models. We show that increasing the volume of training data may not further improve the performance of deep learning models for vulnerability detection, but might be useful to improve the generalization ability to unseen projects. We also identify hopeful future research directions. We demonstrate that large language models (LLMs) are a promising research direction for ML-based vulnerability detection, outperforming Graph Neural Networks (GNNs) with code-structure features in our experiments. Moreover, developing source code specific pre-training objectives is a promising research direction to improve the vulnerability detection performance.</x:v>
      </x:c>
      <x:c r="L486" s="17" t="str">
        <x:v>http://arxiv.org/abs/2304.00409v2</x:v>
      </x:c>
      <x:c r="M486" s="23" t="n">
        <x:v>0.016129032258064516</x:v>
      </x:c>
      <x:c r="N486" s="17" t="str">
        <x:v>arxiv-paper-eval-20260727-105551-results.jsonl</x:v>
      </x:c>
      <x:c r="O486" s="24" t="str">
        <x:v>2</x:v>
      </x:c>
      <x:c r="P486" s="28" t="str">
        <x:v>发布DiverseVul并分析跨项目泛化与评测问题。</x:v>
      </x:c>
      <x:c r="Q486" s="25" t="str"/>
      <x:c r="R486" s="24" t="str">
        <x:f>IF(Q486&lt;&gt;"",Q486,O486)</x:f>
        <x:v>2</x:v>
      </x:c>
      <x:c r="S486" s="29" t="str"/>
    </x:row>
    <x:row r="487" ht="54" customHeight="1">
      <x:c r="A487" s="17" t="str">
        <x:v>csq025-r06</x:v>
      </x:c>
      <x:c r="B487" s="17" t="str">
        <x:v>csq025</x:v>
      </x:c>
      <x:c r="C487" s="17" t="str">
        <x:v>software_engineering</x:v>
      </x:c>
      <x:c r="D487" s="17" t="str">
        <x:v>vulnerability_detection</x:v>
      </x:c>
      <x:c r="E487" s="27" t="str">
        <x:v>Which datasets and evaluation protocols are used for machine-learning-based source-code vulnerability detection, and which forms of data leakage can inflate reported performance?</x:v>
      </x:c>
      <x:c r="F487" s="22" t="n">
        <x:v>6</x:v>
      </x:c>
      <x:c r="G487" s="17" t="str">
        <x:v>arXiv:2404.09537</x:v>
      </x:c>
      <x:c r="H487" s="27" t="str">
        <x:v>Machine Learning Techniques for Python Source Code Vulnerability Detection</x:v>
      </x:c>
      <x:c r="I487" s="17" t="str">
        <x:v>Talaya Farasat; Joachim Posegga</x:v>
      </x:c>
      <x:c r="J487" s="22" t="n">
        <x:v>2024</x:v>
      </x:c>
      <x:c r="K487" s="27" t="str">
        <x:v>Software vulnerabilities are a fundamental reason for the prevalence of cyber attacks and their identification is a crucial yet challenging problem in cyber security. In this paper, we apply and compare different machine learning algorithms for source code vulnerability detection specifically for Python programming language. Our experimental evaluation demonstrates that our Bidirectional Long Short-Term Memory (BiLSTM) model achieves a remarkable performance (average Accuracy = 98.6%, average F-Score = 94.7%, average Precision = 96.2%, average Recall = 93.3%, average ROC = 99.3%), thereby, establishing a new benchmark for vulnerability detection in Python source code.</x:v>
      </x:c>
      <x:c r="L487" s="17" t="str">
        <x:v>http://arxiv.org/abs/2404.09537v1</x:v>
      </x:c>
      <x:c r="M487" s="23" t="n">
        <x:v>0.015873015873015872</x:v>
      </x:c>
      <x:c r="N487" s="17" t="str">
        <x:v>arxiv-paper-eval-20260727-105551-results.jsonl</x:v>
      </x:c>
      <x:c r="O487" s="24" t="str">
        <x:v>2</x:v>
      </x:c>
      <x:c r="P487" s="28" t="str">
        <x:v>比较Python漏洞检测模型并报告完整指标。</x:v>
      </x:c>
      <x:c r="Q487" s="25" t="str"/>
      <x:c r="R487" s="24" t="str">
        <x:f>IF(Q487&lt;&gt;"",Q487,O487)</x:f>
        <x:v>2</x:v>
      </x:c>
      <x:c r="S487" s="29" t="str"/>
    </x:row>
    <x:row r="488" ht="54" customHeight="1">
      <x:c r="A488" s="17" t="str">
        <x:v>csq025-r07</x:v>
      </x:c>
      <x:c r="B488" s="17" t="str">
        <x:v>csq025</x:v>
      </x:c>
      <x:c r="C488" s="17" t="str">
        <x:v>software_engineering</x:v>
      </x:c>
      <x:c r="D488" s="17" t="str">
        <x:v>vulnerability_detection</x:v>
      </x:c>
      <x:c r="E488" s="27" t="str">
        <x:v>Which datasets and evaluation protocols are used for machine-learning-based source-code vulnerability detection, and which forms of data leakage can inflate reported performance?</x:v>
      </x:c>
      <x:c r="F488" s="22" t="n">
        <x:v>7</x:v>
      </x:c>
      <x:c r="G488" s="17" t="str">
        <x:v>arXiv:2306.07981</x:v>
      </x:c>
      <x:c r="H488" s="27" t="str">
        <x:v>Feature Engineering-Based Detection of Buffer Overflow Vulnerability in Source Code Using Neural Networks</x:v>
      </x:c>
      <x:c r="I488" s="17" t="str">
        <x:v>Mst Shapna Akter; Hossain Shahriar; Juan Rodriguez Cardenas; Sheikh Iqbal Ahamed; Alfredo Cuzzocrea</x:v>
      </x:c>
      <x:c r="J488" s="22" t="n">
        <x:v>2023</x:v>
      </x:c>
      <x:c r="K488" s="27" t="str">
        <x:v>One of the most significant challenges in the field of software code auditing is the presence of vulnerabilities in software source code. Every year, more and more software flaws are discovered, either internally in proprietary code or publicly disclosed. These flaws are highly likely to be exploited and can lead to system compromise, data leakage, or denial of service. To create a large-scale machine learning system for function level vulnerability identification, we utilized a sizable dataset of C and C++ open-source code containing millions of functions with potential buffer overflow exploits. We have developed an efficient and scalable vulnerability detection method based on neural network models that learn features extracted from the source codes. The source code is first converted into an intermediate representation to remove unnecessary components and shorten dependencies. We maintain the semantic and syntactic information using state of the art word embedding algorithms such as GloVe and fastText. The embedded vectors are subsequently fed into neural networks such as LSTM, BiLSTM, LSTM Autoencoder, word2vec, BERT, and GPT2 to classify the possible vulnerabilities. We maintain the semantic and syntactic information using state of the art word embedding algorithms such as GloVe and fastText. The embedded vectors are subsequently fed into neural networks such as LSTM, BiLSTM, LSTM Autoencoder, word2vec, BERT, and GPT2 to classify the possible vulnerabilities. Furthermore, we have proposed a neural network model that can overcome issues associated with traditional neural networks. We have used evaluation metrics such as F1 score, precision, recall, accuracy, and total execution time to measure the performance. We have conducted a comparative analysis between results derived from features containing a minimal text representation and semantic and syntactic information.</x:v>
      </x:c>
      <x:c r="L488" s="17" t="str">
        <x:v>http://arxiv.org/abs/2306.07981v1</x:v>
      </x:c>
      <x:c r="M488" s="23" t="n">
        <x:v>0.015873015873015872</x:v>
      </x:c>
      <x:c r="N488" s="17" t="str">
        <x:v>arxiv-paper-eval-20260727-105551-results.jsonl</x:v>
      </x:c>
      <x:c r="O488" s="24" t="str">
        <x:v>2</x:v>
      </x:c>
      <x:c r="P488" s="28" t="str">
        <x:v>给出数据、模型比较及精确率召回率等指标。</x:v>
      </x:c>
      <x:c r="Q488" s="25" t="str"/>
      <x:c r="R488" s="24" t="str">
        <x:f>IF(Q488&lt;&gt;"",Q488,O488)</x:f>
        <x:v>2</x:v>
      </x:c>
      <x:c r="S488" s="29" t="str"/>
    </x:row>
    <x:row r="489" ht="54" customHeight="1">
      <x:c r="A489" s="17" t="str">
        <x:v>csq025-r08</x:v>
      </x:c>
      <x:c r="B489" s="17" t="str">
        <x:v>csq025</x:v>
      </x:c>
      <x:c r="C489" s="17" t="str">
        <x:v>software_engineering</x:v>
      </x:c>
      <x:c r="D489" s="17" t="str">
        <x:v>vulnerability_detection</x:v>
      </x:c>
      <x:c r="E489" s="27" t="str">
        <x:v>Which datasets and evaluation protocols are used for machine-learning-based source-code vulnerability detection, and which forms of data leakage can inflate reported performance?</x:v>
      </x:c>
      <x:c r="F489" s="22" t="n">
        <x:v>8</x:v>
      </x:c>
      <x:c r="G489" s="17" t="str">
        <x:v>arXiv:2408.00435</x:v>
      </x:c>
      <x:c r="H489" s="27" t="str">
        <x:v>A Qualitative Study on Using ChatGPT for Software Security: Perception vs. Practicality</x:v>
      </x:c>
      <x:c r="I489" s="17" t="str">
        <x:v>M. Mehdi Kholoosi; M. Ali Babar; Roland Croft</x:v>
      </x:c>
      <x:c r="J489" s="22" t="n">
        <x:v>2024</x:v>
      </x:c>
      <x:c r="K489" s="27" t="str">
        <x:v>Artificial Intelligence (AI) advancements have enabled the development of Large Language Models (LLMs) that can perform a variety of tasks with remarkable semantic understanding and accuracy. ChatGPT is one such LLM that has gained significant attention due to its impressive capabilities for assisting in various knowledge-intensive tasks. Due to the knowledge-intensive nature of engineering secure software, ChatGPT's assistance is expected to be explored for security-related tasks during the development/evolution of software. To gain an understanding of the potential of ChatGPT as an emerging technology for supporting software security, we adopted a two-fold approach. Initially, we performed an empirical study to analyse the perceptions of those who had explored the use of ChatGPT for security tasks and shared their views on Twitter. It was determined that security practitioners view ChatGPT as beneficial for various software security tasks, including vulnerability detection, information retrieval, and penetration testing. Secondly, we designed an experiment aimed at investigating the practicality of this technology when deployed as an oracle in real-world settings. In particular, we focused on vulnerability detection and qualitatively examined ChatGPT outputs for given prompts within this prominent software security task. Based on our analysis, responses from ChatGPT in this task are largely filled with generic security information and may not be appropriate for industry use. To prevent data leakage, we performed this analysis on a vulnerability dataset compiled after the OpenAI data cut-off date from real-world projects covering 40 distinct vulnerability types and 12 programming languages. We assert that the findings from this study would contribute to future research aimed at developing and evaluating LLMs dedicated to software security.</x:v>
      </x:c>
      <x:c r="L489" s="17" t="str">
        <x:v>http://arxiv.org/abs/2408.00435v1</x:v>
      </x:c>
      <x:c r="M489" s="23" t="n">
        <x:v>0.015625</x:v>
      </x:c>
      <x:c r="N489" s="17" t="str">
        <x:v>arxiv-paper-eval-20260727-105551-results.jsonl</x:v>
      </x:c>
      <x:c r="O489" s="24" t="str">
        <x:v>2</x:v>
      </x:c>
      <x:c r="P489" s="28" t="str">
        <x:v>明确用训练截止后漏洞数据避免数据泄漏。</x:v>
      </x:c>
      <x:c r="Q489" s="25" t="str"/>
      <x:c r="R489" s="24" t="str">
        <x:f>IF(Q489&lt;&gt;"",Q489,O489)</x:f>
        <x:v>2</x:v>
      </x:c>
      <x:c r="S489" s="29" t="str"/>
    </x:row>
    <x:row r="490" ht="54" customHeight="1">
      <x:c r="A490" s="17" t="str">
        <x:v>csq025-r09</x:v>
      </x:c>
      <x:c r="B490" s="17" t="str">
        <x:v>csq025</x:v>
      </x:c>
      <x:c r="C490" s="17" t="str">
        <x:v>software_engineering</x:v>
      </x:c>
      <x:c r="D490" s="17" t="str">
        <x:v>vulnerability_detection</x:v>
      </x:c>
      <x:c r="E490" s="27" t="str">
        <x:v>Which datasets and evaluation protocols are used for machine-learning-based source-code vulnerability detection, and which forms of data leakage can inflate reported performance?</x:v>
      </x:c>
      <x:c r="F490" s="22" t="n">
        <x:v>9</x:v>
      </x:c>
      <x:c r="G490" s="17" t="str">
        <x:v>arXiv:2305.16615</x:v>
      </x:c>
      <x:c r="H490" s="27" t="str">
        <x:v>AIBugHunter: A Practical Tool for Predicting, Classifying and Repairing Software Vulnerabilities</x:v>
      </x:c>
      <x:c r="I490" s="17" t="str">
        <x:v>Michael Fu; Chakkrit Tantithamthavorn; Trung Le; Yuki Kume; Van Nguyen; Dinh Phung; John Grundy</x:v>
      </x:c>
      <x:c r="J490" s="22" t="n">
        <x:v>2023</x:v>
      </x:c>
      <x:c r="K490" s="27" t="str">
        <x:v>Many ML-based approaches have been proposed to automatically detect, localize, and repair software vulnerabilities. While ML-based methods are more effective than program analysis-based vulnerability analysis tools, few have been integrated into modern IDEs, hindering practical adoption. To bridge this critical gap, we propose AIBugHunter, a novel ML-based software vulnerability analysis tool for C/C++ languages that is integrated into Visual Studio Code. AIBugHunter helps software developers to achieve real-time vulnerability detection, explanation, and repairs during programming. In particular, AIBugHunter scans through developers' source code to (1) locate vulnerabilities, (2) identify vulnerability types, (3) estimate vulnerability severity, and (4) suggest vulnerability repairs. In this article, we propose a novel multi-objective optimization (MOO)-based vulnerability classification approach and a transformer-based estimation approach to help AIBugHunter accurately identify vulnerability types and estimate severity. Our empirical experiments on a large dataset consisting of 188K+ C/C++ functions confirm that our proposed approaches are more accurate than other state-of-the-art baseline methods for vulnerability classification and estimation. Furthermore, we conduct qualitative evaluations including a survey study and a user study to obtain software practitioners' perceptions of our AIBugHunter tool and assess the impact that AIBugHunter may have on developers' productivity in security aspects. Our survey study shows that our AIBugHunter is perceived as useful where 90% of the participants consider adopting our AIBugHunter. Last but not least, our user study shows that our AIBugHunter could possibly enhance developers' productivity in combating cybersecurity issues during software development.</x:v>
      </x:c>
      <x:c r="L490" s="17" t="str">
        <x:v>http://arxiv.org/abs/2305.16615v1</x:v>
      </x:c>
      <x:c r="M490" s="23" t="n">
        <x:v>0.015625</x:v>
      </x:c>
      <x:c r="N490" s="17" t="str">
        <x:v>arxiv-paper-eval-20260727-105551-results.jsonl</x:v>
      </x:c>
      <x:c r="O490" s="24" t="str">
        <x:v>2</x:v>
      </x:c>
      <x:c r="P490" s="28" t="str">
        <x:v>在大型函数数据集上评测漏洞分类并含用户研究。</x:v>
      </x:c>
      <x:c r="Q490" s="25" t="str"/>
      <x:c r="R490" s="24" t="str">
        <x:f>IF(Q490&lt;&gt;"",Q490,O490)</x:f>
        <x:v>2</x:v>
      </x:c>
      <x:c r="S490" s="29" t="str"/>
    </x:row>
    <x:row r="491" ht="54" customHeight="1">
      <x:c r="A491" s="17" t="str">
        <x:v>csq025-r10</x:v>
      </x:c>
      <x:c r="B491" s="17" t="str">
        <x:v>csq025</x:v>
      </x:c>
      <x:c r="C491" s="17" t="str">
        <x:v>software_engineering</x:v>
      </x:c>
      <x:c r="D491" s="17" t="str">
        <x:v>vulnerability_detection</x:v>
      </x:c>
      <x:c r="E491" s="27" t="str">
        <x:v>Which datasets and evaluation protocols are used for machine-learning-based source-code vulnerability detection, and which forms of data leakage can inflate reported performance?</x:v>
      </x:c>
      <x:c r="F491" s="22" t="n">
        <x:v>10</x:v>
      </x:c>
      <x:c r="G491" s="17" t="str">
        <x:v>arXiv:2507.16887</x:v>
      </x:c>
      <x:c r="H491" s="27" t="str">
        <x:v>Revisiting Pre-trained Language Models for Vulnerability Detection</x:v>
      </x:c>
      <x:c r="I491" s="17" t="str">
        <x:v>Youpeng Li; Weiliang Qi; Xuyu Wang; Fuxun Yu; Xinda Wang</x:v>
      </x:c>
      <x:c r="J491" s="22" t="n">
        <x:v>2025</x:v>
      </x:c>
      <x:c r="K491" s="27" t="str">
        <x:v>The rapid advancement of pre-trained language models (PLMs) has demonstrated promising results for various code-related tasks. However, their effectiveness in detecting real-world vulnerabilities remains a critical challenge. While existing empirical studies evaluate PLMs for vulnerability detection (VD), they suffer from data leakage, limited scope, and superficial analysis, hindering the accuracy and comprehensiveness of evaluations. This paper begins by revisiting the common issues in existing research on PLMs for VD through the evaluation pipeline. It then proceeds with an accurate and extensive evaluation of 18 PLMs on high-quality datasets that feature accurate labeling, diverse vulnerability types, and various projects. Specifically, we compare the performance of PLMs under both fine-tuning and prompt engineering, assess their effectiveness and generalizability across various training and testing settings, and analyze their robustness to a series of perturbations. Our findings reveal that PLMs incorporating pre-training tasks designed to capture the syntactic and semantic patterns of code outperform both general-purpose PLMs and those solely pre-trained or fine-tuned on large code corpora. However, these models face notable challenges in real-world scenarios, such as difficulties in detecting vulnerabilities with complex dependencies, handling perturbations introduced by code normalization and abstraction, and identifying semantic-preserving vulnerable code transformations. Also, the truncation caused by the limited context windows of PLMs can lead to a non-negligible number of labeling errors, which is overlooked by previous work. This study underscores the importance of thorough evaluations of model performance in practical scenarios and outlines future directions to help enhance the effectiveness of PLMs for realistic VD applications.</x:v>
      </x:c>
      <x:c r="L491" s="17" t="str">
        <x:v>http://arxiv.org/abs/2507.16887v3</x:v>
      </x:c>
      <x:c r="M491" s="23" t="n">
        <x:v>0.015384615384615385</x:v>
      </x:c>
      <x:c r="N491" s="17" t="str">
        <x:v>arxiv-paper-eval-20260727-105551-results.jsonl</x:v>
      </x:c>
      <x:c r="O491" s="24" t="str">
        <x:v>2</x:v>
      </x:c>
      <x:c r="P491" s="28" t="str">
        <x:v>直接审视漏洞检测评测流水线中的数据泄漏与鲁棒性。</x:v>
      </x:c>
      <x:c r="Q491" s="25" t="str"/>
      <x:c r="R491" s="24" t="str">
        <x:f>IF(Q491&lt;&gt;"",Q491,O491)</x:f>
        <x:v>2</x:v>
      </x:c>
      <x:c r="S491" s="29" t="str"/>
    </x:row>
    <x:row r="492" ht="54" customHeight="1">
      <x:c r="A492" s="17" t="str">
        <x:v>csq025-r11</x:v>
      </x:c>
      <x:c r="B492" s="17" t="str">
        <x:v>csq025</x:v>
      </x:c>
      <x:c r="C492" s="17" t="str">
        <x:v>software_engineering</x:v>
      </x:c>
      <x:c r="D492" s="17" t="str">
        <x:v>vulnerability_detection</x:v>
      </x:c>
      <x:c r="E492" s="27" t="str">
        <x:v>Which datasets and evaluation protocols are used for machine-learning-based source-code vulnerability detection, and which forms of data leakage can inflate reported performance?</x:v>
      </x:c>
      <x:c r="F492" s="22" t="n">
        <x:v>11</x:v>
      </x:c>
      <x:c r="G492" s="17" t="str">
        <x:v>arXiv:2303.16362</x:v>
      </x:c>
      <x:c r="H492" s="27" t="str">
        <x:v>Benchmarking Software Vulnerability Detection Techniques: A Survey</x:v>
      </x:c>
      <x:c r="I492" s="17" t="str">
        <x:v>Yingzhou Bi; Jiangtao Huang; Penghui Liu; Lianmei Wang</x:v>
      </x:c>
      <x:c r="J492" s="22" t="n">
        <x:v>2023</x:v>
      </x:c>
      <x:c r="K492" s="27" t="str">
        <x:v>Software vulnerabilities can have serious consequences, which is why many techniques have been proposed to defend against them. Among these, vulnerability detection techniques are a major area of focus. However, there is a lack of a comprehensive approach for benchmarking these proposed techniques. In this paper, we present the first survey that comprehensively investigates and summarizes the current state of software vulnerability detection benchmarking. We review the current literature on benchmarking vulnerability detection, including benchmarking approaches in technique-proposing papers and empirical studies. We also separately discuss the benchmarking approaches for traditional and deep learning-based vulnerability detection techniques. Our survey analyzes the challenges of benchmarking software vulnerability detection techniques and the difficulties involved. We summarize the challenges of benchmarking software vulnerability detection techniques and describe possible solutions for addressing these challenges.</x:v>
      </x:c>
      <x:c r="L492" s="17" t="str">
        <x:v>http://arxiv.org/abs/2303.16362v1</x:v>
      </x:c>
      <x:c r="M492" s="23" t="n">
        <x:v>0.015384615384615385</x:v>
      </x:c>
      <x:c r="N492" s="17" t="str">
        <x:v>arxiv-paper-eval-20260727-105551-results.jsonl</x:v>
      </x:c>
      <x:c r="O492" s="24" t="str">
        <x:v>2</x:v>
      </x:c>
      <x:c r="P492" s="28" t="str">
        <x:v>系统综述传统及深度学习漏洞检测基准方法。</x:v>
      </x:c>
      <x:c r="Q492" s="25" t="str"/>
      <x:c r="R492" s="24" t="str">
        <x:f>IF(Q492&lt;&gt;"",Q492,O492)</x:f>
        <x:v>2</x:v>
      </x:c>
      <x:c r="S492" s="29" t="str"/>
    </x:row>
    <x:row r="493" ht="54" customHeight="1">
      <x:c r="A493" s="17" t="str">
        <x:v>csq025-r12</x:v>
      </x:c>
      <x:c r="B493" s="17" t="str">
        <x:v>csq025</x:v>
      </x:c>
      <x:c r="C493" s="17" t="str">
        <x:v>software_engineering</x:v>
      </x:c>
      <x:c r="D493" s="17" t="str">
        <x:v>vulnerability_detection</x:v>
      </x:c>
      <x:c r="E493" s="27" t="str">
        <x:v>Which datasets and evaluation protocols are used for machine-learning-based source-code vulnerability detection, and which forms of data leakage can inflate reported performance?</x:v>
      </x:c>
      <x:c r="F493" s="22" t="n">
        <x:v>12</x:v>
      </x:c>
      <x:c r="G493" s="17" t="str">
        <x:v>arXiv:2308.13062</x:v>
      </x:c>
      <x:c r="H493" s="27" t="str">
        <x:v>ZeroLeak: Using LLMs for Scalable and Cost Effective Side-Channel Patching</x:v>
      </x:c>
      <x:c r="I493" s="17" t="str">
        <x:v>M. Caner Tol; Berk Sunar</x:v>
      </x:c>
      <x:c r="J493" s="22" t="n">
        <x:v>2023</x:v>
      </x:c>
      <x:c r="K493" s="27" t="str">
        <x:v>Security critical software, e.g., OpenSSL, comes with numerous side-channel leakages left unpatched due to a lack of resources or experts. The situation will only worsen as the pace of code development accelerates, with developers relying on Large Language Models (LLMs) to automatically generate code. In this work, we explore the use of LLMs in generating patches for vulnerable code with microarchitectural side-channel leakages. For this, we investigate the generative abilities of powerful LLMs by carefully crafting prompts following a zero-shot learning approach. All generated code is dynamically analyzed by leakage detection tools, which are capable of pinpointing information leakage at the instruction level leaked either from secret dependent accesses or branches or vulnerable Spectre gadgets, respectively. Carefully crafted prompts are used to generate candidate replacements for vulnerable code, which are then analyzed for correctness and for leakage resilience. From a cost/performance perspective, the GPT4-based configuration costs in API calls a mere few cents per vulnerability fixed. Our results show that LLM-based patching is far more cost-effective and thus provides a scalable solution. Finally, the framework we propose will improve in time, especially as vulnerability detection tools and LLMs mature.</x:v>
      </x:c>
      <x:c r="L493" s="17" t="str">
        <x:v>http://arxiv.org/abs/2308.13062v1</x:v>
      </x:c>
      <x:c r="M493" s="23" t="n">
        <x:v>0.015151515151515152</x:v>
      </x:c>
      <x:c r="N493" s="17" t="str">
        <x:v>arxiv-paper-eval-20260727-105551-results.jsonl</x:v>
      </x:c>
      <x:c r="O493" s="24" t="str">
        <x:v>0</x:v>
      </x:c>
      <x:c r="P493" s="28" t="str">
        <x:v>研究LLM侧信道补丁生成，不是源代码漏洞检测评测。</x:v>
      </x:c>
      <x:c r="Q493" s="25" t="str"/>
      <x:c r="R493" s="24" t="str">
        <x:f>IF(Q493&lt;&gt;"",Q493,O493)</x:f>
        <x:v>0</x:v>
      </x:c>
      <x:c r="S493" s="29" t="str"/>
    </x:row>
    <x:row r="494" ht="54" customHeight="1">
      <x:c r="A494" s="17" t="str">
        <x:v>csq025-r13</x:v>
      </x:c>
      <x:c r="B494" s="17" t="str">
        <x:v>csq025</x:v>
      </x:c>
      <x:c r="C494" s="17" t="str">
        <x:v>software_engineering</x:v>
      </x:c>
      <x:c r="D494" s="17" t="str">
        <x:v>vulnerability_detection</x:v>
      </x:c>
      <x:c r="E494" s="27" t="str">
        <x:v>Which datasets and evaluation protocols are used for machine-learning-based source-code vulnerability detection, and which forms of data leakage can inflate reported performance?</x:v>
      </x:c>
      <x:c r="F494" s="22" t="n">
        <x:v>13</x:v>
      </x:c>
      <x:c r="G494" s="17" t="str">
        <x:v>arXiv:2503.18175</x:v>
      </x:c>
      <x:c r="H494" s="27" t="str">
        <x:v>Enhancing Software Vulnerability Detection Using Code Property Graphs and Convolutional Neural Networks</x:v>
      </x:c>
      <x:c r="I494" s="17" t="str">
        <x:v>Amanpreet Singh Saimbhi</x:v>
      </x:c>
      <x:c r="J494" s="22" t="n">
        <x:v>2025</x:v>
      </x:c>
      <x:c r="K494" s="27" t="str">
        <x:v>The increasing complexity of modern software systems has led to a rise in vulnerabilities that malicious actors can exploit. Traditional methods of vulnerability detection, such as static and dynamic analysis, have limitations in scalability and automation. This paper proposes a novel approach to detecting software vulnerabilities using a combination of code property graphs and machine learning techniques. By leveraging code property graphs, which integrate abstract syntax trees, control flow graphs, and program dependency graphs, we achieve a detailed representation of software code that enhances the accuracy and granularity of vulnerability detection. We introduce various neural network models, including convolutional neural networks adapted for graph data, to process these representations. Our approach provides a scalable and automated solution for vulnerability detection, addressing the shortcomings of existing methods. We also present a newly generated dataset labeled with function-level vulnerability types sourced from open-source repositories. Our contributions include a methodology for transforming software code into code property graphs, the implementation of a convolutional neural network model for graph data, and the creation of a comprehensive dataset for training and evaluation. This work lays the foundation for more effective and efficient vulnerability detection in complex software systems.</x:v>
      </x:c>
      <x:c r="L494" s="17" t="str">
        <x:v>http://arxiv.org/abs/2503.18175v1</x:v>
      </x:c>
      <x:c r="M494" s="23" t="n">
        <x:v>0.014925373134328358</x:v>
      </x:c>
      <x:c r="N494" s="17" t="str">
        <x:v>arxiv-paper-eval-20260727-105551-results.jsonl</x:v>
      </x:c>
      <x:c r="O494" s="24" t="str">
        <x:v>2</x:v>
      </x:c>
      <x:c r="P494" s="28" t="str">
        <x:v>提出函数级漏洞数据集和图神经网络检测方法。</x:v>
      </x:c>
      <x:c r="Q494" s="25" t="str"/>
      <x:c r="R494" s="24" t="str">
        <x:f>IF(Q494&lt;&gt;"",Q494,O494)</x:f>
        <x:v>2</x:v>
      </x:c>
      <x:c r="S494" s="29" t="str"/>
    </x:row>
    <x:row r="495" ht="54" customHeight="1">
      <x:c r="A495" s="17" t="str">
        <x:v>csq025-r14</x:v>
      </x:c>
      <x:c r="B495" s="17" t="str">
        <x:v>csq025</x:v>
      </x:c>
      <x:c r="C495" s="17" t="str">
        <x:v>software_engineering</x:v>
      </x:c>
      <x:c r="D495" s="17" t="str">
        <x:v>vulnerability_detection</x:v>
      </x:c>
      <x:c r="E495" s="27" t="str">
        <x:v>Which datasets and evaluation protocols are used for machine-learning-based source-code vulnerability detection, and which forms of data leakage can inflate reported performance?</x:v>
      </x:c>
      <x:c r="F495" s="22" t="n">
        <x:v>14</x:v>
      </x:c>
      <x:c r="G495" s="17" t="str">
        <x:v>arXiv:2512.18456</x:v>
      </x:c>
      <x:c r="H495" s="27" t="str">
        <x:v>SoK: Understanding (New) Security Issues Across AI4Code Use Cases</x:v>
      </x:c>
      <x:c r="I495" s="17" t="str">
        <x:v>Qilong Wu; Taoran Li; Tianyang Zhou; Varun Chandrasekaran</x:v>
      </x:c>
      <x:c r="J495" s="22" t="n">
        <x:v>2025</x:v>
      </x:c>
      <x:c r="K495" s="27" t="str">
        <x:v>AI-for-Code (AI4Code) systems are reshaping software engineering, with tools like GitHub Copilot accelerating code generation, translation, and vulnerability detection. Alongside these advances, however, security risks remain pervasive: insecure outputs, biased benchmarks, and susceptibility to adversarial manipulation undermine their reliability. This SoK surveys the landscape of AI4Code security across three core applications, identifying recurring gaps: benchmark dominance by Python and toy problems, lack of standardized security datasets, data leakage in evaluation, and fragile adversarial robustness. A comparative study of six state-of-the-art models illustrates these challenges: insecure patterns persist in code generation, vulnerability detection is brittle to semantic-preserving attacks, fine-tuning often misaligns security objectives, and code translation yields uneven security benefits. From this analysis, we distill three forward paths: embedding secure-by-default practices in code generation, building robust and comprehensive detection benchmarks, and leveraging translation as a route to security-enhanced languages. We call for a shift toward security-first AI4Code, where vulnerability mitigation and robustness are embedded throughout the development life cycle.</x:v>
      </x:c>
      <x:c r="L495" s="17" t="str">
        <x:v>http://arxiv.org/abs/2512.18456v1</x:v>
      </x:c>
      <x:c r="M495" s="23" t="n">
        <x:v>0.014925373134328358</x:v>
      </x:c>
      <x:c r="N495" s="17" t="str">
        <x:v>arxiv-paper-eval-20260727-105551-results.jsonl</x:v>
      </x:c>
      <x:c r="O495" s="24" t="str">
        <x:v>2</x:v>
      </x:c>
      <x:c r="P495" s="28" t="str">
        <x:v>综述AI4Code评测数据泄漏与漏洞检测基准缺陷。</x:v>
      </x:c>
      <x:c r="Q495" s="25" t="str"/>
      <x:c r="R495" s="24" t="str">
        <x:f>IF(Q495&lt;&gt;"",Q495,O495)</x:f>
        <x:v>2</x:v>
      </x:c>
      <x:c r="S495" s="29" t="str"/>
    </x:row>
    <x:row r="496" ht="54" customHeight="1">
      <x:c r="A496" s="17" t="str">
        <x:v>csq025-r15</x:v>
      </x:c>
      <x:c r="B496" s="17" t="str">
        <x:v>csq025</x:v>
      </x:c>
      <x:c r="C496" s="17" t="str">
        <x:v>software_engineering</x:v>
      </x:c>
      <x:c r="D496" s="17" t="str">
        <x:v>vulnerability_detection</x:v>
      </x:c>
      <x:c r="E496" s="27" t="str">
        <x:v>Which datasets and evaluation protocols are used for machine-learning-based source-code vulnerability detection, and which forms of data leakage can inflate reported performance?</x:v>
      </x:c>
      <x:c r="F496" s="22" t="n">
        <x:v>15</x:v>
      </x:c>
      <x:c r="G496" s="17" t="str">
        <x:v>arXiv:2504.13358</x:v>
      </x:c>
      <x:c r="H496" s="27" t="str">
        <x:v>GraphQLer: Enhancing GraphQL Security with Context-Aware API Testing</x:v>
      </x:c>
      <x:c r="I496" s="17" t="str">
        <x:v>Omar Tsai; Jianing Li; Tsz Tung Cheung; Lejing Huang; Hao Zhu; Jianrui Xiao; Iman Sharafaldin; Mohammad A. Tayebi</x:v>
      </x:c>
      <x:c r="J496" s="22" t="n">
        <x:v>2025</x:v>
      </x:c>
      <x:c r="K496" s="27" t="str">
        <x:v>GraphQL is an open-source data query and manipulation language for web applications, offering a flexible alternative to RESTful APIs. However, its dynamic execution model and lack of built-in security mechanisms expose it to vulnerabilities such as unauthorized data access, denial-of-service (DoS) attacks, and injections. Existing testing tools focus on functional correctness, often overlooking security risks stemming from query interdependencies and execution context. This paper presents GraphQLer, the first context-aware security testing framework for GraphQL APIs. GraphQLer constructs a dependency graph to analyze relationships among mutations, queries, and objects, capturing critical interdependencies. It chains related queries and mutations to reveal authentication and authorization flaws, access control bypasses, and resource misuse. Additionally, GraphQLer tracks internal resource usage to uncover data leakage, privilege escalation, and replay attack vectors. We assess GraphQLer on various GraphQL APIs, demonstrating improved testing coverage - averaging a 35% increase, with up to 84% in some cases - compared to top-performing baselines. Remarkably, this is achieved in less time, making GraphQLer suitable for time-sensitive contexts. GraphQLer also successfully detects a known CVE and potential vulnerabilities in large-scale production APIs. These results underline GraphQLer's utility in proactively securing GraphQL APIs through automated, context-aware vulnerability detection.</x:v>
      </x:c>
      <x:c r="L496" s="17" t="str">
        <x:v>http://arxiv.org/abs/2504.13358v1</x:v>
      </x:c>
      <x:c r="M496" s="23" t="n">
        <x:v>0.014705882352941176</x:v>
      </x:c>
      <x:c r="N496" s="17" t="str">
        <x:v>arxiv-paper-eval-20260727-105551-results.jsonl</x:v>
      </x:c>
      <x:c r="O496" s="24" t="str">
        <x:v>0</x:v>
      </x:c>
      <x:c r="P496" s="28" t="str">
        <x:v>研究GraphQL接口动态安全测试，并非ML源代码检测。</x:v>
      </x:c>
      <x:c r="Q496" s="25" t="str"/>
      <x:c r="R496" s="24" t="str">
        <x:f>IF(Q496&lt;&gt;"",Q496,O496)</x:f>
        <x:v>0</x:v>
      </x:c>
      <x:c r="S496" s="29" t="str"/>
    </x:row>
    <x:row r="497" ht="54" customHeight="1">
      <x:c r="A497" s="17" t="str">
        <x:v>csq025-r16</x:v>
      </x:c>
      <x:c r="B497" s="17" t="str">
        <x:v>csq025</x:v>
      </x:c>
      <x:c r="C497" s="17" t="str">
        <x:v>software_engineering</x:v>
      </x:c>
      <x:c r="D497" s="17" t="str">
        <x:v>vulnerability_detection</x:v>
      </x:c>
      <x:c r="E497" s="27" t="str">
        <x:v>Which datasets and evaluation protocols are used for machine-learning-based source-code vulnerability detection, and which forms of data leakage can inflate reported performance?</x:v>
      </x:c>
      <x:c r="F497" s="22" t="n">
        <x:v>16</x:v>
      </x:c>
      <x:c r="G497" s="17" t="str">
        <x:v>arXiv:2205.12424</x:v>
      </x:c>
      <x:c r="H497" s="27" t="str">
        <x:v>VulBERTa: Simplified Source Code Pre-Training for Vulnerability Detection</x:v>
      </x:c>
      <x:c r="I497" s="17" t="str">
        <x:v>Hazim Hanif; Sergio Maffeis</x:v>
      </x:c>
      <x:c r="J497" s="22" t="n">
        <x:v>2022</x:v>
      </x:c>
      <x:c r="K497" s="27" t="str">
        <x:v>This paper presents VulBERTa, a deep learning approach to detect security vulnerabilities in source code. Our approach pre-trains a RoBERTa model with a custom tokenisation pipeline on real-world code from open-source C/C++ projects. The model learns a deep knowledge representation of the code syntax and semantics, which we leverage to train vulnerability detection classifiers. We evaluate our approach on binary and multi-class vulnerability detection tasks across several datasets (Vuldeepecker, Draper, REVEAL and muVuldeepecker) and benchmarks (CodeXGLUE and D2A). The evaluation results show that VulBERTa achieves state-of-the-art performance and outperforms existing approaches across different datasets, despite its conceptual simplicity, and limited cost in terms of size of training data and number of model parameters.</x:v>
      </x:c>
      <x:c r="L497" s="17" t="str">
        <x:v>http://arxiv.org/abs/2205.12424v1</x:v>
      </x:c>
      <x:c r="M497" s="23" t="n">
        <x:v>0.014705882352941176</x:v>
      </x:c>
      <x:c r="N497" s="17" t="str">
        <x:v>arxiv-paper-eval-20260727-105551-results.jsonl</x:v>
      </x:c>
      <x:c r="O497" s="24" t="str">
        <x:v>2</x:v>
      </x:c>
      <x:c r="P497" s="28" t="str">
        <x:v>在多个常用数据集和基准上评测VulBERTa。</x:v>
      </x:c>
      <x:c r="Q497" s="25" t="str"/>
      <x:c r="R497" s="24" t="str">
        <x:f>IF(Q497&lt;&gt;"",Q497,O497)</x:f>
        <x:v>2</x:v>
      </x:c>
      <x:c r="S497" s="29" t="str"/>
    </x:row>
    <x:row r="498" ht="54" customHeight="1">
      <x:c r="A498" s="17" t="str">
        <x:v>csq025-r17</x:v>
      </x:c>
      <x:c r="B498" s="17" t="str">
        <x:v>csq025</x:v>
      </x:c>
      <x:c r="C498" s="17" t="str">
        <x:v>software_engineering</x:v>
      </x:c>
      <x:c r="D498" s="17" t="str">
        <x:v>vulnerability_detection</x:v>
      </x:c>
      <x:c r="E498" s="27" t="str">
        <x:v>Which datasets and evaluation protocols are used for machine-learning-based source-code vulnerability detection, and which forms of data leakage can inflate reported performance?</x:v>
      </x:c>
      <x:c r="F498" s="22" t="n">
        <x:v>17</x:v>
      </x:c>
      <x:c r="G498" s="17" t="str">
        <x:v>arXiv:2512.09006</x:v>
      </x:c>
      <x:c r="H498" s="27" t="str">
        <x:v>Llama-based source code vulnerability detection: Prompt engineering vs Fine tuning</x:v>
      </x:c>
      <x:c r="I498" s="17" t="str">
        <x:v>Dyna Soumhane Ouchebara; Stéphane Dupont</x:v>
      </x:c>
      <x:c r="J498" s="22" t="n">
        <x:v>2025</x:v>
      </x:c>
      <x:c r="K498" s="27" t="str">
        <x:v>The significant increase in software production, driven by the acceleration of development cycles over the past two decades, has led to a steady rise in software vulnerabilities, as shown by statistics published yearly by the CVE program. The automation of the source code vulnerability detection (CVD) process has thus become essential, and several methods have been proposed ranging from the well established program analysis techniques to the more recent AI-based methods. Our research investigates Large Language Models (LLMs), which are considered among the most performant AI models to date, for the CVD task. The objective is to study their performance and apply different state-of-the-art techniques to enhance their effectiveness for this task. We explore various fine-tuning and prompt engineering settings. We particularly suggest one novel approach for fine-tuning LLMs which we call Double Fine-tuning, and also test the understudied Test-Time fine-tuning approach. We leverage the recent open-source Llama-3.1 8B, with source code samples extracted from BigVul and PrimeVul datasets. Our conclusions highlight the importance of fine-tuning to resolve the task, the performance of Double tuning, as well as the potential of Llama models for CVD. Though prompting proved ineffective, Retrieval augmented generation (RAG) performed relatively well as an example selection technique. Overall, some of our research questions have been answered, and many are still on hold, which leaves us many future work perspectives. Code repository is available here: https://github.com/DynaSoumhaneOuchebara/Llama-based-vulnerability-detection.</x:v>
      </x:c>
      <x:c r="L498" s="17" t="str">
        <x:v>http://arxiv.org/abs/2512.09006v1</x:v>
      </x:c>
      <x:c r="M498" s="23" t="n">
        <x:v>0.014492753623188406</x:v>
      </x:c>
      <x:c r="N498" s="17" t="str">
        <x:v>arxiv-paper-eval-20260727-105551-results.jsonl</x:v>
      </x:c>
      <x:c r="O498" s="24" t="str">
        <x:v>2</x:v>
      </x:c>
      <x:c r="P498" s="28" t="str">
        <x:v>使用BigVul和PrimeVul比较提示、微调与RAG。</x:v>
      </x:c>
      <x:c r="Q498" s="25" t="str"/>
      <x:c r="R498" s="24" t="str">
        <x:f>IF(Q498&lt;&gt;"",Q498,O498)</x:f>
        <x:v>2</x:v>
      </x:c>
      <x:c r="S498" s="29" t="str"/>
    </x:row>
    <x:row r="499" ht="54" customHeight="1">
      <x:c r="A499" s="17" t="str">
        <x:v>csq025-r18</x:v>
      </x:c>
      <x:c r="B499" s="17" t="str">
        <x:v>csq025</x:v>
      </x:c>
      <x:c r="C499" s="17" t="str">
        <x:v>software_engineering</x:v>
      </x:c>
      <x:c r="D499" s="17" t="str">
        <x:v>vulnerability_detection</x:v>
      </x:c>
      <x:c r="E499" s="27" t="str">
        <x:v>Which datasets and evaluation protocols are used for machine-learning-based source-code vulnerability detection, and which forms of data leakage can inflate reported performance?</x:v>
      </x:c>
      <x:c r="F499" s="22" t="n">
        <x:v>18</x:v>
      </x:c>
      <x:c r="G499" s="17" t="str">
        <x:v>arXiv:2306.05375</x:v>
      </x:c>
      <x:c r="H499" s="27" t="str">
        <x:v>Sequential Graph Neural Networks for Source Code Vulnerability Identification</x:v>
      </x:c>
      <x:c r="I499" s="17" t="str">
        <x:v>Ammar Ahmed; Anwar Said; Mudassir Shabbir; Xenofon Koutsoukos</x:v>
      </x:c>
      <x:c r="J499" s="22" t="n">
        <x:v>2023</x:v>
      </x:c>
      <x:c r="K499" s="27" t="str">
        <x:v>Vulnerability identification constitutes a task of high importance for cyber security. It is quite helpful for locating and fixing vulnerable functions in large applications. However, this task is rather challenging owing to the absence of reliable and adequately managed datasets and learning models. Existing solutions typically rely on human expertise to annotate datasets or specify features, which is prone to error. In addition, the learning models have a high rate of false positives. To bridge this gap, in this paper, we present a properly curated C/C++ source code vulnerability dataset, denoted as CVEFunctionGraphEmbeddings (CVEFGE), to aid in developing models. CVEFGE is automatically crawled from the CVE database, which contains authentic and publicly disclosed source code vulnerabilities. We also propose a learning framework based on graph neural networks, denoted SEquential Graph Neural Network (SEGNN) for learning a large number of code semantic representations. SEGNN consists of a sequential learning module, graph convolution, pooling, and fully connected layers. Our evaluations on two datasets and four baseline methods in a graph classification setting demonstrate state-of-the-art results.</x:v>
      </x:c>
      <x:c r="L499" s="17" t="str">
        <x:v>http://arxiv.org/abs/2306.05375v1</x:v>
      </x:c>
      <x:c r="M499" s="23" t="n">
        <x:v>0.014285714285714285</x:v>
      </x:c>
      <x:c r="N499" s="17" t="str">
        <x:v>arxiv-paper-eval-20260727-105551-results.jsonl</x:v>
      </x:c>
      <x:c r="O499" s="24" t="str">
        <x:v>2</x:v>
      </x:c>
      <x:c r="P499" s="28" t="str">
        <x:v>发布CVE函数图数据集并跨数据集评测GNN。</x:v>
      </x:c>
      <x:c r="Q499" s="25" t="str"/>
      <x:c r="R499" s="24" t="str">
        <x:f>IF(Q499&lt;&gt;"",Q499,O499)</x:f>
        <x:v>2</x:v>
      </x:c>
      <x:c r="S499" s="29" t="str"/>
    </x:row>
    <x:row r="500" ht="54" customHeight="1">
      <x:c r="A500" s="17" t="str">
        <x:v>csq025-r19</x:v>
      </x:c>
      <x:c r="B500" s="17" t="str">
        <x:v>csq025</x:v>
      </x:c>
      <x:c r="C500" s="17" t="str">
        <x:v>software_engineering</x:v>
      </x:c>
      <x:c r="D500" s="17" t="str">
        <x:v>vulnerability_detection</x:v>
      </x:c>
      <x:c r="E500" s="27" t="str">
        <x:v>Which datasets and evaluation protocols are used for machine-learning-based source-code vulnerability detection, and which forms of data leakage can inflate reported performance?</x:v>
      </x:c>
      <x:c r="F500" s="22" t="n">
        <x:v>19</x:v>
      </x:c>
      <x:c r="G500" s="17" t="str">
        <x:v>arXiv:2511.09212</x:v>
      </x:c>
      <x:c r="H500" s="27" t="str">
        <x:v>Leveraging Self-Paced Learning for Software Vulnerability Detection</x:v>
      </x:c>
      <x:c r="I500" s="17" t="str">
        <x:v>Zeru Cheng; Yanjing Yang; He Zhang; Lanxin Yang; Jinghao Hu; Jinwei Xu; Bohan Liu; Haifeng Shen</x:v>
      </x:c>
      <x:c r="J500" s="22" t="n">
        <x:v>2025</x:v>
      </x:c>
      <x:c r="K500" s="27" t="str">
        <x:v>Software vulnerabilities are major risks to software systems. Recently, researchers have proposed many deep learning approaches to detect software vulnerabilities. However, their accuracy is limited in practice. One of the main causes is low-quality training data (i.e., source code). To this end, we propose a new approach: SPLVD (Self-Paced Learning for Software Vulnerability Detection). SPLVD dynamically selects source code for model training based on the stage of training, which simulates the human learning process progressing from easy to hard. SPLVD has a data selector that is specifically designed for the vulnerability detection task, which enables it to prioritize the learning of easy source code. Before each training epoch, SPLVD uses the data selector to recalculate the difficulty of the source code, select new training source code, and update the data selector. When evaluating SPLVD, we first use three benchmark datasets with over 239K source code in which 25K are vulnerable for standard evaluations. Experimental results demonstrate that SPLVD achieves the highest F1 of 89.2%, 68.7%, and 43.5%, respectively, outperforming the state-of-the-art approaches. Then we collect projects from OpenHarmony, a new ecosystem that has not been learned by general LLMs, to evaluate SPLVD further. SPLVD achieves the highest precision of 90.9%, demonstrating its practical effectiveness.</x:v>
      </x:c>
      <x:c r="L500" s="17" t="str">
        <x:v>http://arxiv.org/abs/2511.09212v1</x:v>
      </x:c>
      <x:c r="M500" s="23" t="n">
        <x:v>0.014084507042253521</x:v>
      </x:c>
      <x:c r="N500" s="17" t="str">
        <x:v>arxiv-paper-eval-20260727-105551-results.jsonl</x:v>
      </x:c>
      <x:c r="O500" s="24" t="str">
        <x:v>2</x:v>
      </x:c>
      <x:c r="P500" s="28" t="str">
        <x:v>用三个基准和未见项目评测自步学习漏洞检测。</x:v>
      </x:c>
      <x:c r="Q500" s="25" t="str"/>
      <x:c r="R500" s="24" t="str">
        <x:f>IF(Q500&lt;&gt;"",Q500,O500)</x:f>
        <x:v>2</x:v>
      </x:c>
      <x:c r="S500" s="29" t="str"/>
    </x:row>
    <x:row r="501" ht="54" customHeight="1">
      <x:c r="A501" s="17" t="str">
        <x:v>csq025-r20</x:v>
      </x:c>
      <x:c r="B501" s="17" t="str">
        <x:v>csq025</x:v>
      </x:c>
      <x:c r="C501" s="17" t="str">
        <x:v>software_engineering</x:v>
      </x:c>
      <x:c r="D501" s="17" t="str">
        <x:v>vulnerability_detection</x:v>
      </x:c>
      <x:c r="E501" s="27" t="str">
        <x:v>Which datasets and evaluation protocols are used for machine-learning-based source-code vulnerability detection, and which forms of data leakage can inflate reported performance?</x:v>
      </x:c>
      <x:c r="F501" s="22" t="n">
        <x:v>20</x:v>
      </x:c>
      <x:c r="G501" s="17" t="str">
        <x:v>arXiv:2306.11673</x:v>
      </x:c>
      <x:c r="H501" s="27" t="str">
        <x:v>A Survey on Automated Software Vulnerability Detection Using Machine Learning and Deep Learning</x:v>
      </x:c>
      <x:c r="I501" s="17" t="str">
        <x:v>Nima Shiri Harzevili; Alvine Boaye Belle; Junjie Wang; Song Wang; Zhen Ming;  Jiang; Nachiappan Nagappan</x:v>
      </x:c>
      <x:c r="J501" s="22" t="n">
        <x:v>2023</x:v>
      </x:c>
      <x:c r="K501" s="27" t="str">
        <x:v>Software vulnerability detection is critical in software security because it identifies potential bugs in software systems, enabling immediate remediation and mitigation measures to be implemented before they may be exploited. Automatic vulnerability identification is important because it can evaluate large codebases more efficiently than manual code auditing. Many Machine Learning (ML) and Deep Learning (DL) based models for detecting vulnerabilities in source code have been presented in recent years. However, a survey that summarises, classifies, and analyses the application of ML/DL models for vulnerability detection is missing. It may be difficult to discover gaps in existing research and potential for future improvement without a comprehensive survey. This could result in essential areas of research being overlooked or under-represented, leading to a skewed understanding of the state of the art in vulnerability detection. This work address that gap by presenting a systematic survey to characterize various features of ML/DL-based source code level software vulnerability detection approaches via five primary research questions (RQs). Specifically, our RQ1 examines the trend of publications that leverage ML/DL for vulnerability detection, including the evolution of research and the distribution of publication venues. RQ2 describes vulnerability datasets used by existing ML/DL-based models, including their sources, types, and representations, as well as analyses of the embedding techniques used by these approaches. RQ3 explores the model architectures and design assumptions of ML/DL-based vulnerability detection approaches. RQ4 summarises the type and frequency of vulnerabilities that are covered by existing studies. Lastly, RQ5 presents a list of current challenges to be researched and an outline of a potential research roadmap that highlights crucial opportunities for future work.</x:v>
      </x:c>
      <x:c r="L501" s="17" t="str">
        <x:v>http://arxiv.org/abs/2306.11673v1</x:v>
      </x:c>
      <x:c r="M501" s="23" t="n">
        <x:v>0.013888888888888888</x:v>
      </x:c>
      <x:c r="N501" s="17" t="str">
        <x:v>arxiv-paper-eval-20260727-105551-results.jsonl</x:v>
      </x:c>
      <x:c r="O501" s="24" t="str">
        <x:v>2</x:v>
      </x:c>
      <x:c r="P501" s="28" t="str">
        <x:v>系统综述ML/DL源代码漏洞检测数据集、模型与挑战。</x:v>
      </x:c>
      <x:c r="Q501" s="25" t="str"/>
      <x:c r="R501" s="24" t="str">
        <x:f>IF(Q501&lt;&gt;"",Q501,O501)</x:f>
        <x:v>2</x:v>
      </x:c>
      <x:c r="S501" s="29" t="str"/>
    </x:row>
    <x:row r="502" ht="54" customHeight="1">
      <x:c r="A502" s="17" t="str">
        <x:v>csq026-r01</x:v>
      </x:c>
      <x:c r="B502" s="17" t="str">
        <x:v>csq026</x:v>
      </x:c>
      <x:c r="C502" s="17" t="str">
        <x:v>software_engineering</x:v>
      </x:c>
      <x:c r="D502" s="17" t="str">
        <x:v>llm_agents_for_se</x:v>
      </x:c>
      <x:c r="E502" s="27" t="str">
        <x:v>What limitations have been reported for large-language-model agents on repository-level software engineering tasks, especially in localization, long-context reasoning, testing, and reproducibility?</x:v>
      </x:c>
      <x:c r="F502" s="22" t="n">
        <x:v>1</x:v>
      </x:c>
      <x:c r="G502" s="17" t="str">
        <x:v>arXiv:2504.14757</x:v>
      </x:c>
      <x:c r="H502" s="27" t="str">
        <x:v>SWE-Synth: Synthesizing Verifiable Bug-Fix Data to Enable Large Language Models in Resolving Real-World Bugs</x:v>
      </x:c>
      <x:c r="I502" s="17" t="str">
        <x:v>Minh V. T. Pham; Huy N. Phan; Hoang N. Phan; Cuong Le Chi; Tien N. Nguyen; Nghi D. Q. Bui</x:v>
      </x:c>
      <x:c r="J502" s="22" t="n">
        <x:v>2025</x:v>
      </x:c>
      <x:c r="K502" s="27" t="str">
        <x:v>Large language models (LLMs) are transforming automated program repair (APR) through agent-based approaches that localize bugs, generate patches, and verify fixes. However, the lack of high-quality, scalable training datasets, especially those with verifiable outputs and intermediate reasoning traces-limits progress, particularly for open-source models. In this work, we present SWE-Synth, a framework for synthesizing realistic, verifiable, and process-aware bug-fix datasets at the repository level. SWE-Synth leverages LLM agents to simulate debugging workflows, producing not only bug-fix pairs but also test cases and structured repair trajectories. Compared to manually curated datasets, our method scales with minimal human effort while preserving contextual richness and correctness. Experiments show that models trained on SWE-Synth outperform those trained on real-world datasets by 2.3% on SWE-Bench Lite. Our results highlight the potential of synthetic, agent-generated data to advance the state of the art in APR and software engineering automation.</x:v>
      </x:c>
      <x:c r="L502" s="17" t="str">
        <x:v>http://arxiv.org/abs/2504.14757v2</x:v>
      </x:c>
      <x:c r="M502" s="23" t="n">
        <x:v>0.029211087420042643</x:v>
      </x:c>
      <x:c r="N502" s="17" t="str">
        <x:v>arxiv-paper-eval-20260727-105551-results.jsonl</x:v>
      </x:c>
      <x:c r="O502" s="24" t="str">
        <x:v>2</x:v>
      </x:c>
      <x:c r="P502" s="28" t="str">
        <x:v>指出可验证仓库级训练数据与过程轨迹不足。</x:v>
      </x:c>
      <x:c r="Q502" s="25" t="str"/>
      <x:c r="R502" s="24" t="str">
        <x:f>IF(Q502&lt;&gt;"",Q502,O502)</x:f>
        <x:v>2</x:v>
      </x:c>
      <x:c r="S502" s="29" t="str"/>
    </x:row>
    <x:row r="503" ht="54" customHeight="1">
      <x:c r="A503" s="17" t="str">
        <x:v>csq026-r02</x:v>
      </x:c>
      <x:c r="B503" s="17" t="str">
        <x:v>csq026</x:v>
      </x:c>
      <x:c r="C503" s="17" t="str">
        <x:v>software_engineering</x:v>
      </x:c>
      <x:c r="D503" s="17" t="str">
        <x:v>llm_agents_for_se</x:v>
      </x:c>
      <x:c r="E503" s="27" t="str">
        <x:v>What limitations have been reported for large-language-model agents on repository-level software engineering tasks, especially in localization, long-context reasoning, testing, and reproducibility?</x:v>
      </x:c>
      <x:c r="F503" s="22" t="n">
        <x:v>2</x:v>
      </x:c>
      <x:c r="G503" s="17" t="str">
        <x:v>arXiv:2512.20957</x:v>
      </x:c>
      <x:c r="H503" s="27" t="str">
        <x:v>One Tool Is Enough: Reinforcement Learning for Repository-Level LLM Agents</x:v>
      </x:c>
      <x:c r="I503" s="17" t="str">
        <x:v>Zhaoxi Zhang; Yitong Duan; Yanzhi Zhang; Yiming Xu; Zhixiang Wang; Kun Liang; Weikang Li; Jiahui Liang; Deguo Xia; Jizhou Huang; Jiyan He; Yunfang Wu</x:v>
      </x:c>
      <x:c r="J503" s="22" t="n">
        <x:v>2025</x:v>
      </x:c>
      <x:c r="K503" s="27" t="str">
        <x:v>Locating files and functions requiring modification in large software repositories is challenging due to their scale and structural complexity. Existing LLM-based methods typically treat this as a repository-level retrieval task and rely on multiple auxiliary tools, which often overlook code execution logic and complicate model control. We propose RepoNavigator, an LLM agent equipped with a single execution-aware tool: jumping to the definition of an invoked symbol. This unified design reflects the actual flow of code execution while simplifying tool manipulation. RepoNavigator is trained end-to-end via Reinforcement Learning (RL) directly from a base pretrained model, without relying on closed-source distillation. Experiments demonstrate that RL-trained RepoNavigator achieves state-of-the-art performance, with the 7B model outperforming 14B baselines, the 14B model surpassing 32B competitors, and the 32B model exceeding closed-source models such as GPT-5 on most metrics. These results confirm that integrating a single, structurally grounded tool with RL training provides an efficient and scalable solution for repository-level issue localization.</x:v>
      </x:c>
      <x:c r="L503" s="17" t="str">
        <x:v>http://arxiv.org/abs/2512.20957v6</x:v>
      </x:c>
      <x:c r="M503" s="23" t="n">
        <x:v>0.01639344262295082</x:v>
      </x:c>
      <x:c r="N503" s="17" t="str">
        <x:v>arxiv-paper-eval-20260727-105551-results.jsonl</x:v>
      </x:c>
      <x:c r="O503" s="24" t="str">
        <x:v>2</x:v>
      </x:c>
      <x:c r="P503" s="28" t="str">
        <x:v>直接针对大型仓库定位困难与多工具控制复杂性。</x:v>
      </x:c>
      <x:c r="Q503" s="25" t="str"/>
      <x:c r="R503" s="24" t="str">
        <x:f>IF(Q503&lt;&gt;"",Q503,O503)</x:f>
        <x:v>2</x:v>
      </x:c>
      <x:c r="S503" s="29" t="str"/>
    </x:row>
    <x:row r="504" ht="54" customHeight="1">
      <x:c r="A504" s="17" t="str">
        <x:v>csq026-r03</x:v>
      </x:c>
      <x:c r="B504" s="17" t="str">
        <x:v>csq026</x:v>
      </x:c>
      <x:c r="C504" s="17" t="str">
        <x:v>software_engineering</x:v>
      </x:c>
      <x:c r="D504" s="17" t="str">
        <x:v>llm_agents_for_se</x:v>
      </x:c>
      <x:c r="E504" s="27" t="str">
        <x:v>What limitations have been reported for large-language-model agents on repository-level software engineering tasks, especially in localization, long-context reasoning, testing, and reproducibility?</x:v>
      </x:c>
      <x:c r="F504" s="22" t="n">
        <x:v>3</x:v>
      </x:c>
      <x:c r="G504" s="17" t="str">
        <x:v>arXiv:2501.18160</x:v>
      </x:c>
      <x:c r="H504" s="27" t="str">
        <x:v>RepoAudit: An Autonomous LLM-Agent for Repository-Level Code Auditing</x:v>
      </x:c>
      <x:c r="I504" s="17" t="str">
        <x:v>Jinyao Guo; Chengpeng Wang; Xiangzhe Xu; Zian Su; Xiangyu Zhang</x:v>
      </x:c>
      <x:c r="J504" s="22" t="n">
        <x:v>2025</x:v>
      </x:c>
      <x:c r="K504" s="27" t="str">
        <x:v>Code auditing is the process of reviewing code with the aim of identifying bugs. Large Language Models (LLMs) have demonstrated promising capabilities for this task without requiring compilation, while also supporting user-friendly customization. However, auditing a code repository with LLMs poses significant challenges: limited context windows and hallucinations can degrade the quality of bug reports, and analyzing large-scale repositories incurs substantial time and token costs, hindering efficiency and scalability. This work introduces an LLM-based agent, RepoAudit, designed to perform autonomous repository-level code auditing. Equipped with agent memory, RepoAudit explores the codebase on demand by analyzing data-flow facts along feasible program paths within individual functions. It further incorporates a validator module to mitigate hallucinations by verifying data-flow facts and checking the satisfiability of path conditions associated with potential bugs, thereby reducing false positives. RepoAudit detects 40 true bugs across 15 real-world benchmark projects with a precision of 78.43%, requiring on average only 0.44 hours and $2.54 per project. Also, it detects 185 new bugs in high-profile projects, among which 174 have been confirmed or fixed. We have open-sourced RepoAudit at https://github.com/PurCL/RepoAudit.</x:v>
      </x:c>
      <x:c r="L504" s="17" t="str">
        <x:v>http://arxiv.org/abs/2501.18160v3</x:v>
      </x:c>
      <x:c r="M504" s="23" t="n">
        <x:v>0.01639344262295082</x:v>
      </x:c>
      <x:c r="N504" s="17" t="str">
        <x:v>arxiv-paper-eval-20260727-105551-results.jsonl</x:v>
      </x:c>
      <x:c r="O504" s="24" t="str">
        <x:v>2</x:v>
      </x:c>
      <x:c r="P504" s="28" t="str">
        <x:v>直接报告上下文窗口、幻觉、成本与扩展性限制。</x:v>
      </x:c>
      <x:c r="Q504" s="25" t="str"/>
      <x:c r="R504" s="24" t="str">
        <x:f>IF(Q504&lt;&gt;"",Q504,O504)</x:f>
        <x:v>2</x:v>
      </x:c>
      <x:c r="S504" s="29" t="str"/>
    </x:row>
    <x:row r="505" ht="54" customHeight="1">
      <x:c r="A505" s="17" t="str">
        <x:v>csq026-r04</x:v>
      </x:c>
      <x:c r="B505" s="17" t="str">
        <x:v>csq026</x:v>
      </x:c>
      <x:c r="C505" s="17" t="str">
        <x:v>software_engineering</x:v>
      </x:c>
      <x:c r="D505" s="17" t="str">
        <x:v>llm_agents_for_se</x:v>
      </x:c>
      <x:c r="E505" s="27" t="str">
        <x:v>What limitations have been reported for large-language-model agents on repository-level software engineering tasks, especially in localization, long-context reasoning, testing, and reproducibility?</x:v>
      </x:c>
      <x:c r="F505" s="22" t="n">
        <x:v>4</x:v>
      </x:c>
      <x:c r="G505" s="17" t="str">
        <x:v>arXiv:2509.24148</x:v>
      </x:c>
      <x:c r="H505" s="27" t="str">
        <x:v>TENET: One Step Toward Test-Driven Development for Repository-Level Code Generation</x:v>
      </x:c>
      <x:c r="I505" s="17" t="str">
        <x:v>Yiran Hu; Nan Jiang; Shanchao Liang; Yi Wu; Lin Tan</x:v>
      </x:c>
      <x:c r="J505" s="22" t="n">
        <x:v>2025</x:v>
      </x:c>
      <x:c r="K505" s="27" t="str">
        <x:v>Test-Driven Development (TDD) is a widely adopted practice that requires developers to create and execute tests alongside implementation. With recent advances in Large Language Models (LLMs), developers can shift from manually writing the code to defining tests as executable specifications and delegating code synthesis to AI agents. However, enabling repository-level TDD under developer-written tests is challenging, requiring: (1) specification enhancement: identifying a concise yet representative test subset from large suites with rich task semantics; (2) retrieval augmentation: using tests to guide reasoning and context retrieval; and (3) test-driven refinement: interpreting test feedback for iterative improvement. We propose TENET, an agentic framework for repository-level code generation under the TDD paradigm. TENET includes: (1) a test harness mechanism that selects a concise test suite to maximize diversity of the target usage scenarios; (2) a tailored agent toolset for efficient retrieval and debugging; and (3) a reflection-based refinement workflow that iteratively analyzes failures and updates implementations. TENET consistently outperforms the strongest baselines across backbones, achieving 69.08% and 81.77% Pass@1 on RepoCod and RepoEval with Claude Sonnet 4, improving by 9.49 and 2.17 percentage points, respectively. Additionally, we present the first systematic study of how test suite characteristics influence LLM agent performance in TDD settings.</x:v>
      </x:c>
      <x:c r="L505" s="17" t="str">
        <x:v>http://arxiv.org/abs/2509.24148v3</x:v>
      </x:c>
      <x:c r="M505" s="23" t="n">
        <x:v>0.01639344262295082</x:v>
      </x:c>
      <x:c r="N505" s="17" t="str">
        <x:v>arxiv-paper-eval-20260727-105551-results.jsonl</x:v>
      </x:c>
      <x:c r="O505" s="24" t="str">
        <x:v>2</x:v>
      </x:c>
      <x:c r="P505" s="28" t="str">
        <x:v>直接研究仓库级测试选择、检索和失败反馈难点。</x:v>
      </x:c>
      <x:c r="Q505" s="25" t="str"/>
      <x:c r="R505" s="24" t="str">
        <x:f>IF(Q505&lt;&gt;"",Q505,O505)</x:f>
        <x:v>2</x:v>
      </x:c>
      <x:c r="S505" s="29" t="str"/>
    </x:row>
    <x:row r="506" ht="54" customHeight="1">
      <x:c r="A506" s="17" t="str">
        <x:v>csq026-r05</x:v>
      </x:c>
      <x:c r="B506" s="17" t="str">
        <x:v>csq026</x:v>
      </x:c>
      <x:c r="C506" s="17" t="str">
        <x:v>software_engineering</x:v>
      </x:c>
      <x:c r="D506" s="17" t="str">
        <x:v>llm_agents_for_se</x:v>
      </x:c>
      <x:c r="E506" s="27" t="str">
        <x:v>What limitations have been reported for large-language-model agents on repository-level software engineering tasks, especially in localization, long-context reasoning, testing, and reproducibility?</x:v>
      </x:c>
      <x:c r="F506" s="22" t="n">
        <x:v>5</x:v>
      </x:c>
      <x:c r="G506" s="17" t="str">
        <x:v>arXiv:2505.19896</x:v>
      </x:c>
      <x:c r="H506" s="27" t="str">
        <x:v>Large Language Models as Autonomous Spacecraft Operators in Kerbal Space Program</x:v>
      </x:c>
      <x:c r="I506" s="17" t="str">
        <x:v>Alejandro Carrasco; Victor Rodriguez-Fernandez; Richard Linares</x:v>
      </x:c>
      <x:c r="J506" s="22" t="n">
        <x:v>2025</x:v>
      </x:c>
      <x:c r="K506" s="27" t="str">
        <x:v>Recent trends are emerging in the use of Large Language Models (LLMs) as autonomous agents that take actions based on the content of the user text prompts. We intend to apply these concepts to the field of Control in space, enabling LLMs to play a significant role in the decision-making process for autonomous satellite operations. As a first step towards this goal, we have developed a pure LLM-based solution for the Kerbal Space Program Differential Games (KSPDG) challenge, a public software design competition where participants create autonomous agents for maneuvering satellites involved in non-cooperative space operations, running on the KSP game engine. Our approach leverages prompt engineering, few-shot prompting, and fine-tuning techniques to create an effective LLM-based agent that ranked 2nd in the competition. To the best of our knowledge, this work pioneers the integration of LLM agents into space research. The project comprises several open repositories to facilitate replication and further research. The codebase is accessible on \href{https://github.com/ARCLab-MIT/kspdg}{GitHub}, while the trained models and datasets are available on \href{https://huggingface.co/OhhTuRnz}{Hugging Face}. Additionally, experiment tracking and detailed results can be reviewed on \href{https://wandb.ai/carrusk/huggingface}{Weights \&amp; Biases</x:v>
      </x:c>
      <x:c r="L506" s="17" t="str">
        <x:v>http://arxiv.org/abs/2505.19896v1</x:v>
      </x:c>
      <x:c r="M506" s="23" t="n">
        <x:v>0.01639344262295082</x:v>
      </x:c>
      <x:c r="N506" s="17" t="str">
        <x:v>arxiv-paper-eval-20260727-105551-results.jsonl</x:v>
      </x:c>
      <x:c r="O506" s="24" t="str">
        <x:v>0</x:v>
      </x:c>
      <x:c r="P506" s="28" t="str">
        <x:v>研究航天游戏控制代理，不是仓库级软件工程。</x:v>
      </x:c>
      <x:c r="Q506" s="25" t="str"/>
      <x:c r="R506" s="24" t="str">
        <x:f>IF(Q506&lt;&gt;"",Q506,O506)</x:f>
        <x:v>0</x:v>
      </x:c>
      <x:c r="S506" s="29" t="str"/>
    </x:row>
    <x:row r="507" ht="54" customHeight="1">
      <x:c r="A507" s="17" t="str">
        <x:v>csq026-r06</x:v>
      </x:c>
      <x:c r="B507" s="17" t="str">
        <x:v>csq026</x:v>
      </x:c>
      <x:c r="C507" s="17" t="str">
        <x:v>software_engineering</x:v>
      </x:c>
      <x:c r="D507" s="17" t="str">
        <x:v>llm_agents_for_se</x:v>
      </x:c>
      <x:c r="E507" s="27" t="str">
        <x:v>What limitations have been reported for large-language-model agents on repository-level software engineering tasks, especially in localization, long-context reasoning, testing, and reproducibility?</x:v>
      </x:c>
      <x:c r="F507" s="22" t="n">
        <x:v>6</x:v>
      </x:c>
      <x:c r="G507" s="17" t="str">
        <x:v>arXiv:2508.02611</x:v>
      </x:c>
      <x:c r="H507" s="27" t="str">
        <x:v>Meta-RAG on Large Codebases Using Code Summarization</x:v>
      </x:c>
      <x:c r="I507" s="17" t="str">
        <x:v>Vali Tawosi; Salwa Alamir; Xiaomo Liu; Manuela Veloso</x:v>
      </x:c>
      <x:c r="J507" s="22" t="n">
        <x:v>2025</x:v>
      </x:c>
      <x:c r="K507" s="27" t="str">
        <x:v>Large Language Model (LLM) systems have been at the forefront of applied Artificial Intelligence (AI) research in a multitude of domains. One such domain is software development, where researchers have pushed the automation of a number of code tasks through LLM agents. Software development is a complex ecosystem, that stretches far beyond code implementation and well into the realm of code maintenance. In this paper, we propose a multi-agent system to localize bugs in large pre-existing codebases using information retrieval and LLMs. Our system introduces a novel Retrieval Augmented Generation (RAG) approach, Meta-RAG, where we utilize summaries to condense codebases by an average of 79.8\%, into a compact, structured, natural language representation. We then use an LLM agent to determine which parts of the codebase are critical for bug resolution, i.e. bug localization. We demonstrate the usefulness of Meta-RAG through evaluation with the SWE-bench Lite dataset. Meta-RAG scores 84.67 % and 53.0 % for file-level and function-level correct localization rates, respectively, achieving state-of-the-art performance.</x:v>
      </x:c>
      <x:c r="L507" s="17" t="str">
        <x:v>http://arxiv.org/abs/2508.02611v1</x:v>
      </x:c>
      <x:c r="M507" s="23" t="n">
        <x:v>0.016129032258064516</x:v>
      </x:c>
      <x:c r="N507" s="17" t="str">
        <x:v>arxiv-paper-eval-20260727-105551-results.jsonl</x:v>
      </x:c>
      <x:c r="O507" s="24" t="str">
        <x:v>2</x:v>
      </x:c>
      <x:c r="P507" s="28" t="str">
        <x:v>针对大型代码库定位与上下文压缩，直接回应定位限制。</x:v>
      </x:c>
      <x:c r="Q507" s="25" t="str"/>
      <x:c r="R507" s="24" t="str">
        <x:f>IF(Q507&lt;&gt;"",Q507,O507)</x:f>
        <x:v>2</x:v>
      </x:c>
      <x:c r="S507" s="29" t="str"/>
    </x:row>
    <x:row r="508" ht="54" customHeight="1">
      <x:c r="A508" s="17" t="str">
        <x:v>csq026-r07</x:v>
      </x:c>
      <x:c r="B508" s="17" t="str">
        <x:v>csq026</x:v>
      </x:c>
      <x:c r="C508" s="17" t="str">
        <x:v>software_engineering</x:v>
      </x:c>
      <x:c r="D508" s="17" t="str">
        <x:v>llm_agents_for_se</x:v>
      </x:c>
      <x:c r="E508" s="27" t="str">
        <x:v>What limitations have been reported for large-language-model agents on repository-level software engineering tasks, especially in localization, long-context reasoning, testing, and reproducibility?</x:v>
      </x:c>
      <x:c r="F508" s="22" t="n">
        <x:v>7</x:v>
      </x:c>
      <x:c r="G508" s="17" t="str">
        <x:v>arXiv:2512.13526</x:v>
      </x:c>
      <x:c r="H508" s="27" t="str">
        <x:v>Async Control: Stress-testing Asynchronous Control Measures for LLM Agents</x:v>
      </x:c>
      <x:c r="I508" s="17" t="str">
        <x:v>Asa Cooper Stickland; Jan Michelfeit; Arathi Mani; Charlie Griffin; Ollie Matthews; Tomek Korbak; Rogan Inglis; Oliver Makins; Alan Cooney</x:v>
      </x:c>
      <x:c r="J508" s="22" t="n">
        <x:v>2025</x:v>
      </x:c>
      <x:c r="K508" s="27" t="str">
        <x:v>LLM-based software engineering agents are increasingly used in real-world development tasks, often with access to sensitive data or security-critical codebases. Such agents could intentionally sabotage these codebases if they were misaligned. We investigate asynchronous monitoring, in which a monitoring system reviews agent actions after the fact. Unlike synchronous monitoring, this approach does not impose runtime latency, while still attempting to disrupt attacks before irreversible harm occurs. We treat monitor development as an adversarial game between a blue team (who design monitors) and a red team (who create sabotaging agents). We attempt to set the game rules such that they upper bound the sabotage potential of an agent based on Claude 4.1 Opus. To ground this game in a realistic, high-stakes deployment scenario, we develop a suite of 5 diverse software engineering environments that simulate tasks that an agent might perform within an AI developer's internal infrastructure. Over the course of the game, we develop an ensemble monitor that achieves a 6% false negative rate at 1% false positive rate on a held out test environment. Then, we estimate risk of sabotage at deployment time by extrapolating from our monitor's false negative rate. We describe one simple model for this extrapolation, present a sensitivity analysis, and describe situations in which the model would be invalid. Code is available at: https://github.com/UKGovernmentBEIS/async-control.</x:v>
      </x:c>
      <x:c r="L508" s="17" t="str">
        <x:v>http://arxiv.org/abs/2512.13526v1</x:v>
      </x:c>
      <x:c r="M508" s="23" t="n">
        <x:v>0.016129032258064516</x:v>
      </x:c>
      <x:c r="N508" s="17" t="str">
        <x:v>arxiv-paper-eval-20260727-105551-results.jsonl</x:v>
      </x:c>
      <x:c r="O508" s="24" t="str">
        <x:v>1</x:v>
      </x:c>
      <x:c r="P508" s="28" t="str">
        <x:v>研究软件代理破坏与监控，相关但非所列定位和测试能力。</x:v>
      </x:c>
      <x:c r="Q508" s="25" t="str"/>
      <x:c r="R508" s="24" t="str">
        <x:f>IF(Q508&lt;&gt;"",Q508,O508)</x:f>
        <x:v>1</x:v>
      </x:c>
      <x:c r="S508" s="29" t="str"/>
    </x:row>
    <x:row r="509" ht="54" customHeight="1">
      <x:c r="A509" s="17" t="str">
        <x:v>csq026-r08</x:v>
      </x:c>
      <x:c r="B509" s="17" t="str">
        <x:v>csq026</x:v>
      </x:c>
      <x:c r="C509" s="17" t="str">
        <x:v>software_engineering</x:v>
      </x:c>
      <x:c r="D509" s="17" t="str">
        <x:v>llm_agents_for_se</x:v>
      </x:c>
      <x:c r="E509" s="27" t="str">
        <x:v>What limitations have been reported for large-language-model agents on repository-level software engineering tasks, especially in localization, long-context reasoning, testing, and reproducibility?</x:v>
      </x:c>
      <x:c r="F509" s="22" t="n">
        <x:v>8</x:v>
      </x:c>
      <x:c r="G509" s="17" t="str">
        <x:v>arXiv:2310.02003</x:v>
      </x:c>
      <x:c r="H509" s="27" t="str">
        <x:v>L2MAC: Large Language Model Automatic Computer for Extensive Code Generation</x:v>
      </x:c>
      <x:c r="I509" s="17" t="str">
        <x:v>Samuel Holt; Max Ruiz Luyten; Mihaela van der Schaar</x:v>
      </x:c>
      <x:c r="J509" s="22" t="n">
        <x:v>2023</x:v>
      </x:c>
      <x:c r="K509" s="27" t="str">
        <x:v>Transformer-based large language models (LLMs) are constrained by the fixed context window of the underlying transformer architecture, hindering their ability to produce long and coherent outputs. Memory-augmented LLMs are a promising solution, but current approaches cannot handle long output generation tasks since they (1) only focus on reading memory and reduce its evolution to the concatenation of new memories or (2) use very specialized memories that cannot adapt to other domains. This paper presents L2MAC, the first practical LLM-based general-purpose stored-program automatic computer (von Neumann architecture) framework, an LLM-based multi-agent system, for long and consistent output generation. Its memory has two components: the instruction registry, which is populated with a prompt program to solve the user-given task, and a file store, which will contain the final and intermediate outputs. Each instruction in turn is executed by a separate LLM agent, whose context is managed by a control unit capable of precise memory reading and writing to ensure effective interaction with the file store. These components enable L2MAC to generate extensive outputs, bypassing the constraints of the finite context window while producing outputs that fulfill a complex user-specified task. We empirically demonstrate that L2MAC achieves state-of-the-art performance in generating large codebases for system design tasks, significantly outperforming other coding methods in implementing the detailed user-specified task; we show that L2MAC works for general-purpose extensive text-based tasks, such as writing an entire book; and we provide valuable insights into L2MAC's performance improvement over existing methods.</x:v>
      </x:c>
      <x:c r="L509" s="17" t="str">
        <x:v>http://arxiv.org/abs/2310.02003v6</x:v>
      </x:c>
      <x:c r="M509" s="23" t="n">
        <x:v>0.016129032258064516</x:v>
      </x:c>
      <x:c r="N509" s="17" t="str">
        <x:v>arxiv-paper-eval-20260727-105551-results.jsonl</x:v>
      </x:c>
      <x:c r="O509" s="24" t="str">
        <x:v>1</x:v>
      </x:c>
      <x:c r="P509" s="28" t="str">
        <x:v>研究长输出上下文限制与大规模代码生成，属相邻证据。</x:v>
      </x:c>
      <x:c r="Q509" s="25" t="str"/>
      <x:c r="R509" s="24" t="str">
        <x:f>IF(Q509&lt;&gt;"",Q509,O509)</x:f>
        <x:v>1</x:v>
      </x:c>
      <x:c r="S509" s="29" t="str"/>
    </x:row>
    <x:row r="510" ht="54" customHeight="1">
      <x:c r="A510" s="17" t="str">
        <x:v>csq026-r09</x:v>
      </x:c>
      <x:c r="B510" s="17" t="str">
        <x:v>csq026</x:v>
      </x:c>
      <x:c r="C510" s="17" t="str">
        <x:v>software_engineering</x:v>
      </x:c>
      <x:c r="D510" s="17" t="str">
        <x:v>llm_agents_for_se</x:v>
      </x:c>
      <x:c r="E510" s="27" t="str">
        <x:v>What limitations have been reported for large-language-model agents on repository-level software engineering tasks, especially in localization, long-context reasoning, testing, and reproducibility?</x:v>
      </x:c>
      <x:c r="F510" s="22" t="n">
        <x:v>9</x:v>
      </x:c>
      <x:c r="G510" s="17" t="str">
        <x:v>arXiv:2503.09089</x:v>
      </x:c>
      <x:c r="H510" s="27" t="str">
        <x:v>LocAgent: Graph-Guided LLM Agents for Code Localization</x:v>
      </x:c>
      <x:c r="I510" s="17" t="str">
        <x:v>Zhaoling Chen; Xiangru Tang; Gangda Deng; Fang Wu; Jialong Wu; Zhiwei Jiang; Viktor Prasanna; Arman Cohan; Xingyao Wang</x:v>
      </x:c>
      <x:c r="J510" s="22" t="n">
        <x:v>2025</x:v>
      </x:c>
      <x:c r="K510" s="27" t="str">
        <x:v>Code localization--identifying precisely where in a codebase changes need to be made--is a fundamental yet challenging task in software maintenance. Existing approaches struggle to efficiently navigate complex codebases when identifying relevant code sections. The challenge lies in bridging natural language problem descriptions with the appropriate code elements, often requiring reasoning across hierarchical structures and multiple dependencies. We introduce LocAgent, a framework that addresses code localization through graph-based representation. By parsing codebases into directed heterogeneous graphs, LocAgent creates a lightweight representation that captures code structures (files, classes, functions) and their dependencies (imports, invocations, inheritance), enabling LLM agents to effectively search and locate relevant entities through powerful multi-hop reasoning. Experimental results on real-world benchmarks demonstrate that our approach significantly enhances accuracy in code localization. Notably, our method with the fine-tuned Qwen-2.5-Coder-Instruct-32B model achieves comparable results to SOTA proprietary models at greatly reduced cost (approximately 86% reduction), reaching up to 92.7% accuracy on file-level localization while improving downstream GitHub issue resolution success rates by 12% for multiple attempts (Pass@10). Our code is available at https://github.com/gersteinlab/LocAgent.</x:v>
      </x:c>
      <x:c r="L510" s="17" t="str">
        <x:v>http://arxiv.org/abs/2503.09089v2</x:v>
      </x:c>
      <x:c r="M510" s="23" t="n">
        <x:v>0.015873015873015872</x:v>
      </x:c>
      <x:c r="N510" s="17" t="str">
        <x:v>arxiv-paper-eval-20260727-105551-results.jsonl</x:v>
      </x:c>
      <x:c r="O510" s="24" t="str">
        <x:v>2</x:v>
      </x:c>
      <x:c r="P510" s="28" t="str">
        <x:v>直接针对仓库代码定位的层级与多依赖推理困难。</x:v>
      </x:c>
      <x:c r="Q510" s="25" t="str"/>
      <x:c r="R510" s="24" t="str">
        <x:f>IF(Q510&lt;&gt;"",Q510,O510)</x:f>
        <x:v>2</x:v>
      </x:c>
      <x:c r="S510" s="29" t="str"/>
    </x:row>
    <x:row r="511" ht="54" customHeight="1">
      <x:c r="A511" s="17" t="str">
        <x:v>csq026-r10</x:v>
      </x:c>
      <x:c r="B511" s="17" t="str">
        <x:v>csq026</x:v>
      </x:c>
      <x:c r="C511" s="17" t="str">
        <x:v>software_engineering</x:v>
      </x:c>
      <x:c r="D511" s="17" t="str">
        <x:v>llm_agents_for_se</x:v>
      </x:c>
      <x:c r="E511" s="27" t="str">
        <x:v>What limitations have been reported for large-language-model agents on repository-level software engineering tasks, especially in localization, long-context reasoning, testing, and reproducibility?</x:v>
      </x:c>
      <x:c r="F511" s="22" t="n">
        <x:v>10</x:v>
      </x:c>
      <x:c r="G511" s="17" t="str">
        <x:v>arXiv:2404.02183</x:v>
      </x:c>
      <x:c r="H511" s="27" t="str">
        <x:v>Self-Organized Agents: A LLM Multi-Agent Framework toward Ultra Large-Scale Code Generation and Optimization</x:v>
      </x:c>
      <x:c r="I511" s="17" t="str">
        <x:v>Yoichi Ishibashi; Yoshimasa Nishimura</x:v>
      </x:c>
      <x:c r="J511" s="22" t="n">
        <x:v>2024</x:v>
      </x:c>
      <x:c r="K511" s="27" t="str">
        <x:v>Recent advancements in automatic code generation using large language model (LLM) agent have brought us closer to the future of automated software development. However, existing single-agent approaches face limitations in generating and improving large-scale, complex codebases due to constraints in context length. To tackle this challenge, we propose Self-Organized multi-Agent framework (SoA), a novel multi-agent framework that enables the scalable and efficient generation and optimization of large-scale code. In SoA, self-organized agents operate independently to generate and modify code components while seamlessly collaborating to construct the overall codebase. A key feature of our framework is the automatic multiplication of agents based on problem complexity, allowing for dynamic scalability. This enables the overall code volume to be increased indefinitely according to the number of agents, while the amount of code managed by each agent remains constant. We evaluate SoA on the HumanEval benchmark and demonstrate that, compared to a single-agent system, each agent in SoA handles significantly less code, yet the overall generated code is substantially greater. Moreover, SoA surpasses the powerful single-agent baseline by 5% in terms of Pass@1 accuracy.</x:v>
      </x:c>
      <x:c r="L511" s="17" t="str">
        <x:v>http://arxiv.org/abs/2404.02183v1</x:v>
      </x:c>
      <x:c r="M511" s="23" t="n">
        <x:v>0.015873015873015872</x:v>
      </x:c>
      <x:c r="N511" s="17" t="str">
        <x:v>arxiv-paper-eval-20260727-105551-results.jsonl</x:v>
      </x:c>
      <x:c r="O511" s="24" t="str">
        <x:v>1</x:v>
      </x:c>
      <x:c r="P511" s="28" t="str">
        <x:v>讨论上下文长度对大规模代码生成的限制，范围偏生成。</x:v>
      </x:c>
      <x:c r="Q511" s="25" t="str"/>
      <x:c r="R511" s="24" t="str">
        <x:f>IF(Q511&lt;&gt;"",Q511,O511)</x:f>
        <x:v>1</x:v>
      </x:c>
      <x:c r="S511" s="29" t="str"/>
    </x:row>
    <x:row r="512" ht="54" customHeight="1">
      <x:c r="A512" s="17" t="str">
        <x:v>csq026-r11</x:v>
      </x:c>
      <x:c r="B512" s="17" t="str">
        <x:v>csq026</x:v>
      </x:c>
      <x:c r="C512" s="17" t="str">
        <x:v>software_engineering</x:v>
      </x:c>
      <x:c r="D512" s="17" t="str">
        <x:v>llm_agents_for_se</x:v>
      </x:c>
      <x:c r="E512" s="27" t="str">
        <x:v>What limitations have been reported for large-language-model agents on repository-level software engineering tasks, especially in localization, long-context reasoning, testing, and reproducibility?</x:v>
      </x:c>
      <x:c r="F512" s="22" t="n">
        <x:v>11</x:v>
      </x:c>
      <x:c r="G512" s="17" t="str">
        <x:v>arXiv:2304.07590</x:v>
      </x:c>
      <x:c r="H512" s="27" t="str">
        <x:v>Self-collaboration Code Generation via ChatGPT</x:v>
      </x:c>
      <x:c r="I512" s="17" t="str">
        <x:v>Yihong Dong; Xue Jiang; Zhi Jin; Ge Li</x:v>
      </x:c>
      <x:c r="J512" s="22" t="n">
        <x:v>2023</x:v>
      </x:c>
      <x:c r="K512" s="27" t="str">
        <x:v>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 agents act as distinct `experts', each responsible for a specific subtask within a complex task; 2) Specify the way to collaborate and interact, so that different roles form a virtual team to facilitate each other's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LLM roles (i.e., analyst, coder, and tester) responsible for software development's analysis, coding, and testing stages. We conduct comprehensive experiments on various code-generation benchmarks. Experimental results indicate that self-collaboration code generation relatively improves 29.9%-47.1% Pass@1 compared to the base LLM agent. Moreover, we showcase that self-collaboration could potentially enable LLMs to efficiently handle complex repository-level tasks that are not readily solved by the single LLM agent.</x:v>
      </x:c>
      <x:c r="L512" s="17" t="str">
        <x:v>http://arxiv.org/abs/2304.07590v3</x:v>
      </x:c>
      <x:c r="M512" s="23" t="n">
        <x:v>0.015873015873015872</x:v>
      </x:c>
      <x:c r="N512" s="17" t="str">
        <x:v>arxiv-paper-eval-20260727-105551-results.jsonl</x:v>
      </x:c>
      <x:c r="O512" s="24" t="str">
        <x:v>1</x:v>
      </x:c>
      <x:c r="P512" s="28" t="str">
        <x:v>显示单代理难处理复杂及仓库级任务，提供相关证据。</x:v>
      </x:c>
      <x:c r="Q512" s="25" t="str"/>
      <x:c r="R512" s="24" t="str">
        <x:f>IF(Q512&lt;&gt;"",Q512,O512)</x:f>
        <x:v>1</x:v>
      </x:c>
      <x:c r="S512" s="29" t="str"/>
    </x:row>
    <x:row r="513" ht="54" customHeight="1">
      <x:c r="A513" s="17" t="str">
        <x:v>csq026-r12</x:v>
      </x:c>
      <x:c r="B513" s="17" t="str">
        <x:v>csq026</x:v>
      </x:c>
      <x:c r="C513" s="17" t="str">
        <x:v>software_engineering</x:v>
      </x:c>
      <x:c r="D513" s="17" t="str">
        <x:v>llm_agents_for_se</x:v>
      </x:c>
      <x:c r="E513" s="27" t="str">
        <x:v>What limitations have been reported for large-language-model agents on repository-level software engineering tasks, especially in localization, long-context reasoning, testing, and reproducibility?</x:v>
      </x:c>
      <x:c r="F513" s="22" t="n">
        <x:v>12</x:v>
      </x:c>
      <x:c r="G513" s="17" t="str">
        <x:v>arXiv:2510.03480</x:v>
      </x:c>
      <x:c r="H513" s="27" t="str">
        <x:v>LLM Agents for Automated Dependency Upgrades</x:v>
      </x:c>
      <x:c r="I513" s="17" t="str">
        <x:v>Vali Tawosi; Salwa Alamir; Xiaomo Liu; Manuela Veloso</x:v>
      </x:c>
      <x:c r="J513" s="22" t="n">
        <x:v>2025</x:v>
      </x:c>
      <x:c r="K513" s="27" t="str">
        <x:v>As a codebase expands over time, its library dependencies can become outdated and require updates to maintain innovation and security. However, updating a library can introduce breaking changes in the code, necessitating significant developer time for maintenance. To address this, we introduce a framework of LLM agents to be used in combination with migration documentation to automatically recommend and apply code updates and ensure compatibility with new versions. Our solution can automatically localize updated library usages in live Java codebases and implement recommended fixes in a user-friendly manner. The system architecture consists of multiple key components: a Summary Agent, Control Agent, and Code Agent. To validate our approach, we apply the framework on an industrial use case by which we create three synthetic code repositories with major Upgrade changes and benchmark our approach against state-of-the-art methods. Results show that our approach not only performs upgrades using fewer tokens across all cases but also achieves a precision of 71.4%, highlighting its efficiency and effectiveness compared to state-of-the-art methods.</x:v>
      </x:c>
      <x:c r="L513" s="17" t="str">
        <x:v>http://arxiv.org/abs/2510.03480v2</x:v>
      </x:c>
      <x:c r="M513" s="23" t="n">
        <x:v>0.015625</x:v>
      </x:c>
      <x:c r="N513" s="17" t="str">
        <x:v>arxiv-paper-eval-20260727-105551-results.jsonl</x:v>
      </x:c>
      <x:c r="O513" s="24" t="str">
        <x:v>1</x:v>
      </x:c>
      <x:c r="P513" s="28" t="str">
        <x:v>仓库依赖升级代理涉及定位，但主要报告新方法而非局限。</x:v>
      </x:c>
      <x:c r="Q513" s="25" t="str"/>
      <x:c r="R513" s="24" t="str">
        <x:f>IF(Q513&lt;&gt;"",Q513,O513)</x:f>
        <x:v>1</x:v>
      </x:c>
      <x:c r="S513" s="29" t="str"/>
    </x:row>
    <x:row r="514" ht="54" customHeight="1">
      <x:c r="A514" s="17" t="str">
        <x:v>csq026-r13</x:v>
      </x:c>
      <x:c r="B514" s="17" t="str">
        <x:v>csq026</x:v>
      </x:c>
      <x:c r="C514" s="17" t="str">
        <x:v>software_engineering</x:v>
      </x:c>
      <x:c r="D514" s="17" t="str">
        <x:v>llm_agents_for_se</x:v>
      </x:c>
      <x:c r="E514" s="27" t="str">
        <x:v>What limitations have been reported for large-language-model agents on repository-level software engineering tasks, especially in localization, long-context reasoning, testing, and reproducibility?</x:v>
      </x:c>
      <x:c r="F514" s="22" t="n">
        <x:v>13</x:v>
      </x:c>
      <x:c r="G514" s="17" t="str">
        <x:v>arXiv:2506.14683</x:v>
      </x:c>
      <x:c r="H514" s="27" t="str">
        <x:v>Unified Software Engineering Agent as AI Software Engineer</x:v>
      </x:c>
      <x:c r="I514" s="17" t="str">
        <x:v>Leonhard Applis; Yuntong Zhang; Shanchao Liang; Nan Jiang; Lin Tan; Abhik Roychoudhury</x:v>
      </x:c>
      <x:c r="J514" s="22" t="n">
        <x:v>2025</x:v>
      </x:c>
      <x:c r="K514" s="27" t="str">
        <x:v>The growth of Large Language Model (LLM) technology has raised expectations for automated coding. However, software engineering is more than coding and is concerned with activities including maintenance and evolution of a project. In this context, the concept of LLM agents has gained traction, which utilize LLMs as reasoning engines to invoke external tools autonomously. But is an LLM agent the same as an AI software engineer? In this paper, we seek to understand this question by developing a Unified Software Engineering agent or USEagent. Unlike existing work which builds specialized agents for specific software tasks such as testing, debugging, and repair, our goal is to build a unified agent which can orchestrate and handle multiple capabilities. This gives the agent the promise of handling complex scenarios in software development such as fixing an incomplete patch, adding new features, or taking over code written by others. We envision USEagent as the first draft of a future AI Software Engineer which can be a team member in future software development teams involving both AI and humans. To evaluate the efficacy of USEagent, we build a Unified Software Engineering bench (USEbench) comprising of myriad tasks such as coding, testing, and patching. USEbench is a judicious mixture of tasks from existing benchmarks such as SWE-bench, SWT-bench, and REPOCOD. In an evaluation on USEbench consisting of 1,271 repository-level software engineering tasks, USEagent shows improved efficacy compared to existing general agents such as OpenHands CodeActAgent. There exist gaps in the capabilities of USEagent for certain coding tasks, which provides hints on further developing the AI Software Engineer of the future.</x:v>
      </x:c>
      <x:c r="L514" s="17" t="str">
        <x:v>http://arxiv.org/abs/2506.14683v2</x:v>
      </x:c>
      <x:c r="M514" s="23" t="n">
        <x:v>0.015625</x:v>
      </x:c>
      <x:c r="N514" s="17" t="str">
        <x:v>arxiv-paper-eval-20260727-105551-results.jsonl</x:v>
      </x:c>
      <x:c r="O514" s="24" t="str">
        <x:v>1</x:v>
      </x:c>
      <x:c r="P514" s="28" t="str">
        <x:v>统一仓库级基准揭示若干任务能力缺口，但摘要细节有限。</x:v>
      </x:c>
      <x:c r="Q514" s="25" t="str"/>
      <x:c r="R514" s="24" t="str">
        <x:f>IF(Q514&lt;&gt;"",Q514,O514)</x:f>
        <x:v>1</x:v>
      </x:c>
      <x:c r="S514" s="29" t="str"/>
    </x:row>
    <x:row r="515" ht="54" customHeight="1">
      <x:c r="A515" s="17" t="str">
        <x:v>csq026-r14</x:v>
      </x:c>
      <x:c r="B515" s="17" t="str">
        <x:v>csq026</x:v>
      </x:c>
      <x:c r="C515" s="17" t="str">
        <x:v>software_engineering</x:v>
      </x:c>
      <x:c r="D515" s="17" t="str">
        <x:v>llm_agents_for_se</x:v>
      </x:c>
      <x:c r="E515" s="27" t="str">
        <x:v>What limitations have been reported for large-language-model agents on repository-level software engineering tasks, especially in localization, long-context reasoning, testing, and reproducibility?</x:v>
      </x:c>
      <x:c r="F515" s="22" t="n">
        <x:v>14</x:v>
      </x:c>
      <x:c r="G515" s="17" t="str">
        <x:v>arXiv:2511.16005</x:v>
      </x:c>
      <x:c r="H515" s="27" t="str">
        <x:v>InfCode-C++: Intent-Guided Semantic Retrieval and AST-Structured Search for C++ Issue Resolution</x:v>
      </x:c>
      <x:c r="I515" s="17" t="str">
        <x:v>Qingao Dong; Mengfei Wang; Hengzhi Zhang; Zhichao Li; Yuan Yuan; Mu Li; Xiang Gao; Hailong Sun; Chunming Hu; Weifeng Lv</x:v>
      </x:c>
      <x:c r="J515" s="22" t="n">
        <x:v>2025</x:v>
      </x:c>
      <x:c r="K515" s="27" t="str">
        <x:v>Large language model (LLM) agents have recently shown strong performance on repository-level issue resolution, but existing systems are almost exclusively designed for Python and rely heavily on lexical retrieval and shallow code navigation. These approaches transfer poorly to C++ projects, where overloaded identifiers, nested namespaces, template instantiations, and deep control-flow structures make context retrieval and fault localization substantially more difficult. As a result, state-of-the-art Python-oriented agents show a drastic performance drop on the C++ subset of MultiSWE-bench. We introduce INFCODE-C++, the first C++-aware autonomous system for end-to-end issue resolution. The system combines two complementary retrieval mechanisms -- semantic code-intent retrieval and deterministic AST-structured querying -- to construct accurate, language-aware context for repair.These components enable precise localization and robust patch synthesis in large, statically typed C++ repositories. Evaluated on the \texttt{MultiSWE-bench-CPP} benchmark, INFCODE-C++ achieves a resolution rate of 25.58\%, outperforming the strongest prior agent by 10.85 percentage points and more than doubling the performance of MSWE-agent. Ablation and behavioral studies further demonstrate the critical role of semantic retrieval, structural analysis, and accurate reproduction in C++ issue resolution. INFCODE-C++ highlights the need for language-aware reasoning in multi-language software agents and establishes a foundation for future research on scalable, LLM-driven repair for complex, statically typed ecosystems.</x:v>
      </x:c>
      <x:c r="L515" s="17" t="str">
        <x:v>http://arxiv.org/abs/2511.16005v1</x:v>
      </x:c>
      <x:c r="M515" s="23" t="n">
        <x:v>0.015384615384615385</x:v>
      </x:c>
      <x:c r="N515" s="17" t="str">
        <x:v>arxiv-paper-eval-20260727-105551-results.jsonl</x:v>
      </x:c>
      <x:c r="O515" s="24" t="str">
        <x:v>2</x:v>
      </x:c>
      <x:c r="P515" s="28" t="str">
        <x:v>直接揭示Python方法迁移至C++时定位与检索性能骤降。</x:v>
      </x:c>
      <x:c r="Q515" s="25" t="str"/>
      <x:c r="R515" s="24" t="str">
        <x:f>IF(Q515&lt;&gt;"",Q515,O515)</x:f>
        <x:v>2</x:v>
      </x:c>
      <x:c r="S515" s="29" t="str"/>
    </x:row>
    <x:row r="516" ht="54" customHeight="1">
      <x:c r="A516" s="17" t="str">
        <x:v>csq026-r15</x:v>
      </x:c>
      <x:c r="B516" s="17" t="str">
        <x:v>csq026</x:v>
      </x:c>
      <x:c r="C516" s="17" t="str">
        <x:v>software_engineering</x:v>
      </x:c>
      <x:c r="D516" s="17" t="str">
        <x:v>llm_agents_for_se</x:v>
      </x:c>
      <x:c r="E516" s="27" t="str">
        <x:v>What limitations have been reported for large-language-model agents on repository-level software engineering tasks, especially in localization, long-context reasoning, testing, and reproducibility?</x:v>
      </x:c>
      <x:c r="F516" s="22" t="n">
        <x:v>15</x:v>
      </x:c>
      <x:c r="G516" s="17" t="str">
        <x:v>arXiv:2311.09835</x:v>
      </x:c>
      <x:c r="H516" s="27" t="str">
        <x:v>ML-Bench: Evaluating Large Language Models and Agents for Machine Learning Tasks on Repository-Level Code</x:v>
      </x:c>
      <x:c r="I516" s="17" t="str">
        <x:v>Xiangru Tang; Yuliang Liu; Zefan Cai; Yanjun Shao; Junjie Lu; Yichi Zhang; Zexuan Deng; Helan Hu; Kaikai An; Ruijun Huang; Shuzheng Si; Sheng Chen; Haozhe Zhao; Liang Chen; Yan Wang; Tianyu Liu; Zhiwei Jiang; Baobao Chang; Yin Fang; Yujia Qin; Wangchunshu Zhou; Yilun Zhao; Arman Cohan; Mark Gerstein</x:v>
      </x:c>
      <x:c r="J516" s="22" t="n">
        <x:v>2023</x:v>
      </x:c>
      <x:c r="K516" s="27" t="str">
        <x:v>Despite Large Language Models (LLMs) like GPT-4 achieving impressive results in function-level code generation, they struggle with repository-scale code understanding (e.g., coming up with the right arguments for calling routines), requiring a deeper comprehension of complex file interactions. Also, recently, people have developed LLM agents that attempt to interact with repository code (e.g., compiling and evaluating its execution), prompting the need to evaluate their performance. These gaps have motivated our development of ML-Bench, a benchmark rooted in real-world programming applications that leverage existing code repositories to perform tasks. Addressing the need for LLMs to interpret long code contexts and translate instructions into precise, executable scripts, ML-Bench encompasses annotated 9,641 examples across 18 GitHub repositories, challenging LLMs to accommodate user-specified arguments and documentation intricacies effectively. To evaluate both LLMs and AI agents, two setups are employed: ML-LLM-Bench for assessing LLMs' text-to-code conversion within a predefined deployment environment, and ML-Agent-Bench for testing autonomous agents in an end-to-end task execution within a Linux sandbox environment. Our findings indicate that while GPT-4o leads with a Pass@5 rate surpassing 50%, there remains significant scope for improvement, highlighted by issues such as hallucinated outputs and difficulties with bash script generation. Notably, in the more demanding ML-Agent-Bench, GPT-4o achieves a 76.47% success rate, reflecting the efficacy of iterative action and feedback in complex task resolution. Our code, dataset, and models are available at https://github.com/gersteinlab/ML-bench.</x:v>
      </x:c>
      <x:c r="L516" s="17" t="str">
        <x:v>http://arxiv.org/abs/2311.09835v5</x:v>
      </x:c>
      <x:c r="M516" s="23" t="n">
        <x:v>0.015384615384615385</x:v>
      </x:c>
      <x:c r="N516" s="17" t="str">
        <x:v>arxiv-paper-eval-20260727-105551-results.jsonl</x:v>
      </x:c>
      <x:c r="O516" s="24" t="str">
        <x:v>2</x:v>
      </x:c>
      <x:c r="P516" s="28" t="str">
        <x:v>直接评测仓库长上下文、脚本生成和幻觉问题。</x:v>
      </x:c>
      <x:c r="Q516" s="25" t="str"/>
      <x:c r="R516" s="24" t="str">
        <x:f>IF(Q516&lt;&gt;"",Q516,O516)</x:f>
        <x:v>2</x:v>
      </x:c>
      <x:c r="S516" s="29" t="str"/>
    </x:row>
    <x:row r="517" ht="54" customHeight="1">
      <x:c r="A517" s="17" t="str">
        <x:v>csq026-r16</x:v>
      </x:c>
      <x:c r="B517" s="17" t="str">
        <x:v>csq026</x:v>
      </x:c>
      <x:c r="C517" s="17" t="str">
        <x:v>software_engineering</x:v>
      </x:c>
      <x:c r="D517" s="17" t="str">
        <x:v>llm_agents_for_se</x:v>
      </x:c>
      <x:c r="E517" s="27" t="str">
        <x:v>What limitations have been reported for large-language-model agents on repository-level software engineering tasks, especially in localization, long-context reasoning, testing, and reproducibility?</x:v>
      </x:c>
      <x:c r="F517" s="22" t="n">
        <x:v>16</x:v>
      </x:c>
      <x:c r="G517" s="17" t="str">
        <x:v>arXiv:2509.16275</x:v>
      </x:c>
      <x:c r="H517" s="27" t="str">
        <x:v>SecureFixAgent: A Hybrid LLM Agent for Automated Python Static Vulnerability Repair</x:v>
      </x:c>
      <x:c r="I517" s="17" t="str">
        <x:v>Jugal Gajjar; Kamalasankari Subramaniakuppusamy; Relsy Puthal; Kaustik Ranaware</x:v>
      </x:c>
      <x:c r="J517" s="22" t="n">
        <x:v>2025</x:v>
      </x:c>
      <x:c r="K517" s="27" t="str">
        <x:v>Modern software development pipelines face growing challenges in securing large codebases with extensive dependencies. Static analysis tools like Bandit are effective at vulnerability detection but suffer from high false positives and lack repair capabilities. Large Language Models (LLMs), in contrast, can suggest fixes but often hallucinate changes and lack self-validation. We present SecureFixAgent, a hybrid repair framework integrating Bandit with lightweight local LLMs (&lt;8B parameters) in an iterative detect-repair-validate loop. To improve precision, we apply parameter-efficient LoRA-based fine-tuning on a diverse, curated dataset spanning multiple Python project domains, mitigating dataset bias and reducing unnecessary edits. SecureFixAgent uses Bandit for detection, the LLM for candidate fixes with explanations, and Bandit re-validation for verification, all executed locally to preserve privacy and reduce cloud reliance. Experiments show SecureFixAgent reduces false positives by 10.8% over static analysis, improves fix accuracy by 13.51%, and lowers false positives by 5.46% compared to pre-trained LLMs, typically converging within three iterations. Beyond metrics, developer studies rate explanation quality 4.5/5, highlighting its value for human trust and adoption. By combining verifiable security improvements with transparent rationale in a resource-efficient local framework, SecureFixAgent advances trustworthy, automated vulnerability remediation for modern pipelines.</x:v>
      </x:c>
      <x:c r="L517" s="17" t="str">
        <x:v>http://arxiv.org/abs/2509.16275v1</x:v>
      </x:c>
      <x:c r="M517" s="23" t="n">
        <x:v>0.015151515151515152</x:v>
      </x:c>
      <x:c r="N517" s="17" t="str">
        <x:v>arxiv-paper-eval-20260727-105551-results.jsonl</x:v>
      </x:c>
      <x:c r="O517" s="24" t="str">
        <x:v>1</x:v>
      </x:c>
      <x:c r="P517" s="28" t="str">
        <x:v>指出LLM修复会幻觉且缺乏自验证，属相关局限。</x:v>
      </x:c>
      <x:c r="Q517" s="25" t="str"/>
      <x:c r="R517" s="24" t="str">
        <x:f>IF(Q517&lt;&gt;"",Q517,O517)</x:f>
        <x:v>1</x:v>
      </x:c>
      <x:c r="S517" s="29" t="str"/>
    </x:row>
    <x:row r="518" ht="54" customHeight="1">
      <x:c r="A518" s="17" t="str">
        <x:v>csq026-r17</x:v>
      </x:c>
      <x:c r="B518" s="17" t="str">
        <x:v>csq026</x:v>
      </x:c>
      <x:c r="C518" s="17" t="str">
        <x:v>software_engineering</x:v>
      </x:c>
      <x:c r="D518" s="17" t="str">
        <x:v>llm_agents_for_se</x:v>
      </x:c>
      <x:c r="E518" s="27" t="str">
        <x:v>What limitations have been reported for large-language-model agents on repository-level software engineering tasks, especially in localization, long-context reasoning, testing, and reproducibility?</x:v>
      </x:c>
      <x:c r="F518" s="22" t="n">
        <x:v>17</x:v>
      </x:c>
      <x:c r="G518" s="17" t="str">
        <x:v>arXiv:2503.14340</x:v>
      </x:c>
      <x:c r="H518" s="27" t="str">
        <x:v>MANTRA: Enhancing Automated Method-Level Refactoring with Contextual RAG and Multi-Agent LLM Collaboration</x:v>
      </x:c>
      <x:c r="I518" s="17" t="str">
        <x:v>Yisen Xu; Feng Lin; Jinqiu Yang;  Tse-Hsun;  Chen; Nikolaos Tsantalis</x:v>
      </x:c>
      <x:c r="J518" s="22" t="n">
        <x:v>2025</x:v>
      </x:c>
      <x:c r="K518" s="27" t="str">
        <x:v>Maintaining and scaling software systems relies heavily on effective code refactoring, yet this process remains labor-intensive, requiring developers to carefully analyze existing codebases and prevent the introduction of new defects. Although recent advancements have leveraged Large Language Models (LLMs) to automate refactoring tasks, current solutions are constrained in scope and lack mechanisms to guarantee code compilability and successful test execution. In this work, we introduce MANTRA, a comprehensive LLM agent-based framework that automates method-level refactoring. MANTRA integrates Context-Aware Retrieval-Augmented Generation, coordinated Multi-Agent Collaboration, and Verbal Reinforcement Learning to emulate human decision-making during refactoring while preserving code correctness and readability. Our empirical study, conducted on 703 instances of "pure refactorings" (i.e., code changes exclusively involving structural improvements), drawn from 10 representative Java projects, covers the six most prevalent refactoring operations. Experimental results demonstrate that MANTRA substantially surpasses a baseline LLM model (RawGPT ), achieving an 82.8% success rate (582/703) in producing code that compiles and passes all tests, compared to just 8.7% (61/703) with RawGPT. Moreover, in comparison to IntelliJ's LLM-powered refactoring tool (EM-Assist), MANTRA exhibits a 50% improvement in generating Extract Method transformations. A usability study involving 37 professional developers further shows that refactorings performed by MANTRA are perceived to be as readable and reusable as human-written code, and in certain cases, even more favorable. These results highlight the practical advantages of MANTRA and emphasize the growing potential of LLM-based systems in advancing the automation of software refactoring tasks.</x:v>
      </x:c>
      <x:c r="L518" s="17" t="str">
        <x:v>http://arxiv.org/abs/2503.14340v2</x:v>
      </x:c>
      <x:c r="M518" s="23" t="n">
        <x:v>0.015151515151515152</x:v>
      </x:c>
      <x:c r="N518" s="17" t="str">
        <x:v>arxiv-paper-eval-20260727-105551-results.jsonl</x:v>
      </x:c>
      <x:c r="O518" s="24" t="str">
        <x:v>1</x:v>
      </x:c>
      <x:c r="P518" s="28" t="str">
        <x:v>指出现有重构代理缺乏可编译和测试保证，范围为方法级。</x:v>
      </x:c>
      <x:c r="Q518" s="25" t="str"/>
      <x:c r="R518" s="24" t="str">
        <x:f>IF(Q518&lt;&gt;"",Q518,O518)</x:f>
        <x:v>1</x:v>
      </x:c>
      <x:c r="S518" s="29" t="str"/>
    </x:row>
    <x:row r="519" ht="54" customHeight="1">
      <x:c r="A519" s="17" t="str">
        <x:v>csq026-r18</x:v>
      </x:c>
      <x:c r="B519" s="17" t="str">
        <x:v>csq026</x:v>
      </x:c>
      <x:c r="C519" s="17" t="str">
        <x:v>software_engineering</x:v>
      </x:c>
      <x:c r="D519" s="17" t="str">
        <x:v>llm_agents_for_se</x:v>
      </x:c>
      <x:c r="E519" s="27" t="str">
        <x:v>What limitations have been reported for large-language-model agents on repository-level software engineering tasks, especially in localization, long-context reasoning, testing, and reproducibility?</x:v>
      </x:c>
      <x:c r="F519" s="22" t="n">
        <x:v>18</x:v>
      </x:c>
      <x:c r="G519" s="17" t="str">
        <x:v>arXiv:2505.16975</x:v>
      </x:c>
      <x:c r="H519" s="27" t="str">
        <x:v>SWE-Dev: Evaluating and Training Autonomous Feature-Driven Software Development</x:v>
      </x:c>
      <x:c r="I519" s="17" t="str">
        <x:v>Yaxin Du; Yuzhu Cai; Yifan Zhou; Cheng Wang; Yu Qian; Xianghe Pang; Qian Liu; Yue Hu; Siheng Chen</x:v>
      </x:c>
      <x:c r="J519" s="22" t="n">
        <x:v>2025</x:v>
      </x:c>
      <x:c r="K519" s="27" t="str">
        <x:v>Large Language Models (LLMs) have shown strong capability in diverse software engineering tasks. However, feature-driven development, a highly prevalent real-world task that involves developing new functionalities for large, existing codebases, remains underexplored. We therefore introduce SWE-Dev, the first large-scale dataset (with 14,000 training and 500 test samples) designed to evaluate and train autonomous coding systems on real-world end-to-end feature-driven software development tasks. To ensure verifiable and diverse training, SWE-Dev uniquely provides all instances with a runnable environment and its developer-authored executable unit tests. This collection not only provides high-quality data for Supervised Fine-Tuning (SFT), but also enables Reinforcement Learning (RL) by delivering accurate reward signals from executable unit tests. We evaluated SWE-Dev across 17 base LLMs, 10 reasoning-focused LLMs, 10 multi-agent systems, and 8 tool-augmented LLM agents. Results show substantial headroom: the best single-turn model reaches only 22.51\% Pass@1 on the hard split, while OpenHands agents improve to 56.44\% but still leave many tasks unsolved. Code is available here https://github.com/DorothyDUUU/SWE-Dev.</x:v>
      </x:c>
      <x:c r="L519" s="17" t="str">
        <x:v>http://arxiv.org/abs/2505.16975v3</x:v>
      </x:c>
      <x:c r="M519" s="23" t="n">
        <x:v>0.014925373134328358</x:v>
      </x:c>
      <x:c r="N519" s="17" t="str">
        <x:v>arxiv-paper-eval-20260727-105551-results.jsonl</x:v>
      </x:c>
      <x:c r="O519" s="24" t="str">
        <x:v>2</x:v>
      </x:c>
      <x:c r="P519" s="28" t="str">
        <x:v>仓库级特性开发基准显示模型与代理仍有大量未解任务。</x:v>
      </x:c>
      <x:c r="Q519" s="25" t="str"/>
      <x:c r="R519" s="24" t="str">
        <x:f>IF(Q519&lt;&gt;"",Q519,O519)</x:f>
        <x:v>2</x:v>
      </x:c>
      <x:c r="S519" s="29" t="str"/>
    </x:row>
    <x:row r="520" ht="54" customHeight="1">
      <x:c r="A520" s="17" t="str">
        <x:v>csq026-r19</x:v>
      </x:c>
      <x:c r="B520" s="17" t="str">
        <x:v>csq026</x:v>
      </x:c>
      <x:c r="C520" s="17" t="str">
        <x:v>software_engineering</x:v>
      </x:c>
      <x:c r="D520" s="17" t="str">
        <x:v>llm_agents_for_se</x:v>
      </x:c>
      <x:c r="E520" s="27" t="str">
        <x:v>What limitations have been reported for large-language-model agents on repository-level software engineering tasks, especially in localization, long-context reasoning, testing, and reproducibility?</x:v>
      </x:c>
      <x:c r="F520" s="22" t="n">
        <x:v>19</x:v>
      </x:c>
      <x:c r="G520" s="17" t="str">
        <x:v>arXiv:2507.07257</x:v>
      </x:c>
      <x:c r="H520" s="27" t="str">
        <x:v>Open Source Planning &amp; Control System with Language Agents for Autonomous Scientific Discovery</x:v>
      </x:c>
      <x:c r="I520" s="17" t="str">
        <x:v>Licong Xu; Milind Sarkar; Anto I. Lonappan; Íñigo Zubeldia; Pablo Villanueva-Domingo; Santiago Casas; Christian Fidler; Chetana Amancharla; Ujjwal Tiwari; Adrian Bayer; Chadi Ait Ekioui; Miles Cranmer; Adrian Dimitrov; James Fergusson; Kahaan Gandhi; Sven Krippendorf; Andrew Laverick; Julien Lesgourgues; Antony Lewis; Thomas Meier; Blake Sherwin; Kristen Surrao; Francisco Villaescusa-Navarro; Chi Wang; Xueqing Xu; Boris Bolliet</x:v>
      </x:c>
      <x:c r="J520" s="22" t="n">
        <x:v>2025</x:v>
      </x:c>
      <x:c r="K520" s="27" t="str">
        <x:v>We present a multi-agent system for automation of scientific research tasks, cmbagent (https://github.com/CMBAgents/cmbagent). The system is formed by about 30 Large Language Model (LLM) agents and implements a Planning &amp; Control strategy to orchestrate the agentic workflow, with no human-in-the-loop at any point. Each agent specializes in a different task (performing retrieval on scientific papers and codebases, writing code, interpreting results, critiquing the output of other agents) and the system is able to execute code locally. We successfully apply cmbagent to carry out a PhD level cosmology task (the measurement of cosmological parameters using supernova data) and evaluate its performance on two benchmark sets, finding superior performance over state-of-the-art LLMs. The source code is available on GitHub, demonstration videos are also available, and the system is deployed on HuggingFace and will be available on the cloud.</x:v>
      </x:c>
      <x:c r="L520" s="17" t="str">
        <x:v>http://arxiv.org/abs/2507.07257v2</x:v>
      </x:c>
      <x:c r="M520" s="23" t="n">
        <x:v>0.014705882352941176</x:v>
      </x:c>
      <x:c r="N520" s="17" t="str">
        <x:v>arxiv-paper-eval-20260727-105551-results.jsonl</x:v>
      </x:c>
      <x:c r="O520" s="24" t="str">
        <x:v>0</x:v>
      </x:c>
      <x:c r="P520" s="28" t="str">
        <x:v>研究自动科学发现代理，并非仓库级软件工程能力评测。</x:v>
      </x:c>
      <x:c r="Q520" s="25" t="str"/>
      <x:c r="R520" s="24" t="str">
        <x:f>IF(Q520&lt;&gt;"",Q520,O520)</x:f>
        <x:v>0</x:v>
      </x:c>
      <x:c r="S520" s="29" t="str"/>
    </x:row>
    <x:row r="521" ht="54" customHeight="1">
      <x:c r="A521" s="17" t="str">
        <x:v>csq026-r20</x:v>
      </x:c>
      <x:c r="B521" s="17" t="str">
        <x:v>csq026</x:v>
      </x:c>
      <x:c r="C521" s="17" t="str">
        <x:v>software_engineering</x:v>
      </x:c>
      <x:c r="D521" s="17" t="str">
        <x:v>llm_agents_for_se</x:v>
      </x:c>
      <x:c r="E521" s="27" t="str">
        <x:v>What limitations have been reported for large-language-model agents on repository-level software engineering tasks, especially in localization, long-context reasoning, testing, and reproducibility?</x:v>
      </x:c>
      <x:c r="F521" s="22" t="n">
        <x:v>20</x:v>
      </x:c>
      <x:c r="G521" s="17" t="str">
        <x:v>arXiv:2512.18552</x:v>
      </x:c>
      <x:c r="H521" s="27" t="str">
        <x:v>Toward Training Superintelligent Software Agents through Self-Play SWE-RL</x:v>
      </x:c>
      <x:c r="I521" s="17" t="str">
        <x:v>Yuxiang Wei; Zhiqing Sun; Emily McMilin; Jonas Gehring; David Zhang; Gabriel Synnaeve; Daniel Fried; Lingming Zhang; Sida Wang</x:v>
      </x:c>
      <x:c r="J521" s="22" t="n">
        <x:v>2025</x:v>
      </x:c>
      <x:c r="K521" s="27" t="str">
        <x:v>While current software agents powered by large language models (LLMs) and agentic reinforcement learning (RL) can boost programmer productivity, their training data (e.g., GitHub issues and pull requests) and environments (e.g., pass-to-pass and fail-to-pass tests) heavily depend on human knowledge or curation, posing a fundamental barrier to superintelligence. In this paper, we present Self-play SWE-RL (SSR), a first step toward training paradigms for superintelligent software agents. Our approach takes minimal data assumptions, only requiring access to sandboxed repositories with source code and installed dependencies, with no need for human-labeled issues or tests. Grounded in these real-world codebases, a single LLM agent is trained via reinforcement learning in a self-play setting to iteratively inject and repair software bugs of increasing complexity, with each bug formally specified by a test patch rather than a natural language issue description. On the SWE-bench Verified and SWE-Bench Pro benchmarks, SSR achieves notable self-improvement (+10.4 and +7.8 points, respectively) and consistently outperforms the human-data baseline over the entire training trajectory, despite being evaluated on natural language issues absent from self-play. Our results, albeit early, suggest a path where agents autonomously gather extensive learning experiences from real-world software repositories, ultimately enabling superintelligent systems that exceed human capabilities in understanding how systems are constructed, solving novel challenges, and autonomously creating new software from scratch.</x:v>
      </x:c>
      <x:c r="L521" s="17" t="str">
        <x:v>http://arxiv.org/abs/2512.18552v3</x:v>
      </x:c>
      <x:c r="M521" s="23" t="n">
        <x:v>0.014705882352941176</x:v>
      </x:c>
      <x:c r="N521" s="17" t="str">
        <x:v>arxiv-paper-eval-20260727-105551-results.jsonl</x:v>
      </x:c>
      <x:c r="O521" s="24" t="str">
        <x:v>2</x:v>
      </x:c>
      <x:c r="P521" s="28" t="str">
        <x:v>明确指出训练任务与测试依赖人工策划的复现和扩展瓶颈。</x:v>
      </x:c>
      <x:c r="Q521" s="25" t="str"/>
      <x:c r="R521" s="24" t="str">
        <x:f>IF(Q521&lt;&gt;"",Q521,O521)</x:f>
        <x:v>2</x:v>
      </x:c>
      <x:c r="S521" s="29" t="str"/>
    </x:row>
    <x:row r="522" ht="54" customHeight="1">
      <x:c r="A522" s="17" t="str">
        <x:v>csq027-r01</x:v>
      </x:c>
      <x:c r="B522" s="17" t="str">
        <x:v>csq027</x:v>
      </x:c>
      <x:c r="C522" s="17" t="str">
        <x:v>data_management_and_ir</x:v>
      </x:c>
      <x:c r="D522" s="17" t="str">
        <x:v>learned_indexes</x:v>
      </x:c>
      <x:c r="E522" s="27" t="str">
        <x:v>What learned index structures have been proposed, and under which data distributions and update workloads do they outperform or underperform traditional indexes?</x:v>
      </x:c>
      <x:c r="F522" s="22" t="n">
        <x:v>1</x:v>
      </x:c>
      <x:c r="G522" s="17" t="str">
        <x:v>arXiv:2205.11807</x:v>
      </x:c>
      <x:c r="H522" s="27" t="str">
        <x:v>NFL: Robust Learned Index via Distribution Transformation</x:v>
      </x:c>
      <x:c r="I522" s="17" t="str">
        <x:v>Shangyu Wu; Yufei Cui; Jinghuan Yu; Xuan Sun; Tei-Wei Kuo; Chun Jason Xue</x:v>
      </x:c>
      <x:c r="J522" s="22" t="n">
        <x:v>2022</x:v>
      </x:c>
      <x:c r="K522" s="27" t="str">
        <x:v>Recent works on learned index open a new direction for the indexing field. The key insight of the learned index is to approximate the mapping between keys and positions with piece-wise linear functions. Such methods require partitioning key space for a better approximation. Although lots of heuristics are proposed to improve the approximation quality, the bottleneck is that the segmentation overheads could hinder the overall performance. This paper tackles the approximation problem by applying a \textit{distribution transformation} to the keys before constructing the learned index. A two-stage Normalizing-Flow-based Learned index framework (NFL) is proposed, which first transforms the original complex key distribution into a near-uniform distribution, then builds a learned index leveraging the transformed keys. For effective distribution transformation, we propose a Numerical Normalizing Flow (Numerical NF). Based on the characteristics of the transformed keys, we propose a robust After-Flow Learned Index (AFLI). To validate the performance, comprehensive evaluations are conducted on both synthetic and real-world workloads, which shows that the proposed NFL produces the highest throughput and the lowest tail latency compared to the state-of-the-art learned indexes.</x:v>
      </x:c>
      <x:c r="L522" s="17" t="str">
        <x:v>http://arxiv.org/abs/2205.11807v1</x:v>
      </x:c>
      <x:c r="M522" s="23" t="n">
        <x:v>0.04817150063051703</x:v>
      </x:c>
      <x:c r="N522" s="17" t="str">
        <x:v>arxiv-paper-eval-20260727-105551-results.jsonl</x:v>
      </x:c>
      <x:c r="O522" s="24" t="str">
        <x:v>2</x:v>
      </x:c>
      <x:c r="P522" s="28" t="str">
        <x:v>提出分布变换学习索引并在合成和真实负载评测。</x:v>
      </x:c>
      <x:c r="Q522" s="25" t="str"/>
      <x:c r="R522" s="24" t="str">
        <x:f>IF(Q522&lt;&gt;"",Q522,O522)</x:f>
        <x:v>2</x:v>
      </x:c>
      <x:c r="S522" s="29" t="str"/>
    </x:row>
    <x:row r="523" ht="54" customHeight="1">
      <x:c r="A523" s="17" t="str">
        <x:v>csq027-r02</x:v>
      </x:c>
      <x:c r="B523" s="17" t="str">
        <x:v>csq027</x:v>
      </x:c>
      <x:c r="C523" s="17" t="str">
        <x:v>data_management_and_ir</x:v>
      </x:c>
      <x:c r="D523" s="17" t="str">
        <x:v>learned_indexes</x:v>
      </x:c>
      <x:c r="E523" s="27" t="str">
        <x:v>What learned index structures have been proposed, and under which data distributions and update workloads do they outperform or underperform traditional indexes?</x:v>
      </x:c>
      <x:c r="F523" s="22" t="n">
        <x:v>2</x:v>
      </x:c>
      <x:c r="G523" s="17" t="str">
        <x:v>arXiv:1905.06256</x:v>
      </x:c>
      <x:c r="H523" s="27" t="str">
        <x:v>A Scalable Learned Index Scheme in Storage Systems</x:v>
      </x:c>
      <x:c r="I523" s="17" t="str">
        <x:v>Pengfei Li; Yu Hua; Pengfei Zuo; Jingnan Jia</x:v>
      </x:c>
      <x:c r="J523" s="22" t="n">
        <x:v>2019</x:v>
      </x:c>
      <x:c r="K523" s="27" t="str">
        <x:v>Index structures are important for efficient data access, which have been widely used to improve the performance in many in-memory systems. Due to high in-memory overheads, traditional index structures become difficult to process the explosive growth of data, let alone providing low latency and high throughput performance with limited system resources. The promising learned indexes leverage deep-learning models to complement existing index structures and obtain significant memory savings. However, the learned indexes fail to become scalable due to the heavy inter-model dependency and expensive retraining. To address these problems, we propose a scalable learned index scheme to construct different linear regression models according to the data distribution. Moreover, the used models are independent so as to reduce the complexity of retraining and become easy to partition and store the data into different pages, blocks or distributed systems. Our experimental results show that compared with state-of-the-art schemes, AIDEL improves the insertion performance by about 2$\times$ and provides comparable lookup performance, while efficiently supporting scalability.</x:v>
      </x:c>
      <x:c r="L523" s="17" t="str">
        <x:v>http://arxiv.org/abs/1905.06256v1</x:v>
      </x:c>
      <x:c r="M523" s="23" t="n">
        <x:v>0.043076103680908986</x:v>
      </x:c>
      <x:c r="N523" s="17" t="str">
        <x:v>arxiv-paper-eval-20260727-105551-results.jsonl</x:v>
      </x:c>
      <x:c r="O523" s="24" t="str">
        <x:v>2</x:v>
      </x:c>
      <x:c r="P523" s="28" t="str">
        <x:v>提出适应数据分布且降低重训成本的可扩展学习索引。</x:v>
      </x:c>
      <x:c r="Q523" s="25" t="str"/>
      <x:c r="R523" s="24" t="str">
        <x:f>IF(Q523&lt;&gt;"",Q523,O523)</x:f>
        <x:v>2</x:v>
      </x:c>
      <x:c r="S523" s="29" t="str"/>
    </x:row>
    <x:row r="524" ht="54" customHeight="1">
      <x:c r="A524" s="17" t="str">
        <x:v>csq027-r03</x:v>
      </x:c>
      <x:c r="B524" s="17" t="str">
        <x:v>csq027</x:v>
      </x:c>
      <x:c r="C524" s="17" t="str">
        <x:v>data_management_and_ir</x:v>
      </x:c>
      <x:c r="D524" s="17" t="str">
        <x:v>learned_indexes</x:v>
      </x:c>
      <x:c r="E524" s="27" t="str">
        <x:v>What learned index structures have been proposed, and under which data distributions and update workloads do they outperform or underperform traditional indexes?</x:v>
      </x:c>
      <x:c r="F524" s="22" t="n">
        <x:v>3</x:v>
      </x:c>
      <x:c r="G524" s="17" t="str">
        <x:v>arXiv:2507.05865</x:v>
      </x:c>
      <x:c r="H524" s="27" t="str">
        <x:v>On the Costs and Benefits of Learned Indexing for Dynamic High-Dimensional Data: Extended Version</x:v>
      </x:c>
      <x:c r="I524" s="17" t="str">
        <x:v>Terézia Slanináková; Jaroslav Olha; David Procházka; Matej Antol; Vlastislav Dohnal</x:v>
      </x:c>
      <x:c r="J524" s="22" t="n">
        <x:v>2025</x:v>
      </x:c>
      <x:c r="K524" s="27" t="str">
        <x:v>One of the main challenges within the growing research area of learned indexing is the lack of adaptability to dynamically expanding datasets. This paper explores the dynamization of a static learned index for complex data through operations such as node splitting and broadening, enabling efficient adaptation to new data. Furthermore, we evaluate the trade-offs between static and dynamic approaches by introducing an amortized cost model to assess query performance in tandem with the build costs of the index structure, enabling experimental determination of when a dynamic learned index outperforms its static counterpart. We apply the dynamization method to a static learned index and demonstrate that its superior scaling quickly surpasses the static implementation in terms of overall costs as the database grows. This is an extended version of the paper presented at DAWAK 2025.</x:v>
      </x:c>
      <x:c r="L524" s="17" t="str">
        <x:v>http://arxiv.org/abs/2507.05865v2</x:v>
      </x:c>
      <x:c r="M524" s="23" t="n">
        <x:v>0.03252247488101534</x:v>
      </x:c>
      <x:c r="N524" s="17" t="str">
        <x:v>arxiv-paper-eval-20260727-105551-results.jsonl</x:v>
      </x:c>
      <x:c r="O524" s="24" t="str">
        <x:v>2</x:v>
      </x:c>
      <x:c r="P524" s="28" t="str">
        <x:v>直接比较动态与静态学习索引在增长数据下的成本。</x:v>
      </x:c>
      <x:c r="Q524" s="25" t="str"/>
      <x:c r="R524" s="24" t="str">
        <x:f>IF(Q524&lt;&gt;"",Q524,O524)</x:f>
        <x:v>2</x:v>
      </x:c>
      <x:c r="S524" s="29" t="str"/>
    </x:row>
    <x:row r="525" ht="54" customHeight="1">
      <x:c r="A525" s="17" t="str">
        <x:v>csq027-r04</x:v>
      </x:c>
      <x:c r="B525" s="17" t="str">
        <x:v>csq027</x:v>
      </x:c>
      <x:c r="C525" s="17" t="str">
        <x:v>data_management_and_ir</x:v>
      </x:c>
      <x:c r="D525" s="17" t="str">
        <x:v>learned_indexes</x:v>
      </x:c>
      <x:c r="E525" s="27" t="str">
        <x:v>What learned index structures have been proposed, and under which data distributions and update workloads do they outperform or underperform traditional indexes?</x:v>
      </x:c>
      <x:c r="F525" s="22" t="n">
        <x:v>4</x:v>
      </x:c>
      <x:c r="G525" s="17" t="str">
        <x:v>arXiv:2306.10651</x:v>
      </x:c>
      <x:c r="H525" s="27" t="str">
        <x:v>On Distribution Dependent Sub-Logarithmic Query Time of Learned Indexing</x:v>
      </x:c>
      <x:c r="I525" s="17" t="str">
        <x:v>Sepanta Zeighami; Cyrus Shahabi</x:v>
      </x:c>
      <x:c r="J525" s="22" t="n">
        <x:v>2023</x:v>
      </x:c>
      <x:c r="K525" s="27" t="str">
        <x:v>A fundamental problem in data management is to find the elements in an array that match a query. Recently, learned indexes are being extensively used to solve this problem, where they learn a model to predict the location of the items in the array. They are empirically shown to outperform non-learned methods (e.g., B-trees or binary search that answer queries in $O(\log n)$ time) by orders of magnitude. However, success of learned indexes has not been theoretically justified. Only existing attempt shows the same query time of $O(\log n)$, but with a constant factor improvement in space complexity over non-learned methods, under some assumptions on data distribution. In this paper, we significantly strengthen this result, showing that under mild assumptions on data distribution, and the same space complexity as non-learned methods, learned indexes can answer queries in $O(\log\log n)$ expected query time. We also show that allowing for slightly larger but still near-linear space overhead, a learned index can achieve $O(1)$ expected query time. Our results theoretically prove learned indexes are orders of magnitude faster than non-learned methods, theoretically grounding their empirical success.</x:v>
      </x:c>
      <x:c r="L525" s="17" t="str">
        <x:v>http://arxiv.org/abs/2306.10651v1</x:v>
      </x:c>
      <x:c r="M525" s="23" t="n">
        <x:v>0.03225806451612903</x:v>
      </x:c>
      <x:c r="N525" s="17" t="str">
        <x:v>arxiv-paper-eval-20260727-105551-results.jsonl</x:v>
      </x:c>
      <x:c r="O525" s="24" t="str">
        <x:v>2</x:v>
      </x:c>
      <x:c r="P525" s="28" t="str">
        <x:v>给出学习索引在分布假设下优于传统索引的理论界限。</x:v>
      </x:c>
      <x:c r="Q525" s="25" t="str"/>
      <x:c r="R525" s="24" t="str">
        <x:f>IF(Q525&lt;&gt;"",Q525,O525)</x:f>
        <x:v>2</x:v>
      </x:c>
      <x:c r="S525" s="29" t="str"/>
    </x:row>
    <x:row r="526" ht="54" customHeight="1">
      <x:c r="A526" s="17" t="str">
        <x:v>csq027-r05</x:v>
      </x:c>
      <x:c r="B526" s="17" t="str">
        <x:v>csq027</x:v>
      </x:c>
      <x:c r="C526" s="17" t="str">
        <x:v>data_management_and_ir</x:v>
      </x:c>
      <x:c r="D526" s="17" t="str">
        <x:v>learned_indexes</x:v>
      </x:c>
      <x:c r="E526" s="27" t="str">
        <x:v>What learned index structures have been proposed, and under which data distributions and update workloads do they outperform or underperform traditional indexes?</x:v>
      </x:c>
      <x:c r="F526" s="22" t="n">
        <x:v>5</x:v>
      </x:c>
      <x:c r="G526" s="17" t="str">
        <x:v>arXiv:1902.00655</x:v>
      </x:c>
      <x:c r="H526" s="27" t="str">
        <x:v>Learned Indexes for Dynamic Workloads</x:v>
      </x:c>
      <x:c r="I526" s="17" t="str">
        <x:v>Chuzhe Tang; Zhiyuan Dong; Minjie Wang; Zhaoguo Wang; Haibo Chen</x:v>
      </x:c>
      <x:c r="J526" s="22" t="n">
        <x:v>2019</x:v>
      </x:c>
      <x:c r="K526" s="27" t="str">
        <x:v>The recent proposal of learned index structures opens up a new perspective on how traditional range indexes can be optimized. However, the current learned indexes assume the data distribution is relatively static and the access pattern is uniform, while real-world scenarios consist of skew query distribution and evolving data. In this paper, we demonstrate that the missing consideration of access patterns and dynamic data distribution notably hinders the applicability of learned indexes. To this end, we propose solutions for learned indexes for dynamic workloads (called Doraemon). To improve the latency for skew queries, Doraemon augments the training data with access frequencies. To address the slow model re-training when data distribution shifts, Doraemon caches the previously-trained models and incrementally fine-tunes them for similar access patterns and data distribution. Our preliminary result shows that, Doraemon improves the query latency by 45.1% and reduces the model re-training time to 1/20.</x:v>
      </x:c>
      <x:c r="L526" s="17" t="str">
        <x:v>http://arxiv.org/abs/1902.00655v1</x:v>
      </x:c>
      <x:c r="M526" s="23" t="n">
        <x:v>0.031746031746031744</x:v>
      </x:c>
      <x:c r="N526" s="17" t="str">
        <x:v>arxiv-paper-eval-20260727-105551-results.jsonl</x:v>
      </x:c>
      <x:c r="O526" s="24" t="str">
        <x:v>2</x:v>
      </x:c>
      <x:c r="P526" s="28" t="str">
        <x:v>研究偏斜访问与分布漂移下学习索引的局限和改进。</x:v>
      </x:c>
      <x:c r="Q526" s="25" t="str"/>
      <x:c r="R526" s="24" t="str">
        <x:f>IF(Q526&lt;&gt;"",Q526,O526)</x:f>
        <x:v>2</x:v>
      </x:c>
      <x:c r="S526" s="29" t="str"/>
    </x:row>
    <x:row r="527" ht="54" customHeight="1">
      <x:c r="A527" s="17" t="str">
        <x:v>csq027-r06</x:v>
      </x:c>
      <x:c r="B527" s="17" t="str">
        <x:v>csq027</x:v>
      </x:c>
      <x:c r="C527" s="17" t="str">
        <x:v>data_management_and_ir</x:v>
      </x:c>
      <x:c r="D527" s="17" t="str">
        <x:v>learned_indexes</x:v>
      </x:c>
      <x:c r="E527" s="27" t="str">
        <x:v>What learned index structures have been proposed, and under which data distributions and update workloads do they outperform or underperform traditional indexes?</x:v>
      </x:c>
      <x:c r="F527" s="22" t="n">
        <x:v>6</x:v>
      </x:c>
      <x:c r="G527" s="17" t="str">
        <x:v>arXiv:1905.08898</x:v>
      </x:c>
      <x:c r="H527" s="27" t="str">
        <x:v>ALEX: An Updatable Adaptive Learned Index</x:v>
      </x:c>
      <x:c r="I527" s="17" t="str">
        <x:v>Jialin Ding; Umar Farooq Minhas; Jia Yu; Chi Wang; Jaeyoung Do; Yinan Li; Hantian Zhang; Badrish Chandramouli; Johannes Gehrke; Donald Kossmann; David Lomet; Tim Kraska</x:v>
      </x:c>
      <x:c r="J527" s="22" t="n">
        <x:v>2019</x:v>
      </x:c>
      <x:c r="K527" s="27" t="str">
        <x:v>Recent work on "learned indexes" has changed the way we look at the decades-old field of DBMS indexing. The key idea is that indexes can be thought of as "models" that predict the position of a key in a dataset. Indexes can, thus, be learned. The original work by Kraska et al. shows that a learned index beats a B+Tree by a factor of up to three in search time and by an order of magnitude in memory footprint. However, it is limited to static, read-only workloads. In this paper, we present a new learned index called ALEX which addresses practical issues that arise when implementing learned indexes for workloads that contain a mix of point lookups, short range queries, inserts, updates, and deletes. ALEX effectively combines the core insights from learned indexes with proven storage and indexing techniques to achieve high performance and low memory footprint. On read-only workloads, ALEX beats the learned index from Kraska et al. by up to 2.2X on performance with up to 15X smaller index size. Across the spectrum of read-write workloads, ALEX beats B+Trees by up to 4.1X while never performing worse, with up to 2000X smaller index size. We believe ALEX presents a key step towards making learned indexes practical for a broader class of database workloads with dynamic updates.</x:v>
      </x:c>
      <x:c r="L527" s="17" t="str">
        <x:v>http://arxiv.org/abs/1905.08898v2</x:v>
      </x:c>
      <x:c r="M527" s="23" t="n">
        <x:v>0.03149801587301587</x:v>
      </x:c>
      <x:c r="N527" s="17" t="str">
        <x:v>arxiv-paper-eval-20260727-105551-results.jsonl</x:v>
      </x:c>
      <x:c r="O527" s="24" t="str">
        <x:v>2</x:v>
      </x:c>
      <x:c r="P527" s="28" t="str">
        <x:v>ALEX直接覆盖读写更新负载并与B+树比较。</x:v>
      </x:c>
      <x:c r="Q527" s="25" t="str"/>
      <x:c r="R527" s="24" t="str">
        <x:f>IF(Q527&lt;&gt;"",Q527,O527)</x:f>
        <x:v>2</x:v>
      </x:c>
      <x:c r="S527" s="29" t="str"/>
    </x:row>
    <x:row r="528" ht="54" customHeight="1">
      <x:c r="A528" s="17" t="str">
        <x:v>csq027-r07</x:v>
      </x:c>
      <x:c r="B528" s="17" t="str">
        <x:v>csq027</x:v>
      </x:c>
      <x:c r="C528" s="17" t="str">
        <x:v>data_management_and_ir</x:v>
      </x:c>
      <x:c r="D528" s="17" t="str">
        <x:v>learned_indexes</x:v>
      </x:c>
      <x:c r="E528" s="27" t="str">
        <x:v>What learned index structures have been proposed, and under which data distributions and update workloads do they outperform or underperform traditional indexes?</x:v>
      </x:c>
      <x:c r="F528" s="22" t="n">
        <x:v>7</x:v>
      </x:c>
      <x:c r="G528" s="17" t="str">
        <x:v>arXiv:2101.00808</x:v>
      </x:c>
      <x:c r="H528" s="27" t="str">
        <x:v>A Pluggable Learned Index Method via Sampling and Gap Insertion</x:v>
      </x:c>
      <x:c r="I528" s="17" t="str">
        <x:v>Yaliang Li; Daoyuan Chen; Bolin Ding; Kai Zeng; Jingren Zhou</x:v>
      </x:c>
      <x:c r="J528" s="22" t="n">
        <x:v>2021</x:v>
      </x:c>
      <x:c r="K528" s="27" t="str">
        <x:v>Database indexes facilitate data retrieval and benefit broad applications in real-world systems. Recently, a new family of index, named learned index, is proposed to learn hidden yet useful data distribution and incorporate such information into the learning of indexes, which leads to promising performance improvements. However, the "learning" process of learned indexes is still under-explored. In this paper, we propose a formal machine learning based framework to quantify the index learning objective, and study two general and pluggable techniques to enhance the learning efficiency and learning effectiveness for learned indexes. With the guidance of the formal learning objective, we can efficiently learn index by incorporating the proposed sampling technique, and learn precise index with enhanced generalization ability brought by the proposed result-driven gap insertion technique. We conduct extensive experiments on real-world datasets and compare several indexing methods from the perspective of the index learning objective. The results show the ability of the proposed framework to help to design suitable indexes for different scenarios. Further, we demonstrate the effectiveness of the proposed sampling technique, which achieves up to 78x construction speedup while maintaining non-degraded indexing performance. Finally, we show the gap insertion technique can enhance both the static and dynamic indexing performances of existing learned index methods with up to 1.59x query speedup. We will release our codes and processed data for further study, which can enable more exploration of learned indexes from both the perspectives of machine learning and database.</x:v>
      </x:c>
      <x:c r="L528" s="17" t="str">
        <x:v>http://arxiv.org/abs/2101.00808v1</x:v>
      </x:c>
      <x:c r="M528" s="23" t="n">
        <x:v>0.030834914611005692</x:v>
      </x:c>
      <x:c r="N528" s="17" t="str">
        <x:v>arxiv-paper-eval-20260727-105551-results.jsonl</x:v>
      </x:c>
      <x:c r="O528" s="24" t="str">
        <x:v>2</x:v>
      </x:c>
      <x:c r="P528" s="28" t="str">
        <x:v>研究采样和间隙插入对静态、动态索引性能的影响。</x:v>
      </x:c>
      <x:c r="Q528" s="25" t="str"/>
      <x:c r="R528" s="24" t="str">
        <x:f>IF(Q528&lt;&gt;"",Q528,O528)</x:f>
        <x:v>2</x:v>
      </x:c>
      <x:c r="S528" s="29" t="str"/>
    </x:row>
    <x:row r="529" ht="54" customHeight="1">
      <x:c r="A529" s="17" t="str">
        <x:v>csq027-r08</x:v>
      </x:c>
      <x:c r="B529" s="17" t="str">
        <x:v>csq027</x:v>
      </x:c>
      <x:c r="C529" s="17" t="str">
        <x:v>data_management_and_ir</x:v>
      </x:c>
      <x:c r="D529" s="17" t="str">
        <x:v>learned_indexes</x:v>
      </x:c>
      <x:c r="E529" s="27" t="str">
        <x:v>What learned index structures have been proposed, and under which data distributions and update workloads do they outperform or underperform traditional indexes?</x:v>
      </x:c>
      <x:c r="F529" s="22" t="n">
        <x:v>8</x:v>
      </x:c>
      <x:c r="G529" s="17" t="str">
        <x:v>arXiv:2308.15012</x:v>
      </x:c>
      <x:c r="H529" s="27" t="str">
        <x:v>SALI: A Scalable Adaptive Learned Index Framework based on Probability Models</x:v>
      </x:c>
      <x:c r="I529" s="17" t="str">
        <x:v>Jiake Ge; Huanchen Zhang; Boyu Shi; Yuanhui Luo; Yunda Guo; Yunpeng Chai; Yuxing Chen; Anqun Pan</x:v>
      </x:c>
      <x:c r="J529" s="22" t="n">
        <x:v>2023</x:v>
      </x:c>
      <x:c r="K529" s="27" t="str">
        <x:v>The growth in data storage capacity and the increasing demands for high performance have created several challenges for concurrent indexing structures. One promising solution is learned indexes, which use a learning-based approach to fit the distribution of stored data and predictively locate target keys, significantly improving lookup performance. Despite their advantages, prevailing learned indexes exhibit constraints and encounter issues of scalability on multi-core data storage. This paper introduces SALI, the Scalable Adaptive Learned Index framework, which incorporates two strategies aimed at achieving high scalability, improving efficiency, and enhancing the robustness of the learned index. Firstly, a set of node-evolving strategies is defined to enable the learned index to adapt to various workload skews and enhance its concurrency performance in such scenarios. Secondly, a lightweight strategy is proposed to maintain statistical information within the learned index, with the goal of further improving the scalability of the index. Furthermore, to validate their effectiveness, SALI applied the two strategies mentioned above to the learned index structure that utilizes fine-grained write locks, known as LIPP. The experimental results have demonstrated that SALI significantly enhances the insertion throughput with 64 threads by an average of 2.04x compared to the second-best learned index. Furthermore, SALI accomplishes a lookup throughput similar to that of LIPP+.</x:v>
      </x:c>
      <x:c r="L529" s="17" t="str">
        <x:v>http://arxiv.org/abs/2308.15012v2</x:v>
      </x:c>
      <x:c r="M529" s="23" t="n">
        <x:v>0.03055037313432836</x:v>
      </x:c>
      <x:c r="N529" s="17" t="str">
        <x:v>arxiv-paper-eval-20260727-105551-results.jsonl</x:v>
      </x:c>
      <x:c r="O529" s="24" t="str">
        <x:v>2</x:v>
      </x:c>
      <x:c r="P529" s="28" t="str">
        <x:v>SALI针对并发和偏斜工作负载提升插入吞吐。</x:v>
      </x:c>
      <x:c r="Q529" s="25" t="str"/>
      <x:c r="R529" s="24" t="str">
        <x:f>IF(Q529&lt;&gt;"",Q529,O529)</x:f>
        <x:v>2</x:v>
      </x:c>
      <x:c r="S529" s="29" t="str"/>
    </x:row>
    <x:row r="530" ht="54" customHeight="1">
      <x:c r="A530" s="17" t="str">
        <x:v>csq027-r09</x:v>
      </x:c>
      <x:c r="B530" s="17" t="str">
        <x:v>csq027</x:v>
      </x:c>
      <x:c r="C530" s="17" t="str">
        <x:v>data_management_and_ir</x:v>
      </x:c>
      <x:c r="D530" s="17" t="str">
        <x:v>learned_indexes</x:v>
      </x:c>
      <x:c r="E530" s="27" t="str">
        <x:v>What learned index structures have been proposed, and under which data distributions and update workloads do they outperform or underperform traditional indexes?</x:v>
      </x:c>
      <x:c r="F530" s="22" t="n">
        <x:v>9</x:v>
      </x:c>
      <x:c r="G530" s="17" t="str">
        <x:v>arXiv:2104.05520</x:v>
      </x:c>
      <x:c r="H530" s="27" t="str">
        <x:v>Updatable Learned Index with Precise Positions</x:v>
      </x:c>
      <x:c r="I530" s="17" t="str">
        <x:v>Jiacheng Wu; Yong Zhang; Shimin Chen; Jin Wang; Yu Chen; Chunxiao Xing</x:v>
      </x:c>
      <x:c r="J530" s="22" t="n">
        <x:v>2021</x:v>
      </x:c>
      <x:c r="K530" s="27" t="str">
        <x:v>Index plays an essential role in modern database engines to accelerate the query processing. The new paradigm of "learned index" has significantly changed the way of designing index structures in DBMS. The key insight is that indexes could be regarded as learned models that predict the position of a lookup key in the dataset. While such studies show promising results in both lookup time and index size, they cannot efficiently support update operations. Although recent studies have proposed some preliminary approaches to support update, they are at the cost of scarifying the lookup performance as they suffer from the overheads brought by imprecise predictions in the leaf nodes. In this paper, we propose LIPP, a brand new framework of learned index to address such issues. Similar with state-of-the-art learned index structures, LIPP is able to support all kinds of index operations, namely lookup query, range query, insert, delete, update and bulkload. Meanwhile, we overcome the limitations of previous studies by properly extending the tree structure when dealing with update operations so as to eliminate the deviation of location predicted by the models in the leaf nodes. Moreover, we further propose a dynamic adjustment strategy to ensure that the height of the tree index is tightly bounded and provide comprehensive theoretical analysis to illustrate it. We conduct an extensive set of experiments on several real-life and synthetic datasets. The results demonstrate that our method consistently outperforms state-of-the-art solutions, achieving by up to 4x for a broader class of workloads with different index operations.</x:v>
      </x:c>
      <x:c r="L530" s="17" t="str">
        <x:v>http://arxiv.org/abs/2104.05520v2</x:v>
      </x:c>
      <x:c r="M530" s="23" t="n">
        <x:v>0.030330882352941176</x:v>
      </x:c>
      <x:c r="N530" s="17" t="str">
        <x:v>arxiv-paper-eval-20260727-105551-results.jsonl</x:v>
      </x:c>
      <x:c r="O530" s="24" t="str">
        <x:v>2</x:v>
      </x:c>
      <x:c r="P530" s="28" t="str">
        <x:v>LIPP直接支持多类更新并跨真实与合成数据评测。</x:v>
      </x:c>
      <x:c r="Q530" s="25" t="str"/>
      <x:c r="R530" s="24" t="str">
        <x:f>IF(Q530&lt;&gt;"",Q530,O530)</x:f>
        <x:v>2</x:v>
      </x:c>
      <x:c r="S530" s="29" t="str"/>
    </x:row>
    <x:row r="531" ht="54" customHeight="1">
      <x:c r="A531" s="17" t="str">
        <x:v>csq027-r10</x:v>
      </x:c>
      <x:c r="B531" s="17" t="str">
        <x:v>csq027</x:v>
      </x:c>
      <x:c r="C531" s="17" t="str">
        <x:v>data_management_and_ir</x:v>
      </x:c>
      <x:c r="D531" s="17" t="str">
        <x:v>learned_indexes</x:v>
      </x:c>
      <x:c r="E531" s="27" t="str">
        <x:v>What learned index structures have been proposed, and under which data distributions and update workloads do they outperform or underperform traditional indexes?</x:v>
      </x:c>
      <x:c r="F531" s="22" t="n">
        <x:v>10</x:v>
      </x:c>
      <x:c r="G531" s="17" t="str">
        <x:v>arXiv:2506.08671</x:v>
      </x:c>
      <x:c r="H531" s="27" t="str">
        <x:v>Evaluating Learned Indexes in LSM-tree Systems: Benchmarks,Insights and Design Choices</x:v>
      </x:c>
      <x:c r="I531" s="17" t="str">
        <x:v>Junfeng Liu; Jiarui Ye; Mengshi Chen; Meng Li; Siqiang Luo</x:v>
      </x:c>
      <x:c r="J531" s="22" t="n">
        <x:v>2025</x:v>
      </x:c>
      <x:c r="K531" s="27" t="str">
        <x:v>LSM-tree-based data stores are widely used in industry due to their exceptional performance. However, as data volumes grow, efficiently querying large-scale databases becomes increasingly challenging. To address this, recent studies attempted to integrate learned indexes into LSM-trees to enhance lookup performance, which has demonstrated promising improvements. Despite this, only a limited range of learned index types has been considered, and the strengths and weaknesses of different learned indexes remain unclear, making them difficult for practical use. To fill this gap, we provide a comprehensive and systematic benchmark to pursue an in-depth understanding of learned indexes in LSM-tree systems. In this work, we summarize the workflow of 8 existing learned indexes and analyze the associated theoretical cost. We also identify several key factors that significantly influence the performance of learned indexes and conclude them with a novel configuration space, including various index types, boundary positions, and granularity. Moreover, we implement different learned index designs on a unified platform to evaluate across various configurations. Surprisingly, our experiments reveal several unexpected insights, such as the marginal lookup enhancement when allocating a large memory budget to learned indexes and modest retraining overhead of learned indexes. Besides, we also offer practical guidelines to help developers intelligently select and tune learned indexes for custom use cases.</x:v>
      </x:c>
      <x:c r="L531" s="17" t="str">
        <x:v>http://arxiv.org/abs/2506.08671v1</x:v>
      </x:c>
      <x:c r="M531" s="23" t="n">
        <x:v>0.029709507042253523</x:v>
      </x:c>
      <x:c r="N531" s="17" t="str">
        <x:v>arxiv-paper-eval-20260727-105551-results.jsonl</x:v>
      </x:c>
      <x:c r="O531" s="24" t="str">
        <x:v>2</x:v>
      </x:c>
      <x:c r="P531" s="28" t="str">
        <x:v>系统基准LSM树中多种学习索引的配置与成本。</x:v>
      </x:c>
      <x:c r="Q531" s="25" t="str"/>
      <x:c r="R531" s="24" t="str">
        <x:f>IF(Q531&lt;&gt;"",Q531,O531)</x:f>
        <x:v>2</x:v>
      </x:c>
      <x:c r="S531" s="29" t="str"/>
    </x:row>
    <x:row r="532" ht="54" customHeight="1">
      <x:c r="A532" s="17" t="str">
        <x:v>csq027-r11</x:v>
      </x:c>
      <x:c r="B532" s="17" t="str">
        <x:v>csq027</x:v>
      </x:c>
      <x:c r="C532" s="17" t="str">
        <x:v>data_management_and_ir</x:v>
      </x:c>
      <x:c r="D532" s="17" t="str">
        <x:v>learned_indexes</x:v>
      </x:c>
      <x:c r="E532" s="27" t="str">
        <x:v>What learned index structures have been proposed, and under which data distributions and update workloads do they outperform or underperform traditional indexes?</x:v>
      </x:c>
      <x:c r="F532" s="22" t="n">
        <x:v>11</x:v>
      </x:c>
      <x:c r="G532" s="17" t="str">
        <x:v>arXiv:2105.00683</x:v>
      </x:c>
      <x:c r="H532" s="27" t="str">
        <x:v>APEX: A High-Performance Learned Index on Persistent Memory</x:v>
      </x:c>
      <x:c r="I532" s="17" t="str">
        <x:v>Baotong Lu; Jialin Ding; Eric Lo; Umar Farooq Minhas; Tianzheng Wang</x:v>
      </x:c>
      <x:c r="J532" s="22" t="n">
        <x:v>2021</x:v>
      </x:c>
      <x:c r="K532" s="27" t="str">
        <x:v>The recently released persistent memory (PM) offers high performance, persistence, and is cheaper than DRAM. This opens up new possibilities for indexes that operate and persist data directly on the memory bus. Recent learned indexes exploit data distribution and have shown great potential for some workloads. However, none support persistence or instant recovery, and existing PM-based indexes typically evolve B+-trees without considering learned indexes. This paper proposes APEX, a new PM-optimized learned index that offers high performance, persistence, concurrency, and instant recovery. APEX is based on ALEX, a state-of-the-art updatable learned index, to combine and adapt the best of past PM optimizations and learned indexes, allowing it to reduce PM accesses while still exploiting machine learning. Our evaluation on Intel DCPMM shows that APEX can perform up to ~15x better than existing PM indexes and can recover from failures in ~42ms.</x:v>
      </x:c>
      <x:c r="L532" s="17" t="str">
        <x:v>http://arxiv.org/abs/2105.00683v3</x:v>
      </x:c>
      <x:c r="M532" s="23" t="n">
        <x:v>0.02964426877470356</x:v>
      </x:c>
      <x:c r="N532" s="17" t="str">
        <x:v>arxiv-paper-eval-20260727-105551-results.jsonl</x:v>
      </x:c>
      <x:c r="O532" s="24" t="str">
        <x:v>2</x:v>
      </x:c>
      <x:c r="P532" s="28" t="str">
        <x:v>APEX将可更新学习索引用于持久内存并与传统PM索引比较。</x:v>
      </x:c>
      <x:c r="Q532" s="25" t="str"/>
      <x:c r="R532" s="24" t="str">
        <x:f>IF(Q532&lt;&gt;"",Q532,O532)</x:f>
        <x:v>2</x:v>
      </x:c>
      <x:c r="S532" s="29" t="str"/>
    </x:row>
    <x:row r="533" ht="54" customHeight="1">
      <x:c r="A533" s="17" t="str">
        <x:v>csq027-r12</x:v>
      </x:c>
      <x:c r="B533" s="17" t="str">
        <x:v>csq027</x:v>
      </x:c>
      <x:c r="C533" s="17" t="str">
        <x:v>data_management_and_ir</x:v>
      </x:c>
      <x:c r="D533" s="17" t="str">
        <x:v>learned_indexes</x:v>
      </x:c>
      <x:c r="E533" s="27" t="str">
        <x:v>What learned index structures have been proposed, and under which data distributions and update workloads do they outperform or underperform traditional indexes?</x:v>
      </x:c>
      <x:c r="F533" s="22" t="n">
        <x:v>12</x:v>
      </x:c>
      <x:c r="G533" s="17" t="str">
        <x:v>arXiv:2102.06789</x:v>
      </x:c>
      <x:c r="H533" s="27" t="str">
        <x:v>Spatial Interpolation-based Learned Index for Range and kNN Queries</x:v>
      </x:c>
      <x:c r="I533" s="17" t="str">
        <x:v>Songnian Zhang; Suprio Ray; Rongxing Lu; Yandong Zheng</x:v>
      </x:c>
      <x:c r="J533" s="22" t="n">
        <x:v>2021</x:v>
      </x:c>
      <x:c r="K533" s="27" t="str">
        <x:v>A corpus of recent work has revealed that the learned index can improve query performance while reducing the storage overhead. It potentially offers an opportunity to address the spatial query processing challenges caused by the surge in location-based services. Although several learned indexes have been proposed to process spatial data, the main idea behind these approaches is to utilize the existing one-dimensional learned models, which requires either converting the spatial data into one-dimensional data or applying the learned model on individual dimensions separately. As a result, these approaches cannot fully utilize or take advantage of the information regarding the spatial distribution of the original spatial data. To this end, in this paper, we exploit it by using the spatial (multi-dimensional) interpolation function as the learned model, which can be directly employed on the spatial data. Specifically, we design an efficient SPatial inteRpolation functIon based Grid index (SPRIG) to process the range and kNN queries. Detailed experiments are conducted on real-world datasets, and the results indicate that our proposed learned index can significantly improve the performance in comparison with the traditional spatial indexes and a state-of-the-art multi-dimensional learned index.</x:v>
      </x:c>
      <x:c r="L533" s="17" t="str">
        <x:v>http://arxiv.org/abs/2102.06789v1</x:v>
      </x:c>
      <x:c r="M533" s="23" t="n">
        <x:v>0.02946912242686891</x:v>
      </x:c>
      <x:c r="N533" s="17" t="str">
        <x:v>arxiv-paper-eval-20260727-105551-results.jsonl</x:v>
      </x:c>
      <x:c r="O533" s="24" t="str">
        <x:v>2</x:v>
      </x:c>
      <x:c r="P533" s="28" t="str">
        <x:v>SPRIG针对空间分布查询并与传统空间索引比较。</x:v>
      </x:c>
      <x:c r="Q533" s="25" t="str"/>
      <x:c r="R533" s="24" t="str">
        <x:f>IF(Q533&lt;&gt;"",Q533,O533)</x:f>
        <x:v>2</x:v>
      </x:c>
      <x:c r="S533" s="29" t="str"/>
    </x:row>
    <x:row r="534" ht="54" customHeight="1">
      <x:c r="A534" s="17" t="str">
        <x:v>csq027-r13</x:v>
      </x:c>
      <x:c r="B534" s="17" t="str">
        <x:v>csq027</x:v>
      </x:c>
      <x:c r="C534" s="17" t="str">
        <x:v>data_management_and_ir</x:v>
      </x:c>
      <x:c r="D534" s="17" t="str">
        <x:v>learned_indexes</x:v>
      </x:c>
      <x:c r="E534" s="27" t="str">
        <x:v>What learned index structures have been proposed, and under which data distributions and update workloads do they outperform or underperform traditional indexes?</x:v>
      </x:c>
      <x:c r="F534" s="22" t="n">
        <x:v>13</x:v>
      </x:c>
      <x:c r="G534" s="17" t="str">
        <x:v>arXiv:2406.18892</x:v>
      </x:c>
      <x:c r="H534" s="27" t="str">
        <x:v>LearnedKV: Integrating LSM and Learned Index for Superior Performance on Storage</x:v>
      </x:c>
      <x:c r="I534" s="17" t="str">
        <x:v>Wenlong Wang; David Hung-Chang Du</x:v>
      </x:c>
      <x:c r="J534" s="22" t="n">
        <x:v>2024</x:v>
      </x:c>
      <x:c r="K534" s="27" t="str">
        <x:v>We present LearnedKV, a novel tiered key-value store that seamlessly integrates a Log-Structured Merge (LSM) tree with a Learned Index to achieve superior read and write performance on storage systems. While existing approaches use learned indexes primarily as auxiliary components within LSM trees, LearnedKV employs a two-tier design where the LSM tree handles recent write operations while a separate Learned Index accelerates read performance. Our design includes a non-blocking conversion mechanism that efficiently transforms LSM data into a Learned Index during garbage collection, maintaining high performance without interrupting operations. LearnedKV dramatically reduces LSM size through this tiered approach, leading to significant performance gains in both reads and writes. Extensive evaluations across diverse workloads show that LearnedKV outperforms state-of-the-art LSM-based solutions by up to 4.32x for read operations and 1.43x for writes. The system demonstrates robust performance across different data distributions, access patterns, and storage media including both SSDs and HDDs.</x:v>
      </x:c>
      <x:c r="L534" s="17" t="str">
        <x:v>http://arxiv.org/abs/2406.18892v2</x:v>
      </x:c>
      <x:c r="M534" s="23" t="n">
        <x:v>0.029211087420042643</x:v>
      </x:c>
      <x:c r="N534" s="17" t="str">
        <x:v>arxiv-paper-eval-20260727-105551-results.jsonl</x:v>
      </x:c>
      <x:c r="O534" s="24" t="str">
        <x:v>2</x:v>
      </x:c>
      <x:c r="P534" s="28" t="str">
        <x:v>LearnedKV在不同分布、访问模式和介质下比较读写性能。</x:v>
      </x:c>
      <x:c r="Q534" s="25" t="str"/>
      <x:c r="R534" s="24" t="str">
        <x:f>IF(Q534&lt;&gt;"",Q534,O534)</x:f>
        <x:v>2</x:v>
      </x:c>
      <x:c r="S534" s="29" t="str"/>
    </x:row>
    <x:row r="535" ht="54" customHeight="1">
      <x:c r="A535" s="17" t="str">
        <x:v>csq027-r14</x:v>
      </x:c>
      <x:c r="B535" s="17" t="str">
        <x:v>csq027</x:v>
      </x:c>
      <x:c r="C535" s="17" t="str">
        <x:v>data_management_and_ir</x:v>
      </x:c>
      <x:c r="D535" s="17" t="str">
        <x:v>learned_indexes</x:v>
      </x:c>
      <x:c r="E535" s="27" t="str">
        <x:v>What learned index structures have been proposed, and under which data distributions and update workloads do they outperform or underperform traditional indexes?</x:v>
      </x:c>
      <x:c r="F535" s="22" t="n">
        <x:v>14</x:v>
      </x:c>
      <x:c r="G535" s="17" t="str">
        <x:v>arXiv:2502.05369</x:v>
      </x:c>
      <x:c r="H535" s="27" t="str">
        <x:v>DobLIX: A Dual-Objective Learned Index for Log-Structured Merge Trees</x:v>
      </x:c>
      <x:c r="I535" s="17" t="str">
        <x:v>Alireza Heidari; Amirhossein Ahmadi; Wei Zhang</x:v>
      </x:c>
      <x:c r="J535" s="22" t="n">
        <x:v>2025</x:v>
      </x:c>
      <x:c r="K535" s="27" t="str">
        <x:v>In this paper, we introduce DobLIX, a dual-objective learned index specifically designed for Log-Structured Merge(LSM) tree-based key-value stores. Although traditional learned indexes focus exclusively on optimizing index lookups, they often overlook the impact of data access from storage, resulting in performance bottlenecks. DobLIX addresses this by incorporating a second objective, data access optimization, into the learned index training process. This dual-objective approach ensures that both index lookup efficiency and data access costs are minimized, leading to significant improvements in read performance while maintaining write efficiency in real-world LSM-tree systems. Additionally, DobLIX features a reinforcement learning agent that dynamically tunes the system parameters, allowing it to adapt to varying workloads in real-time. Experimental results using real-world datasets demonstrate that DobLIX reduces indexing overhead and improves throughput by 1.19 to 2.21 times compared to state-of-the-art methods within RocksDB, a widely used LSM-tree-based storage engine.</x:v>
      </x:c>
      <x:c r="L535" s="17" t="str">
        <x:v>http://arxiv.org/abs/2502.05369v2</x:v>
      </x:c>
      <x:c r="M535" s="23" t="n">
        <x:v>0.02904040404040404</x:v>
      </x:c>
      <x:c r="N535" s="17" t="str">
        <x:v>arxiv-paper-eval-20260727-105551-results.jsonl</x:v>
      </x:c>
      <x:c r="O535" s="24" t="str">
        <x:v>2</x:v>
      </x:c>
      <x:c r="P535" s="28" t="str">
        <x:v>DobLIX面向LSM负载自适应调参并评测吞吐。</x:v>
      </x:c>
      <x:c r="Q535" s="25" t="str"/>
      <x:c r="R535" s="24" t="str">
        <x:f>IF(Q535&lt;&gt;"",Q535,O535)</x:f>
        <x:v>2</x:v>
      </x:c>
      <x:c r="S535" s="29" t="str"/>
    </x:row>
    <x:row r="536" ht="54" customHeight="1">
      <x:c r="A536" s="17" t="str">
        <x:v>csq027-r15</x:v>
      </x:c>
      <x:c r="B536" s="17" t="str">
        <x:v>csq027</x:v>
      </x:c>
      <x:c r="C536" s="17" t="str">
        <x:v>data_management_and_ir</x:v>
      </x:c>
      <x:c r="D536" s="17" t="str">
        <x:v>learned_indexes</x:v>
      </x:c>
      <x:c r="E536" s="27" t="str">
        <x:v>What learned index structures have been proposed, and under which data distributions and update workloads do they outperform or underperform traditional indexes?</x:v>
      </x:c>
      <x:c r="F536" s="22" t="n">
        <x:v>15</x:v>
      </x:c>
      <x:c r="G536" s="17" t="str">
        <x:v>arXiv:2502.10597</x:v>
      </x:c>
      <x:c r="H536" s="27" t="str">
        <x:v>BLI: A High-performance Bucket-based Learned Index with Concurrency Support</x:v>
      </x:c>
      <x:c r="I536" s="17" t="str">
        <x:v>Huibing Dong; Wenlong Wang; Chun Liu; David Du</x:v>
      </x:c>
      <x:c r="J536" s="22" t="n">
        <x:v>2025</x:v>
      </x:c>
      <x:c r="K536" s="27" t="str">
        <x:v>Learned indexes are promising to replace traditional tree-based indexes. They typically employ machine learning models to efficiently predict target positions in strictly sorted linear arrays. However, the strict sorted order 1) significantly increases insertion overhead, 2) makes it challenging to support lock-free concurrency, and 3) harms in-node lookup/insertion efficiency due to model inaccuracy.\ In this paper, we introduce a \textit{Bucket-based Learned Index (BLI)}, which is an updatable in-memory learned index that adopts a "globally sorted, locally unsorted" approach by replacing linear sorted arrays with \textit{Buckets}. BLI optimizes the insertion throughput by only sorting Buckets, not the key-value pairs within a Bucket. BLI strategically balances three critical performance metrics: tree fanouts, lookup/insert latency for inner nodes, lookup/insert latency for leaf nodes, and memory consumption. To minimize maintenance costs, BLI performs lightweight bulk loading, insert, node scaling, node split, model retraining, and node merging adaptively. BLI supports lock-free concurrency thanks to the unsorted design with Buckets. Our results show that BLI achieves up to 2.21x better throughput than state-of-the-art learned indexes, with up to 3.91x gains under multi-threaded conditions.</x:v>
      </x:c>
      <x:c r="L536" s="17" t="str">
        <x:v>http://arxiv.org/abs/2502.10597v1</x:v>
      </x:c>
      <x:c r="M536" s="23" t="n">
        <x:v>0.02857142857142857</x:v>
      </x:c>
      <x:c r="N536" s="17" t="str">
        <x:v>arxiv-paper-eval-20260727-105551-results.jsonl</x:v>
      </x:c>
      <x:c r="O536" s="24" t="str">
        <x:v>2</x:v>
      </x:c>
      <x:c r="P536" s="28" t="str">
        <x:v>BLI针对插入和并发负载设计并报告吞吐、内存权衡。</x:v>
      </x:c>
      <x:c r="Q536" s="25" t="str"/>
      <x:c r="R536" s="24" t="str">
        <x:f>IF(Q536&lt;&gt;"",Q536,O536)</x:f>
        <x:v>2</x:v>
      </x:c>
      <x:c r="S536" s="29" t="str"/>
    </x:row>
    <x:row r="537" ht="54" customHeight="1">
      <x:c r="A537" s="17" t="str">
        <x:v>csq027-r16</x:v>
      </x:c>
      <x:c r="B537" s="17" t="str">
        <x:v>csq027</x:v>
      </x:c>
      <x:c r="C537" s="17" t="str">
        <x:v>data_management_and_ir</x:v>
      </x:c>
      <x:c r="D537" s="17" t="str">
        <x:v>learned_indexes</x:v>
      </x:c>
      <x:c r="E537" s="27" t="str">
        <x:v>What learned index structures have been proposed, and under which data distributions and update workloads do they outperform or underperform traditional indexes?</x:v>
      </x:c>
      <x:c r="F537" s="22" t="n">
        <x:v>16</x:v>
      </x:c>
      <x:c r="G537" s="17" t="str">
        <x:v>arXiv:2403.12433</x:v>
      </x:c>
      <x:c r="H537" s="27" t="str">
        <x:v>Algorithmic Complexity Attacks on Dynamic Learned Indexes</x:v>
      </x:c>
      <x:c r="I537" s="17" t="str">
        <x:v>Rui Yang; Evgenios M. Kornaropoulos; Yue Cheng</x:v>
      </x:c>
      <x:c r="J537" s="22" t="n">
        <x:v>2024</x:v>
      </x:c>
      <x:c r="K537" s="27" t="str">
        <x:v>Learned Index Structures (LIS) view a sorted index as a model that learns the data distribution, takes a data element key as input, and outputs the predicted position of the key. The original LIS can only handle lookup operations with no support for updates, rendering it impractical to use for typical workloads. To address this limitation, recent studies have focused on designing efficient dynamic learned indexes. ALEX, as the pioneering dynamic learned index structures, enables dynamism by incorporating a series of design choices, including adaptive key space partitioning, dynamic model retraining, and sophisticated engineering and policies that prioritize read/write performance. While these design choices offer improved average-case performance, the emphasis on flexibility and performance increases the attack surface by allowing adversarial behaviors that maximize ALEX's memory space and time complexity in worst-case scenarios. In this work, we present the first systematic investigation of algorithmic complexity attacks (ACAs) targeting the worst-case scenarios of ALEX. We introduce new ACAs that fall into two categories, space ACAs and time ACAs, which target the memory space and time complexity, respectively. First, our space ACA on data nodes exploits ALEX's gapped array layout and uses Multiple-Choice Knapsack (MCK) to generate an optimal adversarial insertion plan for maximizing the memory consumption at the data node level. Second, our space ACA on internal nodes exploits ALEX's catastrophic cost mitigation mechanism, causing an out-of-memory error with only a few hundred adversarial insertions. Third, our time ACA generates pathological insertions to increase the disparity between the actual key distribution and the linear models of data nodes, deteriorating the runtime performance by up to 1,641X compared to ALEX operating under legitimate workloads.</x:v>
      </x:c>
      <x:c r="L537" s="17" t="str">
        <x:v>http://arxiv.org/abs/2403.12433v1</x:v>
      </x:c>
      <x:c r="M537" s="23" t="n">
        <x:v>0.028484848484848488</x:v>
      </x:c>
      <x:c r="N537" s="17" t="str">
        <x:v>arxiv-paper-eval-20260727-105551-results.jsonl</x:v>
      </x:c>
      <x:c r="O537" s="24" t="str">
        <x:v>2</x:v>
      </x:c>
      <x:c r="P537" s="28" t="str">
        <x:v>揭示ALEX在对抗插入分布下的时间和空间退化。</x:v>
      </x:c>
      <x:c r="Q537" s="25" t="str"/>
      <x:c r="R537" s="24" t="str">
        <x:f>IF(Q537&lt;&gt;"",Q537,O537)</x:f>
        <x:v>2</x:v>
      </x:c>
      <x:c r="S537" s="29" t="str"/>
    </x:row>
    <x:row r="538" ht="54" customHeight="1">
      <x:c r="A538" s="17" t="str">
        <x:v>csq027-r17</x:v>
      </x:c>
      <x:c r="B538" s="17" t="str">
        <x:v>csq027</x:v>
      </x:c>
      <x:c r="C538" s="17" t="str">
        <x:v>data_management_and_ir</x:v>
      </x:c>
      <x:c r="D538" s="17" t="str">
        <x:v>learned_indexes</x:v>
      </x:c>
      <x:c r="E538" s="27" t="str">
        <x:v>What learned index structures have been proposed, and under which data distributions and update workloads do they outperform or underperform traditional indexes?</x:v>
      </x:c>
      <x:c r="F538" s="22" t="n">
        <x:v>17</x:v>
      </x:c>
      <x:c r="G538" s="17" t="str">
        <x:v>arXiv:2403.11472</x:v>
      </x:c>
      <x:c r="H538" s="27" t="str">
        <x:v>Accelerating String-Key Learned Index Structures via Memoization-based Incremental Training</x:v>
      </x:c>
      <x:c r="I538" s="17" t="str">
        <x:v>Minsu Kim; Jinwoo Hwang; Guseul Heo; Seiyeon Cho; Divya Mahajan; Jongse Park</x:v>
      </x:c>
      <x:c r="J538" s="22" t="n">
        <x:v>2024</x:v>
      </x:c>
      <x:c r="K538" s="27" t="str">
        <x:v>Learned indexes use machine learning models to learn the mappings between keys and their corresponding positions in key-value indexes. These indexes use the mapping information as training data. Learned indexes require frequent retrainings of their models to incorporate the changes introduced by update queries. To efficiently retrain the models, existing learned index systems often harness a linear algebraic QR factorization technique that performs matrix decomposition. This factorization approach processes all key-position pairs during each retraining, resulting in compute operations that grow linearly with the total number of keys and their lengths. Consequently, the retrainings create a severe performance bottleneck, especially for variable-length string keys, while the retrainings are crucial for maintaining high prediction accuracy and in turn, ensuring low query service latency. To address this performance problem, we develop an algorithm-hardware co-designed string-key learned index system, dubbed SIA. In designing SIA, we leverage a unique algorithmic property of the matrix decomposition-based training method. Exploiting the property, we develop a memoization-based incremental training scheme, which only requires computation over updated keys, while decomposition results of non-updated keys from previous computations can be reused. We further enhance SIA to offload a portion of this training process to an FPGA accelerator to not only relieve CPU resources for serving index queries (i.e., inference), but also accelerate the training itself. Our evaluation shows that compared to ALEX, LIPP, and SIndex, a state-of-the-art learned index systems, SIA-accelerated learned indexes offer 2.6x and 3.4x higher throughput on the two real-world benchmark suites, YCSB and Twitter cache trace, respectively.</x:v>
      </x:c>
      <x:c r="L538" s="17" t="str">
        <x:v>http://arxiv.org/abs/2403.11472v1</x:v>
      </x:c>
      <x:c r="M538" s="23" t="n">
        <x:v>0.028381642512077296</x:v>
      </x:c>
      <x:c r="N538" s="17" t="str">
        <x:v>arxiv-paper-eval-20260727-105551-results.jsonl</x:v>
      </x:c>
      <x:c r="O538" s="24" t="str">
        <x:v>2</x:v>
      </x:c>
      <x:c r="P538" s="28" t="str">
        <x:v>SIA针对字符串键更新重训瓶颈并用真实负载评测。</x:v>
      </x:c>
      <x:c r="Q538" s="25" t="str"/>
      <x:c r="R538" s="24" t="str">
        <x:f>IF(Q538&lt;&gt;"",Q538,O538)</x:f>
        <x:v>2</x:v>
      </x:c>
      <x:c r="S538" s="29" t="str"/>
    </x:row>
    <x:row r="539" ht="54" customHeight="1">
      <x:c r="A539" s="17" t="str">
        <x:v>csq027-r18</x:v>
      </x:c>
      <x:c r="B539" s="17" t="str">
        <x:v>csq027</x:v>
      </x:c>
      <x:c r="C539" s="17" t="str">
        <x:v>data_management_and_ir</x:v>
      </x:c>
      <x:c r="D539" s="17" t="str">
        <x:v>learned_indexes</x:v>
      </x:c>
      <x:c r="E539" s="27" t="str">
        <x:v>What learned index structures have been proposed, and under which data distributions and update workloads do they outperform or underperform traditional indexes?</x:v>
      </x:c>
      <x:c r="F539" s="22" t="n">
        <x:v>18</x:v>
      </x:c>
      <x:c r="G539" s="17" t="str">
        <x:v>arXiv:2101.10457</x:v>
      </x:c>
      <x:c r="H539" s="27" t="str">
        <x:v>Shift-Table: A Low-latency Learned Index for Range Queries using Model Correction</x:v>
      </x:c>
      <x:c r="I539" s="17" t="str">
        <x:v>Ali Hadian; Thomas Heinis</x:v>
      </x:c>
      <x:c r="J539" s="22" t="n">
        <x:v>2021</x:v>
      </x:c>
      <x:c r="K539" s="27" t="str">
        <x:v>Indexing large-scale databases in main memory is still challenging today. Learned index structures -- in which the core components of classical indexes are replaced with machine learning models -- have recently been suggested to significantly improve performance for read-only range queries. However, a recent benchmark study shows that learned indexes only achieve limited performance improvements for real-world data on modern hardware. More specifically, a learned model cannot learn the micro-level details and fluctuations of data distributions thus resulting in poor accuracy; or it can fit to the data distribution at the cost of training a big model whose parameters cannot fit into cache. As a consequence, querying a learned index on real-world data takes a substantial number of memory lookups, thereby degrading performance. In this paper, we adopt a different approach for modeling a data distribution that complements the model fitting approach of learned indexes. We propose Shift-Table, an algorithmic layer that captures the micro-level data distribution and resolves the local biases of a learned model at the cost of at most one memory lookup. Our suggested model combines the low latency of lookup tables with learned indexes and enables low-latency processing of range queries. Using Shift-Table, we achieve a speedup of 1.5X to 2X on real-world datasets compared to trained and tuned learned indexes.</x:v>
      </x:c>
      <x:c r="L539" s="17" t="str">
        <x:v>http://arxiv.org/abs/2101.10457v1</x:v>
      </x:c>
      <x:c r="M539" s="23" t="n">
        <x:v>0.02819138376017471</x:v>
      </x:c>
      <x:c r="N539" s="17" t="str">
        <x:v>arxiv-paper-eval-20260727-105551-results.jsonl</x:v>
      </x:c>
      <x:c r="O539" s="24" t="str">
        <x:v>2</x:v>
      </x:c>
      <x:c r="P539" s="28" t="str">
        <x:v>指出真实分布下既有学习索引收益有限并提出修正层。</x:v>
      </x:c>
      <x:c r="Q539" s="25" t="str"/>
      <x:c r="R539" s="24" t="str">
        <x:f>IF(Q539&lt;&gt;"",Q539,O539)</x:f>
        <x:v>2</x:v>
      </x:c>
      <x:c r="S539" s="29" t="str"/>
    </x:row>
    <x:row r="540" ht="54" customHeight="1">
      <x:c r="A540" s="17" t="str">
        <x:v>csq027-r19</x:v>
      </x:c>
      <x:c r="B540" s="17" t="str">
        <x:v>csq027</x:v>
      </x:c>
      <x:c r="C540" s="17" t="str">
        <x:v>data_management_and_ir</x:v>
      </x:c>
      <x:c r="D540" s="17" t="str">
        <x:v>learned_indexes</x:v>
      </x:c>
      <x:c r="E540" s="27" t="str">
        <x:v>What learned index structures have been proposed, and under which data distributions and update workloads do they outperform or underperform traditional indexes?</x:v>
      </x:c>
      <x:c r="F540" s="22" t="n">
        <x:v>19</x:v>
      </x:c>
      <x:c r="G540" s="17" t="str">
        <x:v>arXiv:2204.10028</x:v>
      </x:c>
      <x:c r="H540" s="27" t="str">
        <x:v>A Learned Index for Exact Similarity Search in Metric Spaces</x:v>
      </x:c>
      <x:c r="I540" s="17" t="str">
        <x:v>Yao Tian; Tingyun Yan; Xi Zhao; Kai Huang; Xiaofang Zhou</x:v>
      </x:c>
      <x:c r="J540" s="22" t="n">
        <x:v>2022</x:v>
      </x:c>
      <x:c r="K540" s="27" t="str">
        <x:v>Indexing is an effective way to support efficient query processing in large databases. Recently the concept of learned index, which replaces or complements traditional index structures with machine learning models, has been actively explored to reduce storage and search costs. However, accurate and efficient similarity query processing in high-dimensional metric spaces remains to be an open challenge. In this paper, we propose a novel indexing approach called LIMS that uses data clustering, pivot-based data transformation techniques and learned indexes to support efficient similarity query processing in metric spaces. In LIMS, the underlying data is partitioned into clusters such that each cluster follows a relatively uniform data distribution. Data redistribution is achieved by utilizing a small number of pivots for each cluster. Similar data are mapped into compact regions and the mapped values are totally ordinal. Machine learning models are developed to approximate the position of each data record on disk. Efficient algorithms are designed for processing range queries and nearest neighbor queries based on LIMS, and for index maintenance with dynamic updates. Extensive experiments on real-world and synthetic datasets demonstrate the superiority of LIMS compared with traditional indexes and state-of-the-art learned indexes.</x:v>
      </x:c>
      <x:c r="L540" s="17" t="str">
        <x:v>http://arxiv.org/abs/2204.10028v2</x:v>
      </x:c>
      <x:c r="M540" s="23" t="n">
        <x:v>0.027783137179239824</x:v>
      </x:c>
      <x:c r="N540" s="17" t="str">
        <x:v>arxiv-paper-eval-20260727-105551-results.jsonl</x:v>
      </x:c>
      <x:c r="O540" s="24" t="str">
        <x:v>2</x:v>
      </x:c>
      <x:c r="P540" s="28" t="str">
        <x:v>LIMS覆盖高维分布、动态更新并与传统索引比较。</x:v>
      </x:c>
      <x:c r="Q540" s="25" t="str"/>
      <x:c r="R540" s="24" t="str">
        <x:f>IF(Q540&lt;&gt;"",Q540,O540)</x:f>
        <x:v>2</x:v>
      </x:c>
      <x:c r="S540" s="29" t="str"/>
    </x:row>
    <x:row r="541" ht="54" customHeight="1">
      <x:c r="A541" s="17" t="str">
        <x:v>csq027-r20</x:v>
      </x:c>
      <x:c r="B541" s="17" t="str">
        <x:v>csq027</x:v>
      </x:c>
      <x:c r="C541" s="17" t="str">
        <x:v>data_management_and_ir</x:v>
      </x:c>
      <x:c r="D541" s="17" t="str">
        <x:v>learned_indexes</x:v>
      </x:c>
      <x:c r="E541" s="27" t="str">
        <x:v>What learned index structures have been proposed, and under which data distributions and update workloads do they outperform or underperform traditional indexes?</x:v>
      </x:c>
      <x:c r="F541" s="22" t="n">
        <x:v>20</x:v>
      </x:c>
      <x:c r="G541" s="17" t="str">
        <x:v>arXiv:2305.17674</x:v>
      </x:c>
      <x:c r="H541" s="27" t="str">
        <x:v>One stone, two birds: A lightweight multidimensional learned index with cardinality support</x:v>
      </x:c>
      <x:c r="I541" s="17" t="str">
        <x:v>Yingze Li; Hongzhi Wang; Xianglong Liu</x:v>
      </x:c>
      <x:c r="J541" s="22" t="n">
        <x:v>2023</x:v>
      </x:c>
      <x:c r="K541" s="27" t="str">
        <x:v>Innovative learning based structures have recently been proposed to tackle index and cardinality estimation tasks, specifically learned indexes and data driven cardinality estimators. These structures exhibit excellent performance in capturing data distribution, making them promising for integration into AI driven database kernels. However, accurate estimation for corner case queries requires a large number of network parameters, resulting in higher computing resources on expensive GPUs and more storage overhead. Additionally, the separate implementation for CE and learned index result in a redundancy waste by storage of single table distribution twice. These present challenges for designing AI driven database kernels. As in real database scenarios, a compact kernel is necessary to process queries within a limited storage and time budget. Directly integrating these two AI approaches would result in a heavy and complex kernel due to a large number of network parameters and repeated storage of data distribution parameters. Our proposed CardIndex structure effectively killed two birds with one stone. It is a fast multidim learned index that also serves as a lightweight cardinality estimator with parameters scaled at the KB level. Due to its special structure and small parameter size, it can obtain both CDF and PDF information for tuples with an incredibly low latency of 1 to 10 microseconds. For tasks with low selectivity estimation, we did not increase the model's parameters to obtain fine grained point density. Instead, we fully utilized our structure's characteristics and proposed a hybrid estimation algorithm in providing fast and exact results.</x:v>
      </x:c>
      <x:c r="L541" s="17" t="str">
        <x:v>http://arxiv.org/abs/2305.17674v1</x:v>
      </x:c>
      <x:c r="M541" s="23" t="n">
        <x:v>0.027777777777777776</x:v>
      </x:c>
      <x:c r="N541" s="17" t="str">
        <x:v>arxiv-paper-eval-20260727-105551-results.jsonl</x:v>
      </x:c>
      <x:c r="O541" s="24" t="str">
        <x:v>2</x:v>
      </x:c>
      <x:c r="P541" s="28" t="str">
        <x:v>提出多维学习索引兼顾基数估计，直接属于结构谱系。</x:v>
      </x:c>
      <x:c r="Q541" s="25" t="str"/>
      <x:c r="R541" s="24" t="str">
        <x:f>IF(Q541&lt;&gt;"",Q541,O541)</x:f>
        <x:v>2</x:v>
      </x:c>
      <x:c r="S541" s="29" t="str"/>
    </x:row>
    <x:row r="542" ht="54" customHeight="1">
      <x:c r="A542" s="17" t="str">
        <x:v>csq028-r01</x:v>
      </x:c>
      <x:c r="B542" s="17" t="str">
        <x:v>csq028</x:v>
      </x:c>
      <x:c r="C542" s="17" t="str">
        <x:v>data_management_and_ir</x:v>
      </x:c>
      <x:c r="D542" s="17" t="str">
        <x:v>vector_search</x:v>
      </x:c>
      <x:c r="E542" s="27" t="str">
        <x:v>How do graph-based, quantization-based, and inverted-file approaches to approximate nearest-neighbor search compare in recall, latency, memory usage, and index construction cost?</x:v>
      </x:c>
      <x:c r="F542" s="22" t="n">
        <x:v>1</x:v>
      </x:c>
      <x:c r="G542" s="17" t="str">
        <x:v>arXiv:2511.16921</x:v>
      </x:c>
      <x:c r="H542" s="27" t="str">
        <x:v>δ-EMG: A Monotonic Graph Index for Approximate Nearest Neighbor Search</x:v>
      </x:c>
      <x:c r="I542" s="17" t="str">
        <x:v>Liming Xiang; Jing Feng; Ziqi Yin; Zijian Li; Daihao Xue; Hongchao Qin; Ronghua Li; Guoren Wang</x:v>
      </x:c>
      <x:c r="J542" s="22" t="n">
        <x:v>2025</x:v>
      </x:c>
      <x:c r="K542" s="27" t="str">
        <x:v>Approximate nearest neighbor (ANN) search in high-dimensional spaces is a foundational component of many modern retrieval and recommendation systems. Currently, almost all algorithms follow an $ε$-Recall-Bounded principle when comparing performance: they require the ANN search results to achieve a recall of more than $1-ε$ and then compare query-per-second (QPS) performance. However, this approach only accounts for the recall of true positive results and does not provide guarantees on the deviation of incorrect results. To address this limitation, we focus on an Error-Bounded ANN method, which ensures that the returned results are a $(1/δ)$-approximation of the true values. Our approach adopts a graph-based framework. To enable Error-Bounded ANN search, we propose a $δ$-EMG (Error-bounded Monotonic Graph), which, for the first time, provides a provable approximation for arbitrary queries. By enforcing a $δ$-monotonic geometric constraint during graph construction, $δ$-EMG ensures that any greedy search converges to a $(1/δ)$-approximate neighbor without backtracking. Building on this foundation, we design an error-bounded top-$k$ ANN search algorithm that adaptively controls approximation accuracy during query time. To make the framework practical at scale, we introduce $δ$-EMQG (Error-bounded Monotonic Quantized Graph), a localized and degree-balanced variant with near-linear construction complexity. We further integrate vector quantization to accelerate distance computation while preserving theoretical guarantees. Extensive experiments on the ANN-Benchmarks dataset demonstrate the effectiveness of our approach. Under a recall requirement of 0.99, our algorithm achieves 19,000 QPS on the SIFT1M dataset, outperforming other methods by more than 40\%.</x:v>
      </x:c>
      <x:c r="L542" s="17" t="str">
        <x:v>http://arxiv.org/abs/2511.16921v1</x:v>
      </x:c>
      <x:c r="M542" s="23" t="n">
        <x:v>0.045582522915269395</x:v>
      </x:c>
      <x:c r="N542" s="17" t="str">
        <x:v>arxiv-paper-eval-20260727-105551-results.jsonl</x:v>
      </x:c>
      <x:c r="O542" s="24" t="str">
        <x:v>2</x:v>
      </x:c>
      <x:c r="P542" s="28" t="str">
        <x:v>融合图与量化并报告召回、QPS和构建复杂度。</x:v>
      </x:c>
      <x:c r="Q542" s="25" t="str"/>
      <x:c r="R542" s="24" t="str">
        <x:f>IF(Q542&lt;&gt;"",Q542,O542)</x:f>
        <x:v>2</x:v>
      </x:c>
      <x:c r="S542" s="29" t="str"/>
    </x:row>
    <x:row r="543" ht="54" customHeight="1">
      <x:c r="A543" s="17" t="str">
        <x:v>csq028-r02</x:v>
      </x:c>
      <x:c r="B543" s="17" t="str">
        <x:v>csq028</x:v>
      </x:c>
      <x:c r="C543" s="17" t="str">
        <x:v>data_management_and_ir</x:v>
      </x:c>
      <x:c r="D543" s="17" t="str">
        <x:v>vector_search</x:v>
      </x:c>
      <x:c r="E543" s="27" t="str">
        <x:v>How do graph-based, quantization-based, and inverted-file approaches to approximate nearest-neighbor search compare in recall, latency, memory usage, and index construction cost?</x:v>
      </x:c>
      <x:c r="F543" s="22" t="n">
        <x:v>2</x:v>
      </x:c>
      <x:c r="G543" s="17" t="str">
        <x:v>arXiv:2502.13826</x:v>
      </x:c>
      <x:c r="H543" s="27" t="str">
        <x:v>In-Place Updates of a Graph Index for Streaming Approximate Nearest Neighbor Search</x:v>
      </x:c>
      <x:c r="I543" s="17" t="str">
        <x:v>Haike Xu; Magdalen Dobson Manohar; Philip A. Bernstein; Badrish Chandramouli; Richard Wen; Harsha Vardhan Simhadri</x:v>
      </x:c>
      <x:c r="J543" s="22" t="n">
        <x:v>2025</x:v>
      </x:c>
      <x:c r="K543" s="27" t="str">
        <x:v>Indices for approximate nearest neighbor search (ANNS) are a basic component for information retrieval and widely used in database, search, recommendation and RAG systems. In these scenarios, documents or other objects are inserted into and deleted from the working set at a high rate, requiring a stream of updates to the vector index. Algorithms based on proximity graph indices are the most efficient indices for ANNS, winning many benchmark competitions. However, it is challenging to update such graph index at a high rate, while supporting stable recall after many updates. Since the graph is singly-linked, deletions are hard because there is no fast way to find in-neighbors of a deleted vertex. Therefore, to update the graph, state-of-the-art algorithms such as FreshDiskANN accumulate deletions in a batch and periodically consolidate, removing edges to deleted vertices and modifying the graph to ensure recall stability. In this paper, we present IP-DiskANN (InPlaceUpdate-DiskANN), the first algorithm to avoid batch consolidation by efficiently processing each insertion and deletion in-place. Our experiments using standard benchmarks show that IP-DiskANN has stable recall over various lengthy update patterns in both high-recall and low-recall regimes. Further, its query throughput and update speed are better than using the batch consolidation algorithm and HNSW.</x:v>
      </x:c>
      <x:c r="L543" s="17" t="str">
        <x:v>http://arxiv.org/abs/2502.13826v1</x:v>
      </x:c>
      <x:c r="M543" s="23" t="n">
        <x:v>0.042318840579710144</x:v>
      </x:c>
      <x:c r="N543" s="17" t="str">
        <x:v>arxiv-paper-eval-20260727-105551-results.jsonl</x:v>
      </x:c>
      <x:c r="O543" s="24" t="str">
        <x:v>1</x:v>
      </x:c>
      <x:c r="P543" s="28" t="str">
        <x:v>评测动态图索引更新、召回与吞吐，未比较量化或倒排路线。</x:v>
      </x:c>
      <x:c r="Q543" s="25" t="str"/>
      <x:c r="R543" s="24" t="str">
        <x:f>IF(Q543&lt;&gt;"",Q543,O543)</x:f>
        <x:v>1</x:v>
      </x:c>
      <x:c r="S543" s="29" t="str"/>
    </x:row>
    <x:row r="544" ht="54" customHeight="1">
      <x:c r="A544" s="17" t="str">
        <x:v>csq028-r03</x:v>
      </x:c>
      <x:c r="B544" s="17" t="str">
        <x:v>csq028</x:v>
      </x:c>
      <x:c r="C544" s="17" t="str">
        <x:v>data_management_and_ir</x:v>
      </x:c>
      <x:c r="D544" s="17" t="str">
        <x:v>vector_search</x:v>
      </x:c>
      <x:c r="E544" s="27" t="str">
        <x:v>How do graph-based, quantization-based, and inverted-file approaches to approximate nearest-neighbor search compare in recall, latency, memory usage, and index construction cost?</x:v>
      </x:c>
      <x:c r="F544" s="22" t="n">
        <x:v>3</x:v>
      </x:c>
      <x:c r="G544" s="17" t="str">
        <x:v>arXiv:2508.08744</x:v>
      </x:c>
      <x:c r="H544" s="27" t="str">
        <x:v>Scalable Graph Indexing using GPUs for Approximate Nearest Neighbor Search</x:v>
      </x:c>
      <x:c r="I544" s="17" t="str">
        <x:v>Zhonggen Li; Xiangyu Ke; Yifan Zhu; Bocheng Yu; Baihua Zheng; Yunjun Gao</x:v>
      </x:c>
      <x:c r="J544" s="22" t="n">
        <x:v>2025</x:v>
      </x:c>
      <x:c r="K544" s="27" t="str">
        <x:v>Approximate nearest neighbor search (ANNS) in high-dimensional vector spaces has a wide range of real-world applications. Numerous methods have been proposed to handle ANNS efficiently, while graph-based indexes have gained prominence due to their high accuracy and efficiency. However, the indexing overhead of graph-based indexes remains substantial. With exponential growth in data volume and increasing demands for dynamic index adjustments, this overhead continues to escalate, posing a critical challenge. In this paper, we introduce Tagore, a fast library accelerated by GPUs for graph indexing, which has powerful capabilities of constructing refinement-based graph indexes such as NSG and Vamana. We first introduce GNN-Descent, a GPU-specific algorithm for efficient k-Nearest Neighbor (k-NN) graph initialization. GNN-Descent speeds up the similarity comparison by a two-phase descent procedure and enables highly parallelized neighbor updates. Next, aiming to support various k-NN graph pruning strategies, we formulate a universal computing procedure termed CFS and devise two generalized GPU kernels for parallel processing complex dependencies in neighbor relationships. For large-scale datasets exceeding GPU memory capacity, we propose an asynchronous GPU-CPU-disk indexing framework with a cluster-aware caching mechanism to minimize the I/O pressure on the disk. Extensive experiments on 7 real-world datasets exhibit that Tagore achieves 1.32x-112.79x speedup while maintaining the index quality.</x:v>
      </x:c>
      <x:c r="L544" s="17" t="str">
        <x:v>http://arxiv.org/abs/2508.08744v2</x:v>
      </x:c>
      <x:c r="M544" s="23" t="n">
        <x:v>0.03131881575727918</x:v>
      </x:c>
      <x:c r="N544" s="17" t="str">
        <x:v>arxiv-paper-eval-20260727-105551-results.jsonl</x:v>
      </x:c>
      <x:c r="O544" s="24" t="str">
        <x:v>1</x:v>
      </x:c>
      <x:c r="P544" s="28" t="str">
        <x:v>聚焦图索引构建成本优化，提供单一路线证据。</x:v>
      </x:c>
      <x:c r="Q544" s="25" t="str"/>
      <x:c r="R544" s="24" t="str">
        <x:f>IF(Q544&lt;&gt;"",Q544,O544)</x:f>
        <x:v>1</x:v>
      </x:c>
      <x:c r="S544" s="29" t="str"/>
    </x:row>
    <x:row r="545" ht="54" customHeight="1">
      <x:c r="A545" s="17" t="str">
        <x:v>csq028-r04</x:v>
      </x:c>
      <x:c r="B545" s="17" t="str">
        <x:v>csq028</x:v>
      </x:c>
      <x:c r="C545" s="17" t="str">
        <x:v>data_management_and_ir</x:v>
      </x:c>
      <x:c r="D545" s="17" t="str">
        <x:v>vector_search</x:v>
      </x:c>
      <x:c r="E545" s="27" t="str">
        <x:v>How do graph-based, quantization-based, and inverted-file approaches to approximate nearest-neighbor search compare in recall, latency, memory usage, and index construction cost?</x:v>
      </x:c>
      <x:c r="F545" s="22" t="n">
        <x:v>4</x:v>
      </x:c>
      <x:c r="G545" s="17" t="str">
        <x:v>arXiv:2505.17368</x:v>
      </x:c>
      <x:c r="H545" s="27" t="str">
        <x:v>HENN: A Hierarchical Epsilon Net Navigation Graph for Approximate Nearest Neighbor Search</x:v>
      </x:c>
      <x:c r="I545" s="17" t="str">
        <x:v>Mohsen Dehghankar; Abolfazl Asudeh</x:v>
      </x:c>
      <x:c r="J545" s="22" t="n">
        <x:v>2025</x:v>
      </x:c>
      <x:c r="K545" s="27" t="str">
        <x:v>Hierarchical graph-based algorithms such as HNSW have achieved state-of-the-art performance for Approximate Nearest Neighbor (ANN) search in practice, yet they often lack theoretical guarantees on query time or recall due to their heavy use of randomized heuristic constructions. Conversely, existing theoretically grounded structures are typically difficult to implement and struggle to scale in real-world scenarios. We propose the Hierarchical $\varepsilon$-Net Navigation Graph (HENN), a novel graph-based indexing structure for ANN search that combines strong theoretical guarantees with practical efficiency. Built upon the theory of $\varepsilon$-nets, HENN guarantees polylogarithmic worst-case query time while preserving high recall and incurring minimal implementation overhead. Moreover, we establish a probabilistic polylogarithmic query time bound for HNSW, providing theoretical insight into its empirical success. In contrast to these prior hierarchical methods that may degrade to linear query time under adversarial data, HENN maintains provable performance independent of the input data distribution. Empirical evaluations demonstrate that HENN achieves faster query time while maintaining competitive recall on diverse data distributions, including adversarial inputs. These results underscore the effectiveness of HENN as a robust and scalable solution for fast and accurate nearest neighbor search.</x:v>
      </x:c>
      <x:c r="L545" s="17" t="str">
        <x:v>http://arxiv.org/abs/2505.17368v1</x:v>
      </x:c>
      <x:c r="M545" s="23" t="n">
        <x:v>0.031099324975891997</x:v>
      </x:c>
      <x:c r="N545" s="17" t="str">
        <x:v>arxiv-paper-eval-20260727-105551-results.jsonl</x:v>
      </x:c>
      <x:c r="O545" s="24" t="str">
        <x:v>1</x:v>
      </x:c>
      <x:c r="P545" s="28" t="str">
        <x:v>评测图索引在不同分布下查询时间与召回，未跨三类比较。</x:v>
      </x:c>
      <x:c r="Q545" s="25" t="str"/>
      <x:c r="R545" s="24" t="str">
        <x:f>IF(Q545&lt;&gt;"",Q545,O545)</x:f>
        <x:v>1</x:v>
      </x:c>
      <x:c r="S545" s="29" t="str"/>
    </x:row>
    <x:row r="546" ht="54" customHeight="1">
      <x:c r="A546" s="17" t="str">
        <x:v>csq028-r05</x:v>
      </x:c>
      <x:c r="B546" s="17" t="str">
        <x:v>csq028</x:v>
      </x:c>
      <x:c r="C546" s="17" t="str">
        <x:v>data_management_and_ir</x:v>
      </x:c>
      <x:c r="D546" s="17" t="str">
        <x:v>vector_search</x:v>
      </x:c>
      <x:c r="E546" s="27" t="str">
        <x:v>How do graph-based, quantization-based, and inverted-file approaches to approximate nearest-neighbor search compare in recall, latency, memory usage, and index construction cost?</x:v>
      </x:c>
      <x:c r="F546" s="22" t="n">
        <x:v>5</x:v>
      </x:c>
      <x:c r="G546" s="17" t="str">
        <x:v>arXiv:2311.18724</x:v>
      </x:c>
      <x:c r="H546" s="27" t="str">
        <x:v>Routing-Guided Learned Product Quantization for Graph-Based Approximate Nearest Neighbor Search</x:v>
      </x:c>
      <x:c r="I546" s="17" t="str">
        <x:v>Qiang Yue; Xiaoliang Xu; Yuxiang Wang; Yikun Tao; Xuliyuan Luo</x:v>
      </x:c>
      <x:c r="J546" s="22" t="n">
        <x:v>2023</x:v>
      </x:c>
      <x:c r="K546" s="27" t="str">
        <x:v>Given a vector dataset $\mathcal{X}$, a query vector $\vec{x}_q$, graph-based Approximate Nearest Neighbor Search (ANNS) aims to build a proximity graph (PG) as an index of $\mathcal{X}$ and approximately return vectors with minimum distances to $\vec{x}_q$ by searching over the PG index. It suffers from the large-scale $\mathcal{X}$ because a PG with full vectors is too large to fit into the memory, e.g., a billion-scale $\mathcal{X}$ in 128 dimensions would consume nearly 600 GB memory. To solve this, Product Quantization (PQ) integrated graph-based ANNS is proposed to reduce the memory usage, using smaller compact codes of quantized vectors in memory instead of the large original vectors. Existing PQ methods do not consider the important routing features of PG, resulting in low-quality quantized vectors that affect the ANNS's effectiveness. In this paper, we present an end-to-end Routing-guided learned Product Quantization (RPQ) for graph-based ANNS. It consists of (1) a \textit{differentiable quantizer} used to make the standard discrete PQ differentiable to suit for back-propagation of end-to-end learning, (2) a \textit{sampling-based feature extractor} used to extract neighborhood and routing features of a PG, and (3) a \textit{multi-feature joint training module} with two types of feature-aware losses to continuously optimize the differentiable quantizer. As a result, the inherent features of a PG would be embedded into the learned PQ, generating high-quality quantized vectors. Moreover, we integrate our RPQ with the state-of-the-art DiskANN and existing popular PGs to improve their performance. Comprehensive experiments on real-world large-scale datasets (from 1M to 1B) demonstrate RPQ's superiority, e.g., 1.7$\times$-4.2$\times$ improvement on QPS at the same recall@10 of 95\%.</x:v>
      </x:c>
      <x:c r="L546" s="17" t="str">
        <x:v>http://arxiv.org/abs/2311.18724v1</x:v>
      </x:c>
      <x:c r="M546" s="23" t="n">
        <x:v>0.031009615384615385</x:v>
      </x:c>
      <x:c r="N546" s="17" t="str">
        <x:v>arxiv-paper-eval-20260727-105551-results.jsonl</x:v>
      </x:c>
      <x:c r="O546" s="24" t="str">
        <x:v>2</x:v>
      </x:c>
      <x:c r="P546" s="28" t="str">
        <x:v>直接融合图和产品量化并分析内存、召回与QPS。</x:v>
      </x:c>
      <x:c r="Q546" s="25" t="str"/>
      <x:c r="R546" s="24" t="str">
        <x:f>IF(Q546&lt;&gt;"",Q546,O546)</x:f>
        <x:v>2</x:v>
      </x:c>
      <x:c r="S546" s="29" t="str"/>
    </x:row>
    <x:row r="547" ht="54" customHeight="1">
      <x:c r="A547" s="17" t="str">
        <x:v>csq028-r06</x:v>
      </x:c>
      <x:c r="B547" s="17" t="str">
        <x:v>csq028</x:v>
      </x:c>
      <x:c r="C547" s="17" t="str">
        <x:v>data_management_and_ir</x:v>
      </x:c>
      <x:c r="D547" s="17" t="str">
        <x:v>vector_search</x:v>
      </x:c>
      <x:c r="E547" s="27" t="str">
        <x:v>How do graph-based, quantization-based, and inverted-file approaches to approximate nearest-neighbor search compare in recall, latency, memory usage, and index construction cost?</x:v>
      </x:c>
      <x:c r="F547" s="22" t="n">
        <x:v>6</x:v>
      </x:c>
      <x:c r="G547" s="17" t="str">
        <x:v>arXiv:2411.14006</x:v>
      </x:c>
      <x:c r="H547" s="27" t="str">
        <x:v>Experimental comparison of graph-based approximate nearest neighbor search algorithms on edge devices</x:v>
      </x:c>
      <x:c r="I547" s="17" t="str">
        <x:v>Ali Ganbarov; Jicheng Yuan; Anh Le-Tuan; Manfred Hauswirth; Danh Le-Phuoc</x:v>
      </x:c>
      <x:c r="J547" s="22" t="n">
        <x:v>2024</x:v>
      </x:c>
      <x:c r="K547" s="27" t="str">
        <x:v>In this paper, we present an experimental comparison of various graph-based approximate nearest neighbor (ANN) search algorithms deployed on edge devices for real-time nearest neighbor search applications, such as smart city infrastructure and autonomous vehicles. To the best of our knowledge, this specific comparative analysis has not been previously conducted. While existing research has explored graph-based ANN algorithms, it has often been limited to single-threaded implementations on standard commodity hardware. Our study leverages the full computational and storage capabilities of edge devices, incorporating additional metrics such as insertion and deletion latency of new vectors and power consumption. This comprehensive evaluation aims to provide valuable insights into the performance and suitability of these algorithms for edge-based real-time tracking systems enhanced by nearest-neighbor search algorithms.</x:v>
      </x:c>
      <x:c r="L547" s="17" t="str">
        <x:v>http://arxiv.org/abs/2411.14006v1</x:v>
      </x:c>
      <x:c r="M547" s="23" t="n">
        <x:v>0.03047794966520434</x:v>
      </x:c>
      <x:c r="N547" s="17" t="str">
        <x:v>arxiv-paper-eval-20260727-105551-results.jsonl</x:v>
      </x:c>
      <x:c r="O547" s="24" t="str">
        <x:v>1</x:v>
      </x:c>
      <x:c r="P547" s="28" t="str">
        <x:v>仅比较多种图式ANN在边缘设备上的指标。</x:v>
      </x:c>
      <x:c r="Q547" s="25" t="str"/>
      <x:c r="R547" s="24" t="str">
        <x:f>IF(Q547&lt;&gt;"",Q547,O547)</x:f>
        <x:v>1</x:v>
      </x:c>
      <x:c r="S547" s="29" t="str"/>
    </x:row>
    <x:row r="548" ht="54" customHeight="1">
      <x:c r="A548" s="17" t="str">
        <x:v>csq028-r07</x:v>
      </x:c>
      <x:c r="B548" s="17" t="str">
        <x:v>csq028</x:v>
      </x:c>
      <x:c r="C548" s="17" t="str">
        <x:v>data_management_and_ir</x:v>
      </x:c>
      <x:c r="D548" s="17" t="str">
        <x:v>vector_search</x:v>
      </x:c>
      <x:c r="E548" s="27" t="str">
        <x:v>How do graph-based, quantization-based, and inverted-file approaches to approximate nearest-neighbor search compare in recall, latency, memory usage, and index construction cost?</x:v>
      </x:c>
      <x:c r="F548" s="22" t="n">
        <x:v>7</x:v>
      </x:c>
      <x:c r="G548" s="17" t="str">
        <x:v>arXiv:2509.25487</x:v>
      </x:c>
      <x:c r="H548" s="27" t="str">
        <x:v>Scalable Disk-Based Approximate Nearest Neighbor Search with Page-Aligned Graph</x:v>
      </x:c>
      <x:c r="I548" s="17" t="str">
        <x:v>Dingyi Kang; Dongming Jiang; Hanshen Yang; Hang Liu; Bingzhe Li</x:v>
      </x:c>
      <x:c r="J548" s="22" t="n">
        <x:v>2025</x:v>
      </x:c>
      <x:c r="K548" s="27" t="str">
        <x:v>Approximate Nearest Neighbor Search (ANNS), as the core of vector databases (VectorDBs), has become widely used in modern AI and ML systems, powering applications from information retrieval to bio-informatics. While graph-based ANNS methods achieve high query efficiency, their scalability is constrained by the available host memory. Recent disk-based ANNS approaches mitigate memory usage by offloading data to Solid-State Drives (SSDs). However, they still suffer from issues such as long I/O traversal path, misalignment with storage I/O granularity, and high in-memory indexing overhead, leading to significant I/O latency and ultimately limiting scalability for large-scale vector search. In this paper, we propose PageANN, a disk-based approximate nearest neighbor search (ANNS) framework designed for high performance and scalability. PageANN introduces a page-node graph structure that aligns logical graph nodes with physical SSD pages, thereby shortening I/O traversal paths and reducing I/O operations. Specifically, similar vectors are clustered into page nodes, and a co-designed disk data layout leverages this structure with a merging technique to store only representative vectors and topology information, avoiding unnecessary reads. To further improve efficiency, we design a memory management strategy that combines lightweight indexing with coordinated memory-disk data allocation, maximizing host memory utilization while minimizing query latency and storage overhead. Experimental results show that PageANN significantly outperforms state-of-the-art (SOTA) disk-based ANNS methods, achieving 1.85x-10.83x higher throughput and 51.7%-91.9% lower latency across different datasets and memory budgets, while maintaining comparable high recall accuracy.</x:v>
      </x:c>
      <x:c r="L548" s="17" t="str">
        <x:v>http://arxiv.org/abs/2509.25487v2</x:v>
      </x:c>
      <x:c r="M548" s="23" t="n">
        <x:v>0.030309988518943745</x:v>
      </x:c>
      <x:c r="N548" s="17" t="str">
        <x:v>arxiv-paper-eval-20260727-105551-results.jsonl</x:v>
      </x:c>
      <x:c r="O548" s="24" t="str">
        <x:v>1</x:v>
      </x:c>
      <x:c r="P548" s="28" t="str">
        <x:v>聚焦磁盘图索引的内存、延迟和召回权衡。</x:v>
      </x:c>
      <x:c r="Q548" s="25" t="str"/>
      <x:c r="R548" s="24" t="str">
        <x:f>IF(Q548&lt;&gt;"",Q548,O548)</x:f>
        <x:v>1</x:v>
      </x:c>
      <x:c r="S548" s="29" t="str"/>
    </x:row>
    <x:row r="549" ht="54" customHeight="1">
      <x:c r="A549" s="17" t="str">
        <x:v>csq028-r08</x:v>
      </x:c>
      <x:c r="B549" s="17" t="str">
        <x:v>csq028</x:v>
      </x:c>
      <x:c r="C549" s="17" t="str">
        <x:v>data_management_and_ir</x:v>
      </x:c>
      <x:c r="D549" s="17" t="str">
        <x:v>vector_search</x:v>
      </x:c>
      <x:c r="E549" s="27" t="str">
        <x:v>How do graph-based, quantization-based, and inverted-file approaches to approximate nearest-neighbor search compare in recall, latency, memory usage, and index construction cost?</x:v>
      </x:c>
      <x:c r="F549" s="22" t="n">
        <x:v>8</x:v>
      </x:c>
      <x:c r="G549" s="17" t="str">
        <x:v>arXiv:2305.04359</x:v>
      </x:c>
      <x:c r="H549" s="27" t="str">
        <x:v>ParlayANN: Scalable and Deterministic Parallel Graph-Based Approximate Nearest Neighbor Search Algorithms</x:v>
      </x:c>
      <x:c r="I549" s="17" t="str">
        <x:v>Magdalen Dobson Manohar; Zheqi Shen; Guy E. Blelloch; Laxman Dhulipala; Yan Gu; Harsha Vardhan Simhadri; Yihan Sun</x:v>
      </x:c>
      <x:c r="J549" s="22" t="n">
        <x:v>2023</x:v>
      </x:c>
      <x:c r="K549" s="27" t="str">
        <x:v>Approximate nearest-neighbor search (ANNS) algorithms are a key part of the modern deep learning stack due to enabling efficient similarity search over high-dimensional vector space representations (i.e., embeddings) of data. Among various ANNS algorithms, graph-based algorithms are known to achieve the best throughput-recall tradeoffs. Despite the large scale of modern ANNS datasets, existing parallel graph based implementations suffer from significant challenges to scale to large datasets due to heavy use of locks and other sequential bottlenecks, which 1) prevents them from efficiently scaling to a large number of processors, and 2) results in nondeterminism that is undesirable in certain applications. In this paper, we introduce ParlayANN, a library of deterministic and parallel graph-based approximate nearest neighbor search algorithms, along with a set of useful tools for developing such algorithms. In this library, we develop novel parallel implementations for four state-of-the-art graph-based ANNS algorithms that scale to billion-scale datasets. Our algorithms are deterministic and achieve high scalability across a diverse set of challenging datasets. In addition to the new algorithmic ideas, we also conduct a detailed experimental study of our new algorithms as well as two existing non-graph approaches. Our experimental results both validate the effectiveness of our new techniques, and lead to a comprehensive comparison among ANNS algorithms on large scale datasets with a list of interesting findings.</x:v>
      </x:c>
      <x:c r="L549" s="17" t="str">
        <x:v>http://arxiv.org/abs/2305.04359v2</x:v>
      </x:c>
      <x:c r="M549" s="23" t="n">
        <x:v>0.030090497737556562</x:v>
      </x:c>
      <x:c r="N549" s="17" t="str">
        <x:v>arxiv-paper-eval-20260727-105551-results.jsonl</x:v>
      </x:c>
      <x:c r="O549" s="24" t="str">
        <x:v>2</x:v>
      </x:c>
      <x:c r="P549" s="28" t="str">
        <x:v>除图算法外还比较非图方法，直接提供跨路线实验。</x:v>
      </x:c>
      <x:c r="Q549" s="25" t="str"/>
      <x:c r="R549" s="24" t="str">
        <x:f>IF(Q549&lt;&gt;"",Q549,O549)</x:f>
        <x:v>2</x:v>
      </x:c>
      <x:c r="S549" s="29" t="str"/>
    </x:row>
    <x:row r="550" ht="54" customHeight="1">
      <x:c r="A550" s="17" t="str">
        <x:v>csq028-r09</x:v>
      </x:c>
      <x:c r="B550" s="17" t="str">
        <x:v>csq028</x:v>
      </x:c>
      <x:c r="C550" s="17" t="str">
        <x:v>data_management_and_ir</x:v>
      </x:c>
      <x:c r="D550" s="17" t="str">
        <x:v>vector_search</x:v>
      </x:c>
      <x:c r="E550" s="27" t="str">
        <x:v>How do graph-based, quantization-based, and inverted-file approaches to approximate nearest-neighbor search compare in recall, latency, memory usage, and index construction cost?</x:v>
      </x:c>
      <x:c r="F550" s="22" t="n">
        <x:v>9</x:v>
      </x:c>
      <x:c r="G550" s="17" t="str">
        <x:v>arXiv:2504.20461</x:v>
      </x:c>
      <x:c r="H550" s="27" t="str">
        <x:v>Efficient Graph-Based Approximate Nearest Neighbor Search Achieving: Low Latency Without Throughput Loss</x:v>
      </x:c>
      <x:c r="I550" s="17" t="str">
        <x:v>Jingjia Luo; Mingxing Zhang; Kang Chen; Xia Liao; Yingdi Shan; Jinlei Jiang; Yongwei Wu</x:v>
      </x:c>
      <x:c r="J550" s="22" t="n">
        <x:v>2025</x:v>
      </x:c>
      <x:c r="K550" s="27" t="str">
        <x:v>The increase in the dimensionality of neural embedding models has enhanced the accuracy of semantic search capabilities but also amplified the computational demands for Approximate Nearest Neighbor Searches (ANNS). This complexity poses significant challenges in online and interactive services, where query latency is a critical performance metric. Traditional graph-based ANNS methods, while effective for managing large datasets, often experience substantial throughput reductions when scaled for intra-query parallelism to minimize latency. This reduction is largely due to inherent inefficiencies in the conventional fork-join parallelism model. To address this problem, we introduce AverSearch, a novel parallel graph-based ANNS framework that overcomes these limitations through a fully asynchronous architecture. Unlike existing frameworks that struggle with balancing latency and throughput, AverSearch utilizes a dynamic workload balancing mechanism that supports continuous, dependency-free processing. This approach not only minimizes latency by eliminating unnecessary synchronization and redundant vertex processing but also maintains high throughput levels. Our evaluations across various datasets, including both traditional benchmarks and modern large-scale model generated datasets, show that AverSearch consistently outperforms current state-of-the-art systems. It achieves up to 2.1-8.9 times higher throughput at comparable latency levels across different datasets and reduces minimum latency by 1.5 to 1.9 times.</x:v>
      </x:c>
      <x:c r="L550" s="17" t="str">
        <x:v>http://arxiv.org/abs/2504.20461v2</x:v>
      </x:c>
      <x:c r="M550" s="23" t="n">
        <x:v>0.02946236559139785</x:v>
      </x:c>
      <x:c r="N550" s="17" t="str">
        <x:v>arxiv-paper-eval-20260727-105551-results.jsonl</x:v>
      </x:c>
      <x:c r="O550" s="24" t="str">
        <x:v>1</x:v>
      </x:c>
      <x:c r="P550" s="28" t="str">
        <x:v>聚焦图ANN的延迟吞吐权衡，未比较其他路线。</x:v>
      </x:c>
      <x:c r="Q550" s="25" t="str"/>
      <x:c r="R550" s="24" t="str">
        <x:f>IF(Q550&lt;&gt;"",Q550,O550)</x:f>
        <x:v>1</x:v>
      </x:c>
      <x:c r="S550" s="29" t="str"/>
    </x:row>
    <x:row r="551" ht="54" customHeight="1">
      <x:c r="A551" s="17" t="str">
        <x:v>csq028-r10</x:v>
      </x:c>
      <x:c r="B551" s="17" t="str">
        <x:v>csq028</x:v>
      </x:c>
      <x:c r="C551" s="17" t="str">
        <x:v>data_management_and_ir</x:v>
      </x:c>
      <x:c r="D551" s="17" t="str">
        <x:v>vector_search</x:v>
      </x:c>
      <x:c r="E551" s="27" t="str">
        <x:v>How do graph-based, quantization-based, and inverted-file approaches to approximate nearest-neighbor search compare in recall, latency, memory usage, and index construction cost?</x:v>
      </x:c>
      <x:c r="F551" s="22" t="n">
        <x:v>10</x:v>
      </x:c>
      <x:c r="G551" s="17" t="str">
        <x:v>arXiv:2307.10479</x:v>
      </x:c>
      <x:c r="H551" s="27" t="str">
        <x:v>Fast Approximate Nearest Neighbor Search with a Dynamic Exploration Graph using Continuous Refinement</x:v>
      </x:c>
      <x:c r="I551" s="17" t="str">
        <x:v>Nico Hezel; Kai Uwe Barthel; Konstantin Schall; Klaus Jung</x:v>
      </x:c>
      <x:c r="J551" s="22" t="n">
        <x:v>2023</x:v>
      </x:c>
      <x:c r="K551" s="27" t="str">
        <x:v>For approximate nearest neighbor search, graph-based algorithms have shown to offer the best trade-off between accuracy and search time. We propose the Dynamic Exploration Graph (DEG) which significantly outperforms existing algorithms in terms of search and exploration efficiency by combining two new ideas: First, a single undirected even regular graph is incrementally built by partially replacing existing edges to integrate new vertices and to update old neighborhoods at the same time. Secondly, an edge optimization algorithm is used to continuously improve the quality of the graph. Combining this ongoing refinement with the graph construction process leads to a well-organized graph structure at all times, resulting in: (1) increased search efficiency, (2) predictable index size, (3) guaranteed connectivity and therefore reachability of all vertices, and (4) a dynamic graph structure. In addition we investigate how well existing graph-based search systems can handle indexed queries where the seed vertex of a search is the query itself. Such exploration tasks, despite their good starting point, are not necessarily easy. High efficiency in approximate nearest neighbor search (ANNS) does not automatically imply good performance in exploratory search. Extensive experiments show that our new Dynamic Exploration Graph outperforms existing algorithms significantly for indexed and unindexed queries.</x:v>
      </x:c>
      <x:c r="L551" s="17" t="str">
        <x:v>http://arxiv.org/abs/2307.10479v2</x:v>
      </x:c>
      <x:c r="M551" s="23" t="n">
        <x:v>0.028850145288501453</x:v>
      </x:c>
      <x:c r="N551" s="17" t="str">
        <x:v>arxiv-paper-eval-20260727-105551-results.jsonl</x:v>
      </x:c>
      <x:c r="O551" s="24" t="str">
        <x:v>1</x:v>
      </x:c>
      <x:c r="P551" s="28" t="str">
        <x:v>提出动态图并分析搜索效率与索引大小，属单一路线证据。</x:v>
      </x:c>
      <x:c r="Q551" s="25" t="str"/>
      <x:c r="R551" s="24" t="str">
        <x:f>IF(Q551&lt;&gt;"",Q551,O551)</x:f>
        <x:v>1</x:v>
      </x:c>
      <x:c r="S551" s="29" t="str"/>
    </x:row>
    <x:row r="552" ht="54" customHeight="1">
      <x:c r="A552" s="17" t="str">
        <x:v>csq028-r11</x:v>
      </x:c>
      <x:c r="B552" s="17" t="str">
        <x:v>csq028</x:v>
      </x:c>
      <x:c r="C552" s="17" t="str">
        <x:v>data_management_and_ir</x:v>
      </x:c>
      <x:c r="D552" s="17" t="str">
        <x:v>vector_search</x:v>
      </x:c>
      <x:c r="E552" s="27" t="str">
        <x:v>How do graph-based, quantization-based, and inverted-file approaches to approximate nearest-neighbor search compare in recall, latency, memory usage, and index construction cost?</x:v>
      </x:c>
      <x:c r="F552" s="22" t="n">
        <x:v>11</x:v>
      </x:c>
      <x:c r="G552" s="17" t="str">
        <x:v>arXiv:1707.00143</x:v>
      </x:c>
      <x:c r="H552" s="27" t="str">
        <x:v>Fast Approximate Nearest Neighbor Search With The Navigating Spreading-out Graph</x:v>
      </x:c>
      <x:c r="I552" s="17" t="str">
        <x:v>Cong Fu; Chao Xiang; Changxu Wang; Deng Cai</x:v>
      </x:c>
      <x:c r="J552" s="22" t="n">
        <x:v>2017</x:v>
      </x:c>
      <x:c r="K552" s="27" t="str">
        <x:v>Approximate nearest neighbor search (ANNS) is a fundamental problem in databases and data mining. A scalable ANNS algorithm should be both memory-efficient and fast. Some early graph-based approaches have shown attractive theoretical guarantees on search time complexity, but they all suffer from the problem of high indexing time complexity. Recently, some graph-based methods have been proposed to reduce indexing complexity by approximating the traditional graphs; these methods have achieved revolutionary performance on million-scale datasets. Yet, they still can not scale to billion-node databases. In this paper, to further improve the search-efficiency and scalability of graph-based methods, we start by introducing four aspects: (1) ensuring the connectivity of the graph; (2) lowering the average out-degree of the graph for fast traversal; (3) shortening the search path; and (4) reducing the index size. Then, we propose a novel graph structure called Monotonic Relative Neighborhood Graph (MRNG) which guarantees very low search complexity (close to logarithmic time). To further lower the indexing complexity and make it practical for billion-node ANNS problems, we propose a novel graph structure named Navigating Spreading-out Graph (NSG) by approximating the MRNG. The NSG takes the four aspects into account simultaneously. Extensive experiments show that NSG outperforms all the existing algorithms significantly. In addition, NSG shows superior performance in the E-commercial search scenario of Taobao (Alibaba Group) and has been integrated into their search engine at billion-node scale.</x:v>
      </x:c>
      <x:c r="L552" s="17" t="str">
        <x:v>http://arxiv.org/abs/1707.00143v10</x:v>
      </x:c>
      <x:c r="M552" s="23" t="n">
        <x:v>0.027799227799227798</x:v>
      </x:c>
      <x:c r="N552" s="17" t="str">
        <x:v>arxiv-paper-eval-20260727-105551-results.jsonl</x:v>
      </x:c>
      <x:c r="O552" s="24" t="str">
        <x:v>1</x:v>
      </x:c>
      <x:c r="P552" s="28" t="str">
        <x:v>讨论图方法搜索、内存和高构建成本，属背景证据。</x:v>
      </x:c>
      <x:c r="Q552" s="25" t="str"/>
      <x:c r="R552" s="24" t="str">
        <x:f>IF(Q552&lt;&gt;"",Q552,O552)</x:f>
        <x:v>1</x:v>
      </x:c>
      <x:c r="S552" s="29" t="str"/>
    </x:row>
    <x:row r="553" ht="54" customHeight="1">
      <x:c r="A553" s="17" t="str">
        <x:v>csq028-r12</x:v>
      </x:c>
      <x:c r="B553" s="17" t="str">
        <x:v>csq028</x:v>
      </x:c>
      <x:c r="C553" s="17" t="str">
        <x:v>data_management_and_ir</x:v>
      </x:c>
      <x:c r="D553" s="17" t="str">
        <x:v>vector_search</x:v>
      </x:c>
      <x:c r="E553" s="27" t="str">
        <x:v>How do graph-based, quantization-based, and inverted-file approaches to approximate nearest-neighbor search compare in recall, latency, memory usage, and index construction cost?</x:v>
      </x:c>
      <x:c r="F553" s="22" t="n">
        <x:v>12</x:v>
      </x:c>
      <x:c r="G553" s="17" t="str">
        <x:v>arXiv:2510.17326</x:v>
      </x:c>
      <x:c r="H553" s="27" t="str">
        <x:v>Approximate Nearest Neighbor Search of Large Scale Vectors on Distributed Storage</x:v>
      </x:c>
      <x:c r="I553" s="17" t="str">
        <x:v>Kun Yu; Jiabao Jin; Xiaoyao Zhong; Peng Cheng; Lei Chen; Zhitao Shen; Jingkuan Song; Hengtao Shen; Xuemin Lin</x:v>
      </x:c>
      <x:c r="J553" s="22" t="n">
        <x:v>2025</x:v>
      </x:c>
      <x:c r="K553" s="27" t="str">
        <x:v>Approximate Nearest Neighbor Search (ANNS) in high-dimensional space is an essential operator in many online services, such as information retrieval and recommendation. Indices constructed by the state-of-the-art ANNS algorithms must be stored in single machine's memory or disk for high recall rate and throughput, suffering from substantial storage cost, constraint of limited scale and single point of failure. While distributed storage can provide a cost-effective and robust solution, there is no efficient and effective algorithms for indexing vectors in distributed storage scenarios. In this paper, we present a new graph-cluster hybrid indexing and search system which supports Distributed Storage Approximate Nearest Neighbor Search, called DSANN. DSANN can efficiently index, store, search billion-scale vector database in distributed storage and guarantee the high availability of index service. DSANN employs the concurrent index construction method to significantly reduces the complexity of index building. Then, DSANN applies Point Aggregation Graph to leverage the structural information of graph to aggregate similar vectors, optimizing storage efficiency and improving query throughput via asynchronous I/O in distributed storage. Through extensive experiments, we demonstrate DSANN can efficiently and effectively index, store and search large-scale vector datasets in distributed storage scenarios.</x:v>
      </x:c>
      <x:c r="L553" s="17" t="str">
        <x:v>http://arxiv.org/abs/2510.17326v1</x:v>
      </x:c>
      <x:c r="M553" s="23" t="n">
        <x:v>0.027222222222222224</x:v>
      </x:c>
      <x:c r="N553" s="17" t="str">
        <x:v>arxiv-paper-eval-20260727-105551-results.jsonl</x:v>
      </x:c>
      <x:c r="O553" s="24" t="str">
        <x:v>1</x:v>
      </x:c>
      <x:c r="P553" s="28" t="str">
        <x:v>提出图聚类混合索引，报告存储和构建优化但未全面跨类比较。</x:v>
      </x:c>
      <x:c r="Q553" s="25" t="str"/>
      <x:c r="R553" s="24" t="str">
        <x:f>IF(Q553&lt;&gt;"",Q553,O553)</x:f>
        <x:v>1</x:v>
      </x:c>
      <x:c r="S553" s="29" t="str"/>
    </x:row>
    <x:row r="554" ht="54" customHeight="1">
      <x:c r="A554" s="17" t="str">
        <x:v>csq028-r13</x:v>
      </x:c>
      <x:c r="B554" s="17" t="str">
        <x:v>csq028</x:v>
      </x:c>
      <x:c r="C554" s="17" t="str">
        <x:v>data_management_and_ir</x:v>
      </x:c>
      <x:c r="D554" s="17" t="str">
        <x:v>vector_search</x:v>
      </x:c>
      <x:c r="E554" s="27" t="str">
        <x:v>How do graph-based, quantization-based, and inverted-file approaches to approximate nearest-neighbor search compare in recall, latency, memory usage, and index construction cost?</x:v>
      </x:c>
      <x:c r="F554" s="22" t="n">
        <x:v>13</x:v>
      </x:c>
      <x:c r="G554" s="17" t="str">
        <x:v>arXiv:2310.20419</x:v>
      </x:c>
      <x:c r="H554" s="27" t="str">
        <x:v>Relative NN-Descent: A Fast Index Construction for Graph-Based Approximate Nearest Neighbor Search</x:v>
      </x:c>
      <x:c r="I554" s="17" t="str">
        <x:v>Naoki Ono; Yusuke Matsui</x:v>
      </x:c>
      <x:c r="J554" s="22" t="n">
        <x:v>2023</x:v>
      </x:c>
      <x:c r="K554" s="27" t="str">
        <x:v>Approximate Nearest Neighbor Search (ANNS) is the task of finding the database vector that is closest to a given query vector. Graph-based ANNS is the family of methods with the best balance of accuracy and speed for million-scale datasets. However, graph-based methods have the disadvantage of long index construction time. Recently, many researchers have improved the tradeoff between accuracy and speed during a search. However, there is little research on accelerating index construction. We propose a fast graph construction algorithm, Relative NN-Descent (RNN-Descent). RNN-Descent combines NN-Descent, an algorithm for constructing approximate K-nearest neighbor graphs (K-NN graphs), and RNG Strategy, an algorithm for selecting edges effective for search. This algorithm allows the direct construction of graph-based indexes without ANNS. Experimental results demonstrated that the proposed method had the fastest index construction speed, while its search performance is comparable to existing state-of-the-art methods such as NSG. For example, in experiments on the GIST1M dataset, the construction of the proposed method is 2x faster than NSG. Additionally, it was even faster than the construction speed of NN-Descent.</x:v>
      </x:c>
      <x:c r="L554" s="17" t="str">
        <x:v>http://arxiv.org/abs/2310.20419v1</x:v>
      </x:c>
      <x:c r="M554" s="23" t="n">
        <x:v>0.016129032258064516</x:v>
      </x:c>
      <x:c r="N554" s="17" t="str">
        <x:v>arxiv-paper-eval-20260727-105551-results.jsonl</x:v>
      </x:c>
      <x:c r="O554" s="24" t="str">
        <x:v>1</x:v>
      </x:c>
      <x:c r="P554" s="28" t="str">
        <x:v>直接研究图索引构建成本与搜索性能。</x:v>
      </x:c>
      <x:c r="Q554" s="25" t="str"/>
      <x:c r="R554" s="24" t="str">
        <x:f>IF(Q554&lt;&gt;"",Q554,O554)</x:f>
        <x:v>1</x:v>
      </x:c>
      <x:c r="S554" s="29" t="str"/>
    </x:row>
    <x:row r="555" ht="54" customHeight="1">
      <x:c r="A555" s="17" t="str">
        <x:v>csq028-r14</x:v>
      </x:c>
      <x:c r="B555" s="17" t="str">
        <x:v>csq028</x:v>
      </x:c>
      <x:c r="C555" s="17" t="str">
        <x:v>data_management_and_ir</x:v>
      </x:c>
      <x:c r="D555" s="17" t="str">
        <x:v>vector_search</x:v>
      </x:c>
      <x:c r="E555" s="27" t="str">
        <x:v>How do graph-based, quantization-based, and inverted-file approaches to approximate nearest-neighbor search compare in recall, latency, memory usage, and index construction cost?</x:v>
      </x:c>
      <x:c r="F555" s="22" t="n">
        <x:v>14</x:v>
      </x:c>
      <x:c r="G555" s="17" t="str">
        <x:v>arXiv:2101.12631</x:v>
      </x:c>
      <x:c r="H555" s="27" t="str">
        <x:v>A Comprehensive Survey and Experimental Comparison of Graph-Based Approximate Nearest Neighbor Search</x:v>
      </x:c>
      <x:c r="I555" s="17" t="str">
        <x:v>Mengzhao Wang; Xiaoliang Xu; Qiang Yue; Yuxiang Wang</x:v>
      </x:c>
      <x:c r="J555" s="22" t="n">
        <x:v>2021</x:v>
      </x:c>
      <x:c r="K555" s="27" t="str">
        <x:v>Approximate nearest neighbor search (ANNS) constitutes an important operation in a multitude of applications, including recommendation systems, information retrieval, and pattern recognition. In the past decade, graph-based ANNS algorithms have been the leading paradigm in this domain, with dozens of graph-based ANNS algorithms proposed. Such algorithms aim to provide effective, efficient solutions for retrieving the nearest neighbors for a given query. Nevertheless, these efforts focus on developing and optimizing algorithms with different approaches, so there is a real need for a comprehensive survey about the approaches' relative performance, strengths, and pitfalls. Thus here we provide a thorough comparative analysis and experimental evaluation of 13 representative graph-based ANNS algorithms via a new taxonomy and fine-grained pipeline. We compared each algorithm in a uniform test environment on eight real-world datasets and 12 synthetic datasets with varying sizes and characteristics. Our study yields novel discoveries, offerings several useful principles to improve algorithms, thus designing an optimized method that outperforms the state-of-the-art algorithms. This effort also helped us pinpoint algorithms' working portions, along with rule-of-thumb recommendations about promising research directions and suitable algorithms for practitioners in different fields.</x:v>
      </x:c>
      <x:c r="L555" s="17" t="str">
        <x:v>http://arxiv.org/abs/2101.12631v2</x:v>
      </x:c>
      <x:c r="M555" s="23" t="n">
        <x:v>0.016129032258064516</x:v>
      </x:c>
      <x:c r="N555" s="17" t="str">
        <x:v>arxiv-paper-eval-20260727-105551-results.jsonl</x:v>
      </x:c>
      <x:c r="O555" s="24" t="str">
        <x:v>1</x:v>
      </x:c>
      <x:c r="P555" s="28" t="str">
        <x:v>系统比较图式ANN内部算法，未覆盖量化和倒排路线。</x:v>
      </x:c>
      <x:c r="Q555" s="25" t="str"/>
      <x:c r="R555" s="24" t="str">
        <x:f>IF(Q555&lt;&gt;"",Q555,O555)</x:f>
        <x:v>1</x:v>
      </x:c>
      <x:c r="S555" s="29" t="str"/>
    </x:row>
    <x:row r="556" ht="54" customHeight="1">
      <x:c r="A556" s="17" t="str">
        <x:v>csq028-r15</x:v>
      </x:c>
      <x:c r="B556" s="17" t="str">
        <x:v>csq028</x:v>
      </x:c>
      <x:c r="C556" s="17" t="str">
        <x:v>data_management_and_ir</x:v>
      </x:c>
      <x:c r="D556" s="17" t="str">
        <x:v>vector_search</x:v>
      </x:c>
      <x:c r="E556" s="27" t="str">
        <x:v>How do graph-based, quantization-based, and inverted-file approaches to approximate nearest-neighbor search compare in recall, latency, memory usage, and index construction cost?</x:v>
      </x:c>
      <x:c r="F556" s="22" t="n">
        <x:v>15</x:v>
      </x:c>
      <x:c r="G556" s="17" t="str">
        <x:v>arXiv:2403.13491</x:v>
      </x:c>
      <x:c r="H556" s="27" t="str">
        <x:v>Dimensionality-Reduction Techniques for Approximate Nearest Neighbor Search: A Survey and Evaluation</x:v>
      </x:c>
      <x:c r="I556" s="17" t="str">
        <x:v>Zeyu Wang; Haoran Xiong; Qitong Wang; Zhenying He; Peng Wang; Themis Palpanas; Wei Wang</x:v>
      </x:c>
      <x:c r="J556" s="22" t="n">
        <x:v>2024</x:v>
      </x:c>
      <x:c r="K556" s="27" t="str">
        <x:v>Approximate Nearest Neighbor Search (ANNS) on high-dimensional vectors has become a fundamental and essential component in various machine learning tasks. Recently, with the rapid development of deep learning models and the applications of Large Language Models (LLMs), the dimensionality of the vectors keeps growing in order to accommodate a richer semantic representation. This poses a major challenge to the ANNS solutions since distance calculation cost in ANNS grows linearly with the dimensionality of vectors. To overcome this challenge, dimensionality-reduction techniques can be leveraged to accelerate the distance calculation in the search process. In this paper, we investigate six dimensionality-reduction techniques that have the potential to improve ANNS solutions, including classical algorithms such as PCA and vector quantization, as well as algorithms based on deep learning approaches. We further describe two frameworks to apply these techniques in the ANNS workflow, and theoretically analyze the time and space costs, as well as the beneficial threshold for the pruning ratio of these techniques. The surveyed techniques are evaluated on six public datasets. The analysis of the results reveals the characteristics of the different families of techniques and provides insights into the promising future research directions.</x:v>
      </x:c>
      <x:c r="L556" s="17" t="str">
        <x:v>http://arxiv.org/abs/2403.13491v2</x:v>
      </x:c>
      <x:c r="M556" s="23" t="n">
        <x:v>0.015873015873015872</x:v>
      </x:c>
      <x:c r="N556" s="17" t="str">
        <x:v>arxiv-paper-eval-20260727-105551-results.jsonl</x:v>
      </x:c>
      <x:c r="O556" s="24" t="str">
        <x:v>1</x:v>
      </x:c>
      <x:c r="P556" s="28" t="str">
        <x:v>系统评测含向量量化的降维方法及时间空间成本。</x:v>
      </x:c>
      <x:c r="Q556" s="25" t="str"/>
      <x:c r="R556" s="24" t="str">
        <x:f>IF(Q556&lt;&gt;"",Q556,O556)</x:f>
        <x:v>1</x:v>
      </x:c>
      <x:c r="S556" s="29" t="str"/>
    </x:row>
    <x:row r="557" ht="54" customHeight="1">
      <x:c r="A557" s="17" t="str">
        <x:v>csq028-r16</x:v>
      </x:c>
      <x:c r="B557" s="17" t="str">
        <x:v>csq028</x:v>
      </x:c>
      <x:c r="C557" s="17" t="str">
        <x:v>data_management_and_ir</x:v>
      </x:c>
      <x:c r="D557" s="17" t="str">
        <x:v>vector_search</x:v>
      </x:c>
      <x:c r="E557" s="27" t="str">
        <x:v>How do graph-based, quantization-based, and inverted-file approaches to approximate nearest-neighbor search compare in recall, latency, memory usage, and index construction cost?</x:v>
      </x:c>
      <x:c r="F557" s="22" t="n">
        <x:v>16</x:v>
      </x:c>
      <x:c r="G557" s="17" t="str">
        <x:v>arXiv:2411.12229</x:v>
      </x:c>
      <x:c r="H557" s="27" t="str">
        <x:v>SymphonyQG: Towards Symphonious Integration of Quantization and Graph for Approximate Nearest Neighbor Search</x:v>
      </x:c>
      <x:c r="I557" s="17" t="str">
        <x:v>Yutong Gou; Jianyang Gao; Yuexuan Xu; Cheng Long</x:v>
      </x:c>
      <x:c r="J557" s="22" t="n">
        <x:v>2024</x:v>
      </x:c>
      <x:c r="K557" s="27" t="str">
        <x:v>Approximate nearest neighbor (ANN) search in high-dimensional Euclidean space has a broad range of applications. Among existing ANN algorithms, graph-based methods have shown superior performance in terms of the time-accuracy trade-off. However, they face performance bottlenecks due to the random memory accesses caused by the searching process on the graph indices and the costs of computing exact distances to guide the searching process. To relieve the bottlenecks, a recent method named NGT-QG makes an attempt by integrating quantization and graph. It (1) replicates and stores the quantization codes of a vertex's neighbors compactly so that they can be accessed sequentially, and (2) uses a SIMD-based implementation named FastScan to efficiently estimate distances based on the quantization codes in batch for guiding the searching process. While NGT-QG achieves promising improvements over the vanilla graph-based methods, it has not fully unleashed the potential of integrating quantization and graph. For instance, it entails a re-ranking step to compute exact distances at the end, which introduces extra random memory accesses; its graph structure is not jointly designed considering the in-batch nature of FastScan, which causes wastes of computation in searching. In this work, following NGT-QG, we present a new method named SymphonyQG, which achieves more symphonious integration of quantization and graph (e.g., it avoids the explicit re-ranking step and refines the graph structure to be more aligned with FastScan). Based on extensive experiments on real-world datasets, SymphonyQG establishes the new state-of-the-art in terms of the time-accuracy trade-off.</x:v>
      </x:c>
      <x:c r="L557" s="17" t="str">
        <x:v>http://arxiv.org/abs/2411.12229v1</x:v>
      </x:c>
      <x:c r="M557" s="23" t="n">
        <x:v>0.015873015873015872</x:v>
      </x:c>
      <x:c r="N557" s="17" t="str">
        <x:v>arxiv-paper-eval-20260727-105551-results.jsonl</x:v>
      </x:c>
      <x:c r="O557" s="24" t="str">
        <x:v>2</x:v>
      </x:c>
      <x:c r="P557" s="28" t="str">
        <x:v>直接研究量化与图融合的时间准确率权衡。</x:v>
      </x:c>
      <x:c r="Q557" s="25" t="str"/>
      <x:c r="R557" s="24" t="str">
        <x:f>IF(Q557&lt;&gt;"",Q557,O557)</x:f>
        <x:v>2</x:v>
      </x:c>
      <x:c r="S557" s="29" t="str"/>
    </x:row>
    <x:row r="558" ht="54" customHeight="1">
      <x:c r="A558" s="17" t="str">
        <x:v>csq028-r17</x:v>
      </x:c>
      <x:c r="B558" s="17" t="str">
        <x:v>csq028</x:v>
      </x:c>
      <x:c r="C558" s="17" t="str">
        <x:v>data_management_and_ir</x:v>
      </x:c>
      <x:c r="D558" s="17" t="str">
        <x:v>vector_search</x:v>
      </x:c>
      <x:c r="E558" s="27" t="str">
        <x:v>How do graph-based, quantization-based, and inverted-file approaches to approximate nearest-neighbor search compare in recall, latency, memory usage, and index construction cost?</x:v>
      </x:c>
      <x:c r="F558" s="22" t="n">
        <x:v>17</x:v>
      </x:c>
      <x:c r="G558" s="17" t="str">
        <x:v>arXiv:2410.01231</x:v>
      </x:c>
      <x:c r="H558" s="27" t="str">
        <x:v>Revisiting the Index Construction of Proximity Graph-Based Approximate Nearest Neighbor Search</x:v>
      </x:c>
      <x:c r="I558" s="17" t="str">
        <x:v>Shuo Yang; Jiadong Xie; Yingfan Liu; Jeffrey Xu Yu; Xiyue Gao; Qianru Wang; Yanguo Peng; Jiangtao Cui</x:v>
      </x:c>
      <x:c r="J558" s="22" t="n">
        <x:v>2024</x:v>
      </x:c>
      <x:c r="K558" s="27" t="str">
        <x:v>Proximity graphs (PG) have gained increasing popularity as the state-of-the-art solutions to $k$-approximate nearest neighbor ($k$-ANN) search on high-dimensional data, which serves as a fundamental function in various fields, e.g., retrieval-augmented generation. Although PG-based approaches have the best $k$-ANN search performance, their index construction cost is superlinear to the number of points. Such superlinear cost substantially limits their scalability in the era of big data. Hence, the goal of this paper is to accelerate the construction of PG-based methods without compromising their $k$-ANN search performance. To achieve this goal, two mainstream categories of PG are revisited: relative neighborhood graph (RNG) and navigable small world graph (NSWG). By revisiting their construction process, we find the issues of construction efficiency. To address these issues, we propose a new construction framework with a novel pruning strategy for edge selection, which accelerates RNG construction while keeping its $k$-ANN search performance. Then, we integrate this framework into NSWG construction to enhance both the construction efficiency and $k$-ANN search performance of NSWG. Extensive experiments are conducted to validate our construction framework for both RNG and NSWG, and that it significantly reduces the PG construction cost, achieving up to 5.6x speedup, while not compromising the $k$-ANN search performance.</x:v>
      </x:c>
      <x:c r="L558" s="17" t="str">
        <x:v>http://arxiv.org/abs/2410.01231v2</x:v>
      </x:c>
      <x:c r="M558" s="23" t="n">
        <x:v>0.015625</x:v>
      </x:c>
      <x:c r="N558" s="17" t="str">
        <x:v>arxiv-paper-eval-20260727-105551-results.jsonl</x:v>
      </x:c>
      <x:c r="O558" s="24" t="str">
        <x:v>1</x:v>
      </x:c>
      <x:c r="P558" s="28" t="str">
        <x:v>直接量化图索引超线性构建成本及加速效果。</x:v>
      </x:c>
      <x:c r="Q558" s="25" t="str"/>
      <x:c r="R558" s="24" t="str">
        <x:f>IF(Q558&lt;&gt;"",Q558,O558)</x:f>
        <x:v>1</x:v>
      </x:c>
      <x:c r="S558" s="29" t="str"/>
    </x:row>
    <x:row r="559" ht="54" customHeight="1">
      <x:c r="A559" s="17" t="str">
        <x:v>csq028-r18</x:v>
      </x:c>
      <x:c r="B559" s="17" t="str">
        <x:v>csq028</x:v>
      </x:c>
      <x:c r="C559" s="17" t="str">
        <x:v>data_management_and_ir</x:v>
      </x:c>
      <x:c r="D559" s="17" t="str">
        <x:v>vector_search</x:v>
      </x:c>
      <x:c r="E559" s="27" t="str">
        <x:v>How do graph-based, quantization-based, and inverted-file approaches to approximate nearest-neighbor search compare in recall, latency, memory usage, and index construction cost?</x:v>
      </x:c>
      <x:c r="F559" s="22" t="n">
        <x:v>18</x:v>
      </x:c>
      <x:c r="G559" s="17" t="str">
        <x:v>arXiv:2508.15436</x:v>
      </x:c>
      <x:c r="H559" s="27" t="str">
        <x:v>On the Effectiveness of Graph Reordering for Accelerating Approximate Nearest Neighbor Search on GPU</x:v>
      </x:c>
      <x:c r="I559" s="17" t="str">
        <x:v>Yutaro Oguri; Mai Nishimura; Yusuke Matsui</x:v>
      </x:c>
      <x:c r="J559" s="22" t="n">
        <x:v>2025</x:v>
      </x:c>
      <x:c r="K559" s="27" t="str">
        <x:v>We present the first systematic investigation of graph reordering effects for graph-based Approximate Nearest Neighbor Search (ANNS) on a GPU. While graph-based ANNS has become the dominant paradigm for modern AI applications, recent approaches focus on algorithmic innovations while neglecting memory layout considerations that significantly affect execution time. Our unified evaluation framework enables comprehensive evaluation of diverse reordering strategies across different graph indices through a graph adapter that converts arbitrary graph topologies into a common representation and a GPU-optimized graph traversal engine. We conduct a comprehensive analysis across diverse datasets and state-of-the-art graph indices, introducing analysis metrics that quantify the relationship between structural properties and memory layout effectiveness. Our GPU-targeted reordering achieves up to 15$\%$ QPS improvements while preserving search accuracy, demonstrating that memory layout optimization operates orthogonally to existing algorithmic innovations. We will release all code upon publication to facilitate reproducibility and foster further research.</x:v>
      </x:c>
      <x:c r="L559" s="17" t="str">
        <x:v>http://arxiv.org/abs/2508.15436v1</x:v>
      </x:c>
      <x:c r="M559" s="23" t="n">
        <x:v>0.015151515151515152</x:v>
      </x:c>
      <x:c r="N559" s="17" t="str">
        <x:v>arxiv-paper-eval-20260727-105551-results.jsonl</x:v>
      </x:c>
      <x:c r="O559" s="24" t="str">
        <x:v>1</x:v>
      </x:c>
      <x:c r="P559" s="28" t="str">
        <x:v>研究图重排对QPS与准确率影响，属单一路线证据。</x:v>
      </x:c>
      <x:c r="Q559" s="25" t="str"/>
      <x:c r="R559" s="24" t="str">
        <x:f>IF(Q559&lt;&gt;"",Q559,O559)</x:f>
        <x:v>1</x:v>
      </x:c>
      <x:c r="S559" s="29" t="str"/>
    </x:row>
    <x:row r="560" ht="54" customHeight="1">
      <x:c r="A560" s="17" t="str">
        <x:v>csq028-r19</x:v>
      </x:c>
      <x:c r="B560" s="17" t="str">
        <x:v>csq028</x:v>
      </x:c>
      <x:c r="C560" s="17" t="str">
        <x:v>data_management_and_ir</x:v>
      </x:c>
      <x:c r="D560" s="17" t="str">
        <x:v>vector_search</x:v>
      </x:c>
      <x:c r="E560" s="27" t="str">
        <x:v>How do graph-based, quantization-based, and inverted-file approaches to approximate nearest-neighbor search compare in recall, latency, memory usage, and index construction cost?</x:v>
      </x:c>
      <x:c r="F560" s="22" t="n">
        <x:v>19</x:v>
      </x:c>
      <x:c r="G560" s="17" t="str">
        <x:v>arXiv:1609.07228</x:v>
      </x:c>
      <x:c r="H560" s="27" t="str">
        <x:v>EFANNA : An Extremely Fast Approximate Nearest Neighbor Search Algorithm Based on kNN Graph</x:v>
      </x:c>
      <x:c r="I560" s="17" t="str">
        <x:v>Cong Fu; Deng Cai</x:v>
      </x:c>
      <x:c r="J560" s="22" t="n">
        <x:v>2016</x:v>
      </x:c>
      <x:c r="K560" s="27" t="str">
        <x:v>Approximate nearest neighbor (ANN) search is a fundamental problem in many areas of data mining, machine learning and computer vision. The performance of traditional hierarchical structure (tree) based methods decreases as the dimensionality of data grows, while hashing based methods usually lack efficiency in practice. Recently, the graph based methods have drawn considerable attention. The main idea is that \emph{a neighbor of a neighbor is also likely to be a neighbor}, which we refer as \emph{NN-expansion}. These methods construct a $k$-nearest neighbor ($k$NN) graph offline. And at online search stage, these methods find candidate neighbors of a query point in some way (\eg, random selection), and then check the neighbors of these candidate neighbors for closer ones iteratively. Despite some promising results, there are mainly two problems with these approaches: 1) These approaches tend to converge to local optima. 2) Constructing a $k$NN graph is time consuming. We find that these two problems can be nicely solved when we provide a good initialization for NN-expansion. In this paper, we propose EFANNA, an extremely fast approximate nearest neighbor search algorithm based on $k$NN Graph. Efanna nicely combines the advantages of hierarchical structure based methods and nearest-neighbor-graph based methods. Extensive experiments have shown that EFANNA outperforms the state-of-art algorithms both on approximate nearest neighbor search and approximate nearest neighbor graph construction. To the best of our knowledge, EFANNA is the fastest algorithm so far both on approximate nearest neighbor graph construction and approximate nearest neighbor search. A library EFANNA based on this research is released on Github.</x:v>
      </x:c>
      <x:c r="L560" s="17" t="str">
        <x:v>http://arxiv.org/abs/1609.07228v3</x:v>
      </x:c>
      <x:c r="M560" s="23" t="n">
        <x:v>0.015151515151515152</x:v>
      </x:c>
      <x:c r="N560" s="17" t="str">
        <x:v>arxiv-paper-eval-20260727-105551-results.jsonl</x:v>
      </x:c>
      <x:c r="O560" s="24" t="str">
        <x:v>1</x:v>
      </x:c>
      <x:c r="P560" s="28" t="str">
        <x:v>图与树式方法比较并讨论图构建成本，提供部分对照。</x:v>
      </x:c>
      <x:c r="Q560" s="25" t="str"/>
      <x:c r="R560" s="24" t="str">
        <x:f>IF(Q560&lt;&gt;"",Q560,O560)</x:f>
        <x:v>1</x:v>
      </x:c>
      <x:c r="S560" s="29" t="str"/>
    </x:row>
    <x:row r="561" ht="54" customHeight="1">
      <x:c r="A561" s="17" t="str">
        <x:v>csq028-r20</x:v>
      </x:c>
      <x:c r="B561" s="17" t="str">
        <x:v>csq028</x:v>
      </x:c>
      <x:c r="C561" s="17" t="str">
        <x:v>data_management_and_ir</x:v>
      </x:c>
      <x:c r="D561" s="17" t="str">
        <x:v>vector_search</x:v>
      </x:c>
      <x:c r="E561" s="27" t="str">
        <x:v>How do graph-based, quantization-based, and inverted-file approaches to approximate nearest-neighbor search compare in recall, latency, memory usage, and index construction cost?</x:v>
      </x:c>
      <x:c r="F561" s="22" t="n">
        <x:v>20</x:v>
      </x:c>
      <x:c r="G561" s="17" t="str">
        <x:v>arXiv:2410.18926</x:v>
      </x:c>
      <x:c r="H561" s="27" t="str">
        <x:v>LoRANN: Low-Rank Matrix Factorization for Approximate Nearest Neighbor Search</x:v>
      </x:c>
      <x:c r="I561" s="17" t="str">
        <x:v>Elias Jääsaari; Ville Hyvönen; Teemu Roos</x:v>
      </x:c>
      <x:c r="J561" s="22" t="n">
        <x:v>2024</x:v>
      </x:c>
      <x:c r="K561" s="27" t="str">
        <x:v>Approximate nearest neighbor (ANN) search is a key component in many modern machine learning pipelines; recent use cases include retrieval-augmented generation (RAG) and vector databases. Clustering-based ANN algorithms, that use score computation methods based on product quantization (PQ), are often used in industrial-scale applications due to their scalability and suitability for distributed and disk-based implementations. However, they have slower query times than the leading graph-based ANN algorithms. In this work, we propose a new supervised score computation method based on the observation that inner product approximation is a multivariate (multi-output) regression problem that can be solved efficiently by reduced-rank regression. Our experiments show that on modern high-dimensional data sets, the proposed reduced-rank regression (RRR) method is superior to PQ in both query latency and memory usage. We also introduce LoRANN, a clustering-based ANN library that leverages the proposed score computation method. LoRANN is competitive with the leading graph-based algorithms and outperforms the state-of-the-art GPU ANN methods on high-dimensional data sets.</x:v>
      </x:c>
      <x:c r="L561" s="17" t="str">
        <x:v>http://arxiv.org/abs/2410.18926v1</x:v>
      </x:c>
      <x:c r="M561" s="23" t="n">
        <x:v>0.014925373134328358</x:v>
      </x:c>
      <x:c r="N561" s="17" t="str">
        <x:v>arxiv-paper-eval-20260727-105551-results.jsonl</x:v>
      </x:c>
      <x:c r="O561" s="24" t="str">
        <x:v>2</x:v>
      </x:c>
      <x:c r="P561" s="28" t="str">
        <x:v>直接比较聚类量化、低秩方法与领先图算法的延迟内存。</x:v>
      </x:c>
      <x:c r="Q561" s="25" t="str"/>
      <x:c r="R561" s="24" t="str">
        <x:f>IF(Q561&lt;&gt;"",Q561,O561)</x:f>
        <x:v>2</x:v>
      </x:c>
      <x:c r="S561" s="29" t="str"/>
    </x:row>
    <x:row r="562" ht="54" customHeight="1">
      <x:c r="A562" s="17" t="str">
        <x:v>csq029-r01</x:v>
      </x:c>
      <x:c r="B562" s="17" t="str">
        <x:v>csq029</x:v>
      </x:c>
      <x:c r="C562" s="17" t="str">
        <x:v>data_management_and_ir</x:v>
      </x:c>
      <x:c r="D562" s="17" t="str">
        <x:v>neural_information_retrieval</x:v>
      </x:c>
      <x:c r="E562" s="27" t="str">
        <x:v>Which benchmarks and metrics are used to evaluate sparse, dense, and hybrid neural information retrieval, and how well do they measure out-of-domain robustness?</x:v>
      </x:c>
      <x:c r="F562" s="22" t="n">
        <x:v>1</x:v>
      </x:c>
      <x:c r="G562" s="17" t="str">
        <x:v>arXiv:2504.05181</x:v>
      </x:c>
      <x:c r="H562" s="27" t="str">
        <x:v>Lightweight and Direct Document Relevance Optimization for Generative Information Retrieval</x:v>
      </x:c>
      <x:c r="I562" s="17" t="str">
        <x:v>Kidist Amde Mekonnen; Yubao Tang; Maarten de Rijke</x:v>
      </x:c>
      <x:c r="J562" s="22" t="n">
        <x:v>2025</x:v>
      </x:c>
      <x:c r="K562" s="27" t="str">
        <x:v>Generative information retrieval (GenIR) is a promising neural retrieval paradigm that formulates document retrieval as a document identifier (docid) generation task, allowing for end-to-end optimization toward a unified global retrieval objective. However, existing GenIR models suffer from token-level misalignment, where models trained to predict the next token often fail to capture document-level relevance effectively. While reinforcement learning-based methods, such as reinforcement learning from relevance feedback (RLRF), aim to address this misalignment through reward modeling, they introduce significant complexity, requiring the optimization of an auxiliary reward function followed by reinforcement fine-tuning, which is computationally expensive and often unstable. To address these challenges, we propose direct document relevance optimization (DDRO), which aligns token-level docid generation with document-level relevance estimation through direct optimization via pairwise ranking, eliminating the need for explicit reward modeling and reinforcement learning. Experimental results on benchmark datasets, including MS MARCO document and Natural Questions, show that DDRO outperforms reinforcement learning-based methods, achieving a 7.4% improvement in MRR@10 for MS MARCO and a 19.9% improvement for Natural Questions. These findings highlight DDRO's potential to enhance retrieval effectiveness with a simplified optimization approach. By framing alignment as a direct optimization problem, DDRO simplifies the ranking optimization pipeline of GenIR models while offering a viable alternative to reinforcement learning-based methods.</x:v>
      </x:c>
      <x:c r="L562" s="17" t="str">
        <x:v>http://arxiv.org/abs/2504.05181v2</x:v>
      </x:c>
      <x:c r="M562" s="23" t="n">
        <x:v>0.03252247488101534</x:v>
      </x:c>
      <x:c r="N562" s="17" t="str">
        <x:v>arxiv-paper-eval-20260727-105551-results.jsonl</x:v>
      </x:c>
      <x:c r="O562" s="24" t="str">
        <x:v>1</x:v>
      </x:c>
      <x:c r="P562" s="28" t="str">
        <x:v>评测生成式检索的MRR，但不覆盖稀疏、稠密、混合或OOD比较。</x:v>
      </x:c>
      <x:c r="Q562" s="25" t="str"/>
      <x:c r="R562" s="24" t="str">
        <x:f>IF(Q562&lt;&gt;"",Q562,O562)</x:f>
        <x:v>1</x:v>
      </x:c>
      <x:c r="S562" s="29" t="str"/>
    </x:row>
    <x:row r="563" ht="54" customHeight="1">
      <x:c r="A563" s="17" t="str">
        <x:v>csq029-r02</x:v>
      </x:c>
      <x:c r="B563" s="17" t="str">
        <x:v>csq029</x:v>
      </x:c>
      <x:c r="C563" s="17" t="str">
        <x:v>data_management_and_ir</x:v>
      </x:c>
      <x:c r="D563" s="17" t="str">
        <x:v>neural_information_retrieval</x:v>
      </x:c>
      <x:c r="E563" s="27" t="str">
        <x:v>Which benchmarks and metrics are used to evaluate sparse, dense, and hybrid neural information retrieval, and how well do they measure out-of-domain robustness?</x:v>
      </x:c>
      <x:c r="F563" s="22" t="n">
        <x:v>2</x:v>
      </x:c>
      <x:c r="G563" s="17" t="str">
        <x:v>arXiv:2112.05662</x:v>
      </x:c>
      <x:c r="H563" s="27" t="str">
        <x:v>Match Your Words! A Study of Lexical Matching in Neural Information Retrieval</x:v>
      </x:c>
      <x:c r="I563" s="17" t="str">
        <x:v>Thibault Formal; Benjamin Piwowarski; Stéphane Clinchant</x:v>
      </x:c>
      <x:c r="J563" s="22" t="n">
        <x:v>2021</x:v>
      </x:c>
      <x:c r="K563" s="27" t="str">
        <x:v>Neural Information Retrieval models hold the promise to replace lexical matching models, e.g. BM25, in modern search engines. While their capabilities have fully shone on in-domain datasets like MS MARCO, they have recently been challenged on out-of-domain zero-shot settings (BEIR benchmark), questioning their actual generalization capabilities compared to bag-of-words approaches. Particularly, we wonder if these shortcomings could (partly) be the consequence of the inability of neural IR models to perform lexical matching off-the-shelf. In this work, we propose a measure of discrepancy between the lexical matching performed by any (neural) model and an 'ideal' one. Based on this, we study the behavior of different state-of-the-art neural IR models, focusing on whether they are able to perform lexical matching when it's actually useful, i.e. for important terms. Overall, we show that neural IR models fail to properly generalize term importance on out-of-domain collections or terms almost unseen during training</x:v>
      </x:c>
      <x:c r="L563" s="17" t="str">
        <x:v>http://arxiv.org/abs/2112.05662v2</x:v>
      </x:c>
      <x:c r="M563" s="23" t="n">
        <x:v>0.0315136476426799</x:v>
      </x:c>
      <x:c r="N563" s="17" t="str">
        <x:v>arxiv-paper-eval-20260727-105551-results.jsonl</x:v>
      </x:c>
      <x:c r="O563" s="24" t="str">
        <x:v>2</x:v>
      </x:c>
      <x:c r="P563" s="28" t="str">
        <x:v>直接用BEIR分析神经检索的域外词法泛化。</x:v>
      </x:c>
      <x:c r="Q563" s="25" t="str"/>
      <x:c r="R563" s="24" t="str">
        <x:f>IF(Q563&lt;&gt;"",Q563,O563)</x:f>
        <x:v>2</x:v>
      </x:c>
      <x:c r="S563" s="29" t="str"/>
    </x:row>
    <x:row r="564" ht="54" customHeight="1">
      <x:c r="A564" s="17" t="str">
        <x:v>csq029-r03</x:v>
      </x:c>
      <x:c r="B564" s="17" t="str">
        <x:v>csq029</x:v>
      </x:c>
      <x:c r="C564" s="17" t="str">
        <x:v>data_management_and_ir</x:v>
      </x:c>
      <x:c r="D564" s="17" t="str">
        <x:v>neural_information_retrieval</x:v>
      </x:c>
      <x:c r="E564" s="27" t="str">
        <x:v>Which benchmarks and metrics are used to evaluate sparse, dense, and hybrid neural information retrieval, and how well do they measure out-of-domain robustness?</x:v>
      </x:c>
      <x:c r="F564" s="22" t="n">
        <x:v>3</x:v>
      </x:c>
      <x:c r="G564" s="17" t="str">
        <x:v>arXiv:2311.03374</x:v>
      </x:c>
      <x:c r="H564" s="27" t="str">
        <x:v>Generative AI for Software Metadata: Overview of the Information Retrieval in Software Engineering Track at FIRE 2023</x:v>
      </x:c>
      <x:c r="I564" s="17" t="str">
        <x:v>Srijoni Majumdar; Soumen Paul; Debjyoti Paul; Ayan Bandyopadhyay; Samiran Chattopadhyay; Partha Pratim Das; Paul D Clough; Prasenjit Majumder</x:v>
      </x:c>
      <x:c r="J564" s="22" t="n">
        <x:v>2023</x:v>
      </x:c>
      <x:c r="K564" s="27" t="str">
        <x:v>The Information Retrieval in Software Engineering (IRSE) track aims to develop solutions for automated evaluation of code comments in a machine learning framework based on human and large language model generated labels. In this track, there is a binary classification task to classify comments as useful and not useful. The dataset consists of 9048 code comments and surrounding code snippet pairs extracted from open source github C based projects and an additional dataset generated individually by teams using large language models. Overall 56 experiments have been submitted by 17 teams from various universities and software companies. The submissions have been evaluated quantitatively using the F1-Score and qualitatively based on the type of features developed, the supervised learning model used and their corresponding hyper-parameters. The labels generated from large language models increase the bias in the prediction model but lead to less over-fitted results.</x:v>
      </x:c>
      <x:c r="L564" s="17" t="str">
        <x:v>http://arxiv.org/abs/2311.03374v1</x:v>
      </x:c>
      <x:c r="M564" s="23" t="n">
        <x:v>0.03149801587301587</x:v>
      </x:c>
      <x:c r="N564" s="17" t="str">
        <x:v>arxiv-paper-eval-20260727-105551-results.jsonl</x:v>
      </x:c>
      <x:c r="O564" s="24" t="str">
        <x:v>0</x:v>
      </x:c>
      <x:c r="P564" s="28" t="str">
        <x:v>任务是代码注释二分类，并非文档神经检索。</x:v>
      </x:c>
      <x:c r="Q564" s="25" t="str"/>
      <x:c r="R564" s="24" t="str">
        <x:f>IF(Q564&lt;&gt;"",Q564,O564)</x:f>
        <x:v>0</x:v>
      </x:c>
      <x:c r="S564" s="29" t="str"/>
    </x:row>
    <x:row r="565" ht="54" customHeight="1">
      <x:c r="A565" s="17" t="str">
        <x:v>csq029-r04</x:v>
      </x:c>
      <x:c r="B565" s="17" t="str">
        <x:v>csq029</x:v>
      </x:c>
      <x:c r="C565" s="17" t="str">
        <x:v>data_management_and_ir</x:v>
      </x:c>
      <x:c r="D565" s="17" t="str">
        <x:v>neural_information_retrieval</x:v>
      </x:c>
      <x:c r="E565" s="27" t="str">
        <x:v>Which benchmarks and metrics are used to evaluate sparse, dense, and hybrid neural information retrieval, and how well do they measure out-of-domain robustness?</x:v>
      </x:c>
      <x:c r="F565" s="22" t="n">
        <x:v>4</x:v>
      </x:c>
      <x:c r="G565" s="17" t="str">
        <x:v>arXiv:2005.12992</x:v>
      </x:c>
      <x:c r="H565" s="27" t="str">
        <x:v>Evaluating Information Retrieval Systems for Kids</x:v>
      </x:c>
      <x:c r="I565" s="17" t="str">
        <x:v>Ashlee Milton; Maria Soledad Pera</x:v>
      </x:c>
      <x:c r="J565" s="22" t="n">
        <x:v>2020</x:v>
      </x:c>
      <x:c r="K565" s="27" t="str">
        <x:v>Evaluation of information retrieval systems (IRS) is a prominent topic among information retrieval researchers--mainly directed at a general population. Children require unique IRS and by extension different ways to evaluate these systems, but as a large population that use IRS have largely been ignored on the evaluation front. In this position paper, we explore many perspectives that must be considered when evaluating IRS; we specially discuss problems faced by researchers who work with children IRS, including lack of evaluation frameworks, limitations of data, and lack of user judgment understanding.</x:v>
      </x:c>
      <x:c r="L565" s="17" t="str">
        <x:v>http://arxiv.org/abs/2005.12992v1</x:v>
      </x:c>
      <x:c r="M565" s="23" t="n">
        <x:v>0.031024531024531024</x:v>
      </x:c>
      <x:c r="N565" s="17" t="str">
        <x:v>arxiv-paper-eval-20260727-105551-results.jsonl</x:v>
      </x:c>
      <x:c r="O565" s="24" t="str">
        <x:v>1</x:v>
      </x:c>
      <x:c r="P565" s="28" t="str">
        <x:v>讨论儿童IR评价局限，能作评价背景但非三类神经检索。</x:v>
      </x:c>
      <x:c r="Q565" s="25" t="str"/>
      <x:c r="R565" s="24" t="str">
        <x:f>IF(Q565&lt;&gt;"",Q565,O565)</x:f>
        <x:v>1</x:v>
      </x:c>
      <x:c r="S565" s="29" t="str"/>
    </x:row>
    <x:row r="566" ht="54" customHeight="1">
      <x:c r="A566" s="17" t="str">
        <x:v>csq029-r05</x:v>
      </x:c>
      <x:c r="B566" s="17" t="str">
        <x:v>csq029</x:v>
      </x:c>
      <x:c r="C566" s="17" t="str">
        <x:v>data_management_and_ir</x:v>
      </x:c>
      <x:c r="D566" s="17" t="str">
        <x:v>neural_information_retrieval</x:v>
      </x:c>
      <x:c r="E566" s="27" t="str">
        <x:v>Which benchmarks and metrics are used to evaluate sparse, dense, and hybrid neural information retrieval, and how well do they measure out-of-domain robustness?</x:v>
      </x:c>
      <x:c r="F566" s="22" t="n">
        <x:v>5</x:v>
      </x:c>
      <x:c r="G566" s="17" t="str">
        <x:v>arXiv:2104.08663</x:v>
      </x:c>
      <x:c r="H566" s="27" t="str">
        <x:v>BEIR: A Heterogenous Benchmark for Zero-shot Evaluation of Information Retrieval Models</x:v>
      </x:c>
      <x:c r="I566" s="17" t="str">
        <x:v>Nandan Thakur; Nils Reimers; Andreas Rücklé; Abhishek Srivastava; Iryna Gurevych</x:v>
      </x:c>
      <x:c r="J566" s="22" t="n">
        <x:v>2021</x:v>
      </x:c>
      <x:c r="K566" s="27" t="str">
        <x:v>Existing neural information retrieval (IR) models have often been studied in homogeneous and narrow settings, which has considerably limited insights into their out-of-distribution (OOD) generalization capabilities. To address this, and to facilitate researchers to broadly evaluate the effectiveness of their models, we introduce Benchmarking-IR (BEIR), a robust and heterogeneous evaluation benchmark for information retrieval. We leverage a careful selection of 18 publicly available datasets from diverse text retrieval tasks and domains and evaluate 10 state-of-the-art retrieval systems including lexical, sparse, dense, late-interaction and re-ranking architectures on the BEIR benchmark. Our results show BM25 is a robust baseline and re-ranking and late-interaction-based models on average achieve the best zero-shot performances, however, at high computational costs. In contrast, dense and sparse-retrieval models are computationally more efficient but often underperform other approaches, highlighting the considerable room for improvement in their generalization capabilities. We hope this framework allows us to better evaluate and understand existing retrieval systems, and contributes to accelerating progress towards better robust and generalizable systems in the future. BEIR is publicly available at https://github.com/UKPLab/beir.</x:v>
      </x:c>
      <x:c r="L566" s="17" t="str">
        <x:v>http://arxiv.org/abs/2104.08663v4</x:v>
      </x:c>
      <x:c r="M566" s="23" t="n">
        <x:v>0.030886196246139225</x:v>
      </x:c>
      <x:c r="N566" s="17" t="str">
        <x:v>arxiv-paper-eval-20260727-105551-results.jsonl</x:v>
      </x:c>
      <x:c r="O566" s="24" t="str">
        <x:v>2</x:v>
      </x:c>
      <x:c r="P566" s="28" t="str">
        <x:v>BEIR直接跨域比较词法、稀疏、稠密和重排系统。</x:v>
      </x:c>
      <x:c r="Q566" s="25" t="str"/>
      <x:c r="R566" s="24" t="str">
        <x:f>IF(Q566&lt;&gt;"",Q566,O566)</x:f>
        <x:v>2</x:v>
      </x:c>
      <x:c r="S566" s="29" t="str"/>
    </x:row>
    <x:row r="567" ht="54" customHeight="1">
      <x:c r="A567" s="17" t="str">
        <x:v>csq029-r06</x:v>
      </x:c>
      <x:c r="B567" s="17" t="str">
        <x:v>csq029</x:v>
      </x:c>
      <x:c r="C567" s="17" t="str">
        <x:v>data_management_and_ir</x:v>
      </x:c>
      <x:c r="D567" s="17" t="str">
        <x:v>neural_information_retrieval</x:v>
      </x:c>
      <x:c r="E567" s="27" t="str">
        <x:v>Which benchmarks and metrics are used to evaluate sparse, dense, and hybrid neural information retrieval, and how well do they measure out-of-domain robustness?</x:v>
      </x:c>
      <x:c r="F567" s="22" t="n">
        <x:v>6</x:v>
      </x:c>
      <x:c r="G567" s="17" t="str">
        <x:v>arXiv:2403.13468</x:v>
      </x:c>
      <x:c r="H567" s="27" t="str">
        <x:v>DESIRE-ME: Domain-Enhanced Supervised Information REtrieval using Mixture-of-Experts</x:v>
      </x:c>
      <x:c r="I567" s="17" t="str">
        <x:v>Pranav Kasela; Gabriella Pasi; Raffaele Perego; Nicola Tonellotto</x:v>
      </x:c>
      <x:c r="J567" s="22" t="n">
        <x:v>2024</x:v>
      </x:c>
      <x:c r="K567" s="27" t="str">
        <x:v>Open-domain question answering requires retrieval systems able to cope with the diverse and varied nature of questions, providing accurate answers across a broad spectrum of query types and topics. To deal with such topic heterogeneity through a unique model, we propose DESIRE-ME, a neural information retrieval model that leverages the Mixture-of-Experts framework to combine multiple specialized neural models. We rely on Wikipedia data to train an effective neural gating mechanism that classifies the incoming query and that weighs the predictions of the different domain-specific experts correspondingly. This allows DESIRE-ME to specialize adaptively in multiple domains. Through extensive experiments on publicly available datasets, we show that our proposal can effectively generalize domain-enhanced neural models. DESIRE-ME excels in handling open-domain questions adaptively, boosting by up to 12% in NDCG@10 and 22% in P@1, the underlying state-of-the-art dense retrieval model.</x:v>
      </x:c>
      <x:c r="L567" s="17" t="str">
        <x:v>http://arxiv.org/abs/2403.13468v1</x:v>
      </x:c>
      <x:c r="M567" s="23" t="n">
        <x:v>0.029850746268656716</x:v>
      </x:c>
      <x:c r="N567" s="17" t="str">
        <x:v>arxiv-paper-eval-20260727-105551-results.jsonl</x:v>
      </x:c>
      <x:c r="O567" s="24" t="str">
        <x:v>1</x:v>
      </x:c>
      <x:c r="P567" s="28" t="str">
        <x:v>研究多领域神经检索泛化并报告NDCG、P@1，属相关证据。</x:v>
      </x:c>
      <x:c r="Q567" s="25" t="str"/>
      <x:c r="R567" s="24" t="str">
        <x:f>IF(Q567&lt;&gt;"",Q567,O567)</x:f>
        <x:v>1</x:v>
      </x:c>
      <x:c r="S567" s="29" t="str"/>
    </x:row>
    <x:row r="568" ht="54" customHeight="1">
      <x:c r="A568" s="17" t="str">
        <x:v>csq029-r07</x:v>
      </x:c>
      <x:c r="B568" s="17" t="str">
        <x:v>csq029</x:v>
      </x:c>
      <x:c r="C568" s="17" t="str">
        <x:v>data_management_and_ir</x:v>
      </x:c>
      <x:c r="D568" s="17" t="str">
        <x:v>neural_information_retrieval</x:v>
      </x:c>
      <x:c r="E568" s="27" t="str">
        <x:v>Which benchmarks and metrics are used to evaluate sparse, dense, and hybrid neural information retrieval, and how well do they measure out-of-domain robustness?</x:v>
      </x:c>
      <x:c r="F568" s="22" t="n">
        <x:v>7</x:v>
      </x:c>
      <x:c r="G568" s="17" t="str">
        <x:v>arXiv:2503.19092</x:v>
      </x:c>
      <x:c r="H568" s="27" t="str">
        <x:v>Rankers, Judges, and Assistants: Towards Understanding the Interplay of LLMs in Information Retrieval Evaluation</x:v>
      </x:c>
      <x:c r="I568" s="17" t="str">
        <x:v>Krisztian Balog; Donald Metzler; Zhen Qin</x:v>
      </x:c>
      <x:c r="J568" s="22" t="n">
        <x:v>2025</x:v>
      </x:c>
      <x:c r="K568" s="27" t="str">
        <x:v>Large language models (LLMs) are increasingly integral to information retrieval (IR), powering ranking, evaluation, and AI-assisted content creation. This widespread adoption necessitates a critical examination of potential biases arising from the interplay between these LLM-based components. This paper synthesizes existing research and presents novel experiment designs that explore how LLM-based rankers and assistants influence LLM-based judges. We provide the first empirical evidence of LLM judges exhibiting significant bias towards LLM-based rankers. Furthermore, we observe limitations in LLM judges' ability to discern subtle system performance differences. Contrary to some previous findings, our preliminary study does not find evidence of bias against AI-generated content. These results highlight the need for a more holistic view of the LLM-driven information ecosystem. To this end, we offer initial guidelines and a research agenda to ensure the reliable use of LLMs in IR evaluation.</x:v>
      </x:c>
      <x:c r="L568" s="17" t="str">
        <x:v>http://arxiv.org/abs/2503.19092v2</x:v>
      </x:c>
      <x:c r="M568" s="23" t="n">
        <x:v>0.028850145288501453</x:v>
      </x:c>
      <x:c r="N568" s="17" t="str">
        <x:v>arxiv-paper-eval-20260727-105551-results.jsonl</x:v>
      </x:c>
      <x:c r="O568" s="24" t="str">
        <x:v>1</x:v>
      </x:c>
      <x:c r="P568" s="28" t="str">
        <x:v>研究LLM裁判的IR评价偏差，相关但不专门比较检索架构。</x:v>
      </x:c>
      <x:c r="Q568" s="25" t="str"/>
      <x:c r="R568" s="24" t="str">
        <x:f>IF(Q568&lt;&gt;"",Q568,O568)</x:f>
        <x:v>1</x:v>
      </x:c>
      <x:c r="S568" s="29" t="str"/>
    </x:row>
    <x:row r="569" ht="54" customHeight="1">
      <x:c r="A569" s="17" t="str">
        <x:v>csq029-r08</x:v>
      </x:c>
      <x:c r="B569" s="17" t="str">
        <x:v>csq029</x:v>
      </x:c>
      <x:c r="C569" s="17" t="str">
        <x:v>data_management_and_ir</x:v>
      </x:c>
      <x:c r="D569" s="17" t="str">
        <x:v>neural_information_retrieval</x:v>
      </x:c>
      <x:c r="E569" s="27" t="str">
        <x:v>Which benchmarks and metrics are used to evaluate sparse, dense, and hybrid neural information retrieval, and how well do they measure out-of-domain robustness?</x:v>
      </x:c>
      <x:c r="F569" s="22" t="n">
        <x:v>8</x:v>
      </x:c>
      <x:c r="G569" s="17" t="str">
        <x:v>arXiv:2503.17876</x:v>
      </x:c>
      <x:c r="H569" s="27" t="str">
        <x:v>Satisfactory Medical Consultation based on Terminology-Enhanced Information Retrieval and Emotional In-Context Learning</x:v>
      </x:c>
      <x:c r="I569" s="17" t="str">
        <x:v>Kaiwen Zuo; Jing Tang; Hanbing Qin; Binli Luo; Ligang He; Shiyan Tang</x:v>
      </x:c>
      <x:c r="J569" s="22" t="n">
        <x:v>2025</x:v>
      </x:c>
      <x:c r="K569" s="27" t="str">
        <x:v>Recent advancements in Large Language Models (LLMs) have marked significant progress in understanding and responding to medical inquiries. However, their performance still falls short of the standards set by professional consultations. This paper introduces a novel framework for medical consultation, comprising two main modules: Terminology-Enhanced Information Retrieval (TEIR) and Emotional In-Context Learning (EICL). TEIR ensures implicit reasoning through the utilization of inductive knowledge and key terminology retrieval, overcoming the limitations of restricted domain knowledge in public databases. Additionally, this module features capabilities for processing long context. The EICL module aids in generating sentences with high attribute relevance by memorizing semantic and attribute information from unlabelled corpora and applying controlled retrieval for the required information. Furthermore, a dataset comprising 803,564 consultation records was compiled in China, significantly enhancing the model's capability for complex dialogues and proactive inquiry initiation. Comprehensive experiments demonstrate the proposed method's effectiveness in extending the context window length of existing LLMs. The experimental outcomes and extensive data validate the framework's superiority over five baseline models in terms of BLEU and ROUGE performance metrics, with substantial leads in certain capabilities. Notably, ablation studies confirm the significance of the TEIR and EICL components. In addition, our new framework has the potential to significantly improve patient satisfaction in real clinical consulting situations.</x:v>
      </x:c>
      <x:c r="L569" s="17" t="str">
        <x:v>http://arxiv.org/abs/2503.17876v1</x:v>
      </x:c>
      <x:c r="M569" s="23" t="n">
        <x:v>0.028790389395194696</x:v>
      </x:c>
      <x:c r="N569" s="17" t="str">
        <x:v>arxiv-paper-eval-20260727-105551-results.jsonl</x:v>
      </x:c>
      <x:c r="O569" s="24" t="str">
        <x:v>0</x:v>
      </x:c>
      <x:c r="P569" s="28" t="str">
        <x:v>重点是医疗对话生成且用BLEU/ROUGE，不是检索鲁棒性评测。</x:v>
      </x:c>
      <x:c r="Q569" s="25" t="str"/>
      <x:c r="R569" s="24" t="str">
        <x:f>IF(Q569&lt;&gt;"",Q569,O569)</x:f>
        <x:v>0</x:v>
      </x:c>
      <x:c r="S569" s="29" t="str"/>
    </x:row>
    <x:row r="570" ht="54" customHeight="1">
      <x:c r="A570" s="17" t="str">
        <x:v>csq029-r09</x:v>
      </x:c>
      <x:c r="B570" s="17" t="str">
        <x:v>csq029</x:v>
      </x:c>
      <x:c r="C570" s="17" t="str">
        <x:v>data_management_and_ir</x:v>
      </x:c>
      <x:c r="D570" s="17" t="str">
        <x:v>neural_information_retrieval</x:v>
      </x:c>
      <x:c r="E570" s="27" t="str">
        <x:v>Which benchmarks and metrics are used to evaluate sparse, dense, and hybrid neural information retrieval, and how well do they measure out-of-domain robustness?</x:v>
      </x:c>
      <x:c r="F570" s="22" t="n">
        <x:v>9</x:v>
      </x:c>
      <x:c r="G570" s="17" t="str">
        <x:v>arXiv:2510.03795</x:v>
      </x:c>
      <x:c r="H570" s="27" t="str">
        <x:v>Investigating LLM Variability in Personalized Conversational Information Retrieval</x:v>
      </x:c>
      <x:c r="I570" s="17" t="str">
        <x:v>Simon Lupart; Daniël van Dijk; Eric Langezaal; Ian van Dort; Mohammad Aliannejadi</x:v>
      </x:c>
      <x:c r="J570" s="22" t="n">
        <x:v>2025</x:v>
      </x:c>
      <x:c r="K570" s="27" t="str">
        <x:v>Personalized Conversational Information Retrieval (CIR) has seen rapid progress in recent years, driven by the development of Large Language Models (LLMs). Personalized CIR aims to enhance document retrieval by leveraging user-specific information, such as preferences, knowledge, or constraints, to tailor responses to individual needs. A key resource for this task is the TREC iKAT 2023 dataset, designed to evaluate personalization in CIR pipelines. Building on this resource, Mo et al. explored several strategies for incorporating Personal Textual Knowledge Bases (PTKB) into LLM-based query reformulation. Their findings suggested that personalization from PTKBs could be detrimental and that human annotations were often noisy. However, these conclusions were based on single-run experiments using the GPT-3.5 Turbo model, raising concerns about output variability and repeatability. In this reproducibility study, we rigorously reproduce and extend their work, focusing on LLM output variability and model generalization. We apply the original methods to the new TREC iKAT 2024 dataset and evaluate a diverse range of models, including Llama (1B-70B), Qwen-7B, GPT-4o-mini. Our results show that human-selected PTKBs consistently enhance retrieval performance, while LLM-based selection methods do not reliably outperform manual choices. We further compare variance across datasets and observe higher variability on iKAT than on CAsT, highlighting the challenges of evaluating personalized CIR. Notably, recall-oriented metrics exhibit lower variance than precision-oriented ones, a critical insight for first-stage retrievers. Finally, we underscore the need for multi-run evaluations and variance reporting when assessing LLM-based CIR systems. By broadening evaluation across models, datasets, and metrics, our study contributes to more robust and generalizable practices for personalized CIR.</x:v>
      </x:c>
      <x:c r="L570" s="17" t="str">
        <x:v>http://arxiv.org/abs/2510.03795v1</x:v>
      </x:c>
      <x:c r="M570" s="23" t="n">
        <x:v>0.02857142857142857</x:v>
      </x:c>
      <x:c r="N570" s="17" t="str">
        <x:v>arxiv-paper-eval-20260727-105551-results.jsonl</x:v>
      </x:c>
      <x:c r="O570" s="24" t="str">
        <x:v>1</x:v>
      </x:c>
      <x:c r="P570" s="28" t="str">
        <x:v>研究会话检索跨数据集泛化及指标方差，提供鲁棒评测证据。</x:v>
      </x:c>
      <x:c r="Q570" s="25" t="str"/>
      <x:c r="R570" s="24" t="str">
        <x:f>IF(Q570&lt;&gt;"",Q570,O570)</x:f>
        <x:v>1</x:v>
      </x:c>
      <x:c r="S570" s="29" t="str"/>
    </x:row>
    <x:row r="571" ht="54" customHeight="1">
      <x:c r="A571" s="17" t="str">
        <x:v>csq029-r10</x:v>
      </x:c>
      <x:c r="B571" s="17" t="str">
        <x:v>csq029</x:v>
      </x:c>
      <x:c r="C571" s="17" t="str">
        <x:v>data_management_and_ir</x:v>
      </x:c>
      <x:c r="D571" s="17" t="str">
        <x:v>neural_information_retrieval</x:v>
      </x:c>
      <x:c r="E571" s="27" t="str">
        <x:v>Which benchmarks and metrics are used to evaluate sparse, dense, and hybrid neural information retrieval, and how well do they measure out-of-domain robustness?</x:v>
      </x:c>
      <x:c r="F571" s="22" t="n">
        <x:v>10</x:v>
      </x:c>
      <x:c r="G571" s="17" t="str">
        <x:v>arXiv:2407.06992</x:v>
      </x:c>
      <x:c r="H571" s="27" t="str">
        <x:v>Robust Neural Information Retrieval: An Adversarial and Out-of-distribution Perspective</x:v>
      </x:c>
      <x:c r="I571" s="17" t="str">
        <x:v>Yu-An Liu; Ruqing Zhang; Jiafeng Guo; Maarten de Rijke; Yixing Fan; Xueqi Cheng</x:v>
      </x:c>
      <x:c r="J571" s="22" t="n">
        <x:v>2024</x:v>
      </x:c>
      <x:c r="K571" s="27" t="str">
        <x:v>Recent advances in neural information retrieval (IR) models have significantly enhanced their effectiveness over various IR tasks. The robustness of these models, essential for ensuring their reliability in practice, has also garnered significant attention. With a wide array of research on robust IR being proposed, we believe it is the opportune moment to consolidate the current status, glean insights from existing methodologies, and lay the groundwork for future development. We view the robustness of IR to be a multifaceted concept, emphasizing its necessity against adversarial attacks, out-of-distribution (OOD) scenarios and performance variance. With a focus on adversarial and OOD robustness, we dissect robustness solutions for dense retrieval models (DRMs) and neural ranking models (NRMs), respectively, recognizing them as pivotal components of the neural IR pipeline. We provide an in-depth discussion of existing methods, datasets, and evaluation metrics, shedding light on challenges and future directions in the era of large language models. To the best of our knowledge, this is the first comprehensive survey on the robustness of neural IR models, and we will also be giving our first tutorial presentation at SIGIR 2024 \url{https://sigir2024-robust-information-retrieval.github.io}. Along with the organization of existing work, we introduce a Benchmark for robust IR (BestIR), a heterogeneous evaluation benchmark for robust neural information retrieval, which is publicly available at \url{https://github.com/Davion-Liu/BestIR}. We hope that this study provides useful clues for future research on the robustness of IR models and helps to develop trustworthy search engines \url{https://github.com/Davion-Liu/Awesome-Robustness-in-Information-Retrieval}.</x:v>
      </x:c>
      <x:c r="L571" s="17" t="str">
        <x:v>http://arxiv.org/abs/2407.06992v2</x:v>
      </x:c>
      <x:c r="M571" s="23" t="n">
        <x:v>0.02758751902587519</x:v>
      </x:c>
      <x:c r="N571" s="17" t="str">
        <x:v>arxiv-paper-eval-20260727-105551-results.jsonl</x:v>
      </x:c>
      <x:c r="O571" s="24" t="str">
        <x:v>2</x:v>
      </x:c>
      <x:c r="P571" s="28" t="str">
        <x:v>系统综述神经IR的OOD数据集、指标并提出BestIR。</x:v>
      </x:c>
      <x:c r="Q571" s="25" t="str"/>
      <x:c r="R571" s="24" t="str">
        <x:f>IF(Q571&lt;&gt;"",Q571,O571)</x:f>
        <x:v>2</x:v>
      </x:c>
      <x:c r="S571" s="29" t="str"/>
    </x:row>
    <x:row r="572" ht="54" customHeight="1">
      <x:c r="A572" s="17" t="str">
        <x:v>csq029-r11</x:v>
      </x:c>
      <x:c r="B572" s="17" t="str">
        <x:v>csq029</x:v>
      </x:c>
      <x:c r="C572" s="17" t="str">
        <x:v>data_management_and_ir</x:v>
      </x:c>
      <x:c r="D572" s="17" t="str">
        <x:v>neural_information_retrieval</x:v>
      </x:c>
      <x:c r="E572" s="27" t="str">
        <x:v>Which benchmarks and metrics are used to evaluate sparse, dense, and hybrid neural information retrieval, and how well do they measure out-of-domain robustness?</x:v>
      </x:c>
      <x:c r="F572" s="22" t="n">
        <x:v>11</x:v>
      </x:c>
      <x:c r="G572" s="17" t="str">
        <x:v>arXiv:2411.00469</x:v>
      </x:c>
      <x:c r="H572" s="27" t="str">
        <x:v>MIRFLEX: Music Information Retrieval Feature Library for Extraction</x:v>
      </x:c>
      <x:c r="I572" s="17" t="str">
        <x:v>Anuradha Chopra; Abhinaba Roy; Dorien Herremans</x:v>
      </x:c>
      <x:c r="J572" s="22" t="n">
        <x:v>2024</x:v>
      </x:c>
      <x:c r="K572" s="27" t="str">
        <x:v>This paper introduces an extendable modular system that compiles a range of music feature extraction models to aid music information retrieval research. The features include musical elements like key, downbeats, and genre, as well as audio characteristics like instrument recognition, vocals/instrumental classification, and vocals gender detection. The integrated models are state-of-the-art or latest open-source. The features can be extracted as latent or post-processed labels, enabling integration into music applications such as generative music, recommendation, and playlist generation. The modular design allows easy integration of newly developed systems, making it a good benchmarking and comparison tool. This versatile toolkit supports the research community in developing innovative solutions by providing concrete musical features.</x:v>
      </x:c>
      <x:c r="L572" s="17" t="str">
        <x:v>http://arxiv.org/abs/2411.00469v1</x:v>
      </x:c>
      <x:c r="M572" s="23" t="n">
        <x:v>0.027212143650499815</x:v>
      </x:c>
      <x:c r="N572" s="17" t="str">
        <x:v>arxiv-paper-eval-20260727-105551-results.jsonl</x:v>
      </x:c>
      <x:c r="O572" s="24" t="str">
        <x:v>0</x:v>
      </x:c>
      <x:c r="P572" s="28" t="str">
        <x:v>研究音乐特征提取，不是文本神经信息检索。</x:v>
      </x:c>
      <x:c r="Q572" s="25" t="str"/>
      <x:c r="R572" s="24" t="str">
        <x:f>IF(Q572&lt;&gt;"",Q572,O572)</x:f>
        <x:v>0</x:v>
      </x:c>
      <x:c r="S572" s="29" t="str"/>
    </x:row>
    <x:row r="573" ht="54" customHeight="1">
      <x:c r="A573" s="17" t="str">
        <x:v>csq029-r12</x:v>
      </x:c>
      <x:c r="B573" s="17" t="str">
        <x:v>csq029</x:v>
      </x:c>
      <x:c r="C573" s="17" t="str">
        <x:v>data_management_and_ir</x:v>
      </x:c>
      <x:c r="D573" s="17" t="str">
        <x:v>neural_information_retrieval</x:v>
      </x:c>
      <x:c r="E573" s="27" t="str">
        <x:v>Which benchmarks and metrics are used to evaluate sparse, dense, and hybrid neural information retrieval, and how well do they measure out-of-domain robustness?</x:v>
      </x:c>
      <x:c r="F573" s="22" t="n">
        <x:v>12</x:v>
      </x:c>
      <x:c r="G573" s="17" t="str">
        <x:v>arXiv:2007.14271</x:v>
      </x:c>
      <x:c r="H573" s="27" t="str">
        <x:v>Declarative Experimentation in Information Retrieval using PyTerrier</x:v>
      </x:c>
      <x:c r="I573" s="17" t="str">
        <x:v>Craig Macdonald; Nicola Tonellotto</x:v>
      </x:c>
      <x:c r="J573" s="22" t="n">
        <x:v>2020</x:v>
      </x:c>
      <x:c r="K573" s="27" t="str">
        <x:v>The advent of deep machine learning platforms such as Tensorflow and Pytorch, developed in expressive high-level languages such as Python, have allowed more expressive representations of deep neural network architectures. We argue that such a powerful formalism is missing in information retrieval (IR), and propose a framework called PyTerrier that allows advanced retrieval pipelines to be expressed, and evaluated, in a declarative manner close to their conceptual design. Like the aforementioned frameworks that compile deep learning experiments into primitive GPU operations, our framework targets IR platforms as backends in order to execute and evaluate retrieval pipelines. Further, we can automatically optimise the retrieval pipelines to increase their efficiency to suite a particular IR platform backend. Our experiments, conducted on TREC Robust and ClueWeb09 test collections, demonstrate the efficiency benefits of these optimisations for retrieval pipelines involving both the Anserini and Terrier IR platforms.</x:v>
      </x:c>
      <x:c r="L573" s="17" t="str">
        <x:v>http://arxiv.org/abs/2007.14271v1</x:v>
      </x:c>
      <x:c r="M573" s="23" t="n">
        <x:v>0.02666666666666667</x:v>
      </x:c>
      <x:c r="N573" s="17" t="str">
        <x:v>arxiv-paper-eval-20260727-105551-results.jsonl</x:v>
      </x:c>
      <x:c r="O573" s="24" t="str">
        <x:v>1</x:v>
      </x:c>
      <x:c r="P573" s="28" t="str">
        <x:v>提供IR流水线实验框架和测试集，属评测基础设施背景。</x:v>
      </x:c>
      <x:c r="Q573" s="25" t="str"/>
      <x:c r="R573" s="24" t="str">
        <x:f>IF(Q573&lt;&gt;"",Q573,O573)</x:f>
        <x:v>1</x:v>
      </x:c>
      <x:c r="S573" s="29" t="str"/>
    </x:row>
    <x:row r="574" ht="54" customHeight="1">
      <x:c r="A574" s="17" t="str">
        <x:v>csq029-r13</x:v>
      </x:c>
      <x:c r="B574" s="17" t="str">
        <x:v>csq029</x:v>
      </x:c>
      <x:c r="C574" s="17" t="str">
        <x:v>data_management_and_ir</x:v>
      </x:c>
      <x:c r="D574" s="17" t="str">
        <x:v>neural_information_retrieval</x:v>
      </x:c>
      <x:c r="E574" s="27" t="str">
        <x:v>Which benchmarks and metrics are used to evaluate sparse, dense, and hybrid neural information retrieval, and how well do they measure out-of-domain robustness?</x:v>
      </x:c>
      <x:c r="F574" s="22" t="n">
        <x:v>13</x:v>
      </x:c>
      <x:c r="G574" s="17" t="str">
        <x:v>arXiv:2504.05324</x:v>
      </x:c>
      <x:c r="H574" s="27" t="str">
        <x:v>Hybrid Retrieval for Hallucination Mitigation in Large Language Models: A Comparative Analysis</x:v>
      </x:c>
      <x:c r="I574" s="17" t="str">
        <x:v>Chandana Sree Mala; Gizem Gezici; Fosca Giannotti</x:v>
      </x:c>
      <x:c r="J574" s="22" t="n">
        <x:v>2025</x:v>
      </x:c>
      <x:c r="K574" s="27" t="str">
        <x:v>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and normalised discounted cumulative gain, focusing on the relevance of the top three retrieved documents. Results show that the hybrid retriever achieves better relevance scores, outperforming both sparse and dense retrievers. Further evaluation of LLM-generated answers against ground truth using metrics such as accuracy, hallucination rate, and rejection rate reveals that the hybrid retriever achieves the highest accuracy on fails, the lowest hallucination rate, and the lowest rejection rate. These findings highlight the hybrid retriever's ability to enhance retrieval relevance, reduce hallucination rates, and improve LLM reliability, emphasising the importance of advanced retrieval techniques in mitigating hallucinations and improving response accuracy.</x:v>
      </x:c>
      <x:c r="L574" s="17" t="str">
        <x:v>http://arxiv.org/abs/2504.05324v1</x:v>
      </x:c>
      <x:c r="M574" s="23" t="n">
        <x:v>0.01639344262295082</x:v>
      </x:c>
      <x:c r="N574" s="17" t="str">
        <x:v>arxiv-paper-eval-20260727-105551-results.jsonl</x:v>
      </x:c>
      <x:c r="O574" s="24" t="str">
        <x:v>2</x:v>
      </x:c>
      <x:c r="P574" s="28" t="str">
        <x:v>直接用MAP、NDCG比较稀疏、稠密和混合检索。</x:v>
      </x:c>
      <x:c r="Q574" s="25" t="str"/>
      <x:c r="R574" s="24" t="str">
        <x:f>IF(Q574&lt;&gt;"",Q574,O574)</x:f>
        <x:v>2</x:v>
      </x:c>
      <x:c r="S574" s="29" t="str"/>
    </x:row>
    <x:row r="575" ht="54" customHeight="1">
      <x:c r="A575" s="17" t="str">
        <x:v>csq029-r14</x:v>
      </x:c>
      <x:c r="B575" s="17" t="str">
        <x:v>csq029</x:v>
      </x:c>
      <x:c r="C575" s="17" t="str">
        <x:v>data_management_and_ir</x:v>
      </x:c>
      <x:c r="D575" s="17" t="str">
        <x:v>neural_information_retrieval</x:v>
      </x:c>
      <x:c r="E575" s="27" t="str">
        <x:v>Which benchmarks and metrics are used to evaluate sparse, dense, and hybrid neural information retrieval, and how well do they measure out-of-domain robustness?</x:v>
      </x:c>
      <x:c r="F575" s="22" t="n">
        <x:v>14</x:v>
      </x:c>
      <x:c r="G575" s="17" t="str">
        <x:v>arXiv:2403.18684</x:v>
      </x:c>
      <x:c r="H575" s="27" t="str">
        <x:v>Scaling Laws For Dense Retrieval</x:v>
      </x:c>
      <x:c r="I575" s="17" t="str">
        <x:v>Yan Fang; Jingtao Zhan; Qingyao Ai; Jiaxin Mao; Weihang Su; Jia Chen; Yiqun Liu</x:v>
      </x:c>
      <x:c r="J575" s="22" t="n">
        <x:v>2024</x:v>
      </x:c>
      <x:c r="K575" s="27" t="str">
        <x:v>Scaling up neural models has yielded significant advancements in a wide array of tasks, particularly in language generation. Previous studies have found that the performance of neural models frequently adheres to predictable scaling laws, correlated with factors such as training set size and model size. This insight is invaluable, especially as large-scale experiments grow increasingly resource-intensive. Yet, such scaling law has not been fully explored in dense retrieval due to the discrete nature of retrieval metrics and complex relationships between training data and model sizes in retrieval tasks. In this study, we investigate whether the performance of dense retrieval models follows the scaling law as other neural models. We propose to use contrastive log-likelihood as the evaluation metric and conduct extensive experiments with dense retrieval models implemented with different numbers of parameters and trained with different amounts of annotated data. Results indicate that, under our settings, the performance of dense retrieval models follows a precise power-law scaling related to the model size and the number of annotations. Additionally, we examine scaling with prevalent data augmentation methods to assess the impact of annotation quality, and apply the scaling law to find the best resource allocation strategy under a budget constraint. We believe that these insights will significantly contribute to understanding the scaling effect of dense retrieval models and offer meaningful guidance for future research endeavors.</x:v>
      </x:c>
      <x:c r="L575" s="17" t="str">
        <x:v>http://arxiv.org/abs/2403.18684v2</x:v>
      </x:c>
      <x:c r="M575" s="23" t="n">
        <x:v>0.01639344262295082</x:v>
      </x:c>
      <x:c r="N575" s="17" t="str">
        <x:v>arxiv-paper-eval-20260727-105551-results.jsonl</x:v>
      </x:c>
      <x:c r="O575" s="24" t="str">
        <x:v>1</x:v>
      </x:c>
      <x:c r="P575" s="28" t="str">
        <x:v>研究稠密检索指标的缩放规律，属单一架构评测证据。</x:v>
      </x:c>
      <x:c r="Q575" s="25" t="str"/>
      <x:c r="R575" s="24" t="str">
        <x:f>IF(Q575&lt;&gt;"",Q575,O575)</x:f>
        <x:v>1</x:v>
      </x:c>
      <x:c r="S575" s="29" t="str"/>
    </x:row>
    <x:row r="576" ht="54" customHeight="1">
      <x:c r="A576" s="17" t="str">
        <x:v>csq029-r15</x:v>
      </x:c>
      <x:c r="B576" s="17" t="str">
        <x:v>csq029</x:v>
      </x:c>
      <x:c r="C576" s="17" t="str">
        <x:v>data_management_and_ir</x:v>
      </x:c>
      <x:c r="D576" s="17" t="str">
        <x:v>neural_information_retrieval</x:v>
      </x:c>
      <x:c r="E576" s="27" t="str">
        <x:v>Which benchmarks and metrics are used to evaluate sparse, dense, and hybrid neural information retrieval, and how well do they measure out-of-domain robustness?</x:v>
      </x:c>
      <x:c r="F576" s="22" t="n">
        <x:v>15</x:v>
      </x:c>
      <x:c r="G576" s="17" t="str">
        <x:v>arXiv:2503.23013</x:v>
      </x:c>
      <x:c r="H576" s="27" t="str">
        <x:v>DAT: Dynamic Alpha Tuning for Hybrid Retrieval in Retrieval-Augmented Generation</x:v>
      </x:c>
      <x:c r="I576" s="17" t="str">
        <x:v>Hsin-Ling Hsu; Jengnan Tzeng</x:v>
      </x:c>
      <x:c r="J576" s="22" t="n">
        <x:v>2025</x:v>
      </x:c>
      <x:c r="K576" s="27" t="str">
        <x:v>Hybrid retrieval techniques in Retrieval-Augmented Generation (RAG) systems enhance information retrieval by combining dense and sparse (e.g., BM25-based) retrieval methods. However, existing approaches struggle with adaptability, as fixed weighting schemes fail to adjust to different queries. To address this, we propose DAT (Dynamic Alpha Tuning), a novel hybrid retrieval framework that dynamically balances dense retrieval and BM25 for each query. DAT leverages a large language model (LLM) to evaluate the effectiveness of the top-1 results from both retrieval methods, assigning an effectiveness score to each. It then calibrates the optimal weighting factor through effectiveness score normalization, ensuring a more adaptive and query-aware weighting between the two approaches. Empirical results show that DAT consistently significantly outperforms fixed-weighting hybrid retrieval methods across various evaluation metrics. Even on smaller models, DAT delivers strong performance, highlighting its efficiency and adaptability.</x:v>
      </x:c>
      <x:c r="L576" s="17" t="str">
        <x:v>http://arxiv.org/abs/2503.23013v1</x:v>
      </x:c>
      <x:c r="M576" s="23" t="n">
        <x:v>0.016129032258064516</x:v>
      </x:c>
      <x:c r="N576" s="17" t="str">
        <x:v>arxiv-paper-eval-20260727-105551-results.jsonl</x:v>
      </x:c>
      <x:c r="O576" s="24" t="str">
        <x:v>2</x:v>
      </x:c>
      <x:c r="P576" s="28" t="str">
        <x:v>直接评测动态稀疏-稠密混合检索的多项指标。</x:v>
      </x:c>
      <x:c r="Q576" s="25" t="str"/>
      <x:c r="R576" s="24" t="str">
        <x:f>IF(Q576&lt;&gt;"",Q576,O576)</x:f>
        <x:v>2</x:v>
      </x:c>
      <x:c r="S576" s="29" t="str"/>
    </x:row>
    <x:row r="577" ht="54" customHeight="1">
      <x:c r="A577" s="17" t="str">
        <x:v>csq029-r16</x:v>
      </x:c>
      <x:c r="B577" s="17" t="str">
        <x:v>csq029</x:v>
      </x:c>
      <x:c r="C577" s="17" t="str">
        <x:v>data_management_and_ir</x:v>
      </x:c>
      <x:c r="D577" s="17" t="str">
        <x:v>neural_information_retrieval</x:v>
      </x:c>
      <x:c r="E577" s="27" t="str">
        <x:v>Which benchmarks and metrics are used to evaluate sparse, dense, and hybrid neural information retrieval, and how well do they measure out-of-domain robustness?</x:v>
      </x:c>
      <x:c r="F577" s="22" t="n">
        <x:v>16</x:v>
      </x:c>
      <x:c r="G577" s="17" t="str">
        <x:v>arXiv:2109.10739</x:v>
      </x:c>
      <x:c r="H577" s="27" t="str">
        <x:v>Predicting Efficiency/Effectiveness Trade-offs for Dense vs. Sparse Retrieval Strategy Selection</x:v>
      </x:c>
      <x:c r="I577" s="17" t="str">
        <x:v>Negar Arabzadeh; Xinyi Yan; Charles L. A. Clarke</x:v>
      </x:c>
      <x:c r="J577" s="22" t="n">
        <x:v>2021</x:v>
      </x:c>
      <x:c r="K577" s="27" t="str">
        <x:v>Over the last few years, contextualized pre-trained transformer models such as BERT have provided substantial improvements on information retrieval tasks. Recent approaches based on pre-trained transformer models such as BERT, fine-tune dense low-dimensional contextualized representations of queries and documents in embedding space. While these dense retrievers enjoy substantial retrieval effectiveness improvements compared to sparse retrievers, they are computationally intensive, requiring substantial GPU resources, and dense retrievers are known to be more expensive from both time and resource perspectives. In addition, sparse retrievers have been shown to retrieve complementary information with respect to dense retrievers, leading to proposals for hybrid retrievers. These hybrid retrievers leverage low-cost, exact-matching based sparse retrievers along with dense retrievers to bridge the semantic gaps between query and documents. In this work, we address this trade-off between the cost and utility of sparse vs dense retrievers by proposing a classifier to select a suitable retrieval strategy (i.e., sparse vs. dense vs. hybrid) for individual queries. Leveraging sparse retrievers for queries which can be answered with sparse retrievers decreases the number of calls to GPUs. Consequently, while utility is maintained, query latency decreases. Although we use less computational resources and spend less time, we still achieve improved performance. Our classifier can select between sparse and dense retrieval strategies based on the query alone. We conduct experiments on the MS MARCO passage dataset demonstrating an improved range of efficiency/effectiveness trade-offs between purely sparse, purely dense or hybrid retrieval strategies, allowing an appropriate strategy to be selected based on a target latency and resource budget.</x:v>
      </x:c>
      <x:c r="L577" s="17" t="str">
        <x:v>http://arxiv.org/abs/2109.10739v1</x:v>
      </x:c>
      <x:c r="M577" s="23" t="n">
        <x:v>0.016129032258064516</x:v>
      </x:c>
      <x:c r="N577" s="17" t="str">
        <x:v>arxiv-paper-eval-20260727-105551-results.jsonl</x:v>
      </x:c>
      <x:c r="O577" s="24" t="str">
        <x:v>2</x:v>
      </x:c>
      <x:c r="P577" s="28" t="str">
        <x:v>直接比较稀疏、稠密、混合检索的效果、延迟和资源。</x:v>
      </x:c>
      <x:c r="Q577" s="25" t="str"/>
      <x:c r="R577" s="24" t="str">
        <x:f>IF(Q577&lt;&gt;"",Q577,O577)</x:f>
        <x:v>2</x:v>
      </x:c>
      <x:c r="S577" s="29" t="str"/>
    </x:row>
    <x:row r="578" ht="54" customHeight="1">
      <x:c r="A578" s="17" t="str">
        <x:v>csq029-r17</x:v>
      </x:c>
      <x:c r="B578" s="17" t="str">
        <x:v>csq029</x:v>
      </x:c>
      <x:c r="C578" s="17" t="str">
        <x:v>data_management_and_ir</x:v>
      </x:c>
      <x:c r="D578" s="17" t="str">
        <x:v>neural_information_retrieval</x:v>
      </x:c>
      <x:c r="E578" s="27" t="str">
        <x:v>Which benchmarks and metrics are used to evaluate sparse, dense, and hybrid neural information retrieval, and how well do they measure out-of-domain robustness?</x:v>
      </x:c>
      <x:c r="F578" s="22" t="n">
        <x:v>17</x:v>
      </x:c>
      <x:c r="G578" s="17" t="str">
        <x:v>arXiv:2410.01383</x:v>
      </x:c>
      <x:c r="H578" s="27" t="str">
        <x:v>PairDistill: Pairwise Relevance Distillation for Dense Retrieval</x:v>
      </x:c>
      <x:c r="I578" s="17" t="str">
        <x:v>Chao-Wei Huang; Yun-Nung Chen</x:v>
      </x:c>
      <x:c r="J578" s="22" t="n">
        <x:v>2024</x:v>
      </x:c>
      <x:c r="K578" s="27" t="str">
        <x:v>Effective information retrieval (IR) from vast datasets relies on advanced techniques to extract relevant information in response to queries. Recent advancements in dense retrieval have showcased remarkable efficacy compared to traditional sparse retrieval methods. To further enhance retrieval performance, knowledge distillation techniques, often leveraging robust cross-encoder rerankers, have been extensively explored. However, existing approaches primarily distill knowledge from pointwise rerankers, which assign absolute relevance scores to documents, thus facing challenges related to inconsistent comparisons. This paper introduces Pairwise Relevance Distillation (PairDistill) to leverage pairwise reranking, offering fine-grained distinctions between similarly relevant documents to enrich the training of dense retrieval models. Our experiments demonstrate that PairDistill outperforms existing methods, achieving new state-of-the-art results across multiple benchmarks. This highlights the potential of PairDistill in advancing dense retrieval techniques effectively. Our source code and trained models are released at https://github.com/MiuLab/PairDistill</x:v>
      </x:c>
      <x:c r="L578" s="17" t="str">
        <x:v>http://arxiv.org/abs/2410.01383v1</x:v>
      </x:c>
      <x:c r="M578" s="23" t="n">
        <x:v>0.015873015873015872</x:v>
      </x:c>
      <x:c r="N578" s="17" t="str">
        <x:v>arxiv-paper-eval-20260727-105551-results.jsonl</x:v>
      </x:c>
      <x:c r="O578" s="24" t="str">
        <x:v>1</x:v>
      </x:c>
      <x:c r="P578" s="28" t="str">
        <x:v>在多基准评测稠密检索，未覆盖三类和OOD度量。</x:v>
      </x:c>
      <x:c r="Q578" s="25" t="str"/>
      <x:c r="R578" s="24" t="str">
        <x:f>IF(Q578&lt;&gt;"",Q578,O578)</x:f>
        <x:v>1</x:v>
      </x:c>
      <x:c r="S578" s="29" t="str"/>
    </x:row>
    <x:row r="579" ht="54" customHeight="1">
      <x:c r="A579" s="17" t="str">
        <x:v>csq029-r18</x:v>
      </x:c>
      <x:c r="B579" s="17" t="str">
        <x:v>csq029</x:v>
      </x:c>
      <x:c r="C579" s="17" t="str">
        <x:v>data_management_and_ir</x:v>
      </x:c>
      <x:c r="D579" s="17" t="str">
        <x:v>neural_information_retrieval</x:v>
      </x:c>
      <x:c r="E579" s="27" t="str">
        <x:v>Which benchmarks and metrics are used to evaluate sparse, dense, and hybrid neural information retrieval, and how well do they measure out-of-domain robustness?</x:v>
      </x:c>
      <x:c r="F579" s="22" t="n">
        <x:v>18</x:v>
      </x:c>
      <x:c r="G579" s="17" t="str">
        <x:v>arXiv:2208.05663</x:v>
      </x:c>
      <x:c r="H579" s="27" t="str">
        <x:v>On the Value of Behavioral Representations for Dense Retrieval</x:v>
      </x:c>
      <x:c r="I579" s="17" t="str">
        <x:v>Nan Jiang; Dhivya Eswaran; Choon Hui Teo; Yexiang Xue; Yesh Dattatreya; Sujay Sanghavi; Vishy Vishwanathan</x:v>
      </x:c>
      <x:c r="J579" s="22" t="n">
        <x:v>2022</x:v>
      </x:c>
      <x:c r="K579" s="27" t="str">
        <x:v>We consider text retrieval within dense representational space in real-world settings such as e-commerce search where (a) document popularity and (b) diversity of queries associated with a document have a skewed distribution. Most of the contemporary dense retrieval literature presents two shortcomings in these settings. (1) They learn an almost equal number of representations per document, agnostic to the fact that a few head documents are disproportionately more critical to achieving a good retrieval performance. (ii) They learn purely semantic document representations inferred from intrinsic document characteristics which may not contain adequate information to determine the queries for which the document is relevant--especially when the document is short. We propose to overcome these limitations by augmenting semantic document representations learned by bi-encoders with behavioral document representations learned by our proposed approach MVG. To do so, MVG (1) determines how to divide the total budget for behavioral representations by drawing a connection to the Pitman-Yor process, and (2) simply clusters the queries related to a given document (based on user behavior) within the representational space learned by a base bi-encoder, and treats the cluster centers as its behavioral representations. Our central contribution is the finding such a simple intuitive light-weight approach leads to substantial gains in key first-stage retrieval metrics by incurring only a marginal memory overhead. We establish this via extensive experiments over three large public datasets comparing several single-vector and multi-vector bi-encoders, a proprietary e-commerce search dataset compared to production-quality bi-encoder, and an A/B test.</x:v>
      </x:c>
      <x:c r="L579" s="17" t="str">
        <x:v>http://arxiv.org/abs/2208.05663v1</x:v>
      </x:c>
      <x:c r="M579" s="23" t="n">
        <x:v>0.015873015873015872</x:v>
      </x:c>
      <x:c r="N579" s="17" t="str">
        <x:v>arxiv-paper-eval-20260727-105551-results.jsonl</x:v>
      </x:c>
      <x:c r="O579" s="24" t="str">
        <x:v>1</x:v>
      </x:c>
      <x:c r="P579" s="28" t="str">
        <x:v>以多数据集和关键指标评测稠密检索，属相关证据。</x:v>
      </x:c>
      <x:c r="Q579" s="25" t="str"/>
      <x:c r="R579" s="24" t="str">
        <x:f>IF(Q579&lt;&gt;"",Q579,O579)</x:f>
        <x:v>1</x:v>
      </x:c>
      <x:c r="S579" s="29" t="str"/>
    </x:row>
    <x:row r="580" ht="54" customHeight="1">
      <x:c r="A580" s="17" t="str">
        <x:v>csq029-r19</x:v>
      </x:c>
      <x:c r="B580" s="17" t="str">
        <x:v>csq029</x:v>
      </x:c>
      <x:c r="C580" s="17" t="str">
        <x:v>data_management_and_ir</x:v>
      </x:c>
      <x:c r="D580" s="17" t="str">
        <x:v>neural_information_retrieval</x:v>
      </x:c>
      <x:c r="E580" s="27" t="str">
        <x:v>Which benchmarks and metrics are used to evaluate sparse, dense, and hybrid neural information retrieval, and how well do they measure out-of-domain robustness?</x:v>
      </x:c>
      <x:c r="F580" s="22" t="n">
        <x:v>19</x:v>
      </x:c>
      <x:c r="G580" s="17" t="str">
        <x:v>arXiv:2507.03479</x:v>
      </x:c>
      <x:c r="H580" s="27" t="str">
        <x:v>Explainable Information Retrieval in the Audit Domain</x:v>
      </x:c>
      <x:c r="I580" s="17" t="str">
        <x:v>Alexander Frummet; Emanuel Slany; Jonas Amling; Moritz Lang; Stephan Scheele</x:v>
      </x:c>
      <x:c r="J580" s="22" t="n">
        <x:v>2025</x:v>
      </x:c>
      <x:c r="K580" s="27" t="str">
        <x:v>Conversational agents such as Microsoft Copilot and Google Gemini assist users with complex search tasks but often generate misleading or fabricated references. This undermines trust, particularly in high-stakes domains such as medicine and finance. Explainable information retrieval (XIR) aims to address this by making search results more transparent and interpretable. While most XIR research is domain-agnostic, this paper focuses on auditing -- a critical yet underexplored area. We argue that XIR systems can support auditors in completing their complex task. We outline key challenges and future research directions to advance XIR in this domain.</x:v>
      </x:c>
      <x:c r="L580" s="17" t="str">
        <x:v>http://arxiv.org/abs/2507.03479v1</x:v>
      </x:c>
      <x:c r="M580" s="23" t="n">
        <x:v>0.015625</x:v>
      </x:c>
      <x:c r="N580" s="17" t="str">
        <x:v>arxiv-paper-eval-20260727-105551-results.jsonl</x:v>
      </x:c>
      <x:c r="O580" s="24" t="str">
        <x:v>0</x:v>
      </x:c>
      <x:c r="P580" s="28" t="str">
        <x:v>讨论审计领域可解释检索，未提供题目所需基准比较。</x:v>
      </x:c>
      <x:c r="Q580" s="25" t="str"/>
      <x:c r="R580" s="24" t="str">
        <x:f>IF(Q580&lt;&gt;"",Q580,O580)</x:f>
        <x:v>0</x:v>
      </x:c>
      <x:c r="S580" s="29" t="str"/>
    </x:row>
    <x:row r="581" ht="54" customHeight="1">
      <x:c r="A581" s="17" t="str">
        <x:v>csq029-r20</x:v>
      </x:c>
      <x:c r="B581" s="17" t="str">
        <x:v>csq029</x:v>
      </x:c>
      <x:c r="C581" s="17" t="str">
        <x:v>data_management_and_ir</x:v>
      </x:c>
      <x:c r="D581" s="17" t="str">
        <x:v>neural_information_retrieval</x:v>
      </x:c>
      <x:c r="E581" s="27" t="str">
        <x:v>Which benchmarks and metrics are used to evaluate sparse, dense, and hybrid neural information retrieval, and how well do they measure out-of-domain robustness?</x:v>
      </x:c>
      <x:c r="F581" s="22" t="n">
        <x:v>20</x:v>
      </x:c>
      <x:c r="G581" s="17" t="str">
        <x:v>arXiv:2306.11397</x:v>
      </x:c>
      <x:c r="H581" s="27" t="str">
        <x:v>Generative Retrieval as Dense Retrieval</x:v>
      </x:c>
      <x:c r="I581" s="17" t="str">
        <x:v>Thong Nguyen; Andrew Yates</x:v>
      </x:c>
      <x:c r="J581" s="22" t="n">
        <x:v>2023</x:v>
      </x:c>
      <x:c r="K581" s="27" t="str">
        <x:v>Generative retrieval is a promising new neural retrieval paradigm that aims to optimize the retrieval pipeline by performing both indexing and retrieval with a single transformer model. However, this new paradigm faces challenges with updating the index and scaling to large collections. In this paper, we analyze two prominent variants of generative retrieval and show that they can be conceptually viewed as bi-encoders for dense retrieval. Specifically, we analytically demonstrate that the generative retrieval process can be decomposed into dot products between query and document vectors, similar to dense retrieval. This analysis leads us to propose a new variant of generative retrieval, called Tied-Atomic, which addresses the updating and scaling issues by incorporating techniques from dense retrieval. In experiments on two datasets, NQ320k and the full MSMARCO, we confirm that this approach does not reduce retrieval effectiveness while enabling the model to scale to large collections.</x:v>
      </x:c>
      <x:c r="L581" s="17" t="str">
        <x:v>http://arxiv.org/abs/2306.11397v1</x:v>
      </x:c>
      <x:c r="M581" s="23" t="n">
        <x:v>0.015625</x:v>
      </x:c>
      <x:c r="N581" s="17" t="str">
        <x:v>arxiv-paper-eval-20260727-105551-results.jsonl</x:v>
      </x:c>
      <x:c r="O581" s="24" t="str">
        <x:v>1</x:v>
      </x:c>
      <x:c r="P581" s="28" t="str">
        <x:v>分析生成式与稠密检索关系，提供架构背景但非鲁棒评测。</x:v>
      </x:c>
      <x:c r="Q581" s="25" t="str"/>
      <x:c r="R581" s="24" t="str">
        <x:f>IF(Q581&lt;&gt;"",Q581,O581)</x:f>
        <x:v>1</x:v>
      </x:c>
      <x:c r="S581" s="29" t="str"/>
    </x:row>
    <x:row r="582" ht="54" customHeight="1">
      <x:c r="A582" s="17" t="str">
        <x:v>csq030-r01</x:v>
      </x:c>
      <x:c r="B582" s="17" t="str">
        <x:v>csq030</x:v>
      </x:c>
      <x:c r="C582" s="17" t="str">
        <x:v>data_management_and_ir</x:v>
      </x:c>
      <x:c r="D582" s="17" t="str">
        <x:v>text_to_sql</x:v>
      </x:c>
      <x:c r="E582" s="27" t="str">
        <x:v>How have text-to-SQL systems evolved from schema-aware neural parsers to large-language-model-based approaches, and which challenges remain on cross-domain benchmarks?</x:v>
      </x:c>
      <x:c r="F582" s="22" t="n">
        <x:v>1</x:v>
      </x:c>
      <x:c r="G582" s="17" t="str">
        <x:v>arXiv:2410.06011</x:v>
      </x:c>
      <x:c r="H582" s="27" t="str">
        <x:v>Large Language Model Enhanced Text-to-SQL Generation: A Survey</x:v>
      </x:c>
      <x:c r="I582" s="17" t="str">
        <x:v>Xiaohu Zhu; Qian Li; Lizhen Cui; Yongkang Liu</x:v>
      </x:c>
      <x:c r="J582" s="22" t="n">
        <x:v>2024</x:v>
      </x:c>
      <x:c r="K582" s="27" t="str">
        <x:v>Text-to-SQL translates natural language queries into Structured Query Language (SQL) commands, enabling users to interact with databases using natural language. Essentially, the text-to-SQL task is a text generation task, and its development is primarily dependent on changes in language models. Especially with the rapid development of Large Language Models (LLMs), the pattern of text-to-SQL has undergone significant changes. Existing survey work mainly focuses on rule-based and neural-based approaches, but it still lacks a survey of Text-to-SQL with LLMs. In this paper, we survey the large language model enhanced text-to-SQL generations, classifying them into prompt engineering, fine-tuning, pre-trained, and Agent groups according to training strategies. We also summarize datasets and evaluation metrics comprehensively. This survey could help people better understand the pattern, research status, and challenges of LLM-based text-to-SQL generations.</x:v>
      </x:c>
      <x:c r="L582" s="17" t="str">
        <x:v>http://arxiv.org/abs/2410.06011v1</x:v>
      </x:c>
      <x:c r="M582" s="23" t="n">
        <x:v>0.032266458495966696</x:v>
      </x:c>
      <x:c r="N582" s="17" t="str">
        <x:v>arxiv-paper-eval-20260727-105551-results.jsonl</x:v>
      </x:c>
      <x:c r="O582" s="24" t="str">
        <x:v>2</x:v>
      </x:c>
      <x:c r="P582" s="28" t="str">
        <x:v>综述LLM文本转SQL路线、数据集、指标和挑战。</x:v>
      </x:c>
      <x:c r="Q582" s="25" t="str"/>
      <x:c r="R582" s="24" t="str">
        <x:f>IF(Q582&lt;&gt;"",Q582,O582)</x:f>
        <x:v>2</x:v>
      </x:c>
      <x:c r="S582" s="29" t="str"/>
    </x:row>
    <x:row r="583" ht="54" customHeight="1">
      <x:c r="A583" s="17" t="str">
        <x:v>csq030-r02</x:v>
      </x:c>
      <x:c r="B583" s="17" t="str">
        <x:v>csq030</x:v>
      </x:c>
      <x:c r="C583" s="17" t="str">
        <x:v>data_management_and_ir</x:v>
      </x:c>
      <x:c r="D583" s="17" t="str">
        <x:v>text_to_sql</x:v>
      </x:c>
      <x:c r="E583" s="27" t="str">
        <x:v>How have text-to-SQL systems evolved from schema-aware neural parsers to large-language-model-based approaches, and which challenges remain on cross-domain benchmarks?</x:v>
      </x:c>
      <x:c r="F583" s="22" t="n">
        <x:v>2</x:v>
      </x:c>
      <x:c r="G583" s="17" t="str">
        <x:v>arXiv:2505.23838</x:v>
      </x:c>
      <x:c r="H583" s="27" t="str">
        <x:v>Exploring the Landscape of Text-to-SQL with Large Language Models: Progresses, Challenges and Opportunities</x:v>
      </x:c>
      <x:c r="I583" s="17" t="str">
        <x:v>Yiming Huang; Jiyu Guo; Wenxin Mao; Cuiyun Gao; Peiyi Han; Chuanyi Liu; Qing Ling</x:v>
      </x:c>
      <x:c r="J583" s="22" t="n">
        <x:v>2025</x:v>
      </x:c>
      <x:c r="K583" s="27" t="str">
        <x:v>Converting natural language (NL) questions into SQL queries, referred to as Text-to-SQL, has emerged as a pivotal technology for facilitating access to relational databases, especially for users without SQL knowledge. Recent progress in large language models (LLMs) has markedly propelled the field of natural language processing (NLP), opening new avenues to improve text-to-SQL systems. This study presents a systematic review of LLM-based text-to-SQL, focusing on four key aspects: (1) an analysis of the research trends in LLM-based text-to-SQL; (2) an in-depth analysis of existing LLM-based text-to-SQL techniques from diverse perspectives; (3) summarization of existing text-to-SQL datasets and evaluation metrics; and (4) discussion on potential obstacles and avenues for future exploration in this domain. This survey seeks to furnish researchers with an in-depth understanding of LLM-based text-to-SQL, sparking new innovations and advancements in this field.</x:v>
      </x:c>
      <x:c r="L583" s="17" t="str">
        <x:v>http://arxiv.org/abs/2505.23838v1</x:v>
      </x:c>
      <x:c r="M583" s="23" t="n">
        <x:v>0.031754032258064516</x:v>
      </x:c>
      <x:c r="N583" s="17" t="str">
        <x:v>arxiv-paper-eval-20260727-105551-results.jsonl</x:v>
      </x:c>
      <x:c r="O583" s="24" t="str">
        <x:v>2</x:v>
      </x:c>
      <x:c r="P583" s="28" t="str">
        <x:v>系统综述LLM文本转SQL进展、基准和挑战。</x:v>
      </x:c>
      <x:c r="Q583" s="25" t="str"/>
      <x:c r="R583" s="24" t="str">
        <x:f>IF(Q583&lt;&gt;"",Q583,O583)</x:f>
        <x:v>2</x:v>
      </x:c>
      <x:c r="S583" s="29" t="str"/>
    </x:row>
    <x:row r="584" ht="54" customHeight="1">
      <x:c r="A584" s="17" t="str">
        <x:v>csq030-r03</x:v>
      </x:c>
      <x:c r="B584" s="17" t="str">
        <x:v>csq030</x:v>
      </x:c>
      <x:c r="C584" s="17" t="str">
        <x:v>data_management_and_ir</x:v>
      </x:c>
      <x:c r="D584" s="17" t="str">
        <x:v>text_to_sql</x:v>
      </x:c>
      <x:c r="E584" s="27" t="str">
        <x:v>How have text-to-SQL systems evolved from schema-aware neural parsers to large-language-model-based approaches, and which challenges remain on cross-domain benchmarks?</x:v>
      </x:c>
      <x:c r="F584" s="22" t="n">
        <x:v>3</x:v>
      </x:c>
      <x:c r="G584" s="17" t="str">
        <x:v>arXiv:2505.18929</x:v>
      </x:c>
      <x:c r="H584" s="27" t="str">
        <x:v>Meta-aware Learning in text-to-SQL Large Language Model</x:v>
      </x:c>
      <x:c r="I584" s="17" t="str">
        <x:v>Wenda Zhang</x:v>
      </x:c>
      <x:c r="J584" s="22" t="n">
        <x:v>2025</x:v>
      </x:c>
      <x:c r="K584" s="27" t="str">
        <x:v>The advancements of Large language models (LLMs) have provided great opportunities to text-to-SQL tasks to overcome the main challenges to understand complex domain information and complex database structures in business applications. In this paper, we propose a meta-aware learning framework to integrate domain knowledge, database schema, chain-of-thought reasoning processes, and metadata relationships to improve the SQL generation quality. The proposed framework includes four learning strategies: schema-based learning, Chain-of-Thought (CoT) learning, knowledge-enhanced learning, and key information tokenization. This approach provides a comprehensive understanding of database structure and metadata information towards LLM through fine-tuning to improve its performance on SQL generation within business domains. Through two experimental studies, we have demonstrated the superiority of the proposed methods in execution accuracy, multi-task SQL generation capability, and reduction of catastrophic forgetting.</x:v>
      </x:c>
      <x:c r="L584" s="17" t="str">
        <x:v>http://arxiv.org/abs/2505.18929v1</x:v>
      </x:c>
      <x:c r="M584" s="23" t="n">
        <x:v>0.031099324975891997</x:v>
      </x:c>
      <x:c r="N584" s="17" t="str">
        <x:v>arxiv-paper-eval-20260727-105551-results.jsonl</x:v>
      </x:c>
      <x:c r="O584" s="24" t="str">
        <x:v>2</x:v>
      </x:c>
      <x:c r="P584" s="28" t="str">
        <x:v>将schema、领域知识和推理注入LLM文本转SQL。</x:v>
      </x:c>
      <x:c r="Q584" s="25" t="str"/>
      <x:c r="R584" s="24" t="str">
        <x:f>IF(Q584&lt;&gt;"",Q584,O584)</x:f>
        <x:v>2</x:v>
      </x:c>
      <x:c r="S584" s="29" t="str"/>
    </x:row>
    <x:row r="585" ht="54" customHeight="1">
      <x:c r="A585" s="17" t="str">
        <x:v>csq030-r04</x:v>
      </x:c>
      <x:c r="B585" s="17" t="str">
        <x:v>csq030</x:v>
      </x:c>
      <x:c r="C585" s="17" t="str">
        <x:v>data_management_and_ir</x:v>
      </x:c>
      <x:c r="D585" s="17" t="str">
        <x:v>text_to_sql</x:v>
      </x:c>
      <x:c r="E585" s="27" t="str">
        <x:v>How have text-to-SQL systems evolved from schema-aware neural parsers to large-language-model-based approaches, and which challenges remain on cross-domain benchmarks?</x:v>
      </x:c>
      <x:c r="F585" s="22" t="n">
        <x:v>4</x:v>
      </x:c>
      <x:c r="G585" s="17" t="str">
        <x:v>arXiv:2408.05109</x:v>
      </x:c>
      <x:c r="H585" s="27" t="str">
        <x:v>A Survey of Text-to-SQL in the Era of LLMs: Where are we, and where are we going?</x:v>
      </x:c>
      <x:c r="I585" s="17" t="str">
        <x:v>Xinyu Liu; Shuyu Shen; Boyan Li; Peixian Ma; Runzhi Jiang; Yuxin Zhang; Ju Fan; Guoliang Li; Nan Tang; Yuyu Luo</x:v>
      </x:c>
      <x:c r="J585" s="22" t="n">
        <x:v>2024</x:v>
      </x:c>
      <x:c r="K585" s="27" t="str">
        <x:v>Translating users' natural language queries (NL) into SQL queries (i.e., Text-to-SQL, a.k.a. NL2SQL) can significantly reduce barriers to accessing relational databases and support various commercial applications. The performance of Text-to-SQL has been greatly enhanced with the emergence of Large Language Models (LLMs). In this survey, we provide a comprehensive review of Text-to-SQL techniques powered by LLMs, covering its entire lifecycle from the following four aspects: (1) Model: Text-to-SQL translation techniques that tackle not only NL ambiguity and under-specification, but also properly map NL with database schema and instances; (2) Data: From the collection of training data, data synthesis due to training data scarcity, to Text-to-SQL benchmarks; (3) Evaluation: Evaluating Text-to-SQL methods from multiple angles using different metrics and granularities; and (4) Error Analysis: analyzing Text-to-SQL errors to find the root cause and guiding Text-to-SQL models to evolve. Moreover, we offer a rule of thumb for developing Text-to-SQL solutions. Finally, we discuss the research challenges and open problems of Text-to-SQL in the LLMs era. Text-to-SQL Handbook: https://github.com/HKUSTDial/NL2SQL Handbook</x:v>
      </x:c>
      <x:c r="L585" s="17" t="str">
        <x:v>http://arxiv.org/abs/2408.05109v6</x:v>
      </x:c>
      <x:c r="M585" s="23" t="n">
        <x:v>0.030798389007344232</x:v>
      </x:c>
      <x:c r="N585" s="17" t="str">
        <x:v>arxiv-paper-eval-20260727-105551-results.jsonl</x:v>
      </x:c>
      <x:c r="O585" s="24" t="str">
        <x:v>2</x:v>
      </x:c>
      <x:c r="P585" s="28" t="str">
        <x:v>全面覆盖schema映射、基准、评价和LLM时代错误挑战。</x:v>
      </x:c>
      <x:c r="Q585" s="25" t="str"/>
      <x:c r="R585" s="24" t="str">
        <x:f>IF(Q585&lt;&gt;"",Q585,O585)</x:f>
        <x:v>2</x:v>
      </x:c>
      <x:c r="S585" s="29" t="str"/>
    </x:row>
    <x:row r="586" ht="54" customHeight="1">
      <x:c r="A586" s="17" t="str">
        <x:v>csq030-r05</x:v>
      </x:c>
      <x:c r="B586" s="17" t="str">
        <x:v>csq030</x:v>
      </x:c>
      <x:c r="C586" s="17" t="str">
        <x:v>data_management_and_ir</x:v>
      </x:c>
      <x:c r="D586" s="17" t="str">
        <x:v>text_to_sql</x:v>
      </x:c>
      <x:c r="E586" s="27" t="str">
        <x:v>How have text-to-SQL systems evolved from schema-aware neural parsers to large-language-model-based approaches, and which challenges remain on cross-domain benchmarks?</x:v>
      </x:c>
      <x:c r="F586" s="22" t="n">
        <x:v>5</x:v>
      </x:c>
      <x:c r="G586" s="17" t="str">
        <x:v>arXiv:1905.08205</x:v>
      </x:c>
      <x:c r="H586" s="27" t="str">
        <x:v>Towards Complex Text-to-SQL in Cross-Domain Database with Intermediate Representation</x:v>
      </x:c>
      <x:c r="I586" s="17" t="str">
        <x:v>Jiaqi Guo; Zecheng Zhan; Yan Gao; Yan Xiao; Jian-Guang Lou; Ting Liu; Dongmei Zhang</x:v>
      </x:c>
      <x:c r="J586" s="22" t="n">
        <x:v>2019</x:v>
      </x:c>
      <x:c r="K586" s="27" t="str">
        <x:v>We present a neural approach called IRNet for complex and cross-domain Text-to-SQL. IRNet aims to address two challenges: 1) the mismatch between intents expressed in natural language (NL) and the implementation details in SQL; 2) the challenge in predicting columns caused by the large number of out-of-domain words. Instead of end-to-end synthesizing a SQL query, IRNet decomposes the synthesis process into three phases. In the first phase, IRNet performs a schema linking over a question and a database schema. Then, IRNet adopts a grammar-based neural model to synthesize a SemQL query which is an intermediate representation that we design to bridge NL and SQL. Finally, IRNet deterministically infers a SQL query from the synthesized SemQL query with domain knowledge. On the challenging Text-to-SQL benchmark Spider, IRNet achieves 46.7% accuracy, obtaining 19.5% absolute improvement over previous state-of-the-art approaches. At the time of writing, IRNet achieves the first position on the Spider leaderboard.</x:v>
      </x:c>
      <x:c r="L586" s="17" t="str">
        <x:v>http://arxiv.org/abs/1905.08205v2</x:v>
      </x:c>
      <x:c r="M586" s="23" t="n">
        <x:v>0.03021353930031804</x:v>
      </x:c>
      <x:c r="N586" s="17" t="str">
        <x:v>arxiv-paper-eval-20260727-105551-results.jsonl</x:v>
      </x:c>
      <x:c r="O586" s="24" t="str">
        <x:v>2</x:v>
      </x:c>
      <x:c r="P586" s="28" t="str">
        <x:v>IRNet是典型跨域schema linking神经解析器并在Spider评测。</x:v>
      </x:c>
      <x:c r="Q586" s="25" t="str"/>
      <x:c r="R586" s="24" t="str">
        <x:f>IF(Q586&lt;&gt;"",Q586,O586)</x:f>
        <x:v>2</x:v>
      </x:c>
      <x:c r="S586" s="29" t="str"/>
    </x:row>
    <x:row r="587" ht="54" customHeight="1">
      <x:c r="A587" s="17" t="str">
        <x:v>csq030-r06</x:v>
      </x:c>
      <x:c r="B587" s="17" t="str">
        <x:v>csq030</x:v>
      </x:c>
      <x:c r="C587" s="17" t="str">
        <x:v>data_management_and_ir</x:v>
      </x:c>
      <x:c r="D587" s="17" t="str">
        <x:v>text_to_sql</x:v>
      </x:c>
      <x:c r="E587" s="27" t="str">
        <x:v>How have text-to-SQL systems evolved from schema-aware neural parsers to large-language-model-based approaches, and which challenges remain on cross-domain benchmarks?</x:v>
      </x:c>
      <x:c r="F587" s="22" t="n">
        <x:v>6</x:v>
      </x:c>
      <x:c r="G587" s="17" t="str">
        <x:v>arXiv:2308.15363</x:v>
      </x:c>
      <x:c r="H587" s="27" t="str">
        <x:v>Text-to-SQL Empowered by Large Language Models: A Benchmark Evaluation</x:v>
      </x:c>
      <x:c r="I587" s="17" t="str">
        <x:v>Dawei Gao; Haibin Wang; Yaliang Li; Xiuyu Sun; Yichen Qian; Bolin Ding; Jingren Zhou</x:v>
      </x:c>
      <x:c r="J587" s="22" t="n">
        <x:v>2023</x:v>
      </x:c>
      <x:c r="K587" s="27" t="str">
        <x:v>Large language models (LLMs) have emerged as a new paradigm for Text-to-SQL task. However, the absence of a systematical benchmark inhibits the development of designing effective, efficient and economic LLM-based Text-to-SQL solutions. To address this challenge, in this paper, we first conduct a systematical and extensive comparison over existing prompt engineering methods, including question representation, example selection and example organization, and with these experimental results, we elaborate their pros and cons. Based on these findings, we propose a new integrated solution, named DAIL-SQL, which refreshes the Spider leaderboard with 86.6% execution accuracy and sets a new bar. To explore the potential of open-source LLM, we investigate them in various scenarios, and further enhance their performance with supervised fine-tuning. Our explorations highlight open-source LLMs' potential in Text-to-SQL, as well as the advantages and disadvantages of the supervised fine-tuning. Additionally, towards an efficient and economic LLM-based Text-to-SQL solution, we emphasize the token efficiency in prompt engineering and compare the prior studies under this metric. We hope that our work provides a deeper understanding of Text-to-SQL with LLMs, and inspires further investigations and broad applications.</x:v>
      </x:c>
      <x:c r="L587" s="17" t="str">
        <x:v>http://arxiv.org/abs/2308.15363v4</x:v>
      </x:c>
      <x:c r="M587" s="23" t="n">
        <x:v>0.030090497737556562</x:v>
      </x:c>
      <x:c r="N587" s="17" t="str">
        <x:v>arxiv-paper-eval-20260727-105551-results.jsonl</x:v>
      </x:c>
      <x:c r="O587" s="24" t="str">
        <x:v>2</x:v>
      </x:c>
      <x:c r="P587" s="28" t="str">
        <x:v>系统比较LLM提示、微调方法并在Spider给出基准结果。</x:v>
      </x:c>
      <x:c r="Q587" s="25" t="str"/>
      <x:c r="R587" s="24" t="str">
        <x:f>IF(Q587&lt;&gt;"",Q587,O587)</x:f>
        <x:v>2</x:v>
      </x:c>
      <x:c r="S587" s="29" t="str"/>
    </x:row>
    <x:row r="588" ht="54" customHeight="1">
      <x:c r="A588" s="17" t="str">
        <x:v>csq030-r07</x:v>
      </x:c>
      <x:c r="B588" s="17" t="str">
        <x:v>csq030</x:v>
      </x:c>
      <x:c r="C588" s="17" t="str">
        <x:v>data_management_and_ir</x:v>
      </x:c>
      <x:c r="D588" s="17" t="str">
        <x:v>text_to_sql</x:v>
      </x:c>
      <x:c r="E588" s="27" t="str">
        <x:v>How have text-to-SQL systems evolved from schema-aware neural parsers to large-language-model-based approaches, and which challenges remain on cross-domain benchmarks?</x:v>
      </x:c>
      <x:c r="F588" s="22" t="n">
        <x:v>7</x:v>
      </x:c>
      <x:c r="G588" s="17" t="str">
        <x:v>arXiv:2409.15907</x:v>
      </x:c>
      <x:c r="H588" s="27" t="str">
        <x:v>Enhancing Text-to-SQL Capabilities of Large Language Models via Domain Database Knowledge Injection</x:v>
      </x:c>
      <x:c r="I588" s="17" t="str">
        <x:v>Xingyu Ma; Xin Tian; Lingxiang Wu; Xuepeng Wang; Xueming Tang; Jinqiao Wang</x:v>
      </x:c>
      <x:c r="J588" s="22" t="n">
        <x:v>2024</x:v>
      </x:c>
      <x:c r="K588" s="27" t="str">
        <x:v>Text-to-SQL is a subtask in semantic parsing that has seen rapid progress with the evolution of Large Language Models (LLMs). However, LLMs face challenges due to hallucination issues and a lack of domain-specific database knowledge(such as table schema and cell values). As a result, they can make errors in generating table names, columns, and matching values to the correct columns in SQL statements. This paper introduces a method of knowledge injection to enhance LLMs' ability to understand schema contents by incorporating prior knowledge. This approach improves their performance in Text-to-SQL tasks. Experimental results show that pre-training LLMs on domain-specific database knowledge and fine-tuning them on downstream Text-to-SQL tasks significantly improves the Execution Match (EX) and Exact Match (EM) metrics across various models. This effectively reduces errors in generating column names and matching values to the columns. Furthermore, the knowledge-injected models can be applied to many downstream Text-to-SQL tasks, demonstrating the generalizability of the approach presented in this paper.</x:v>
      </x:c>
      <x:c r="L588" s="17" t="str">
        <x:v>http://arxiv.org/abs/2409.15907v2</x:v>
      </x:c>
      <x:c r="M588" s="23" t="n">
        <x:v>0.028577260665441927</x:v>
      </x:c>
      <x:c r="N588" s="17" t="str">
        <x:v>arxiv-paper-eval-20260727-105551-results.jsonl</x:v>
      </x:c>
      <x:c r="O588" s="24" t="str">
        <x:v>2</x:v>
      </x:c>
      <x:c r="P588" s="28" t="str">
        <x:v>直接研究LLM的schema与单元值知识缺失问题。</x:v>
      </x:c>
      <x:c r="Q588" s="25" t="str"/>
      <x:c r="R588" s="24" t="str">
        <x:f>IF(Q588&lt;&gt;"",Q588,O588)</x:f>
        <x:v>2</x:v>
      </x:c>
      <x:c r="S588" s="29" t="str"/>
    </x:row>
    <x:row r="589" ht="54" customHeight="1">
      <x:c r="A589" s="17" t="str">
        <x:v>csq030-r08</x:v>
      </x:c>
      <x:c r="B589" s="17" t="str">
        <x:v>csq030</x:v>
      </x:c>
      <x:c r="C589" s="17" t="str">
        <x:v>data_management_and_ir</x:v>
      </x:c>
      <x:c r="D589" s="17" t="str">
        <x:v>text_to_sql</x:v>
      </x:c>
      <x:c r="E589" s="27" t="str">
        <x:v>How have text-to-SQL systems evolved from schema-aware neural parsers to large-language-model-based approaches, and which challenges remain on cross-domain benchmarks?</x:v>
      </x:c>
      <x:c r="F589" s="22" t="n">
        <x:v>8</x:v>
      </x:c>
      <x:c r="G589" s="17" t="str">
        <x:v>arXiv:2310.18538</x:v>
      </x:c>
      <x:c r="H589" s="27" t="str">
        <x:v>Evaluating Cross-Domain Text-to-SQL Models and Benchmarks</x:v>
      </x:c>
      <x:c r="I589" s="17" t="str">
        <x:v>Mohammadreza Pourreza; Davood Rafiei</x:v>
      </x:c>
      <x:c r="J589" s="22" t="n">
        <x:v>2023</x:v>
      </x:c>
      <x:c r="K589" s="27" t="str">
        <x:v>Text-to-SQL benchmarks play a crucial role in evaluating the progress made in the field and the ranking of different models. However, accurately matching a model-generated SQL query to a reference SQL query in a benchmark fails for various reasons, such as underspecified natural language queries, inherent assumptions in both model-generated and reference queries, and the non-deterministic nature of SQL output under certain conditions. In this paper, we conduct an extensive study of several prominent cross-domain text-to-SQL benchmarks and re-evaluate some of the top-performing models within these benchmarks, by both manually evaluating the SQL queries and rewriting them in equivalent expressions. Our evaluation reveals that attaining a perfect performance on these benchmarks is unfeasible due to the multiple interpretations that can be derived from the provided samples. Furthermore, we find that the true performance of the models is underestimated and their relative performance changes after a re-evaluation. Most notably, our evaluation reveals a surprising discovery: a recent GPT4-based model surpasses the gold standard reference queries in the Spider benchmark in our human evaluation. This finding highlights the importance of interpreting benchmark evaluations cautiously, while also acknowledging the critical role of additional independent evaluations in driving advancements in the field.</x:v>
      </x:c>
      <x:c r="L589" s="17" t="str">
        <x:v>http://arxiv.org/abs/2310.18538v1</x:v>
      </x:c>
      <x:c r="M589" s="23" t="n">
        <x:v>0.01639344262295082</x:v>
      </x:c>
      <x:c r="N589" s="17" t="str">
        <x:v>arxiv-paper-eval-20260727-105551-results.jsonl</x:v>
      </x:c>
      <x:c r="O589" s="24" t="str">
        <x:v>2</x:v>
      </x:c>
      <x:c r="P589" s="28" t="str">
        <x:v>直接重评跨域文本转SQL基准及其评价失真。</x:v>
      </x:c>
      <x:c r="Q589" s="25" t="str"/>
      <x:c r="R589" s="24" t="str">
        <x:f>IF(Q589&lt;&gt;"",Q589,O589)</x:f>
        <x:v>2</x:v>
      </x:c>
      <x:c r="S589" s="29" t="str"/>
    </x:row>
    <x:row r="590" ht="54" customHeight="1">
      <x:c r="A590" s="17" t="str">
        <x:v>csq030-r09</x:v>
      </x:c>
      <x:c r="B590" s="17" t="str">
        <x:v>csq030</x:v>
      </x:c>
      <x:c r="C590" s="17" t="str">
        <x:v>data_management_and_ir</x:v>
      </x:c>
      <x:c r="D590" s="17" t="str">
        <x:v>text_to_sql</x:v>
      </x:c>
      <x:c r="E590" s="27" t="str">
        <x:v>How have text-to-SQL systems evolved from schema-aware neural parsers to large-language-model-based approaches, and which challenges remain on cross-domain benchmarks?</x:v>
      </x:c>
      <x:c r="F590" s="22" t="n">
        <x:v>9</x:v>
      </x:c>
      <x:c r="G590" s="17" t="str">
        <x:v>arXiv:2102.01847</x:v>
      </x:c>
      <x:c r="H590" s="27" t="str">
        <x:v>An Investigation Between Schema Linking and Text-to-SQL Performance</x:v>
      </x:c>
      <x:c r="I590" s="17" t="str">
        <x:v>Yasufumi Taniguchi; Hiroki Nakayama; Kubo Takahiro; Jun Suzuki</x:v>
      </x:c>
      <x:c r="J590" s="22" t="n">
        <x:v>2021</x:v>
      </x:c>
      <x:c r="K590" s="27" t="str">
        <x:v>Text-to-SQL is a crucial task toward developing methods for understanding natural language by computers. Recent neural approaches deliver excellent performance; however, models that are difficult to interpret inhibit future developments. Hence, this study aims to provide a better approach toward the interpretation of neural models. We hypothesize that the internal behavior of models at hand becomes much easier to analyze if we identify the detailed performance of schema linking simultaneously as the additional information of the text-to-SQL performance. We provide the ground-truth annotation of schema linking information onto the Spider dataset. We demonstrate the usefulness of the annotated data and how to analyze the current state-of-the-art neural models.</x:v>
      </x:c>
      <x:c r="L590" s="17" t="str">
        <x:v>http://arxiv.org/abs/2102.01847v1</x:v>
      </x:c>
      <x:c r="M590" s="23" t="n">
        <x:v>0.01639344262295082</x:v>
      </x:c>
      <x:c r="N590" s="17" t="str">
        <x:v>arxiv-paper-eval-20260727-105551-results.jsonl</x:v>
      </x:c>
      <x:c r="O590" s="24" t="str">
        <x:v>2</x:v>
      </x:c>
      <x:c r="P590" s="28" t="str">
        <x:v>研究Spider上神经解析器的schema linking表现。</x:v>
      </x:c>
      <x:c r="Q590" s="25" t="str"/>
      <x:c r="R590" s="24" t="str">
        <x:f>IF(Q590&lt;&gt;"",Q590,O590)</x:f>
        <x:v>2</x:v>
      </x:c>
      <x:c r="S590" s="29" t="str"/>
    </x:row>
    <x:row r="591" ht="54" customHeight="1">
      <x:c r="A591" s="17" t="str">
        <x:v>csq030-r10</x:v>
      </x:c>
      <x:c r="B591" s="17" t="str">
        <x:v>csq030</x:v>
      </x:c>
      <x:c r="C591" s="17" t="str">
        <x:v>data_management_and_ir</x:v>
      </x:c>
      <x:c r="D591" s="17" t="str">
        <x:v>text_to_sql</x:v>
      </x:c>
      <x:c r="E591" s="27" t="str">
        <x:v>How have text-to-SQL systems evolved from schema-aware neural parsers to large-language-model-based approaches, and which challenges remain on cross-domain benchmarks?</x:v>
      </x:c>
      <x:c r="F591" s="22" t="n">
        <x:v>10</x:v>
      </x:c>
      <x:c r="G591" s="17" t="str">
        <x:v>arXiv:2505.13725</x:v>
      </x:c>
      <x:c r="H591" s="27" t="str">
        <x:v>SQLForge: Synthesizing Reliable and Diverse Data to Enhance Text-to-SQL Reasoning in LLMs</x:v>
      </x:c>
      <x:c r="I591" s="17" t="str">
        <x:v>Yu Guo; Dong Jin; Shenghao Ye; Shuangwu Chen; Jian Yang; Xiaobin Tan</x:v>
      </x:c>
      <x:c r="J591" s="22" t="n">
        <x:v>2025</x:v>
      </x:c>
      <x:c r="K591" s="27" t="str">
        <x:v>Large Language models (LLMs) have demonstrated significant potential in text-to-SQL reasoning tasks, yet a substantial performance gap persists between existing open-source models and their closed-source counterparts. In this paper, we introduce SQLForge, a novel approach for synthesizing reliable and diverse data to enhance text-to-SQL reasoning in LLMs. We improve data reliability through SQL syntax constraints and SQL-to-question reverse translation, ensuring data logic at both structural and semantic levels. We also propose an SQL template enrichment and iterative data domain exploration mechanism to boost data diversity. Building on the augmented data, we fine-tune a variety of open-source models with different architectures and parameter sizes, resulting in a family of models termed SQLForge-LM. SQLForge-LM achieves the state-of-the-art performance on the widely recognized Spider and BIRD benchmarks among the open-source models. Specifically, SQLForge-LM achieves EX accuracy of 85.7% on Spider Dev and 59.8% on BIRD Dev, significantly narrowing the performance gap with closed-source methods.</x:v>
      </x:c>
      <x:c r="L591" s="17" t="str">
        <x:v>http://arxiv.org/abs/2505.13725v1</x:v>
      </x:c>
      <x:c r="M591" s="23" t="n">
        <x:v>0.016129032258064516</x:v>
      </x:c>
      <x:c r="N591" s="17" t="str">
        <x:v>arxiv-paper-eval-20260727-105551-results.jsonl</x:v>
      </x:c>
      <x:c r="O591" s="24" t="str">
        <x:v>2</x:v>
      </x:c>
      <x:c r="P591" s="28" t="str">
        <x:v>通过合成数据增强LLM并在Spider、BIRD评测。</x:v>
      </x:c>
      <x:c r="Q591" s="25" t="str"/>
      <x:c r="R591" s="24" t="str">
        <x:f>IF(Q591&lt;&gt;"",Q591,O591)</x:f>
        <x:v>2</x:v>
      </x:c>
      <x:c r="S591" s="29" t="str"/>
    </x:row>
    <x:row r="592" ht="54" customHeight="1">
      <x:c r="A592" s="17" t="str">
        <x:v>csq030-r11</x:v>
      </x:c>
      <x:c r="B592" s="17" t="str">
        <x:v>csq030</x:v>
      </x:c>
      <x:c r="C592" s="17" t="str">
        <x:v>data_management_and_ir</x:v>
      </x:c>
      <x:c r="D592" s="17" t="str">
        <x:v>text_to_sql</x:v>
      </x:c>
      <x:c r="E592" s="27" t="str">
        <x:v>How have text-to-SQL systems evolved from schema-aware neural parsers to large-language-model-based approaches, and which challenges remain on cross-domain benchmarks?</x:v>
      </x:c>
      <x:c r="F592" s="22" t="n">
        <x:v>11</x:v>
      </x:c>
      <x:c r="G592" s="17" t="str">
        <x:v>arXiv:2305.16265</x:v>
      </x:c>
      <x:c r="H592" s="27" t="str">
        <x:v>UNITE: A Unified Benchmark for Text-to-SQL Evaluation</x:v>
      </x:c>
      <x:c r="I592" s="17" t="str">
        <x:v>Wuwei Lan; Zhiguo Wang; Anuj Chauhan; Henghui Zhu; Alexander Li; Jiang Guo; Sheng Zhang; Chung-Wei Hang; Joseph Lilien; Yiqun Hu; Lin Pan; Mingwen Dong; Jun Wang; Jiarong Jiang; Stephen Ash; Vittorio Castelli; Patrick Ng; Bing Xiang</x:v>
      </x:c>
      <x:c r="J592" s="22" t="n">
        <x:v>2023</x:v>
      </x:c>
      <x:c r="K592" s="27" t="str">
        <x:v>A practical text-to-SQL system should generalize well on a wide variety of natural language questions, unseen database schemas, and novel SQL query structures. To comprehensively evaluate text-to-SQL systems, we introduce a UNIfied benchmark for Text-to-SQL Evaluation (UNITE). It is composed of publicly available text-to-SQL datasets, containing natural language questions from more than 12 domains, SQL queries from more than 3.9K patterns, and 29K databases. Compared to the widely used Spider benchmark, we introduce $\sim$120K additional examples and a threefold increase in SQL patterns, such as comparative and boolean questions. We conduct a systematic study of six state-of-the-art (SOTA) text-to-SQL parsers on our new benchmark and show that: 1) Codex performs surprisingly well on out-of-domain datasets; 2) specially designed decoding methods (e.g. constrained beam search) can improve performance for both in-domain and out-of-domain settings; 3) explicitly modeling the relationship between questions and schemas further improves the Seq2Seq models. More importantly, our benchmark presents key challenges towards compositional generalization and robustness issues -- which these SOTA models cannot address well. Our code and data processing script are available at https://github.com/awslabs/unified-text2sql-benchmark</x:v>
      </x:c>
      <x:c r="L592" s="17" t="str">
        <x:v>http://arxiv.org/abs/2305.16265v3</x:v>
      </x:c>
      <x:c r="M592" s="23" t="n">
        <x:v>0.016129032258064516</x:v>
      </x:c>
      <x:c r="N592" s="17" t="str">
        <x:v>arxiv-paper-eval-20260727-105551-results.jsonl</x:v>
      </x:c>
      <x:c r="O592" s="24" t="str">
        <x:v>2</x:v>
      </x:c>
      <x:c r="P592" s="28" t="str">
        <x:v>统一跨域基准揭示组合泛化与鲁棒性挑战。</x:v>
      </x:c>
      <x:c r="Q592" s="25" t="str"/>
      <x:c r="R592" s="24" t="str">
        <x:f>IF(Q592&lt;&gt;"",Q592,O592)</x:f>
        <x:v>2</x:v>
      </x:c>
      <x:c r="S592" s="29" t="str"/>
    </x:row>
    <x:row r="593" ht="54" customHeight="1">
      <x:c r="A593" s="17" t="str">
        <x:v>csq030-r12</x:v>
      </x:c>
      <x:c r="B593" s="17" t="str">
        <x:v>csq030</x:v>
      </x:c>
      <x:c r="C593" s="17" t="str">
        <x:v>data_management_and_ir</x:v>
      </x:c>
      <x:c r="D593" s="17" t="str">
        <x:v>text_to_sql</x:v>
      </x:c>
      <x:c r="E593" s="27" t="str">
        <x:v>How have text-to-SQL systems evolved from schema-aware neural parsers to large-language-model-based approaches, and which challenges remain on cross-domain benchmarks?</x:v>
      </x:c>
      <x:c r="F593" s="22" t="n">
        <x:v>12</x:v>
      </x:c>
      <x:c r="G593" s="17" t="str">
        <x:v>arXiv:2109.05157</x:v>
      </x:c>
      <x:c r="H593" s="27" t="str">
        <x:v>Exploring Underexplored Limitations of Cross-Domain Text-to-SQL Generalization</x:v>
      </x:c>
      <x:c r="I593" s="17" t="str">
        <x:v>Yujian Gan; Xinyun Chen; Matthew Purver</x:v>
      </x:c>
      <x:c r="J593" s="22" t="n">
        <x:v>2021</x:v>
      </x:c>
      <x:c r="K593" s="27" t="str">
        <x:v>Recently, there has been significant progress in studying neural networks for translating text descriptions into SQL queries under the zero-shot cross-domain setting. Despite achieving good performance on some public benchmarks, we observe that existing text-to-SQL models do not generalize when facing domain knowledge that does not frequently appear in the training data, which may render the worse prediction performance for unseen domains. In this work, we investigate the robustness of text-to-SQL models when the questions require rarely observed domain knowledge. In particular, we define five types of domain knowledge and introduce Spider-DK (DK is the abbreviation of domain knowledge), a human-curated dataset based on the Spider benchmark for text-to-SQL translation. NL questions in Spider-DK are selected from Spider, and we modify some samples by adding domain knowledge that reflects real-world question paraphrases. We demonstrate that the prediction accuracy dramatically drops on samples that require such domain knowledge, even if the domain knowledge appears in the training set, and the model provides the correct predictions for related training samples.</x:v>
      </x:c>
      <x:c r="L593" s="17" t="str">
        <x:v>http://arxiv.org/abs/2109.05157v1</x:v>
      </x:c>
      <x:c r="M593" s="23" t="n">
        <x:v>0.015873015873015872</x:v>
      </x:c>
      <x:c r="N593" s="17" t="str">
        <x:v>arxiv-paper-eval-20260727-105551-results.jsonl</x:v>
      </x:c>
      <x:c r="O593" s="24" t="str">
        <x:v>2</x:v>
      </x:c>
      <x:c r="P593" s="28" t="str">
        <x:v>直接研究跨域文本转SQL对稀有领域知识的泛化失败。</x:v>
      </x:c>
      <x:c r="Q593" s="25" t="str"/>
      <x:c r="R593" s="24" t="str">
        <x:f>IF(Q593&lt;&gt;"",Q593,O593)</x:f>
        <x:v>2</x:v>
      </x:c>
      <x:c r="S593" s="29" t="str"/>
    </x:row>
    <x:row r="594" ht="54" customHeight="1">
      <x:c r="A594" s="17" t="str">
        <x:v>csq030-r13</x:v>
      </x:c>
      <x:c r="B594" s="17" t="str">
        <x:v>csq030</x:v>
      </x:c>
      <x:c r="C594" s="17" t="str">
        <x:v>data_management_and_ir</x:v>
      </x:c>
      <x:c r="D594" s="17" t="str">
        <x:v>text_to_sql</x:v>
      </x:c>
      <x:c r="E594" s="27" t="str">
        <x:v>How have text-to-SQL systems evolved from schema-aware neural parsers to large-language-model-based approaches, and which challenges remain on cross-domain benchmarks?</x:v>
      </x:c>
      <x:c r="F594" s="22" t="n">
        <x:v>13</x:v>
      </x:c>
      <x:c r="G594" s="17" t="str">
        <x:v>arXiv:2407.15186</x:v>
      </x:c>
      <x:c r="H594" s="27" t="str">
        <x:v>A Survey on Employing Large Language Models for Text-to-SQL Tasks</x:v>
      </x:c>
      <x:c r="I594" s="17" t="str">
        <x:v>Liang Shi; Zhengju Tang; Nan Zhang; Xiaotong Zhang; Zhi Yang</x:v>
      </x:c>
      <x:c r="J594" s="22" t="n">
        <x:v>2024</x:v>
      </x:c>
      <x:c r="K594" s="27" t="str">
        <x:v>With the development of the Large Language Models (LLMs), a large range of LLM-based Text-to-SQL(Text2SQL) methods have emerged. This survey provides a comprehensive review of LLM-based Text2SQL studies. We first enumerate classic benchmarks and evaluation metrics. For the two mainstream methods, prompt engineering and finetuning, we introduce a comprehensive taxonomy and offer practical insights into each subcategory. We present an overall analysis of the above methods and various models evaluated on well-known datasets and extract some characteristics. Finally, we discuss the challenges and future directions in this field.</x:v>
      </x:c>
      <x:c r="L594" s="17" t="str">
        <x:v>http://arxiv.org/abs/2407.15186v5</x:v>
      </x:c>
      <x:c r="M594" s="23" t="n">
        <x:v>0.015625</x:v>
      </x:c>
      <x:c r="N594" s="17" t="str">
        <x:v>arxiv-paper-eval-20260727-105551-results.jsonl</x:v>
      </x:c>
      <x:c r="O594" s="24" t="str">
        <x:v>2</x:v>
      </x:c>
      <x:c r="P594" s="28" t="str">
        <x:v>综述LLM文本转SQL方法、经典基准、指标与挑战。</x:v>
      </x:c>
      <x:c r="Q594" s="25" t="str"/>
      <x:c r="R594" s="24" t="str">
        <x:f>IF(Q594&lt;&gt;"",Q594,O594)</x:f>
        <x:v>2</x:v>
      </x:c>
      <x:c r="S594" s="29" t="str"/>
    </x:row>
    <x:row r="595" ht="54" customHeight="1">
      <x:c r="A595" s="17" t="str">
        <x:v>csq030-r14</x:v>
      </x:c>
      <x:c r="B595" s="17" t="str">
        <x:v>csq030</x:v>
      </x:c>
      <x:c r="C595" s="17" t="str">
        <x:v>data_management_and_ir</x:v>
      </x:c>
      <x:c r="D595" s="17" t="str">
        <x:v>text_to_sql</x:v>
      </x:c>
      <x:c r="E595" s="27" t="str">
        <x:v>How have text-to-SQL systems evolved from schema-aware neural parsers to large-language-model-based approaches, and which challenges remain on cross-domain benchmarks?</x:v>
      </x:c>
      <x:c r="F595" s="22" t="n">
        <x:v>14</x:v>
      </x:c>
      <x:c r="G595" s="17" t="str">
        <x:v>arXiv:2301.04790</x:v>
      </x:c>
      <x:c r="H595" s="27" t="str">
        <x:v>On the Structural Generalization in Text-to-SQL</x:v>
      </x:c>
      <x:c r="I595" s="17" t="str">
        <x:v>Jieyu Li; Lu Chen; Ruisheng Cao; Su Zhu; Hongshen Xu; Zhi Chen; Hanchong Zhang; Kai Yu</x:v>
      </x:c>
      <x:c r="J595" s="22" t="n">
        <x:v>2023</x:v>
      </x:c>
      <x:c r="K595" s="27" t="str">
        <x:v>Exploring the generalization of a text-to-SQL parser is essential for a system to automatically adapt the real-world databases. Previous works provided investigations focusing on lexical diversity, including the influence of the synonym and perturbations in both natural language questions and databases. However, research on the structure variety of database schema~(DS) is deficient. Specifically, confronted with the same input question, the target SQL is probably represented in different ways when the DS comes to a different structure. In this work, we provide in-deep discussions about the structural generalization of text-to-SQL tasks. We observe that current datasets are too templated to study structural generalization. To collect eligible test data, we propose a framework to generate novel text-to-SQL data via automatic and synchronous (DS, SQL) pair altering. In the experiments, significant performance reduction when evaluating well-trained text-to-SQL models on the synthetic samples demonstrates the limitation of current research regarding structural generalization. According to comprehensive analysis, we suggest the practical reason is the overfitting of (NL, SQL) patterns.</x:v>
      </x:c>
      <x:c r="L595" s="17" t="str">
        <x:v>http://arxiv.org/abs/2301.04790v2</x:v>
      </x:c>
      <x:c r="M595" s="23" t="n">
        <x:v>0.015625</x:v>
      </x:c>
      <x:c r="N595" s="17" t="str">
        <x:v>arxiv-paper-eval-20260727-105551-results.jsonl</x:v>
      </x:c>
      <x:c r="O595" s="24" t="str">
        <x:v>2</x:v>
      </x:c>
      <x:c r="P595" s="28" t="str">
        <x:v>直接揭示数据库schema结构泛化与模板过拟合问题。</x:v>
      </x:c>
      <x:c r="Q595" s="25" t="str"/>
      <x:c r="R595" s="24" t="str">
        <x:f>IF(Q595&lt;&gt;"",Q595,O595)</x:f>
        <x:v>2</x:v>
      </x:c>
      <x:c r="S595" s="29" t="str"/>
    </x:row>
    <x:row r="596" ht="54" customHeight="1">
      <x:c r="A596" s="17" t="str">
        <x:v>csq030-r15</x:v>
      </x:c>
      <x:c r="B596" s="17" t="str">
        <x:v>csq030</x:v>
      </x:c>
      <x:c r="C596" s="17" t="str">
        <x:v>data_management_and_ir</x:v>
      </x:c>
      <x:c r="D596" s="17" t="str">
        <x:v>text_to_sql</x:v>
      </x:c>
      <x:c r="E596" s="27" t="str">
        <x:v>How have text-to-SQL systems evolved from schema-aware neural parsers to large-language-model-based approaches, and which challenges remain on cross-domain benchmarks?</x:v>
      </x:c>
      <x:c r="F596" s="22" t="n">
        <x:v>15</x:v>
      </x:c>
      <x:c r="G596" s="17" t="str">
        <x:v>arXiv:2501.11498</x:v>
      </x:c>
      <x:c r="H596" s="27" t="str">
        <x:v>Dialect2SQL: A Novel Text-to-SQL Dataset for Arabic Dialects with a Focus on Moroccan Darija</x:v>
      </x:c>
      <x:c r="I596" s="17" t="str">
        <x:v>Salmane Chafik; Saad Ezzini; Ismail Berrada</x:v>
      </x:c>
      <x:c r="J596" s="22" t="n">
        <x:v>2025</x:v>
      </x:c>
      <x:c r="K596" s="27" t="str">
        <x:v>The task of converting natural language questions (NLQs) into executable SQL queries, known as text-to-SQL, has gained significant interest in recent years, as it enables non-technical users to interact with relational databases. Many benchmarks, such as SPIDER and WikiSQL, have contributed to the development of new models and the evaluation of their performance. In addition, other datasets, like SEDE and BIRD, have introduced more challenges and complexities to better map real-world scenarios. However, these datasets primarily focus on high-resource languages such as English and Chinese. In this work, we introduce Dialect2SQL, the first large-scale, cross-domain text-to-SQL dataset in an Arabic dialect. It consists of 9,428 NLQ-SQL pairs across 69 databases in various domains. Along with SQL-related challenges such as long schemas, dirty values, and complex queries, our dataset also incorporates the complexities of the Moroccan dialect, which is known for its diverse source languages, numerous borrowed words, and unique expressions. This demonstrates that our dataset will be a valuable contribution to both the text-to-SQL community and the development of resources for low-resource languages.</x:v>
      </x:c>
      <x:c r="L596" s="17" t="str">
        <x:v>http://arxiv.org/abs/2501.11498v1</x:v>
      </x:c>
      <x:c r="M596" s="23" t="n">
        <x:v>0.015384615384615385</x:v>
      </x:c>
      <x:c r="N596" s="17" t="str">
        <x:v>arxiv-paper-eval-20260727-105551-results.jsonl</x:v>
      </x:c>
      <x:c r="O596" s="24" t="str">
        <x:v>2</x:v>
      </x:c>
      <x:c r="P596" s="28" t="str">
        <x:v>跨域阿拉伯方言数据集扩展了跨域评测挑战。</x:v>
      </x:c>
      <x:c r="Q596" s="25" t="str"/>
      <x:c r="R596" s="24" t="str">
        <x:f>IF(Q596&lt;&gt;"",Q596,O596)</x:f>
        <x:v>2</x:v>
      </x:c>
      <x:c r="S596" s="29" t="str"/>
    </x:row>
    <x:row r="597" ht="54" customHeight="1">
      <x:c r="A597" s="17" t="str">
        <x:v>csq030-r16</x:v>
      </x:c>
      <x:c r="B597" s="17" t="str">
        <x:v>csq030</x:v>
      </x:c>
      <x:c r="C597" s="17" t="str">
        <x:v>data_management_and_ir</x:v>
      </x:c>
      <x:c r="D597" s="17" t="str">
        <x:v>text_to_sql</x:v>
      </x:c>
      <x:c r="E597" s="27" t="str">
        <x:v>How have text-to-SQL systems evolved from schema-aware neural parsers to large-language-model-based approaches, and which challenges remain on cross-domain benchmarks?</x:v>
      </x:c>
      <x:c r="F597" s="22" t="n">
        <x:v>16</x:v>
      </x:c>
      <x:c r="G597" s="17" t="str">
        <x:v>arXiv:2410.01066</x:v>
      </x:c>
      <x:c r="H597" s="27" t="str">
        <x:v>From Natural Language to SQL: Review of LLM-based Text-to-SQL Systems</x:v>
      </x:c>
      <x:c r="I597" s="17" t="str">
        <x:v>Ali Mohammadjafari; Anthony S. Maida; Raju Gottumukkala</x:v>
      </x:c>
      <x:c r="J597" s="22" t="n">
        <x:v>2024</x:v>
      </x:c>
      <x:c r="K597" s="27" t="str">
        <x:v>LLMs when used with Retrieval Augmented Generation (RAG), are greatly improving the SOTA of translating natural language queries to structured and correct SQL. Unlike previous reviews, this survey provides a comprehensive study of the evolution of LLM-based text-to-SQL systems, from early rule-based models to advanced LLM approaches that use (RAG) systems. We discuss benchmarks, evaluation methods, and evaluation metrics. Also, we uniquely study the use of Graph RAGs for better contextual accuracy and schema linking in these systems. Finally, we highlight key challenges such as computational efficiency, model robustness, and data privacy toward improvements of LLM-based text-to-SQL systems.</x:v>
      </x:c>
      <x:c r="L597" s="17" t="str">
        <x:v>http://arxiv.org/abs/2410.01066v2</x:v>
      </x:c>
      <x:c r="M597" s="23" t="n">
        <x:v>0.015384615384615385</x:v>
      </x:c>
      <x:c r="N597" s="17" t="str">
        <x:v>arxiv-paper-eval-20260727-105551-results.jsonl</x:v>
      </x:c>
      <x:c r="O597" s="24" t="str">
        <x:v>2</x:v>
      </x:c>
      <x:c r="P597" s="28" t="str">
        <x:v>综述从早期规则到LLM/RAG演化及schema linking挑战。</x:v>
      </x:c>
      <x:c r="Q597" s="25" t="str"/>
      <x:c r="R597" s="24" t="str">
        <x:f>IF(Q597&lt;&gt;"",Q597,O597)</x:f>
        <x:v>2</x:v>
      </x:c>
      <x:c r="S597" s="29" t="str"/>
    </x:row>
    <x:row r="598" ht="54" customHeight="1">
      <x:c r="A598" s="17" t="str">
        <x:v>csq030-r17</x:v>
      </x:c>
      <x:c r="B598" s="17" t="str">
        <x:v>csq030</x:v>
      </x:c>
      <x:c r="C598" s="17" t="str">
        <x:v>data_management_and_ir</x:v>
      </x:c>
      <x:c r="D598" s="17" t="str">
        <x:v>text_to_sql</x:v>
      </x:c>
      <x:c r="E598" s="27" t="str">
        <x:v>How have text-to-SQL systems evolved from schema-aware neural parsers to large-language-model-based approaches, and which challenges remain on cross-domain benchmarks?</x:v>
      </x:c>
      <x:c r="F598" s="22" t="n">
        <x:v>17</x:v>
      </x:c>
      <x:c r="G598" s="17" t="str">
        <x:v>arXiv:2508.14056</x:v>
      </x:c>
      <x:c r="H598" s="27" t="str">
        <x:v>Confidence Estimation for Text-to-SQL in Large Language Models</x:v>
      </x:c>
      <x:c r="I598" s="17" t="str">
        <x:v>Sepideh Entezari Maleki; Mohammadreza Pourreza; Davood Rafiei</x:v>
      </x:c>
      <x:c r="J598" s="22" t="n">
        <x:v>2025</x:v>
      </x:c>
      <x:c r="K598" s="27" t="str">
        <x:v>Confidence estimation for text-to-SQL aims to assess the reliability of model-generated SQL queries without having access to gold answers. We study this problem in the context of large language models (LLMs), where access to model weights and gradients is often constrained. We explore both black-box and white-box confidence estimation strategies, evaluating their effectiveness on cross-domain text-to-SQL benchmarks. Our evaluation highlights the superior performance of consistency-based methods among black-box models and the advantage of SQL-syntax-aware approaches for interpreting LLM logits in white-box settings. Furthermore, we show that execution-based grounding of queries provides a valuable supplementary signal, improving the effectiveness of both approaches.</x:v>
      </x:c>
      <x:c r="L598" s="17" t="str">
        <x:v>http://arxiv.org/abs/2508.14056v1</x:v>
      </x:c>
      <x:c r="M598" s="23" t="n">
        <x:v>0.015151515151515152</x:v>
      </x:c>
      <x:c r="N598" s="17" t="str">
        <x:v>arxiv-paper-eval-20260727-105551-results.jsonl</x:v>
      </x:c>
      <x:c r="O598" s="24" t="str">
        <x:v>2</x:v>
      </x:c>
      <x:c r="P598" s="28" t="str">
        <x:v>在跨域基准研究LLM生成SQL的置信度评估。</x:v>
      </x:c>
      <x:c r="Q598" s="25" t="str"/>
      <x:c r="R598" s="24" t="str">
        <x:f>IF(Q598&lt;&gt;"",Q598,O598)</x:f>
        <x:v>2</x:v>
      </x:c>
      <x:c r="S598" s="29" t="str"/>
    </x:row>
    <x:row r="599" ht="54" customHeight="1">
      <x:c r="A599" s="17" t="str">
        <x:v>csq030-r18</x:v>
      </x:c>
      <x:c r="B599" s="17" t="str">
        <x:v>csq030</x:v>
      </x:c>
      <x:c r="C599" s="17" t="str">
        <x:v>data_management_and_ir</x:v>
      </x:c>
      <x:c r="D599" s="17" t="str">
        <x:v>text_to_sql</x:v>
      </x:c>
      <x:c r="E599" s="27" t="str">
        <x:v>How have text-to-SQL systems evolved from schema-aware neural parsers to large-language-model-based approaches, and which challenges remain on cross-domain benchmarks?</x:v>
      </x:c>
      <x:c r="F599" s="22" t="n">
        <x:v>18</x:v>
      </x:c>
      <x:c r="G599" s="17" t="str">
        <x:v>arXiv:2406.08426</x:v>
      </x:c>
      <x:c r="H599" s="27" t="str">
        <x:v>Next-Generation Database Interfaces: A Survey of LLM-based Text-to-SQL</x:v>
      </x:c>
      <x:c r="I599" s="17" t="str">
        <x:v>Zijin Hong; Zheng Yuan; Qinggang Zhang; Hao Chen; Junnan Dong; Feiran Huang; Xiao Huang</x:v>
      </x:c>
      <x:c r="J599" s="22" t="n">
        <x:v>2024</x:v>
      </x:c>
      <x:c r="K599" s="27" t="str">
        <x:v>Generating accurate SQL from users' natural language questions (text-to-SQL) remains a long-standing challenge due to the complexities involved in user question understanding, database schema comprehension, and SQL generation. Traditional text-to-SQL systems, which combine human engineering and deep neural networks, have made significant progress. Subsequently, pre-trained language models (PLMs) have been developed for text-to-SQL tasks, achieving promising results. However, as modern databases and user questions grow more complex, PLMs with a limited parameter size often produce incorrect SQL. This necessitates more sophisticated and tailored optimization methods, which restricts the application of PLM-based systems. Recently, large language models (LLMs) have shown significant capabilities in natural language understanding as model scale increases. Thus, integrating LLM-based solutions can bring unique opportunities, improvements, and solutions to text-to-SQL research. In this survey, we provide a comprehensive review of existing LLM-based text-to-SQL studies. Specifically, we offer a brief overview of the technical challenges and evolutionary process of text-to-SQL. Next, we introduce the datasets and metrics designed to evaluate text-to-SQL systems. Subsequently, we present a systematic analysis of recent advances in LLM-based text-to-SQL. Finally, we make a summarization and discuss the remaining challenges in this field and suggest expectations for future research directions. All the related resources of LLM-based, including research papers, benchmarks, and open-source projects, are collected for the community in our repository: https://github.com/DEEP-PolyU/Awesome-LLM-based-Text2SQL.</x:v>
      </x:c>
      <x:c r="L599" s="17" t="str">
        <x:v>http://arxiv.org/abs/2406.08426v8</x:v>
      </x:c>
      <x:c r="M599" s="23" t="n">
        <x:v>0.015151515151515152</x:v>
      </x:c>
      <x:c r="N599" s="17" t="str">
        <x:v>arxiv-paper-eval-20260727-105551-results.jsonl</x:v>
      </x:c>
      <x:c r="O599" s="24" t="str">
        <x:v>2</x:v>
      </x:c>
      <x:c r="P599" s="28" t="str">
        <x:v>系统梳理神经、预训练到LLM文本转SQL的演化与挑战。</x:v>
      </x:c>
      <x:c r="Q599" s="25" t="str"/>
      <x:c r="R599" s="24" t="str">
        <x:f>IF(Q599&lt;&gt;"",Q599,O599)</x:f>
        <x:v>2</x:v>
      </x:c>
      <x:c r="S599" s="29" t="str"/>
    </x:row>
    <x:row r="600" ht="54" customHeight="1">
      <x:c r="A600" s="17" t="str">
        <x:v>csq030-r19</x:v>
      </x:c>
      <x:c r="B600" s="17" t="str">
        <x:v>csq030</x:v>
      </x:c>
      <x:c r="C600" s="17" t="str">
        <x:v>data_management_and_ir</x:v>
      </x:c>
      <x:c r="D600" s="17" t="str">
        <x:v>text_to_sql</x:v>
      </x:c>
      <x:c r="E600" s="27" t="str">
        <x:v>How have text-to-SQL systems evolved from schema-aware neural parsers to large-language-model-based approaches, and which challenges remain on cross-domain benchmarks?</x:v>
      </x:c>
      <x:c r="F600" s="22" t="n">
        <x:v>19</x:v>
      </x:c>
      <x:c r="G600" s="17" t="str">
        <x:v>arXiv:2106.11455</x:v>
      </x:c>
      <x:c r="H600" s="27" t="str">
        <x:v>KaggleDBQA: Realistic Evaluation of Text-to-SQL Parsers</x:v>
      </x:c>
      <x:c r="I600" s="17" t="str">
        <x:v>Chia-Hsuan Lee; Oleksandr Polozov; Matthew Richardson</x:v>
      </x:c>
      <x:c r="J600" s="22" t="n">
        <x:v>2021</x:v>
      </x:c>
      <x:c r="K600" s="27" t="str">
        <x:v>The goal of database question answering is to enable natural language querying of real-life relational databases in diverse application domains. Recently, large-scale datasets such as Spider and WikiSQL facilitated novel modeling techniques for text-to-SQL parsing, improving zero-shot generalization to unseen databases. In this work, we examine the challenges that still prevent these techniques from practical deployment. First, we present KaggleDBQA, a new cross-domain evaluation dataset of real Web databases, with domain-specific data types, original formatting, and unrestricted questions. Second, we re-examine the choice of evaluation tasks for text-to-SQL parsers as applied in real-life settings. Finally, we augment our in-domain evaluation task with database documentation, a naturally occurring source of implicit domain knowledge. We show that KaggleDBQA presents a challenge to state-of-the-art zero-shot parsers but a more realistic evaluation setting and creative use of associated database documentation boosts their accuracy by over 13.2%, doubling their performance.</x:v>
      </x:c>
      <x:c r="L600" s="17" t="str">
        <x:v>http://arxiv.org/abs/2106.11455v1</x:v>
      </x:c>
      <x:c r="M600" s="23" t="n">
        <x:v>0.015151515151515152</x:v>
      </x:c>
      <x:c r="N600" s="17" t="str">
        <x:v>arxiv-paper-eval-20260727-105551-results.jsonl</x:v>
      </x:c>
      <x:c r="O600" s="24" t="str">
        <x:v>2</x:v>
      </x:c>
      <x:c r="P600" s="28" t="str">
        <x:v>KaggleDBQA直接评测真实跨域数据库上的泛化困难。</x:v>
      </x:c>
      <x:c r="Q600" s="25" t="str"/>
      <x:c r="R600" s="24" t="str">
        <x:f>IF(Q600&lt;&gt;"",Q600,O600)</x:f>
        <x:v>2</x:v>
      </x:c>
      <x:c r="S600" s="29" t="str"/>
    </x:row>
    <x:row r="601" ht="54" customHeight="1">
      <x:c r="A601" s="17" t="str">
        <x:v>csq030-r20</x:v>
      </x:c>
      <x:c r="B601" s="17" t="str">
        <x:v>csq030</x:v>
      </x:c>
      <x:c r="C601" s="17" t="str">
        <x:v>data_management_and_ir</x:v>
      </x:c>
      <x:c r="D601" s="17" t="str">
        <x:v>text_to_sql</x:v>
      </x:c>
      <x:c r="E601" s="27" t="str">
        <x:v>How have text-to-SQL systems evolved from schema-aware neural parsers to large-language-model-based approaches, and which challenges remain on cross-domain benchmarks?</x:v>
      </x:c>
      <x:c r="F601" s="22" t="n">
        <x:v>20</x:v>
      </x:c>
      <x:c r="G601" s="17" t="str">
        <x:v>arXiv:2412.05208</x:v>
      </x:c>
      <x:c r="H601" s="27" t="str">
        <x:v>A Survey of Large Language Model-Based Generative AI for Text-to-SQL: Benchmarks, Applications, Use Cases, and Challenges</x:v>
      </x:c>
      <x:c r="I601" s="17" t="str">
        <x:v>Aditi Singh; Akash Shetty; Abul Ehtesham; Saket Kumar; Tala Talaei Khoei</x:v>
      </x:c>
      <x:c r="J601" s="22" t="n">
        <x:v>2024</x:v>
      </x:c>
      <x:c r="K601" s="27" t="str">
        <x:v>Text-to-SQL systems facilitate smooth interaction with databases by translating natural language queries into Structured Query Language (SQL), bridging the gap between non-technical users and complex database management systems. This survey provides a comprehensive overview of the evolution of AI-driven text-to-SQL systems, highlighting their foundational components, advancements in large language model (LLM) architectures, and the critical role of datasets such as Spider, WikiSQL, and CoSQL in driving progress. We examine the applications of text-to-SQL in domains like healthcare, education, and finance, emphasizing their transformative potential for improving data accessibility. Additionally, we analyze persistent challenges, including domain generalization, query optimization, support for multi-turn conversational interactions, and the limited availability of datasets tailored for NoSQL databases and dynamic real-world scenarios. To address these challenges, we outline future research directions, such as extending text-to-SQL capabilities to support NoSQL databases, designing datasets for dynamic multi-turn interactions, and optimizing systems for real-world scalability and robustness. By surveying current advancements and identifying key gaps, this paper aims to guide the next generation of research and applications in LLM-based text-to-SQL systems.</x:v>
      </x:c>
      <x:c r="L601" s="17" t="str">
        <x:v>http://arxiv.org/abs/2412.05208v2</x:v>
      </x:c>
      <x:c r="M601" s="23" t="n">
        <x:v>0.014925373134328358</x:v>
      </x:c>
      <x:c r="N601" s="17" t="str">
        <x:v>arxiv-paper-eval-20260727-105551-results.jsonl</x:v>
      </x:c>
      <x:c r="O601" s="24" t="str">
        <x:v>2</x:v>
      </x:c>
      <x:c r="P601" s="28" t="str">
        <x:v>综述文本转SQL演化、跨域基准与领域泛化挑战。</x:v>
      </x:c>
      <x:c r="Q601" s="25" t="str"/>
      <x:c r="R601" s="24" t="str">
        <x:f>IF(Q601&lt;&gt;"",Q601,O601)</x:f>
        <x:v>2</x:v>
      </x:c>
      <x:c r="S601" s="29" t="str"/>
    </x:row>
  </x:sheetData>
  <x:conditionalFormatting sqref="R2:R601">
    <x:cfRule type="cellIs" dxfId="0" priority="1" operator="equal">
      <x:formula>2</x:formula>
    </x:cfRule>
    <x:cfRule type="cellIs" dxfId="1" priority="2" operator="equal">
      <x:formula>1</x:formula>
    </x:cfRule>
    <x:cfRule type="cellIs" dxfId="2" priority="3" operator="equal">
      <x:formula>0</x:formula>
    </x:cfRule>
    <x:cfRule type="containsText" dxfId="3" priority="4" operator="containsText" text="?"/>
  </x:conditionalFormatting>
  <x:dataValidations count="1">
    <x:dataValidation type="list" sqref="Q2:Q601">
      <x:formula1>"0,1,2,?"</x:formula1>
    </x:dataValidation>
  </x:dataValidations>
  <x:pageMargins left="0.7" right="0.7" top="0.75" bottom="0.75" header="0.3" footer="0.3"/>
  <x:tableParts count="1">
    <x:tablePart xmlns:r="http://schemas.openxmlformats.org/officeDocument/2006/relationships" r:id="R37ab4a90d5344c4b"/>
  </x:tableParts>
</x:worksheet>
</file>