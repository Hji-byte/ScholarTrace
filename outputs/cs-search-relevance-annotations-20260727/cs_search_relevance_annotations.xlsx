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3888671b3547fb" /></Relationships>
</file>

<file path=xl/workbook.xml><?xml version="1.0" encoding="utf-8"?>
<x:workbook xmlns:x="http://schemas.openxmlformats.org/spreadsheetml/2006/main">
  <x:sheets>
    <x:sheet xmlns:r="http://schemas.openxmlformats.org/officeDocument/2006/relationships" name="README" sheetId="1" r:id="R241a3782b41e4efe"/>
    <x:sheet xmlns:r="http://schemas.openxmlformats.org/officeDocument/2006/relationships" name="Summary" sheetId="2" r:id="R36181aad40dc4ec0"/>
    <x:sheet xmlns:r="http://schemas.openxmlformats.org/officeDocument/2006/relationships" name="Annotations" sheetId="3" r:id="Rc45dde713a294d0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
  </x:numFmts>
  <x:fonts count="6">
    <x:font>
      <x:sz val="11"/>
      <x:name val="Carlito"/>
    </x:font>
    <x:font>
      <x:b/>
      <x:sz val="16"/>
      <x:color rgb="FFFFFFFF"/>
      <x:name val="Carlito"/>
    </x:font>
    <x:font>
      <x:b/>
      <x:sz val="11"/>
      <x:color rgb="FFFFFFFF"/>
      <x:name val="Carlito"/>
    </x:font>
    <x:font>
      <x:b/>
      <x:sz val="11"/>
      <x:color rgb="FF17212B"/>
      <x:name val="Carlito"/>
    </x:font>
    <x:font>
      <x:sz val="10"/>
      <x:color rgb="FF17212B"/>
      <x:name val="Aptos"/>
    </x:font>
    <x:font>
      <x:b/>
      <x:sz val="10"/>
      <x:color rgb="FFFFFFFF"/>
      <x:name val="Aptos"/>
    </x:font>
  </x:fonts>
  <x:fills count="6">
    <x:fill>
      <x:patternFill patternType="none"/>
    </x:fill>
    <x:fill>
      <x:patternFill patternType="gray125"/>
    </x:fill>
    <x:fill>
      <x:patternFill patternType="solid">
        <x:fgColor rgb="FF17324D"/>
      </x:patternFill>
    </x:fill>
    <x:fill>
      <x:patternFill patternType="solid">
        <x:fgColor rgb="FF236B8E"/>
      </x:patternFill>
    </x:fill>
    <x:fill>
      <x:patternFill patternType="solid">
        <x:fgColor rgb="FFEAF3F8"/>
      </x:patternFill>
    </x:fill>
    <x:fill>
      <x:patternFill patternType="solid">
        <x:fgColor rgb="FFFFFBE6"/>
      </x:patternFill>
    </x:fill>
  </x:fills>
  <x:borders count="10">
    <x:border/>
    <x:border>
      <x:right style="thin">
        <x:color rgb="FFD9E1E8"/>
      </x:right>
      <x:bottom style="thin">
        <x:color rgb="FFD9E1E8"/>
      </x:bottom>
    </x:border>
    <x:border>
      <x:left style="thin">
        <x:color rgb="FFD9E1E8"/>
      </x:left>
      <x:bottom style="thin">
        <x:color rgb="FFD9E1E8"/>
      </x:bottom>
    </x:border>
    <x:border>
      <x:right style="thin">
        <x:color rgb="FFD9E1E8"/>
      </x:right>
      <x:top style="thin">
        <x:color rgb="FFD9E1E8"/>
      </x:top>
      <x:bottom style="thin">
        <x:color rgb="FFD9E1E8"/>
      </x:bottom>
    </x:border>
    <x:border>
      <x:left style="thin">
        <x:color rgb="FFD9E1E8"/>
      </x:left>
      <x:top style="thin">
        <x:color rgb="FFD9E1E8"/>
      </x:top>
      <x:bottom style="thin">
        <x:color rgb="FFD9E1E8"/>
      </x:bottom>
    </x:border>
    <x:border>
      <x:right style="thin">
        <x:color rgb="FFD9E1E8"/>
      </x:right>
      <x:top style="thin">
        <x:color rgb="FFD9E1E8"/>
      </x:top>
    </x:border>
    <x:border>
      <x:left style="thin">
        <x:color rgb="FFD9E1E8"/>
      </x:left>
      <x:top style="thin">
        <x:color rgb="FFD9E1E8"/>
      </x:top>
    </x:border>
    <x:border>
      <x:left style="thin">
        <x:color rgb="FFD9E1E8"/>
      </x:left>
      <x:right style="thin">
        <x:color rgb="FFD9E1E8"/>
      </x:right>
      <x:bottom style="thin">
        <x:color rgb="FFD9E1E8"/>
      </x:bottom>
    </x:border>
    <x:border>
      <x:left style="thin">
        <x:color rgb="FFD9E1E8"/>
      </x:left>
      <x:right style="thin">
        <x:color rgb="FFD9E1E8"/>
      </x:right>
      <x:top style="thin">
        <x:color rgb="FFD9E1E8"/>
      </x:top>
      <x:bottom style="thin">
        <x:color rgb="FFD9E1E8"/>
      </x:bottom>
    </x:border>
    <x:border>
      <x:left style="thin">
        <x:color rgb="FFD9E1E8"/>
      </x:left>
      <x:right style="thin">
        <x:color rgb="FFD9E1E8"/>
      </x:right>
      <x:top style="thin">
        <x:color rgb="FFD9E1E8"/>
      </x:top>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0" borderId="4" xfId="0" applyNumberFormat="1" applyFont="1" applyFill="1" applyBorder="1" applyAlignment="1">
      <x:alignment wrapText="1"/>
    </x:xf>
    <x:xf numFmtId="0" fontId="3" fillId="4"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200" fontId="4" fillId="0" borderId="0" xfId="0" applyNumberFormat="1" applyFont="1" applyFill="1" applyBorder="1"/>
    <x:xf numFmtId="201" fontId="4" fillId="0" borderId="0" xfId="0" applyNumberFormat="1" applyFont="1" applyFill="1" applyBorder="1"/>
    <x:xf numFmtId="0" fontId="4" fillId="0" borderId="0" xfId="0" applyNumberFormat="1" applyFont="1" applyFill="1" applyBorder="1" applyAlignment="1">
      <x:alignment horizontal="center"/>
    </x:xf>
    <x:xf numFmtId="0" fontId="4" fillId="5" borderId="0" xfId="0" applyNumberFormat="1" applyFont="1" applyFill="1" applyBorder="1" applyAlignment="1">
      <x:alignment horizontal="center"/>
    </x:xf>
    <x:xf numFmtId="0" fontId="4" fillId="5"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center" wrapText="1"/>
    </x:xf>
    <x:xf numFmtId="0" fontId="4" fillId="5" borderId="0" xfId="0" applyNumberFormat="1" applyFont="1" applyFill="1" applyBorder="1" applyAlignment="1">
      <x:alignment wrapText="1"/>
    </x:xf>
    <x:xf numFmtId="200" fontId="0" fillId="0" borderId="0" xfId="0" applyNumberFormat="1" applyFont="1" applyFill="1" applyBorder="1"/>
    <x:xf numFmtId="200" fontId="3" fillId="4" borderId="0" xfId="0" applyNumberFormat="1" applyFont="1" applyFill="1" applyBorder="1"/>
    <x:xf numFmtId="202" fontId="0" fillId="0" borderId="0" xfId="0" applyNumberFormat="1" applyFont="1" applyFill="1" applyBorder="1"/>
    <x:xf numFmtId="202" fontId="3" fillId="4" borderId="0" xfId="0" applyNumberFormat="1" applyFont="1" applyFill="1" applyBorder="1"/>
    <x:xf numFmtId="0" fontId="2" fillId="3" borderId="7" xfId="0" applyNumberFormat="1" applyFont="1" applyFill="1" applyBorder="1" applyAlignment="1">
      <x:alignment wrapText="1"/>
    </x:xf>
    <x:xf numFmtId="0" fontId="0" fillId="0" borderId="3" xfId="0" applyNumberFormat="1" applyFont="1" applyFill="1" applyBorder="1"/>
    <x:xf numFmtId="0" fontId="0" fillId="0" borderId="8" xfId="0" applyNumberFormat="1" applyFont="1" applyFill="1" applyBorder="1"/>
    <x:xf numFmtId="200" fontId="0" fillId="0" borderId="8" xfId="0" applyNumberFormat="1" applyFont="1" applyFill="1" applyBorder="1"/>
    <x:xf numFmtId="202" fontId="0" fillId="0" borderId="8" xfId="0" applyNumberFormat="1" applyFont="1" applyFill="1" applyBorder="1"/>
    <x:xf numFmtId="202" fontId="0" fillId="0" borderId="4" xfId="0" applyNumberFormat="1" applyFont="1" applyFill="1" applyBorder="1"/>
    <x:xf numFmtId="0" fontId="3" fillId="4" borderId="5" xfId="0" applyNumberFormat="1" applyFont="1" applyFill="1" applyBorder="1"/>
    <x:xf numFmtId="0" fontId="3" fillId="4" borderId="9" xfId="0" applyNumberFormat="1" applyFont="1" applyFill="1" applyBorder="1"/>
    <x:xf numFmtId="200" fontId="3" fillId="4" borderId="9" xfId="0" applyNumberFormat="1" applyFont="1" applyFill="1" applyBorder="1"/>
    <x:xf numFmtId="202" fontId="3" fillId="4" borderId="9" xfId="0" applyNumberFormat="1" applyFont="1" applyFill="1" applyBorder="1"/>
    <x:xf numFmtId="202" fontId="3" fillId="4" borderId="6" xfId="0" applyNumberFormat="1" applyFont="1" applyFill="1" applyBorder="1"/>
    <x:xf numFmtId="0" fontId="0" fillId="0" borderId="8" xfId="0" applyNumberFormat="1" applyFont="1" applyFill="1" applyBorder="1" applyAlignment="1">
      <x:alignment wrapText="1"/>
    </x:xf>
  </x:cellXfs>
  <x:cellStyles count="1">
    <x:cellStyle name="Normal" xfId="0"/>
  </x:cellStyles>
  <x:dxfs count="4">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ont>
        <x:color rgb="FF595959"/>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52be7f6640468f" /><Relationship Type="http://schemas.openxmlformats.org/officeDocument/2006/relationships/theme" Target="/xl/theme/theme1.xml" Id="Red8c93abd4f54cd4" /><Relationship Type="http://schemas.openxmlformats.org/officeDocument/2006/relationships/sharedStrings" Target="/xl/sharedStrings.xml" Id="Rd860b9b038f74ecb" /><Relationship Type="http://schemas.openxmlformats.org/officeDocument/2006/relationships/worksheet" Target="/xl/worksheets/sheet1.xml" Id="R241a3782b41e4efe" /><Relationship Type="http://schemas.openxmlformats.org/officeDocument/2006/relationships/worksheet" Target="/xl/worksheets/sheet2.xml" Id="R36181aad40dc4ec0" /><Relationship Type="http://schemas.openxmlformats.org/officeDocument/2006/relationships/worksheet" Target="/xl/worksheets/sheet3.xml" Id="Rc45dde713a294d04" /></Relationships>
</file>

<file path=xl/tables/table1.xml><?xml version="1.0" encoding="utf-8"?>
<x:table xmlns:x="http://schemas.openxmlformats.org/spreadsheetml/2006/main" id="1" name="AnnotationsTable" displayName="AnnotationsTable" ref="A1:S596" headerRowCount="1" totalsRowCount="0" totalsRowShown="0">
  <x:tableColumns count="19">
    <x:tableColumn id="1" name="item_id"/>
    <x:tableColumn id="2" name="question_id"/>
    <x:tableColumn id="3" name="domain"/>
    <x:tableColumn id="4" name="topic"/>
    <x:tableColumn id="5" name="question"/>
    <x:tableColumn id="6" name="rank"/>
    <x:tableColumn id="7" name="source_id"/>
    <x:tableColumn id="8" name="title"/>
    <x:tableColumn id="9" name="authors"/>
    <x:tableColumn id="10" name="year"/>
    <x:tableColumn id="11" name="abstract"/>
    <x:tableColumn id="12" name="url"/>
    <x:tableColumn id="13" name="RRF score"/>
    <x:tableColumn id="14" name="source run"/>
    <x:tableColumn id="15" name="Codex 初标"/>
    <x:tableColumn id="16" name="初标理由"/>
    <x:tableColumn id="17" name="人工修正"/>
    <x:tableColumn id="18" name="最终标签"/>
    <x:tableColumn id="19" name="人工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01c1e2cb0cd4c8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ht="34" customHeight="1">
      <x:c r="A1" s="3" t="str">
        <x:v>CS 论文搜索结果相关性标注</x:v>
      </x:c>
      <x:c r="B1" s="3"/>
    </x:row>
    <x:row r="3" ht="15" hidden="0" customHeight="1">
      <x:c r="A3" s="11" t="str">
        <x:v>字段</x:v>
      </x:c>
      <x:c r="B3" s="12" t="str">
        <x:v>说明</x:v>
      </x:c>
    </x:row>
    <x:row r="4" ht="15" hidden="0" customHeight="1">
      <x:c r="A4" s="13" t="str">
        <x:v>用途</x:v>
      </x:c>
      <x:c r="B4" s="14" t="str">
        <x:v>评估 research agent 在 30 个计算机科学问题上的论文搜索结果相关性。</x:v>
      </x:c>
    </x:row>
    <x:row r="5" ht="15" hidden="0" customHeight="1">
      <x:c r="A5" s="13" t="str">
        <x:v>候选规模</x:v>
      </x:c>
      <x:c r="B5" s="14" t="str">
        <x:v>595 篇；csq017 仅有 15 篇，其余每题 20 篇。</x:v>
      </x:c>
    </x:row>
    <x:row r="6" ht="15" hidden="0" customHeight="1">
      <x:c r="A6" s="13" t="str">
        <x:v>初标性质</x:v>
      </x:c>
      <x:c r="B6" s="14" t="str">
        <x:v>Codex 基于研究问题、论文标题和摘要进行的模型辅助初标，不等同于经过领域专家复核的人类金标准。</x:v>
      </x:c>
    </x:row>
    <x:row r="7" ht="15" hidden="0" customHeight="1">
      <x:c r="A7" s="13" t="str">
        <x:v>2 — Directly relevant</x:v>
      </x:c>
      <x:c r="B7" s="14" t="str">
        <x:v>论文主要贡献直接覆盖问题至少一个明确且实质性的子方向，可作为最终综述的核心证据。</x:v>
      </x:c>
    </x:row>
    <x:row r="8" ht="15" hidden="0" customHeight="1">
      <x:c r="A8" s="13" t="str">
        <x:v>1 — Partially relevant</x:v>
      </x:c>
      <x:c r="B8" s="14" t="str">
        <x:v>与问题有实质关联，可提供背景、应用、支持技术或侧面证据，但主要贡献不直接回答问题焦点。</x:v>
      </x:c>
    </x:row>
    <x:row r="9" ht="15" hidden="0" customHeight="1">
      <x:c r="A9" s="13" t="str">
        <x:v>0 — Irrelevant</x:v>
      </x:c>
      <x:c r="B9" s="14" t="str">
        <x:v>关键词碰撞、任务或领域不符，不能实质帮助回答问题。</x:v>
      </x:c>
    </x:row>
    <x:row r="10" ht="15" hidden="0" customHeight="1">
      <x:c r="A10" s="13" t="str">
        <x:v>? — Unclear</x:v>
      </x:c>
      <x:c r="B10" s="14" t="str">
        <x:v>仅凭标题和摘要不足以判断；应查看全文。该标签从严使用。</x:v>
      </x:c>
    </x:row>
    <x:row r="11" ht="15" hidden="0" customHeight="1">
      <x:c r="A11" s="13" t="str">
        <x:v>人工复核</x:v>
      </x:c>
      <x:c r="B11" s="14" t="str">
        <x:v>在 Annotations 的“人工修正”列选择 0、1、2 或 ?；“最终标签”会自动采用人工值，否则沿用 Codex 初标。</x:v>
      </x:c>
    </x:row>
    <x:row r="12" ht="15" hidden="0" customHeight="1">
      <x:c r="A12" s="13" t="str">
        <x:v>相关论文定义</x:v>
      </x:c>
      <x:c r="B12" s="14" t="str">
        <x:v>Summary 中的相关率和 Precision@K 将标签 1 与 2 都视为 relevant；标签 2 单独代表核心相关。</x:v>
      </x:c>
    </x:row>
    <x:row r="13" ht="15" hidden="0" customHeight="1">
      <x:c r="A13" s="13" t="str">
        <x:v>时间口径</x:v>
      </x:c>
      <x:c r="B13" s="14" t="str">
        <x:v>年份为 arXiv 上传年份；候选由各题配置的上传年份范围过滤。</x:v>
      </x:c>
    </x:row>
    <x:row r="14" ht="26.399999618530273" hidden="0" customHeight="1">
      <x:c r="A14" s="15" t="str">
        <x:v>结果来源</x:v>
      </x:c>
      <x:c r="B14" s="16" t="str">
        <x:v>csq001–016、018–027：20260726 主实验；csq028–030：20260727 恢复运行；csq017：从主实验原始查询列表按当前 RRF 逻辑重建 Top 15。</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72" hidden="0" customWidth="1"/>
    <x:col min="3" max="3" width="13" hidden="0" customWidth="1"/>
    <x:col min="4" max="4" width="13" hidden="0" customWidth="1"/>
    <x:col min="5" max="5" width="13" hidden="0" customWidth="1"/>
    <x:col min="6" max="6" width="13" hidden="0" customWidth="1"/>
    <x:col min="7" max="7" width="13" hidden="0" customWidth="1"/>
    <x:col min="8" max="8" width="16" hidden="0" customWidth="1"/>
    <x:col min="9" max="9" width="16" hidden="0" customWidth="1"/>
    <x:col min="10" max="10" width="16" hidden="0" customWidth="1"/>
    <x:col min="11" max="11" width="16" hidden="0" customWidth="1"/>
    <x:col min="12" max="12" width="16" hidden="0" customWidth="1"/>
  </x:cols>
  <x:sheetData>
    <x:row r="1" ht="34" customHeight="1">
      <x:c r="A1" s="3" t="str">
        <x:v>30 题论文搜索相关性汇总</x:v>
      </x:c>
      <x:c r="B1" s="3"/>
      <x:c r="C1" s="3"/>
      <x:c r="D1" s="3"/>
      <x:c r="E1" s="3"/>
      <x:c r="F1" s="3"/>
      <x:c r="G1" s="3"/>
      <x:c r="H1" s="3"/>
      <x:c r="I1" s="3"/>
      <x:c r="J1" s="3"/>
      <x:c r="K1" s="3"/>
      <x:c r="L1" s="3"/>
    </x:row>
    <x:row r="3">
      <x:c r="A3" s="11" t="str">
        <x:v>question_id</x:v>
      </x:c>
      <x:c r="B3" s="34" t="str">
        <x:v>question</x:v>
      </x:c>
      <x:c r="C3" s="34" t="str">
        <x:v>候选数</x:v>
      </x:c>
      <x:c r="D3" s="34" t="str">
        <x:v>2 直接相关</x:v>
      </x:c>
      <x:c r="E3" s="34" t="str">
        <x:v>1 部分相关</x:v>
      </x:c>
      <x:c r="F3" s="34" t="str">
        <x:v>0 无关</x:v>
      </x:c>
      <x:c r="G3" s="34" t="str">
        <x:v>? 不确定</x:v>
      </x:c>
      <x:c r="H3" s="34" t="str">
        <x:v>相关率</x:v>
      </x:c>
      <x:c r="I3" s="34" t="str">
        <x:v>Precision@5</x:v>
      </x:c>
      <x:c r="J3" s="34" t="str">
        <x:v>Precision@10</x:v>
      </x:c>
      <x:c r="K3" s="34" t="str">
        <x:v>Precision@20</x:v>
      </x:c>
      <x:c r="L3" s="12" t="str">
        <x:v>直接相关率</x:v>
      </x:c>
    </x:row>
    <x:row r="4" ht="42" customHeight="1">
      <x:c r="A4" s="35" t="str">
        <x:v>csq001</x:v>
      </x:c>
      <x:c r="B4" s="45" t="str">
        <x:v>What are the main methods for evaluating retrieval-augmented generation systems, and which retrieval and generation dimensions do they measure?</x:v>
      </x:c>
      <x:c r="C4" s="37" t="n">
        <x:f>COUNTIF('Annotations'!$B$2:$B$596,A4)</x:f>
        <x:v>20</x:v>
      </x:c>
      <x:c r="D4" s="37" t="n">
        <x:f>COUNTIFS('Annotations'!$B$2:$B$596,A4,'Annotations'!$R$2:$R$596,"2")</x:f>
        <x:v>10</x:v>
      </x:c>
      <x:c r="E4" s="37" t="n">
        <x:f>COUNTIFS('Annotations'!$B$2:$B$596,A4,'Annotations'!$R$2:$R$596,"1")</x:f>
        <x:v>10</x:v>
      </x:c>
      <x:c r="F4" s="37" t="n">
        <x:f>COUNTIFS('Annotations'!$B$2:$B$596,A4,'Annotations'!$R$2:$R$596,"0")</x:f>
        <x:v>0</x:v>
      </x:c>
      <x:c r="G4" s="37" t="n">
        <x:f>COUNTIFS('Annotations'!$B$2:$B$596,A4,'Annotations'!$R$2:$R$596,"~?")</x:f>
        <x:v>0</x:v>
      </x:c>
      <x:c r="H4" s="38" t="n">
        <x:f>IF(C4=0,0,(D4+E4)/C4)</x:f>
        <x:v>1</x:v>
      </x:c>
      <x:c r="I4" s="38" t="n">
        <x:f>IF(COUNTIFS('Annotations'!$B$2:$B$596,A4,'Annotations'!$F$2:$F$596,"&lt;=5")=0,0,(COUNTIFS('Annotations'!$B$2:$B$596,A4,'Annotations'!$F$2:$F$596,"&lt;=5",'Annotations'!$R$2:$R$596,"2")+COUNTIFS('Annotations'!$B$2:$B$596,A4,'Annotations'!$F$2:$F$596,"&lt;=5",'Annotations'!$R$2:$R$596,"1"))/COUNTIFS('Annotations'!$B$2:$B$596,A4,'Annotations'!$F$2:$F$596,"&lt;=5"))</x:f>
        <x:v>1</x:v>
      </x:c>
      <x:c r="J4" s="38" t="n">
        <x:f>IF(COUNTIFS('Annotations'!$B$2:$B$596,A4,'Annotations'!$F$2:$F$596,"&lt;=10")=0,0,(COUNTIFS('Annotations'!$B$2:$B$596,A4,'Annotations'!$F$2:$F$596,"&lt;=10",'Annotations'!$R$2:$R$596,"2")+COUNTIFS('Annotations'!$B$2:$B$596,A4,'Annotations'!$F$2:$F$596,"&lt;=10",'Annotations'!$R$2:$R$596,"1"))/COUNTIFS('Annotations'!$B$2:$B$596,A4,'Annotations'!$F$2:$F$596,"&lt;=10"))</x:f>
        <x:v>1</x:v>
      </x:c>
      <x:c r="K4" s="38" t="n">
        <x:f>IF(COUNTIF('Annotations'!$B$2:$B$596,A4)=0,0,(COUNTIFS('Annotations'!$B$2:$B$596,A4,'Annotations'!$R$2:$R$596,"2")+COUNTIFS('Annotations'!$B$2:$B$596,A4,'Annotations'!$R$2:$R$596,"1"))/COUNTIF('Annotations'!$B$2:$B$596,A4))</x:f>
        <x:v>1</x:v>
      </x:c>
      <x:c r="L4" s="39" t="n">
        <x:f>IF(C4=0,0,D4/C4)</x:f>
        <x:v>0.5</x:v>
      </x:c>
    </x:row>
    <x:row r="5" ht="42" customHeight="1">
      <x:c r="A5" s="35" t="str">
        <x:v>csq002</x:v>
      </x:c>
      <x:c r="B5" s="45" t="str">
        <x:v>How do speculative decoding, model quantization, and KV-cache optimization differ as methods for accelerating large language model inference?</x:v>
      </x:c>
      <x:c r="C5" s="37" t="n">
        <x:f>COUNTIF('Annotations'!$B$2:$B$596,A5)</x:f>
        <x:v>20</x:v>
      </x:c>
      <x:c r="D5" s="37" t="n">
        <x:f>COUNTIFS('Annotations'!$B$2:$B$596,A5,'Annotations'!$R$2:$R$596,"2")</x:f>
        <x:v>17</x:v>
      </x:c>
      <x:c r="E5" s="37" t="n">
        <x:f>COUNTIFS('Annotations'!$B$2:$B$596,A5,'Annotations'!$R$2:$R$596,"1")</x:f>
        <x:v>0</x:v>
      </x:c>
      <x:c r="F5" s="37" t="n">
        <x:f>COUNTIFS('Annotations'!$B$2:$B$596,A5,'Annotations'!$R$2:$R$596,"0")</x:f>
        <x:v>3</x:v>
      </x:c>
      <x:c r="G5" s="37" t="n">
        <x:f>COUNTIFS('Annotations'!$B$2:$B$596,A5,'Annotations'!$R$2:$R$596,"~?")</x:f>
        <x:v>0</x:v>
      </x:c>
      <x:c r="H5" s="38" t="n">
        <x:f>IF(C5=0,0,(D5+E5)/C5)</x:f>
        <x:v>0.85</x:v>
      </x:c>
      <x:c r="I5" s="38" t="n">
        <x:f>IF(COUNTIFS('Annotations'!$B$2:$B$596,A5,'Annotations'!$F$2:$F$596,"&lt;=5")=0,0,(COUNTIFS('Annotations'!$B$2:$B$596,A5,'Annotations'!$F$2:$F$596,"&lt;=5",'Annotations'!$R$2:$R$596,"2")+COUNTIFS('Annotations'!$B$2:$B$596,A5,'Annotations'!$F$2:$F$596,"&lt;=5",'Annotations'!$R$2:$R$596,"1"))/COUNTIFS('Annotations'!$B$2:$B$596,A5,'Annotations'!$F$2:$F$596,"&lt;=5"))</x:f>
        <x:v>1</x:v>
      </x:c>
      <x:c r="J5" s="38" t="n">
        <x:f>IF(COUNTIFS('Annotations'!$B$2:$B$596,A5,'Annotations'!$F$2:$F$596,"&lt;=10")=0,0,(COUNTIFS('Annotations'!$B$2:$B$596,A5,'Annotations'!$F$2:$F$596,"&lt;=10",'Annotations'!$R$2:$R$596,"2")+COUNTIFS('Annotations'!$B$2:$B$596,A5,'Annotations'!$F$2:$F$596,"&lt;=10",'Annotations'!$R$2:$R$596,"1"))/COUNTIFS('Annotations'!$B$2:$B$596,A5,'Annotations'!$F$2:$F$596,"&lt;=10"))</x:f>
        <x:v>0.8</x:v>
      </x:c>
      <x:c r="K5" s="38" t="n">
        <x:f>IF(COUNTIF('Annotations'!$B$2:$B$596,A5)=0,0,(COUNTIFS('Annotations'!$B$2:$B$596,A5,'Annotations'!$R$2:$R$596,"2")+COUNTIFS('Annotations'!$B$2:$B$596,A5,'Annotations'!$R$2:$R$596,"1"))/COUNTIF('Annotations'!$B$2:$B$596,A5))</x:f>
        <x:v>0.85</x:v>
      </x:c>
      <x:c r="L5" s="39" t="n">
        <x:f>IF(C5=0,0,D5/C5)</x:f>
        <x:v>0.85</x:v>
      </x:c>
    </x:row>
    <x:row r="6" ht="42" customHeight="1">
      <x:c r="A6" s="35" t="str">
        <x:v>csq003</x:v>
      </x:c>
      <x:c r="B6" s="45" t="str">
        <x:v>Which automatic and human evaluation methods are used to measure hallucination and factual consistency in large language models, and what evidence exists about their reliability?</x:v>
      </x:c>
      <x:c r="C6" s="37" t="n">
        <x:f>COUNTIF('Annotations'!$B$2:$B$596,A6)</x:f>
        <x:v>20</x:v>
      </x:c>
      <x:c r="D6" s="37" t="n">
        <x:f>COUNTIFS('Annotations'!$B$2:$B$596,A6,'Annotations'!$R$2:$R$596,"2")</x:f>
        <x:v>15</x:v>
      </x:c>
      <x:c r="E6" s="37" t="n">
        <x:f>COUNTIFS('Annotations'!$B$2:$B$596,A6,'Annotations'!$R$2:$R$596,"1")</x:f>
        <x:v>5</x:v>
      </x:c>
      <x:c r="F6" s="37" t="n">
        <x:f>COUNTIFS('Annotations'!$B$2:$B$596,A6,'Annotations'!$R$2:$R$596,"0")</x:f>
        <x:v>0</x:v>
      </x:c>
      <x:c r="G6" s="37" t="n">
        <x:f>COUNTIFS('Annotations'!$B$2:$B$596,A6,'Annotations'!$R$2:$R$596,"~?")</x:f>
        <x:v>0</x:v>
      </x:c>
      <x:c r="H6" s="38" t="n">
        <x:f>IF(C6=0,0,(D6+E6)/C6)</x:f>
        <x:v>1</x:v>
      </x:c>
      <x:c r="I6" s="38" t="n">
        <x:f>IF(COUNTIFS('Annotations'!$B$2:$B$596,A6,'Annotations'!$F$2:$F$596,"&lt;=5")=0,0,(COUNTIFS('Annotations'!$B$2:$B$596,A6,'Annotations'!$F$2:$F$596,"&lt;=5",'Annotations'!$R$2:$R$596,"2")+COUNTIFS('Annotations'!$B$2:$B$596,A6,'Annotations'!$F$2:$F$596,"&lt;=5",'Annotations'!$R$2:$R$596,"1"))/COUNTIFS('Annotations'!$B$2:$B$596,A6,'Annotations'!$F$2:$F$596,"&lt;=5"))</x:f>
        <x:v>1</x:v>
      </x:c>
      <x:c r="J6" s="38" t="n">
        <x:f>IF(COUNTIFS('Annotations'!$B$2:$B$596,A6,'Annotations'!$F$2:$F$596,"&lt;=10")=0,0,(COUNTIFS('Annotations'!$B$2:$B$596,A6,'Annotations'!$F$2:$F$596,"&lt;=10",'Annotations'!$R$2:$R$596,"2")+COUNTIFS('Annotations'!$B$2:$B$596,A6,'Annotations'!$F$2:$F$596,"&lt;=10",'Annotations'!$R$2:$R$596,"1"))/COUNTIFS('Annotations'!$B$2:$B$596,A6,'Annotations'!$F$2:$F$596,"&lt;=10"))</x:f>
        <x:v>1</x:v>
      </x:c>
      <x:c r="K6" s="38" t="n">
        <x:f>IF(COUNTIF('Annotations'!$B$2:$B$596,A6)=0,0,(COUNTIFS('Annotations'!$B$2:$B$596,A6,'Annotations'!$R$2:$R$596,"2")+COUNTIFS('Annotations'!$B$2:$B$596,A6,'Annotations'!$R$2:$R$596,"1"))/COUNTIF('Annotations'!$B$2:$B$596,A6))</x:f>
        <x:v>1</x:v>
      </x:c>
      <x:c r="L6" s="39" t="n">
        <x:f>IF(C6=0,0,D6/C6)</x:f>
        <x:v>0.75</x:v>
      </x:c>
    </x:row>
    <x:row r="7" ht="42" customHeight="1">
      <x:c r="A7" s="35" t="str">
        <x:v>csq004</x:v>
      </x:c>
      <x:c r="B7" s="45" t="str">
        <x:v>What limitations and biases have been identified in LLM-as-a-judge evaluation, and which mitigation strategies have been proposed?</x:v>
      </x:c>
      <x:c r="C7" s="37" t="n">
        <x:f>COUNTIF('Annotations'!$B$2:$B$596,A7)</x:f>
        <x:v>20</x:v>
      </x:c>
      <x:c r="D7" s="37" t="n">
        <x:f>COUNTIFS('Annotations'!$B$2:$B$596,A7,'Annotations'!$R$2:$R$596,"2")</x:f>
        <x:v>19</x:v>
      </x:c>
      <x:c r="E7" s="37" t="n">
        <x:f>COUNTIFS('Annotations'!$B$2:$B$596,A7,'Annotations'!$R$2:$R$596,"1")</x:f>
        <x:v>1</x:v>
      </x:c>
      <x:c r="F7" s="37" t="n">
        <x:f>COUNTIFS('Annotations'!$B$2:$B$596,A7,'Annotations'!$R$2:$R$596,"0")</x:f>
        <x:v>0</x:v>
      </x:c>
      <x:c r="G7" s="37" t="n">
        <x:f>COUNTIFS('Annotations'!$B$2:$B$596,A7,'Annotations'!$R$2:$R$596,"~?")</x:f>
        <x:v>0</x:v>
      </x:c>
      <x:c r="H7" s="38" t="n">
        <x:f>IF(C7=0,0,(D7+E7)/C7)</x:f>
        <x:v>1</x:v>
      </x:c>
      <x:c r="I7" s="38" t="n">
        <x:f>IF(COUNTIFS('Annotations'!$B$2:$B$596,A7,'Annotations'!$F$2:$F$596,"&lt;=5")=0,0,(COUNTIFS('Annotations'!$B$2:$B$596,A7,'Annotations'!$F$2:$F$596,"&lt;=5",'Annotations'!$R$2:$R$596,"2")+COUNTIFS('Annotations'!$B$2:$B$596,A7,'Annotations'!$F$2:$F$596,"&lt;=5",'Annotations'!$R$2:$R$596,"1"))/COUNTIFS('Annotations'!$B$2:$B$596,A7,'Annotations'!$F$2:$F$596,"&lt;=5"))</x:f>
        <x:v>1</x:v>
      </x:c>
      <x:c r="J7" s="38" t="n">
        <x:f>IF(COUNTIFS('Annotations'!$B$2:$B$596,A7,'Annotations'!$F$2:$F$596,"&lt;=10")=0,0,(COUNTIFS('Annotations'!$B$2:$B$596,A7,'Annotations'!$F$2:$F$596,"&lt;=10",'Annotations'!$R$2:$R$596,"2")+COUNTIFS('Annotations'!$B$2:$B$596,A7,'Annotations'!$F$2:$F$596,"&lt;=10",'Annotations'!$R$2:$R$596,"1"))/COUNTIFS('Annotations'!$B$2:$B$596,A7,'Annotations'!$F$2:$F$596,"&lt;=10"))</x:f>
        <x:v>1</x:v>
      </x:c>
      <x:c r="K7" s="38" t="n">
        <x:f>IF(COUNTIF('Annotations'!$B$2:$B$596,A7)=0,0,(COUNTIFS('Annotations'!$B$2:$B$596,A7,'Annotations'!$R$2:$R$596,"2")+COUNTIFS('Annotations'!$B$2:$B$596,A7,'Annotations'!$R$2:$R$596,"1"))/COUNTIF('Annotations'!$B$2:$B$596,A7))</x:f>
        <x:v>1</x:v>
      </x:c>
      <x:c r="L7" s="39" t="n">
        <x:f>IF(C7=0,0,D7/C7)</x:f>
        <x:v>0.95</x:v>
      </x:c>
    </x:row>
    <x:row r="8" ht="42" customHeight="1">
      <x:c r="A8" s="35" t="str">
        <x:v>csq005</x:v>
      </x:c>
      <x:c r="B8" s="45" t="str">
        <x:v>How have methods for extending the effective context length of transformer language models evolved, and what trade-offs do they make in memory, latency, and retrieval quality?</x:v>
      </x:c>
      <x:c r="C8" s="37" t="n">
        <x:f>COUNTIF('Annotations'!$B$2:$B$596,A8)</x:f>
        <x:v>20</x:v>
      </x:c>
      <x:c r="D8" s="37" t="n">
        <x:f>COUNTIFS('Annotations'!$B$2:$B$596,A8,'Annotations'!$R$2:$R$596,"2")</x:f>
        <x:v>17</x:v>
      </x:c>
      <x:c r="E8" s="37" t="n">
        <x:f>COUNTIFS('Annotations'!$B$2:$B$596,A8,'Annotations'!$R$2:$R$596,"1")</x:f>
        <x:v>0</x:v>
      </x:c>
      <x:c r="F8" s="37" t="n">
        <x:f>COUNTIFS('Annotations'!$B$2:$B$596,A8,'Annotations'!$R$2:$R$596,"0")</x:f>
        <x:v>3</x:v>
      </x:c>
      <x:c r="G8" s="37" t="n">
        <x:f>COUNTIFS('Annotations'!$B$2:$B$596,A8,'Annotations'!$R$2:$R$596,"~?")</x:f>
        <x:v>0</x:v>
      </x:c>
      <x:c r="H8" s="38" t="n">
        <x:f>IF(C8=0,0,(D8+E8)/C8)</x:f>
        <x:v>0.85</x:v>
      </x:c>
      <x:c r="I8" s="38" t="n">
        <x:f>IF(COUNTIFS('Annotations'!$B$2:$B$596,A8,'Annotations'!$F$2:$F$596,"&lt;=5")=0,0,(COUNTIFS('Annotations'!$B$2:$B$596,A8,'Annotations'!$F$2:$F$596,"&lt;=5",'Annotations'!$R$2:$R$596,"2")+COUNTIFS('Annotations'!$B$2:$B$596,A8,'Annotations'!$F$2:$F$596,"&lt;=5",'Annotations'!$R$2:$R$596,"1"))/COUNTIFS('Annotations'!$B$2:$B$596,A8,'Annotations'!$F$2:$F$596,"&lt;=5"))</x:f>
        <x:v>0.6</x:v>
      </x:c>
      <x:c r="J8" s="38" t="n">
        <x:f>IF(COUNTIFS('Annotations'!$B$2:$B$596,A8,'Annotations'!$F$2:$F$596,"&lt;=10")=0,0,(COUNTIFS('Annotations'!$B$2:$B$596,A8,'Annotations'!$F$2:$F$596,"&lt;=10",'Annotations'!$R$2:$R$596,"2")+COUNTIFS('Annotations'!$B$2:$B$596,A8,'Annotations'!$F$2:$F$596,"&lt;=10",'Annotations'!$R$2:$R$596,"1"))/COUNTIFS('Annotations'!$B$2:$B$596,A8,'Annotations'!$F$2:$F$596,"&lt;=10"))</x:f>
        <x:v>0.7</x:v>
      </x:c>
      <x:c r="K8" s="38" t="n">
        <x:f>IF(COUNTIF('Annotations'!$B$2:$B$596,A8)=0,0,(COUNTIFS('Annotations'!$B$2:$B$596,A8,'Annotations'!$R$2:$R$596,"2")+COUNTIFS('Annotations'!$B$2:$B$596,A8,'Annotations'!$R$2:$R$596,"1"))/COUNTIF('Annotations'!$B$2:$B$596,A8))</x:f>
        <x:v>0.85</x:v>
      </x:c>
      <x:c r="L8" s="39" t="n">
        <x:f>IF(C8=0,0,D8/C8)</x:f>
        <x:v>0.85</x:v>
      </x:c>
    </x:row>
    <x:row r="9" ht="42" customHeight="1">
      <x:c r="A9" s="35" t="str">
        <x:v>csq006</x:v>
      </x:c>
      <x:c r="B9" s="45" t="str">
        <x:v>What are the main parameter-efficient fine-tuning methods, and how do they reduce trainable parameters while preserving downstream performance?</x:v>
      </x:c>
      <x:c r="C9" s="37" t="n">
        <x:f>COUNTIF('Annotations'!$B$2:$B$596,A9)</x:f>
        <x:v>20</x:v>
      </x:c>
      <x:c r="D9" s="37" t="n">
        <x:f>COUNTIFS('Annotations'!$B$2:$B$596,A9,'Annotations'!$R$2:$R$596,"2")</x:f>
        <x:v>13</x:v>
      </x:c>
      <x:c r="E9" s="37" t="n">
        <x:f>COUNTIFS('Annotations'!$B$2:$B$596,A9,'Annotations'!$R$2:$R$596,"1")</x:f>
        <x:v>7</x:v>
      </x:c>
      <x:c r="F9" s="37" t="n">
        <x:f>COUNTIFS('Annotations'!$B$2:$B$596,A9,'Annotations'!$R$2:$R$596,"0")</x:f>
        <x:v>0</x:v>
      </x:c>
      <x:c r="G9" s="37" t="n">
        <x:f>COUNTIFS('Annotations'!$B$2:$B$596,A9,'Annotations'!$R$2:$R$596,"~?")</x:f>
        <x:v>0</x:v>
      </x:c>
      <x:c r="H9" s="38" t="n">
        <x:f>IF(C9=0,0,(D9+E9)/C9)</x:f>
        <x:v>1</x:v>
      </x:c>
      <x:c r="I9" s="38" t="n">
        <x:f>IF(COUNTIFS('Annotations'!$B$2:$B$596,A9,'Annotations'!$F$2:$F$596,"&lt;=5")=0,0,(COUNTIFS('Annotations'!$B$2:$B$596,A9,'Annotations'!$F$2:$F$596,"&lt;=5",'Annotations'!$R$2:$R$596,"2")+COUNTIFS('Annotations'!$B$2:$B$596,A9,'Annotations'!$F$2:$F$596,"&lt;=5",'Annotations'!$R$2:$R$596,"1"))/COUNTIFS('Annotations'!$B$2:$B$596,A9,'Annotations'!$F$2:$F$596,"&lt;=5"))</x:f>
        <x:v>1</x:v>
      </x:c>
      <x:c r="J9" s="38" t="n">
        <x:f>IF(COUNTIFS('Annotations'!$B$2:$B$596,A9,'Annotations'!$F$2:$F$596,"&lt;=10")=0,0,(COUNTIFS('Annotations'!$B$2:$B$596,A9,'Annotations'!$F$2:$F$596,"&lt;=10",'Annotations'!$R$2:$R$596,"2")+COUNTIFS('Annotations'!$B$2:$B$596,A9,'Annotations'!$F$2:$F$596,"&lt;=10",'Annotations'!$R$2:$R$596,"1"))/COUNTIFS('Annotations'!$B$2:$B$596,A9,'Annotations'!$F$2:$F$596,"&lt;=10"))</x:f>
        <x:v>1</x:v>
      </x:c>
      <x:c r="K9" s="38" t="n">
        <x:f>IF(COUNTIF('Annotations'!$B$2:$B$596,A9)=0,0,(COUNTIFS('Annotations'!$B$2:$B$596,A9,'Annotations'!$R$2:$R$596,"2")+COUNTIFS('Annotations'!$B$2:$B$596,A9,'Annotations'!$R$2:$R$596,"1"))/COUNTIF('Annotations'!$B$2:$B$596,A9))</x:f>
        <x:v>1</x:v>
      </x:c>
      <x:c r="L9" s="39" t="n">
        <x:f>IF(C9=0,0,D9/C9)</x:f>
        <x:v>0.65</x:v>
      </x:c>
    </x:row>
    <x:row r="10" ht="42" customHeight="1">
      <x:c r="A10" s="35" t="str">
        <x:v>csq007</x:v>
      </x:c>
      <x:c r="B10" s="45" t="str">
        <x:v>How do major federated learning optimization methods address client heterogeneity and non-IID data, and how do their assumptions differ?</x:v>
      </x:c>
      <x:c r="C10" s="37" t="n">
        <x:f>COUNTIF('Annotations'!$B$2:$B$596,A10)</x:f>
        <x:v>20</x:v>
      </x:c>
      <x:c r="D10" s="37" t="n">
        <x:f>COUNTIFS('Annotations'!$B$2:$B$596,A10,'Annotations'!$R$2:$R$596,"2")</x:f>
        <x:v>16</x:v>
      </x:c>
      <x:c r="E10" s="37" t="n">
        <x:f>COUNTIFS('Annotations'!$B$2:$B$596,A10,'Annotations'!$R$2:$R$596,"1")</x:f>
        <x:v>4</x:v>
      </x:c>
      <x:c r="F10" s="37" t="n">
        <x:f>COUNTIFS('Annotations'!$B$2:$B$596,A10,'Annotations'!$R$2:$R$596,"0")</x:f>
        <x:v>0</x:v>
      </x:c>
      <x:c r="G10" s="37" t="n">
        <x:f>COUNTIFS('Annotations'!$B$2:$B$596,A10,'Annotations'!$R$2:$R$596,"~?")</x:f>
        <x:v>0</x:v>
      </x:c>
      <x:c r="H10" s="38" t="n">
        <x:f>IF(C10=0,0,(D10+E10)/C10)</x:f>
        <x:v>1</x:v>
      </x:c>
      <x:c r="I10" s="38" t="n">
        <x:f>IF(COUNTIFS('Annotations'!$B$2:$B$596,A10,'Annotations'!$F$2:$F$596,"&lt;=5")=0,0,(COUNTIFS('Annotations'!$B$2:$B$596,A10,'Annotations'!$F$2:$F$596,"&lt;=5",'Annotations'!$R$2:$R$596,"2")+COUNTIFS('Annotations'!$B$2:$B$596,A10,'Annotations'!$F$2:$F$596,"&lt;=5",'Annotations'!$R$2:$R$596,"1"))/COUNTIFS('Annotations'!$B$2:$B$596,A10,'Annotations'!$F$2:$F$596,"&lt;=5"))</x:f>
        <x:v>1</x:v>
      </x:c>
      <x:c r="J10" s="38" t="n">
        <x:f>IF(COUNTIFS('Annotations'!$B$2:$B$596,A10,'Annotations'!$F$2:$F$596,"&lt;=10")=0,0,(COUNTIFS('Annotations'!$B$2:$B$596,A10,'Annotations'!$F$2:$F$596,"&lt;=10",'Annotations'!$R$2:$R$596,"2")+COUNTIFS('Annotations'!$B$2:$B$596,A10,'Annotations'!$F$2:$F$596,"&lt;=10",'Annotations'!$R$2:$R$596,"1"))/COUNTIFS('Annotations'!$B$2:$B$596,A10,'Annotations'!$F$2:$F$596,"&lt;=10"))</x:f>
        <x:v>1</x:v>
      </x:c>
      <x:c r="K10" s="38" t="n">
        <x:f>IF(COUNTIF('Annotations'!$B$2:$B$596,A10)=0,0,(COUNTIFS('Annotations'!$B$2:$B$596,A10,'Annotations'!$R$2:$R$596,"2")+COUNTIFS('Annotations'!$B$2:$B$596,A10,'Annotations'!$R$2:$R$596,"1"))/COUNTIF('Annotations'!$B$2:$B$596,A10))</x:f>
        <x:v>1</x:v>
      </x:c>
      <x:c r="L10" s="39" t="n">
        <x:f>IF(C10=0,0,D10/C10)</x:f>
        <x:v>0.8</x:v>
      </x:c>
    </x:row>
    <x:row r="11" ht="42" customHeight="1">
      <x:c r="A11" s="35" t="str">
        <x:v>csq008</x:v>
      </x:c>
      <x:c r="B11" s="45" t="str">
        <x:v>Which metrics and benchmark protocols are used to evaluate uncertainty calibration in deep neural networks, and what failure modes do these metrics miss?</x:v>
      </x:c>
      <x:c r="C11" s="37" t="n">
        <x:f>COUNTIF('Annotations'!$B$2:$B$596,A11)</x:f>
        <x:v>20</x:v>
      </x:c>
      <x:c r="D11" s="37" t="n">
        <x:f>COUNTIFS('Annotations'!$B$2:$B$596,A11,'Annotations'!$R$2:$R$596,"2")</x:f>
        <x:v>9</x:v>
      </x:c>
      <x:c r="E11" s="37" t="n">
        <x:f>COUNTIFS('Annotations'!$B$2:$B$596,A11,'Annotations'!$R$2:$R$596,"1")</x:f>
        <x:v>9</x:v>
      </x:c>
      <x:c r="F11" s="37" t="n">
        <x:f>COUNTIFS('Annotations'!$B$2:$B$596,A11,'Annotations'!$R$2:$R$596,"0")</x:f>
        <x:v>2</x:v>
      </x:c>
      <x:c r="G11" s="37" t="n">
        <x:f>COUNTIFS('Annotations'!$B$2:$B$596,A11,'Annotations'!$R$2:$R$596,"~?")</x:f>
        <x:v>0</x:v>
      </x:c>
      <x:c r="H11" s="38" t="n">
        <x:f>IF(C11=0,0,(D11+E11)/C11)</x:f>
        <x:v>0.9</x:v>
      </x:c>
      <x:c r="I11" s="38" t="n">
        <x:f>IF(COUNTIFS('Annotations'!$B$2:$B$596,A11,'Annotations'!$F$2:$F$596,"&lt;=5")=0,0,(COUNTIFS('Annotations'!$B$2:$B$596,A11,'Annotations'!$F$2:$F$596,"&lt;=5",'Annotations'!$R$2:$R$596,"2")+COUNTIFS('Annotations'!$B$2:$B$596,A11,'Annotations'!$F$2:$F$596,"&lt;=5",'Annotations'!$R$2:$R$596,"1"))/COUNTIFS('Annotations'!$B$2:$B$596,A11,'Annotations'!$F$2:$F$596,"&lt;=5"))</x:f>
        <x:v>1</x:v>
      </x:c>
      <x:c r="J11" s="38" t="n">
        <x:f>IF(COUNTIFS('Annotations'!$B$2:$B$596,A11,'Annotations'!$F$2:$F$596,"&lt;=10")=0,0,(COUNTIFS('Annotations'!$B$2:$B$596,A11,'Annotations'!$F$2:$F$596,"&lt;=10",'Annotations'!$R$2:$R$596,"2")+COUNTIFS('Annotations'!$B$2:$B$596,A11,'Annotations'!$F$2:$F$596,"&lt;=10",'Annotations'!$R$2:$R$596,"1"))/COUNTIFS('Annotations'!$B$2:$B$596,A11,'Annotations'!$F$2:$F$596,"&lt;=10"))</x:f>
        <x:v>0.9</x:v>
      </x:c>
      <x:c r="K11" s="38" t="n">
        <x:f>IF(COUNTIF('Annotations'!$B$2:$B$596,A11)=0,0,(COUNTIFS('Annotations'!$B$2:$B$596,A11,'Annotations'!$R$2:$R$596,"2")+COUNTIFS('Annotations'!$B$2:$B$596,A11,'Annotations'!$R$2:$R$596,"1"))/COUNTIF('Annotations'!$B$2:$B$596,A11))</x:f>
        <x:v>0.9</x:v>
      </x:c>
      <x:c r="L11" s="39" t="n">
        <x:f>IF(C11=0,0,D11/C11)</x:f>
        <x:v>0.45</x:v>
      </x:c>
    </x:row>
    <x:row r="12" ht="42" customHeight="1">
      <x:c r="A12" s="35" t="str">
        <x:v>csq009</x:v>
      </x:c>
      <x:c r="B12" s="45" t="str">
        <x:v>What causes over-smoothing and over-squashing in graph neural networks, and which mitigation methods are supported by empirical and theoretical research?</x:v>
      </x:c>
      <x:c r="C12" s="37" t="n">
        <x:f>COUNTIF('Annotations'!$B$2:$B$596,A12)</x:f>
        <x:v>20</x:v>
      </x:c>
      <x:c r="D12" s="37" t="n">
        <x:f>COUNTIFS('Annotations'!$B$2:$B$596,A12,'Annotations'!$R$2:$R$596,"2")</x:f>
        <x:v>19</x:v>
      </x:c>
      <x:c r="E12" s="37" t="n">
        <x:f>COUNTIFS('Annotations'!$B$2:$B$596,A12,'Annotations'!$R$2:$R$596,"1")</x:f>
        <x:v>1</x:v>
      </x:c>
      <x:c r="F12" s="37" t="n">
        <x:f>COUNTIFS('Annotations'!$B$2:$B$596,A12,'Annotations'!$R$2:$R$596,"0")</x:f>
        <x:v>0</x:v>
      </x:c>
      <x:c r="G12" s="37" t="n">
        <x:f>COUNTIFS('Annotations'!$B$2:$B$596,A12,'Annotations'!$R$2:$R$596,"~?")</x:f>
        <x:v>0</x:v>
      </x:c>
      <x:c r="H12" s="38" t="n">
        <x:f>IF(C12=0,0,(D12+E12)/C12)</x:f>
        <x:v>1</x:v>
      </x:c>
      <x:c r="I12" s="38" t="n">
        <x:f>IF(COUNTIFS('Annotations'!$B$2:$B$596,A12,'Annotations'!$F$2:$F$596,"&lt;=5")=0,0,(COUNTIFS('Annotations'!$B$2:$B$596,A12,'Annotations'!$F$2:$F$596,"&lt;=5",'Annotations'!$R$2:$R$596,"2")+COUNTIFS('Annotations'!$B$2:$B$596,A12,'Annotations'!$F$2:$F$596,"&lt;=5",'Annotations'!$R$2:$R$596,"1"))/COUNTIFS('Annotations'!$B$2:$B$596,A12,'Annotations'!$F$2:$F$596,"&lt;=5"))</x:f>
        <x:v>1</x:v>
      </x:c>
      <x:c r="J12" s="38" t="n">
        <x:f>IF(COUNTIFS('Annotations'!$B$2:$B$596,A12,'Annotations'!$F$2:$F$596,"&lt;=10")=0,0,(COUNTIFS('Annotations'!$B$2:$B$596,A12,'Annotations'!$F$2:$F$596,"&lt;=10",'Annotations'!$R$2:$R$596,"2")+COUNTIFS('Annotations'!$B$2:$B$596,A12,'Annotations'!$F$2:$F$596,"&lt;=10",'Annotations'!$R$2:$R$596,"1"))/COUNTIFS('Annotations'!$B$2:$B$596,A12,'Annotations'!$F$2:$F$596,"&lt;=10"))</x:f>
        <x:v>1</x:v>
      </x:c>
      <x:c r="K12" s="38" t="n">
        <x:f>IF(COUNTIF('Annotations'!$B$2:$B$596,A12)=0,0,(COUNTIFS('Annotations'!$B$2:$B$596,A12,'Annotations'!$R$2:$R$596,"2")+COUNTIFS('Annotations'!$B$2:$B$596,A12,'Annotations'!$R$2:$R$596,"1"))/COUNTIF('Annotations'!$B$2:$B$596,A12))</x:f>
        <x:v>1</x:v>
      </x:c>
      <x:c r="L12" s="39" t="n">
        <x:f>IF(C12=0,0,D12/C12)</x:f>
        <x:v>0.95</x:v>
      </x:c>
    </x:row>
    <x:row r="13" ht="42" customHeight="1">
      <x:c r="A13" s="35" t="str">
        <x:v>csq010</x:v>
      </x:c>
      <x:c r="B13" s="45" t="str">
        <x:v>How have self-supervised representation learning objectives evolved from contrastive learning to non-contrastive and masked-prediction approaches?</x:v>
      </x:c>
      <x:c r="C13" s="37" t="n">
        <x:f>COUNTIF('Annotations'!$B$2:$B$596,A13)</x:f>
        <x:v>20</x:v>
      </x:c>
      <x:c r="D13" s="37" t="n">
        <x:f>COUNTIFS('Annotations'!$B$2:$B$596,A13,'Annotations'!$R$2:$R$596,"2")</x:f>
        <x:v>12</x:v>
      </x:c>
      <x:c r="E13" s="37" t="n">
        <x:f>COUNTIFS('Annotations'!$B$2:$B$596,A13,'Annotations'!$R$2:$R$596,"1")</x:f>
        <x:v>8</x:v>
      </x:c>
      <x:c r="F13" s="37" t="n">
        <x:f>COUNTIFS('Annotations'!$B$2:$B$596,A13,'Annotations'!$R$2:$R$596,"0")</x:f>
        <x:v>0</x:v>
      </x:c>
      <x:c r="G13" s="37" t="n">
        <x:f>COUNTIFS('Annotations'!$B$2:$B$596,A13,'Annotations'!$R$2:$R$596,"~?")</x:f>
        <x:v>0</x:v>
      </x:c>
      <x:c r="H13" s="38" t="n">
        <x:f>IF(C13=0,0,(D13+E13)/C13)</x:f>
        <x:v>1</x:v>
      </x:c>
      <x:c r="I13" s="38" t="n">
        <x:f>IF(COUNTIFS('Annotations'!$B$2:$B$596,A13,'Annotations'!$F$2:$F$596,"&lt;=5")=0,0,(COUNTIFS('Annotations'!$B$2:$B$596,A13,'Annotations'!$F$2:$F$596,"&lt;=5",'Annotations'!$R$2:$R$596,"2")+COUNTIFS('Annotations'!$B$2:$B$596,A13,'Annotations'!$F$2:$F$596,"&lt;=5",'Annotations'!$R$2:$R$596,"1"))/COUNTIFS('Annotations'!$B$2:$B$596,A13,'Annotations'!$F$2:$F$596,"&lt;=5"))</x:f>
        <x:v>1</x:v>
      </x:c>
      <x:c r="J13" s="38" t="n">
        <x:f>IF(COUNTIFS('Annotations'!$B$2:$B$596,A13,'Annotations'!$F$2:$F$596,"&lt;=10")=0,0,(COUNTIFS('Annotations'!$B$2:$B$596,A13,'Annotations'!$F$2:$F$596,"&lt;=10",'Annotations'!$R$2:$R$596,"2")+COUNTIFS('Annotations'!$B$2:$B$596,A13,'Annotations'!$F$2:$F$596,"&lt;=10",'Annotations'!$R$2:$R$596,"1"))/COUNTIFS('Annotations'!$B$2:$B$596,A13,'Annotations'!$F$2:$F$596,"&lt;=10"))</x:f>
        <x:v>1</x:v>
      </x:c>
      <x:c r="K13" s="38" t="n">
        <x:f>IF(COUNTIF('Annotations'!$B$2:$B$596,A13)=0,0,(COUNTIFS('Annotations'!$B$2:$B$596,A13,'Annotations'!$R$2:$R$596,"2")+COUNTIFS('Annotations'!$B$2:$B$596,A13,'Annotations'!$R$2:$R$596,"1"))/COUNTIF('Annotations'!$B$2:$B$596,A13))</x:f>
        <x:v>1</x:v>
      </x:c>
      <x:c r="L13" s="39" t="n">
        <x:f>IF(C13=0,0,D13/C13)</x:f>
        <x:v>0.6</x:v>
      </x:c>
    </x:row>
    <x:row r="14" ht="42" customHeight="1">
      <x:c r="A14" s="35" t="str">
        <x:v>csq011</x:v>
      </x:c>
      <x:c r="B14" s="45" t="str">
        <x:v>What are the main neural representations for novel-view synthesis, including neural radiance fields and 3D Gaussian splatting, and what are their computational trade-offs?</x:v>
      </x:c>
      <x:c r="C14" s="37" t="n">
        <x:f>COUNTIF('Annotations'!$B$2:$B$596,A14)</x:f>
        <x:v>20</x:v>
      </x:c>
      <x:c r="D14" s="37" t="n">
        <x:f>COUNTIFS('Annotations'!$B$2:$B$596,A14,'Annotations'!$R$2:$R$596,"2")</x:f>
        <x:v>6</x:v>
      </x:c>
      <x:c r="E14" s="37" t="n">
        <x:f>COUNTIFS('Annotations'!$B$2:$B$596,A14,'Annotations'!$R$2:$R$596,"1")</x:f>
        <x:v>11</x:v>
      </x:c>
      <x:c r="F14" s="37" t="n">
        <x:f>COUNTIFS('Annotations'!$B$2:$B$596,A14,'Annotations'!$R$2:$R$596,"0")</x:f>
        <x:v>3</x:v>
      </x:c>
      <x:c r="G14" s="37" t="n">
        <x:f>COUNTIFS('Annotations'!$B$2:$B$596,A14,'Annotations'!$R$2:$R$596,"~?")</x:f>
        <x:v>0</x:v>
      </x:c>
      <x:c r="H14" s="38" t="n">
        <x:f>IF(C14=0,0,(D14+E14)/C14)</x:f>
        <x:v>0.85</x:v>
      </x:c>
      <x:c r="I14" s="38" t="n">
        <x:f>IF(COUNTIFS('Annotations'!$B$2:$B$596,A14,'Annotations'!$F$2:$F$596,"&lt;=5")=0,0,(COUNTIFS('Annotations'!$B$2:$B$596,A14,'Annotations'!$F$2:$F$596,"&lt;=5",'Annotations'!$R$2:$R$596,"2")+COUNTIFS('Annotations'!$B$2:$B$596,A14,'Annotations'!$F$2:$F$596,"&lt;=5",'Annotations'!$R$2:$R$596,"1"))/COUNTIFS('Annotations'!$B$2:$B$596,A14,'Annotations'!$F$2:$F$596,"&lt;=5"))</x:f>
        <x:v>0.8</x:v>
      </x:c>
      <x:c r="J14" s="38" t="n">
        <x:f>IF(COUNTIFS('Annotations'!$B$2:$B$596,A14,'Annotations'!$F$2:$F$596,"&lt;=10")=0,0,(COUNTIFS('Annotations'!$B$2:$B$596,A14,'Annotations'!$F$2:$F$596,"&lt;=10",'Annotations'!$R$2:$R$596,"2")+COUNTIFS('Annotations'!$B$2:$B$596,A14,'Annotations'!$F$2:$F$596,"&lt;=10",'Annotations'!$R$2:$R$596,"1"))/COUNTIFS('Annotations'!$B$2:$B$596,A14,'Annotations'!$F$2:$F$596,"&lt;=10"))</x:f>
        <x:v>0.9</x:v>
      </x:c>
      <x:c r="K14" s="38" t="n">
        <x:f>IF(COUNTIF('Annotations'!$B$2:$B$596,A14)=0,0,(COUNTIFS('Annotations'!$B$2:$B$596,A14,'Annotations'!$R$2:$R$596,"2")+COUNTIFS('Annotations'!$B$2:$B$596,A14,'Annotations'!$R$2:$R$596,"1"))/COUNTIF('Annotations'!$B$2:$B$596,A14))</x:f>
        <x:v>0.85</x:v>
      </x:c>
      <x:c r="L14" s="39" t="n">
        <x:f>IF(C14=0,0,D14/C14)</x:f>
        <x:v>0.3</x:v>
      </x:c>
    </x:row>
    <x:row r="15" ht="42" customHeight="1">
      <x:c r="A15" s="35" t="str">
        <x:v>csq012</x:v>
      </x:c>
      <x:c r="B15" s="45" t="str">
        <x:v>How do diffusion-based and autoregressive image generation models compare in training objectives, sampling cost, controllability, and output quality?</x:v>
      </x:c>
      <x:c r="C15" s="37" t="n">
        <x:f>COUNTIF('Annotations'!$B$2:$B$596,A15)</x:f>
        <x:v>20</x:v>
      </x:c>
      <x:c r="D15" s="37" t="n">
        <x:f>COUNTIFS('Annotations'!$B$2:$B$596,A15,'Annotations'!$R$2:$R$596,"2")</x:f>
        <x:v>7</x:v>
      </x:c>
      <x:c r="E15" s="37" t="n">
        <x:f>COUNTIFS('Annotations'!$B$2:$B$596,A15,'Annotations'!$R$2:$R$596,"1")</x:f>
        <x:v>4</x:v>
      </x:c>
      <x:c r="F15" s="37" t="n">
        <x:f>COUNTIFS('Annotations'!$B$2:$B$596,A15,'Annotations'!$R$2:$R$596,"0")</x:f>
        <x:v>9</x:v>
      </x:c>
      <x:c r="G15" s="37" t="n">
        <x:f>COUNTIFS('Annotations'!$B$2:$B$596,A15,'Annotations'!$R$2:$R$596,"~?")</x:f>
        <x:v>0</x:v>
      </x:c>
      <x:c r="H15" s="38" t="n">
        <x:f>IF(C15=0,0,(D15+E15)/C15)</x:f>
        <x:v>0.55</x:v>
      </x:c>
      <x:c r="I15" s="38" t="n">
        <x:f>IF(COUNTIFS('Annotations'!$B$2:$B$596,A15,'Annotations'!$F$2:$F$596,"&lt;=5")=0,0,(COUNTIFS('Annotations'!$B$2:$B$596,A15,'Annotations'!$F$2:$F$596,"&lt;=5",'Annotations'!$R$2:$R$596,"2")+COUNTIFS('Annotations'!$B$2:$B$596,A15,'Annotations'!$F$2:$F$596,"&lt;=5",'Annotations'!$R$2:$R$596,"1"))/COUNTIFS('Annotations'!$B$2:$B$596,A15,'Annotations'!$F$2:$F$596,"&lt;=5"))</x:f>
        <x:v>0.8</x:v>
      </x:c>
      <x:c r="J15" s="38" t="n">
        <x:f>IF(COUNTIFS('Annotations'!$B$2:$B$596,A15,'Annotations'!$F$2:$F$596,"&lt;=10")=0,0,(COUNTIFS('Annotations'!$B$2:$B$596,A15,'Annotations'!$F$2:$F$596,"&lt;=10",'Annotations'!$R$2:$R$596,"2")+COUNTIFS('Annotations'!$B$2:$B$596,A15,'Annotations'!$F$2:$F$596,"&lt;=10",'Annotations'!$R$2:$R$596,"1"))/COUNTIFS('Annotations'!$B$2:$B$596,A15,'Annotations'!$F$2:$F$596,"&lt;=10"))</x:f>
        <x:v>0.5</x:v>
      </x:c>
      <x:c r="K15" s="38" t="n">
        <x:f>IF(COUNTIF('Annotations'!$B$2:$B$596,A15)=0,0,(COUNTIFS('Annotations'!$B$2:$B$596,A15,'Annotations'!$R$2:$R$596,"2")+COUNTIFS('Annotations'!$B$2:$B$596,A15,'Annotations'!$R$2:$R$596,"1"))/COUNTIF('Annotations'!$B$2:$B$596,A15))</x:f>
        <x:v>0.55</x:v>
      </x:c>
      <x:c r="L15" s="39" t="n">
        <x:f>IF(C15=0,0,D15/C15)</x:f>
        <x:v>0.35</x:v>
      </x:c>
    </x:row>
    <x:row r="16" ht="42" customHeight="1">
      <x:c r="A16" s="35" t="str">
        <x:v>csq013</x:v>
      </x:c>
      <x:c r="B16" s="45" t="str">
        <x:v>Which benchmarks and metrics have been proposed to evaluate hallucination in vision-language models, and what aspects of model behavior does each benchmark test?</x:v>
      </x:c>
      <x:c r="C16" s="37" t="n">
        <x:f>COUNTIF('Annotations'!$B$2:$B$596,A16)</x:f>
        <x:v>20</x:v>
      </x:c>
      <x:c r="D16" s="37" t="n">
        <x:f>COUNTIFS('Annotations'!$B$2:$B$596,A16,'Annotations'!$R$2:$R$596,"2")</x:f>
        <x:v>12</x:v>
      </x:c>
      <x:c r="E16" s="37" t="n">
        <x:f>COUNTIFS('Annotations'!$B$2:$B$596,A16,'Annotations'!$R$2:$R$596,"1")</x:f>
        <x:v>7</x:v>
      </x:c>
      <x:c r="F16" s="37" t="n">
        <x:f>COUNTIFS('Annotations'!$B$2:$B$596,A16,'Annotations'!$R$2:$R$596,"0")</x:f>
        <x:v>1</x:v>
      </x:c>
      <x:c r="G16" s="37" t="n">
        <x:f>COUNTIFS('Annotations'!$B$2:$B$596,A16,'Annotations'!$R$2:$R$596,"~?")</x:f>
        <x:v>0</x:v>
      </x:c>
      <x:c r="H16" s="38" t="n">
        <x:f>IF(C16=0,0,(D16+E16)/C16)</x:f>
        <x:v>0.95</x:v>
      </x:c>
      <x:c r="I16" s="38" t="n">
        <x:f>IF(COUNTIFS('Annotations'!$B$2:$B$596,A16,'Annotations'!$F$2:$F$596,"&lt;=5")=0,0,(COUNTIFS('Annotations'!$B$2:$B$596,A16,'Annotations'!$F$2:$F$596,"&lt;=5",'Annotations'!$R$2:$R$596,"2")+COUNTIFS('Annotations'!$B$2:$B$596,A16,'Annotations'!$F$2:$F$596,"&lt;=5",'Annotations'!$R$2:$R$596,"1"))/COUNTIFS('Annotations'!$B$2:$B$596,A16,'Annotations'!$F$2:$F$596,"&lt;=5"))</x:f>
        <x:v>1</x:v>
      </x:c>
      <x:c r="J16" s="38" t="n">
        <x:f>IF(COUNTIFS('Annotations'!$B$2:$B$596,A16,'Annotations'!$F$2:$F$596,"&lt;=10")=0,0,(COUNTIFS('Annotations'!$B$2:$B$596,A16,'Annotations'!$F$2:$F$596,"&lt;=10",'Annotations'!$R$2:$R$596,"2")+COUNTIFS('Annotations'!$B$2:$B$596,A16,'Annotations'!$F$2:$F$596,"&lt;=10",'Annotations'!$R$2:$R$596,"1"))/COUNTIFS('Annotations'!$B$2:$B$596,A16,'Annotations'!$F$2:$F$596,"&lt;=10"))</x:f>
        <x:v>1</x:v>
      </x:c>
      <x:c r="K16" s="38" t="n">
        <x:f>IF(COUNTIF('Annotations'!$B$2:$B$596,A16)=0,0,(COUNTIFS('Annotations'!$B$2:$B$596,A16,'Annotations'!$R$2:$R$596,"2")+COUNTIFS('Annotations'!$B$2:$B$596,A16,'Annotations'!$R$2:$R$596,"1"))/COUNTIF('Annotations'!$B$2:$B$596,A16))</x:f>
        <x:v>0.95</x:v>
      </x:c>
      <x:c r="L16" s="39" t="n">
        <x:f>IF(C16=0,0,D16/C16)</x:f>
        <x:v>0.6</x:v>
      </x:c>
    </x:row>
    <x:row r="17" ht="42" customHeight="1">
      <x:c r="A17" s="35" t="str">
        <x:v>csq014</x:v>
      </x:c>
      <x:c r="B17" s="45" t="str">
        <x:v>What limitations of adversarial training as a defense for image classifiers have been established, particularly regarding accuracy, computational cost, and generalization to unseen attacks?</x:v>
      </x:c>
      <x:c r="C17" s="37" t="n">
        <x:f>COUNTIF('Annotations'!$B$2:$B$596,A17)</x:f>
        <x:v>20</x:v>
      </x:c>
      <x:c r="D17" s="37" t="n">
        <x:f>COUNTIFS('Annotations'!$B$2:$B$596,A17,'Annotations'!$R$2:$R$596,"2")</x:f>
        <x:v>13</x:v>
      </x:c>
      <x:c r="E17" s="37" t="n">
        <x:f>COUNTIFS('Annotations'!$B$2:$B$596,A17,'Annotations'!$R$2:$R$596,"1")</x:f>
        <x:v>6</x:v>
      </x:c>
      <x:c r="F17" s="37" t="n">
        <x:f>COUNTIFS('Annotations'!$B$2:$B$596,A17,'Annotations'!$R$2:$R$596,"0")</x:f>
        <x:v>1</x:v>
      </x:c>
      <x:c r="G17" s="37" t="n">
        <x:f>COUNTIFS('Annotations'!$B$2:$B$596,A17,'Annotations'!$R$2:$R$596,"~?")</x:f>
        <x:v>0</x:v>
      </x:c>
      <x:c r="H17" s="38" t="n">
        <x:f>IF(C17=0,0,(D17+E17)/C17)</x:f>
        <x:v>0.95</x:v>
      </x:c>
      <x:c r="I17" s="38" t="n">
        <x:f>IF(COUNTIFS('Annotations'!$B$2:$B$596,A17,'Annotations'!$F$2:$F$596,"&lt;=5")=0,0,(COUNTIFS('Annotations'!$B$2:$B$596,A17,'Annotations'!$F$2:$F$596,"&lt;=5",'Annotations'!$R$2:$R$596,"2")+COUNTIFS('Annotations'!$B$2:$B$596,A17,'Annotations'!$F$2:$F$596,"&lt;=5",'Annotations'!$R$2:$R$596,"1"))/COUNTIFS('Annotations'!$B$2:$B$596,A17,'Annotations'!$F$2:$F$596,"&lt;=5"))</x:f>
        <x:v>1</x:v>
      </x:c>
      <x:c r="J17" s="38" t="n">
        <x:f>IF(COUNTIFS('Annotations'!$B$2:$B$596,A17,'Annotations'!$F$2:$F$596,"&lt;=10")=0,0,(COUNTIFS('Annotations'!$B$2:$B$596,A17,'Annotations'!$F$2:$F$596,"&lt;=10",'Annotations'!$R$2:$R$596,"2")+COUNTIFS('Annotations'!$B$2:$B$596,A17,'Annotations'!$F$2:$F$596,"&lt;=10",'Annotations'!$R$2:$R$596,"1"))/COUNTIFS('Annotations'!$B$2:$B$596,A17,'Annotations'!$F$2:$F$596,"&lt;=10"))</x:f>
        <x:v>0.9</x:v>
      </x:c>
      <x:c r="K17" s="38" t="n">
        <x:f>IF(COUNTIF('Annotations'!$B$2:$B$596,A17)=0,0,(COUNTIFS('Annotations'!$B$2:$B$596,A17,'Annotations'!$R$2:$R$596,"2")+COUNTIFS('Annotations'!$B$2:$B$596,A17,'Annotations'!$R$2:$R$596,"1"))/COUNTIF('Annotations'!$B$2:$B$596,A17))</x:f>
        <x:v>0.95</x:v>
      </x:c>
      <x:c r="L17" s="39" t="n">
        <x:f>IF(C17=0,0,D17/C17)</x:f>
        <x:v>0.65</x:v>
      </x:c>
    </x:row>
    <x:row r="18" ht="42" customHeight="1">
      <x:c r="A18" s="35" t="str">
        <x:v>csq015</x:v>
      </x:c>
      <x:c r="B18" s="45" t="str">
        <x:v>What are the main approaches for reducing communication and latency costs in Byzantine fault-tolerant consensus protocols?</x:v>
      </x:c>
      <x:c r="C18" s="37" t="n">
        <x:f>COUNTIF('Annotations'!$B$2:$B$596,A18)</x:f>
        <x:v>20</x:v>
      </x:c>
      <x:c r="D18" s="37" t="n">
        <x:f>COUNTIFS('Annotations'!$B$2:$B$596,A18,'Annotations'!$R$2:$R$596,"2")</x:f>
        <x:v>17</x:v>
      </x:c>
      <x:c r="E18" s="37" t="n">
        <x:f>COUNTIFS('Annotations'!$B$2:$B$596,A18,'Annotations'!$R$2:$R$596,"1")</x:f>
        <x:v>3</x:v>
      </x:c>
      <x:c r="F18" s="37" t="n">
        <x:f>COUNTIFS('Annotations'!$B$2:$B$596,A18,'Annotations'!$R$2:$R$596,"0")</x:f>
        <x:v>0</x:v>
      </x:c>
      <x:c r="G18" s="37" t="n">
        <x:f>COUNTIFS('Annotations'!$B$2:$B$596,A18,'Annotations'!$R$2:$R$596,"~?")</x:f>
        <x:v>0</x:v>
      </x:c>
      <x:c r="H18" s="38" t="n">
        <x:f>IF(C18=0,0,(D18+E18)/C18)</x:f>
        <x:v>1</x:v>
      </x:c>
      <x:c r="I18" s="38" t="n">
        <x:f>IF(COUNTIFS('Annotations'!$B$2:$B$596,A18,'Annotations'!$F$2:$F$596,"&lt;=5")=0,0,(COUNTIFS('Annotations'!$B$2:$B$596,A18,'Annotations'!$F$2:$F$596,"&lt;=5",'Annotations'!$R$2:$R$596,"2")+COUNTIFS('Annotations'!$B$2:$B$596,A18,'Annotations'!$F$2:$F$596,"&lt;=5",'Annotations'!$R$2:$R$596,"1"))/COUNTIFS('Annotations'!$B$2:$B$596,A18,'Annotations'!$F$2:$F$596,"&lt;=5"))</x:f>
        <x:v>1</x:v>
      </x:c>
      <x:c r="J18" s="38" t="n">
        <x:f>IF(COUNTIFS('Annotations'!$B$2:$B$596,A18,'Annotations'!$F$2:$F$596,"&lt;=10")=0,0,(COUNTIFS('Annotations'!$B$2:$B$596,A18,'Annotations'!$F$2:$F$596,"&lt;=10",'Annotations'!$R$2:$R$596,"2")+COUNTIFS('Annotations'!$B$2:$B$596,A18,'Annotations'!$F$2:$F$596,"&lt;=10",'Annotations'!$R$2:$R$596,"1"))/COUNTIFS('Annotations'!$B$2:$B$596,A18,'Annotations'!$F$2:$F$596,"&lt;=10"))</x:f>
        <x:v>1</x:v>
      </x:c>
      <x:c r="K18" s="38" t="n">
        <x:f>IF(COUNTIF('Annotations'!$B$2:$B$596,A18)=0,0,(COUNTIFS('Annotations'!$B$2:$B$596,A18,'Annotations'!$R$2:$R$596,"2")+COUNTIFS('Annotations'!$B$2:$B$596,A18,'Annotations'!$R$2:$R$596,"1"))/COUNTIF('Annotations'!$B$2:$B$596,A18))</x:f>
        <x:v>1</x:v>
      </x:c>
      <x:c r="L18" s="39" t="n">
        <x:f>IF(C18=0,0,D18/C18)</x:f>
        <x:v>0.85</x:v>
      </x:c>
    </x:row>
    <x:row r="19" ht="42" customHeight="1">
      <x:c r="A19" s="35" t="str">
        <x:v>csq016</x:v>
      </x:c>
      <x:c r="B19" s="45" t="str">
        <x:v>How do research systems mitigate cold starts in serverless computing, and how do prewarming, snapshotting, and prediction-based approaches compare?</x:v>
      </x:c>
      <x:c r="C19" s="37" t="n">
        <x:f>COUNTIF('Annotations'!$B$2:$B$596,A19)</x:f>
        <x:v>20</x:v>
      </x:c>
      <x:c r="D19" s="37" t="n">
        <x:f>COUNTIFS('Annotations'!$B$2:$B$596,A19,'Annotations'!$R$2:$R$596,"2")</x:f>
        <x:v>16</x:v>
      </x:c>
      <x:c r="E19" s="37" t="n">
        <x:f>COUNTIFS('Annotations'!$B$2:$B$596,A19,'Annotations'!$R$2:$R$596,"1")</x:f>
        <x:v>4</x:v>
      </x:c>
      <x:c r="F19" s="37" t="n">
        <x:f>COUNTIFS('Annotations'!$B$2:$B$596,A19,'Annotations'!$R$2:$R$596,"0")</x:f>
        <x:v>0</x:v>
      </x:c>
      <x:c r="G19" s="37" t="n">
        <x:f>COUNTIFS('Annotations'!$B$2:$B$596,A19,'Annotations'!$R$2:$R$596,"~?")</x:f>
        <x:v>0</x:v>
      </x:c>
      <x:c r="H19" s="38" t="n">
        <x:f>IF(C19=0,0,(D19+E19)/C19)</x:f>
        <x:v>1</x:v>
      </x:c>
      <x:c r="I19" s="38" t="n">
        <x:f>IF(COUNTIFS('Annotations'!$B$2:$B$596,A19,'Annotations'!$F$2:$F$596,"&lt;=5")=0,0,(COUNTIFS('Annotations'!$B$2:$B$596,A19,'Annotations'!$F$2:$F$596,"&lt;=5",'Annotations'!$R$2:$R$596,"2")+COUNTIFS('Annotations'!$B$2:$B$596,A19,'Annotations'!$F$2:$F$596,"&lt;=5",'Annotations'!$R$2:$R$596,"1"))/COUNTIFS('Annotations'!$B$2:$B$596,A19,'Annotations'!$F$2:$F$596,"&lt;=5"))</x:f>
        <x:v>1</x:v>
      </x:c>
      <x:c r="J19" s="38" t="n">
        <x:f>IF(COUNTIFS('Annotations'!$B$2:$B$596,A19,'Annotations'!$F$2:$F$596,"&lt;=10")=0,0,(COUNTIFS('Annotations'!$B$2:$B$596,A19,'Annotations'!$F$2:$F$596,"&lt;=10",'Annotations'!$R$2:$R$596,"2")+COUNTIFS('Annotations'!$B$2:$B$596,A19,'Annotations'!$F$2:$F$596,"&lt;=10",'Annotations'!$R$2:$R$596,"1"))/COUNTIFS('Annotations'!$B$2:$B$596,A19,'Annotations'!$F$2:$F$596,"&lt;=10"))</x:f>
        <x:v>1</x:v>
      </x:c>
      <x:c r="K19" s="38" t="n">
        <x:f>IF(COUNTIF('Annotations'!$B$2:$B$596,A19)=0,0,(COUNTIFS('Annotations'!$B$2:$B$596,A19,'Annotations'!$R$2:$R$596,"2")+COUNTIFS('Annotations'!$B$2:$B$596,A19,'Annotations'!$R$2:$R$596,"1"))/COUNTIF('Annotations'!$B$2:$B$596,A19))</x:f>
        <x:v>1</x:v>
      </x:c>
      <x:c r="L19" s="39" t="n">
        <x:f>IF(C19=0,0,D19/C19)</x:f>
        <x:v>0.8</x:v>
      </x:c>
    </x:row>
    <x:row r="20" ht="42" customHeight="1">
      <x:c r="A20" s="35" t="str">
        <x:v>csq017</x:v>
      </x:c>
      <x:c r="B20" s="45" t="str">
        <x:v>Which workloads, metrics, and experimental methodologies are used to evaluate datacenter cluster schedulers?</x:v>
      </x:c>
      <x:c r="C20" s="37" t="n">
        <x:f>COUNTIF('Annotations'!$B$2:$B$596,A20)</x:f>
        <x:v>15</x:v>
      </x:c>
      <x:c r="D20" s="37" t="n">
        <x:f>COUNTIFS('Annotations'!$B$2:$B$596,A20,'Annotations'!$R$2:$R$596,"2")</x:f>
        <x:v>2</x:v>
      </x:c>
      <x:c r="E20" s="37" t="n">
        <x:f>COUNTIFS('Annotations'!$B$2:$B$596,A20,'Annotations'!$R$2:$R$596,"1")</x:f>
        <x:v>13</x:v>
      </x:c>
      <x:c r="F20" s="37" t="n">
        <x:f>COUNTIFS('Annotations'!$B$2:$B$596,A20,'Annotations'!$R$2:$R$596,"0")</x:f>
        <x:v>0</x:v>
      </x:c>
      <x:c r="G20" s="37" t="n">
        <x:f>COUNTIFS('Annotations'!$B$2:$B$596,A20,'Annotations'!$R$2:$R$596,"~?")</x:f>
        <x:v>0</x:v>
      </x:c>
      <x:c r="H20" s="38" t="n">
        <x:f>IF(C20=0,0,(D20+E20)/C20)</x:f>
        <x:v>1</x:v>
      </x:c>
      <x:c r="I20" s="38" t="n">
        <x:f>IF(COUNTIFS('Annotations'!$B$2:$B$596,A20,'Annotations'!$F$2:$F$596,"&lt;=5")=0,0,(COUNTIFS('Annotations'!$B$2:$B$596,A20,'Annotations'!$F$2:$F$596,"&lt;=5",'Annotations'!$R$2:$R$596,"2")+COUNTIFS('Annotations'!$B$2:$B$596,A20,'Annotations'!$F$2:$F$596,"&lt;=5",'Annotations'!$R$2:$R$596,"1"))/COUNTIFS('Annotations'!$B$2:$B$596,A20,'Annotations'!$F$2:$F$596,"&lt;=5"))</x:f>
        <x:v>1</x:v>
      </x:c>
      <x:c r="J20" s="38" t="n">
        <x:f>IF(COUNTIFS('Annotations'!$B$2:$B$596,A20,'Annotations'!$F$2:$F$596,"&lt;=10")=0,0,(COUNTIFS('Annotations'!$B$2:$B$596,A20,'Annotations'!$F$2:$F$596,"&lt;=10",'Annotations'!$R$2:$R$596,"2")+COUNTIFS('Annotations'!$B$2:$B$596,A20,'Annotations'!$F$2:$F$596,"&lt;=10",'Annotations'!$R$2:$R$596,"1"))/COUNTIFS('Annotations'!$B$2:$B$596,A20,'Annotations'!$F$2:$F$596,"&lt;=10"))</x:f>
        <x:v>1</x:v>
      </x:c>
      <x:c r="K20" s="38" t="n">
        <x:f>IF(COUNTIF('Annotations'!$B$2:$B$596,A20)=0,0,(COUNTIFS('Annotations'!$B$2:$B$596,A20,'Annotations'!$R$2:$R$596,"2")+COUNTIFS('Annotations'!$B$2:$B$596,A20,'Annotations'!$R$2:$R$596,"1"))/COUNTIF('Annotations'!$B$2:$B$596,A20))</x:f>
        <x:v>1</x:v>
      </x:c>
      <x:c r="L20" s="39" t="n">
        <x:f>IF(C20=0,0,D20/C20)</x:f>
        <x:v>0.13333333333333333</x:v>
      </x:c>
    </x:row>
    <x:row r="21" ht="42" customHeight="1">
      <x:c r="A21" s="35" t="str">
        <x:v>csq018</x:v>
      </x:c>
      <x:c r="B21" s="45" t="str">
        <x:v>How have programmable data planes and in-network computing evolved, and which classes of distributed applications have benefited from them?</x:v>
      </x:c>
      <x:c r="C21" s="37" t="n">
        <x:f>COUNTIF('Annotations'!$B$2:$B$596,A21)</x:f>
        <x:v>20</x:v>
      </x:c>
      <x:c r="D21" s="37" t="n">
        <x:f>COUNTIFS('Annotations'!$B$2:$B$596,A21,'Annotations'!$R$2:$R$596,"2")</x:f>
        <x:v>14</x:v>
      </x:c>
      <x:c r="E21" s="37" t="n">
        <x:f>COUNTIFS('Annotations'!$B$2:$B$596,A21,'Annotations'!$R$2:$R$596,"1")</x:f>
        <x:v>1</x:v>
      </x:c>
      <x:c r="F21" s="37" t="n">
        <x:f>COUNTIFS('Annotations'!$B$2:$B$596,A21,'Annotations'!$R$2:$R$596,"0")</x:f>
        <x:v>5</x:v>
      </x:c>
      <x:c r="G21" s="37" t="n">
        <x:f>COUNTIFS('Annotations'!$B$2:$B$596,A21,'Annotations'!$R$2:$R$596,"~?")</x:f>
        <x:v>0</x:v>
      </x:c>
      <x:c r="H21" s="38" t="n">
        <x:f>IF(C21=0,0,(D21+E21)/C21)</x:f>
        <x:v>0.75</x:v>
      </x:c>
      <x:c r="I21" s="38" t="n">
        <x:f>IF(COUNTIFS('Annotations'!$B$2:$B$596,A21,'Annotations'!$F$2:$F$596,"&lt;=5")=0,0,(COUNTIFS('Annotations'!$B$2:$B$596,A21,'Annotations'!$F$2:$F$596,"&lt;=5",'Annotations'!$R$2:$R$596,"2")+COUNTIFS('Annotations'!$B$2:$B$596,A21,'Annotations'!$F$2:$F$596,"&lt;=5",'Annotations'!$R$2:$R$596,"1"))/COUNTIFS('Annotations'!$B$2:$B$596,A21,'Annotations'!$F$2:$F$596,"&lt;=5"))</x:f>
        <x:v>0.4</x:v>
      </x:c>
      <x:c r="J21" s="38" t="n">
        <x:f>IF(COUNTIFS('Annotations'!$B$2:$B$596,A21,'Annotations'!$F$2:$F$596,"&lt;=10")=0,0,(COUNTIFS('Annotations'!$B$2:$B$596,A21,'Annotations'!$F$2:$F$596,"&lt;=10",'Annotations'!$R$2:$R$596,"2")+COUNTIFS('Annotations'!$B$2:$B$596,A21,'Annotations'!$F$2:$F$596,"&lt;=10",'Annotations'!$R$2:$R$596,"1"))/COUNTIFS('Annotations'!$B$2:$B$596,A21,'Annotations'!$F$2:$F$596,"&lt;=10"))</x:f>
        <x:v>0.7</x:v>
      </x:c>
      <x:c r="K21" s="38" t="n">
        <x:f>IF(COUNTIF('Annotations'!$B$2:$B$596,A21)=0,0,(COUNTIFS('Annotations'!$B$2:$B$596,A21,'Annotations'!$R$2:$R$596,"2")+COUNTIFS('Annotations'!$B$2:$B$596,A21,'Annotations'!$R$2:$R$596,"1"))/COUNTIF('Annotations'!$B$2:$B$596,A21))</x:f>
        <x:v>0.75</x:v>
      </x:c>
      <x:c r="L21" s="39" t="n">
        <x:f>IF(C21=0,0,D21/C21)</x:f>
        <x:v>0.7</x:v>
      </x:c>
    </x:row>
    <x:row r="22" ht="42" customHeight="1">
      <x:c r="A22" s="35" t="str">
        <x:v>csq019</x:v>
      </x:c>
      <x:c r="B22" s="45" t="str">
        <x:v>What methods are used for training deep learning models with differential privacy, and how do they manage the privacy-utility-computation trade-off?</x:v>
      </x:c>
      <x:c r="C22" s="37" t="n">
        <x:f>COUNTIF('Annotations'!$B$2:$B$596,A22)</x:f>
        <x:v>20</x:v>
      </x:c>
      <x:c r="D22" s="37" t="n">
        <x:f>COUNTIFS('Annotations'!$B$2:$B$596,A22,'Annotations'!$R$2:$R$596,"2")</x:f>
        <x:v>18</x:v>
      </x:c>
      <x:c r="E22" s="37" t="n">
        <x:f>COUNTIFS('Annotations'!$B$2:$B$596,A22,'Annotations'!$R$2:$R$596,"1")</x:f>
        <x:v>1</x:v>
      </x:c>
      <x:c r="F22" s="37" t="n">
        <x:f>COUNTIFS('Annotations'!$B$2:$B$596,A22,'Annotations'!$R$2:$R$596,"0")</x:f>
        <x:v>1</x:v>
      </x:c>
      <x:c r="G22" s="37" t="n">
        <x:f>COUNTIFS('Annotations'!$B$2:$B$596,A22,'Annotations'!$R$2:$R$596,"~?")</x:f>
        <x:v>0</x:v>
      </x:c>
      <x:c r="H22" s="38" t="n">
        <x:f>IF(C22=0,0,(D22+E22)/C22)</x:f>
        <x:v>0.95</x:v>
      </x:c>
      <x:c r="I22" s="38" t="n">
        <x:f>IF(COUNTIFS('Annotations'!$B$2:$B$596,A22,'Annotations'!$F$2:$F$596,"&lt;=5")=0,0,(COUNTIFS('Annotations'!$B$2:$B$596,A22,'Annotations'!$F$2:$F$596,"&lt;=5",'Annotations'!$R$2:$R$596,"2")+COUNTIFS('Annotations'!$B$2:$B$596,A22,'Annotations'!$F$2:$F$596,"&lt;=5",'Annotations'!$R$2:$R$596,"1"))/COUNTIFS('Annotations'!$B$2:$B$596,A22,'Annotations'!$F$2:$F$596,"&lt;=5"))</x:f>
        <x:v>1</x:v>
      </x:c>
      <x:c r="J22" s="38" t="n">
        <x:f>IF(COUNTIFS('Annotations'!$B$2:$B$596,A22,'Annotations'!$F$2:$F$596,"&lt;=10")=0,0,(COUNTIFS('Annotations'!$B$2:$B$596,A22,'Annotations'!$F$2:$F$596,"&lt;=10",'Annotations'!$R$2:$R$596,"2")+COUNTIFS('Annotations'!$B$2:$B$596,A22,'Annotations'!$F$2:$F$596,"&lt;=10",'Annotations'!$R$2:$R$596,"1"))/COUNTIFS('Annotations'!$B$2:$B$596,A22,'Annotations'!$F$2:$F$596,"&lt;=10"))</x:f>
        <x:v>1</x:v>
      </x:c>
      <x:c r="K22" s="38" t="n">
        <x:f>IF(COUNTIF('Annotations'!$B$2:$B$596,A22)=0,0,(COUNTIFS('Annotations'!$B$2:$B$596,A22,'Annotations'!$R$2:$R$596,"2")+COUNTIFS('Annotations'!$B$2:$B$596,A22,'Annotations'!$R$2:$R$596,"1"))/COUNTIF('Annotations'!$B$2:$B$596,A22))</x:f>
        <x:v>0.95</x:v>
      </x:c>
      <x:c r="L22" s="39" t="n">
        <x:f>IF(C22=0,0,D22/C22)</x:f>
        <x:v>0.9</x:v>
      </x:c>
    </x:row>
    <x:row r="23" ht="42" customHeight="1">
      <x:c r="A23" s="35" t="str">
        <x:v>csq020</x:v>
      </x:c>
      <x:c r="B23" s="45" t="str">
        <x:v>How do black-box and white-box membership inference attacks against machine learning models compare in their assumptions, methods, and evaluations?</x:v>
      </x:c>
      <x:c r="C23" s="37" t="n">
        <x:f>COUNTIF('Annotations'!$B$2:$B$596,A23)</x:f>
        <x:v>20</x:v>
      </x:c>
      <x:c r="D23" s="37" t="n">
        <x:f>COUNTIFS('Annotations'!$B$2:$B$596,A23,'Annotations'!$R$2:$R$596,"2")</x:f>
        <x:v>11</x:v>
      </x:c>
      <x:c r="E23" s="37" t="n">
        <x:f>COUNTIFS('Annotations'!$B$2:$B$596,A23,'Annotations'!$R$2:$R$596,"1")</x:f>
        <x:v>9</x:v>
      </x:c>
      <x:c r="F23" s="37" t="n">
        <x:f>COUNTIFS('Annotations'!$B$2:$B$596,A23,'Annotations'!$R$2:$R$596,"0")</x:f>
        <x:v>0</x:v>
      </x:c>
      <x:c r="G23" s="37" t="n">
        <x:f>COUNTIFS('Annotations'!$B$2:$B$596,A23,'Annotations'!$R$2:$R$596,"~?")</x:f>
        <x:v>0</x:v>
      </x:c>
      <x:c r="H23" s="38" t="n">
        <x:f>IF(C23=0,0,(D23+E23)/C23)</x:f>
        <x:v>1</x:v>
      </x:c>
      <x:c r="I23" s="38" t="n">
        <x:f>IF(COUNTIFS('Annotations'!$B$2:$B$596,A23,'Annotations'!$F$2:$F$596,"&lt;=5")=0,0,(COUNTIFS('Annotations'!$B$2:$B$596,A23,'Annotations'!$F$2:$F$596,"&lt;=5",'Annotations'!$R$2:$R$596,"2")+COUNTIFS('Annotations'!$B$2:$B$596,A23,'Annotations'!$F$2:$F$596,"&lt;=5",'Annotations'!$R$2:$R$596,"1"))/COUNTIFS('Annotations'!$B$2:$B$596,A23,'Annotations'!$F$2:$F$596,"&lt;=5"))</x:f>
        <x:v>1</x:v>
      </x:c>
      <x:c r="J23" s="38" t="n">
        <x:f>IF(COUNTIFS('Annotations'!$B$2:$B$596,A23,'Annotations'!$F$2:$F$596,"&lt;=10")=0,0,(COUNTIFS('Annotations'!$B$2:$B$596,A23,'Annotations'!$F$2:$F$596,"&lt;=10",'Annotations'!$R$2:$R$596,"2")+COUNTIFS('Annotations'!$B$2:$B$596,A23,'Annotations'!$F$2:$F$596,"&lt;=10",'Annotations'!$R$2:$R$596,"1"))/COUNTIFS('Annotations'!$B$2:$B$596,A23,'Annotations'!$F$2:$F$596,"&lt;=10"))</x:f>
        <x:v>1</x:v>
      </x:c>
      <x:c r="K23" s="38" t="n">
        <x:f>IF(COUNTIF('Annotations'!$B$2:$B$596,A23)=0,0,(COUNTIFS('Annotations'!$B$2:$B$596,A23,'Annotations'!$R$2:$R$596,"2")+COUNTIFS('Annotations'!$B$2:$B$596,A23,'Annotations'!$R$2:$R$596,"1"))/COUNTIF('Annotations'!$B$2:$B$596,A23))</x:f>
        <x:v>1</x:v>
      </x:c>
      <x:c r="L23" s="39" t="n">
        <x:f>IF(C23=0,0,D23/C23)</x:f>
        <x:v>0.55</x:v>
      </x:c>
    </x:row>
    <x:row r="24" ht="42" customHeight="1">
      <x:c r="A24" s="35" t="str">
        <x:v>csq021</x:v>
      </x:c>
      <x:c r="B24" s="45" t="str">
        <x:v>Which datasets, benchmarks, and metrics are used to evaluate software supply-chain vulnerability and malicious-package detection methods?</x:v>
      </x:c>
      <x:c r="C24" s="37" t="n">
        <x:f>COUNTIF('Annotations'!$B$2:$B$596,A24)</x:f>
        <x:v>20</x:v>
      </x:c>
      <x:c r="D24" s="37" t="n">
        <x:f>COUNTIFS('Annotations'!$B$2:$B$596,A24,'Annotations'!$R$2:$R$596,"2")</x:f>
        <x:v>6</x:v>
      </x:c>
      <x:c r="E24" s="37" t="n">
        <x:f>COUNTIFS('Annotations'!$B$2:$B$596,A24,'Annotations'!$R$2:$R$596,"1")</x:f>
        <x:v>7</x:v>
      </x:c>
      <x:c r="F24" s="37" t="n">
        <x:f>COUNTIFS('Annotations'!$B$2:$B$596,A24,'Annotations'!$R$2:$R$596,"0")</x:f>
        <x:v>7</x:v>
      </x:c>
      <x:c r="G24" s="37" t="n">
        <x:f>COUNTIFS('Annotations'!$B$2:$B$596,A24,'Annotations'!$R$2:$R$596,"~?")</x:f>
        <x:v>0</x:v>
      </x:c>
      <x:c r="H24" s="38" t="n">
        <x:f>IF(C24=0,0,(D24+E24)/C24)</x:f>
        <x:v>0.65</x:v>
      </x:c>
      <x:c r="I24" s="38" t="n">
        <x:f>IF(COUNTIFS('Annotations'!$B$2:$B$596,A24,'Annotations'!$F$2:$F$596,"&lt;=5")=0,0,(COUNTIFS('Annotations'!$B$2:$B$596,A24,'Annotations'!$F$2:$F$596,"&lt;=5",'Annotations'!$R$2:$R$596,"2")+COUNTIFS('Annotations'!$B$2:$B$596,A24,'Annotations'!$F$2:$F$596,"&lt;=5",'Annotations'!$R$2:$R$596,"1"))/COUNTIFS('Annotations'!$B$2:$B$596,A24,'Annotations'!$F$2:$F$596,"&lt;=5"))</x:f>
        <x:v>1</x:v>
      </x:c>
      <x:c r="J24" s="38" t="n">
        <x:f>IF(COUNTIFS('Annotations'!$B$2:$B$596,A24,'Annotations'!$F$2:$F$596,"&lt;=10")=0,0,(COUNTIFS('Annotations'!$B$2:$B$596,A24,'Annotations'!$F$2:$F$596,"&lt;=10",'Annotations'!$R$2:$R$596,"2")+COUNTIFS('Annotations'!$B$2:$B$596,A24,'Annotations'!$F$2:$F$596,"&lt;=10",'Annotations'!$R$2:$R$596,"1"))/COUNTIFS('Annotations'!$B$2:$B$596,A24,'Annotations'!$F$2:$F$596,"&lt;=10"))</x:f>
        <x:v>0.9</x:v>
      </x:c>
      <x:c r="K24" s="38" t="n">
        <x:f>IF(COUNTIF('Annotations'!$B$2:$B$596,A24)=0,0,(COUNTIFS('Annotations'!$B$2:$B$596,A24,'Annotations'!$R$2:$R$596,"2")+COUNTIFS('Annotations'!$B$2:$B$596,A24,'Annotations'!$R$2:$R$596,"1"))/COUNTIF('Annotations'!$B$2:$B$596,A24))</x:f>
        <x:v>0.65</x:v>
      </x:c>
      <x:c r="L24" s="39" t="n">
        <x:f>IF(C24=0,0,D24/C24)</x:f>
        <x:v>0.3</x:v>
      </x:c>
    </x:row>
    <x:row r="25" ht="42" customHeight="1">
      <x:c r="A25" s="35" t="str">
        <x:v>csq022</x:v>
      </x:c>
      <x:c r="B25" s="45" t="str">
        <x:v>What security and privacy attacks against federated learning have been demonstrated, and which proposed defenses remain limited under adaptive attackers?</x:v>
      </x:c>
      <x:c r="C25" s="37" t="n">
        <x:f>COUNTIF('Annotations'!$B$2:$B$596,A25)</x:f>
        <x:v>20</x:v>
      </x:c>
      <x:c r="D25" s="37" t="n">
        <x:f>COUNTIFS('Annotations'!$B$2:$B$596,A25,'Annotations'!$R$2:$R$596,"2")</x:f>
        <x:v>17</x:v>
      </x:c>
      <x:c r="E25" s="37" t="n">
        <x:f>COUNTIFS('Annotations'!$B$2:$B$596,A25,'Annotations'!$R$2:$R$596,"1")</x:f>
        <x:v>2</x:v>
      </x:c>
      <x:c r="F25" s="37" t="n">
        <x:f>COUNTIFS('Annotations'!$B$2:$B$596,A25,'Annotations'!$R$2:$R$596,"0")</x:f>
        <x:v>1</x:v>
      </x:c>
      <x:c r="G25" s="37" t="n">
        <x:f>COUNTIFS('Annotations'!$B$2:$B$596,A25,'Annotations'!$R$2:$R$596,"~?")</x:f>
        <x:v>0</x:v>
      </x:c>
      <x:c r="H25" s="38" t="n">
        <x:f>IF(C25=0,0,(D25+E25)/C25)</x:f>
        <x:v>0.95</x:v>
      </x:c>
      <x:c r="I25" s="38" t="n">
        <x:f>IF(COUNTIFS('Annotations'!$B$2:$B$596,A25,'Annotations'!$F$2:$F$596,"&lt;=5")=0,0,(COUNTIFS('Annotations'!$B$2:$B$596,A25,'Annotations'!$F$2:$F$596,"&lt;=5",'Annotations'!$R$2:$R$596,"2")+COUNTIFS('Annotations'!$B$2:$B$596,A25,'Annotations'!$F$2:$F$596,"&lt;=5",'Annotations'!$R$2:$R$596,"1"))/COUNTIFS('Annotations'!$B$2:$B$596,A25,'Annotations'!$F$2:$F$596,"&lt;=5"))</x:f>
        <x:v>1</x:v>
      </x:c>
      <x:c r="J25" s="38" t="n">
        <x:f>IF(COUNTIFS('Annotations'!$B$2:$B$596,A25,'Annotations'!$F$2:$F$596,"&lt;=10")=0,0,(COUNTIFS('Annotations'!$B$2:$B$596,A25,'Annotations'!$F$2:$F$596,"&lt;=10",'Annotations'!$R$2:$R$596,"2")+COUNTIFS('Annotations'!$B$2:$B$596,A25,'Annotations'!$F$2:$F$596,"&lt;=10",'Annotations'!$R$2:$R$596,"1"))/COUNTIFS('Annotations'!$B$2:$B$596,A25,'Annotations'!$F$2:$F$596,"&lt;=10"))</x:f>
        <x:v>1</x:v>
      </x:c>
      <x:c r="K25" s="38" t="n">
        <x:f>IF(COUNTIF('Annotations'!$B$2:$B$596,A25)=0,0,(COUNTIFS('Annotations'!$B$2:$B$596,A25,'Annotations'!$R$2:$R$596,"2")+COUNTIFS('Annotations'!$B$2:$B$596,A25,'Annotations'!$R$2:$R$596,"1"))/COUNTIF('Annotations'!$B$2:$B$596,A25))</x:f>
        <x:v>0.95</x:v>
      </x:c>
      <x:c r="L25" s="39" t="n">
        <x:f>IF(C25=0,0,D25/C25)</x:f>
        <x:v>0.85</x:v>
      </x:c>
    </x:row>
    <x:row r="26" ht="42" customHeight="1">
      <x:c r="A26" s="35" t="str">
        <x:v>csq023</x:v>
      </x:c>
      <x:c r="B26" s="45" t="str">
        <x:v>What are the main neural and large-language-model-based approaches to automated program repair, and how do they generate and validate patches?</x:v>
      </x:c>
      <x:c r="C26" s="37" t="n">
        <x:f>COUNTIF('Annotations'!$B$2:$B$596,A26)</x:f>
        <x:v>20</x:v>
      </x:c>
      <x:c r="D26" s="37" t="n">
        <x:f>COUNTIFS('Annotations'!$B$2:$B$596,A26,'Annotations'!$R$2:$R$596,"2")</x:f>
        <x:v>20</x:v>
      </x:c>
      <x:c r="E26" s="37" t="n">
        <x:f>COUNTIFS('Annotations'!$B$2:$B$596,A26,'Annotations'!$R$2:$R$596,"1")</x:f>
        <x:v>0</x:v>
      </x:c>
      <x:c r="F26" s="37" t="n">
        <x:f>COUNTIFS('Annotations'!$B$2:$B$596,A26,'Annotations'!$R$2:$R$596,"0")</x:f>
        <x:v>0</x:v>
      </x:c>
      <x:c r="G26" s="37" t="n">
        <x:f>COUNTIFS('Annotations'!$B$2:$B$596,A26,'Annotations'!$R$2:$R$596,"~?")</x:f>
        <x:v>0</x:v>
      </x:c>
      <x:c r="H26" s="38" t="n">
        <x:f>IF(C26=0,0,(D26+E26)/C26)</x:f>
        <x:v>1</x:v>
      </x:c>
      <x:c r="I26" s="38" t="n">
        <x:f>IF(COUNTIFS('Annotations'!$B$2:$B$596,A26,'Annotations'!$F$2:$F$596,"&lt;=5")=0,0,(COUNTIFS('Annotations'!$B$2:$B$596,A26,'Annotations'!$F$2:$F$596,"&lt;=5",'Annotations'!$R$2:$R$596,"2")+COUNTIFS('Annotations'!$B$2:$B$596,A26,'Annotations'!$F$2:$F$596,"&lt;=5",'Annotations'!$R$2:$R$596,"1"))/COUNTIFS('Annotations'!$B$2:$B$596,A26,'Annotations'!$F$2:$F$596,"&lt;=5"))</x:f>
        <x:v>1</x:v>
      </x:c>
      <x:c r="J26" s="38" t="n">
        <x:f>IF(COUNTIFS('Annotations'!$B$2:$B$596,A26,'Annotations'!$F$2:$F$596,"&lt;=10")=0,0,(COUNTIFS('Annotations'!$B$2:$B$596,A26,'Annotations'!$F$2:$F$596,"&lt;=10",'Annotations'!$R$2:$R$596,"2")+COUNTIFS('Annotations'!$B$2:$B$596,A26,'Annotations'!$F$2:$F$596,"&lt;=10",'Annotations'!$R$2:$R$596,"1"))/COUNTIFS('Annotations'!$B$2:$B$596,A26,'Annotations'!$F$2:$F$596,"&lt;=10"))</x:f>
        <x:v>1</x:v>
      </x:c>
      <x:c r="K26" s="38" t="n">
        <x:f>IF(COUNTIF('Annotations'!$B$2:$B$596,A26)=0,0,(COUNTIFS('Annotations'!$B$2:$B$596,A26,'Annotations'!$R$2:$R$596,"2")+COUNTIFS('Annotations'!$B$2:$B$596,A26,'Annotations'!$R$2:$R$596,"1"))/COUNTIF('Annotations'!$B$2:$B$596,A26))</x:f>
        <x:v>1</x:v>
      </x:c>
      <x:c r="L26" s="39" t="n">
        <x:f>IF(C26=0,0,D26/C26)</x:f>
        <x:v>1</x:v>
      </x:c>
    </x:row>
    <x:row r="27" ht="42" customHeight="1">
      <x:c r="A27" s="35" t="str">
        <x:v>csq024</x:v>
      </x:c>
      <x:c r="B27" s="45" t="str">
        <x:v>How do execution-based, test-based, and model-based evaluation approaches for code generation compare?</x:v>
      </x:c>
      <x:c r="C27" s="37" t="n">
        <x:f>COUNTIF('Annotations'!$B$2:$B$596,A27)</x:f>
        <x:v>20</x:v>
      </x:c>
      <x:c r="D27" s="37" t="n">
        <x:f>COUNTIFS('Annotations'!$B$2:$B$596,A27,'Annotations'!$R$2:$R$596,"2")</x:f>
        <x:v>13</x:v>
      </x:c>
      <x:c r="E27" s="37" t="n">
        <x:f>COUNTIFS('Annotations'!$B$2:$B$596,A27,'Annotations'!$R$2:$R$596,"1")</x:f>
        <x:v>6</x:v>
      </x:c>
      <x:c r="F27" s="37" t="n">
        <x:f>COUNTIFS('Annotations'!$B$2:$B$596,A27,'Annotations'!$R$2:$R$596,"0")</x:f>
        <x:v>1</x:v>
      </x:c>
      <x:c r="G27" s="37" t="n">
        <x:f>COUNTIFS('Annotations'!$B$2:$B$596,A27,'Annotations'!$R$2:$R$596,"~?")</x:f>
        <x:v>0</x:v>
      </x:c>
      <x:c r="H27" s="38" t="n">
        <x:f>IF(C27=0,0,(D27+E27)/C27)</x:f>
        <x:v>0.95</x:v>
      </x:c>
      <x:c r="I27" s="38" t="n">
        <x:f>IF(COUNTIFS('Annotations'!$B$2:$B$596,A27,'Annotations'!$F$2:$F$596,"&lt;=5")=0,0,(COUNTIFS('Annotations'!$B$2:$B$596,A27,'Annotations'!$F$2:$F$596,"&lt;=5",'Annotations'!$R$2:$R$596,"2")+COUNTIFS('Annotations'!$B$2:$B$596,A27,'Annotations'!$F$2:$F$596,"&lt;=5",'Annotations'!$R$2:$R$596,"1"))/COUNTIFS('Annotations'!$B$2:$B$596,A27,'Annotations'!$F$2:$F$596,"&lt;=5"))</x:f>
        <x:v>1</x:v>
      </x:c>
      <x:c r="J27" s="38" t="n">
        <x:f>IF(COUNTIFS('Annotations'!$B$2:$B$596,A27,'Annotations'!$F$2:$F$596,"&lt;=10")=0,0,(COUNTIFS('Annotations'!$B$2:$B$596,A27,'Annotations'!$F$2:$F$596,"&lt;=10",'Annotations'!$R$2:$R$596,"2")+COUNTIFS('Annotations'!$B$2:$B$596,A27,'Annotations'!$F$2:$F$596,"&lt;=10",'Annotations'!$R$2:$R$596,"1"))/COUNTIFS('Annotations'!$B$2:$B$596,A27,'Annotations'!$F$2:$F$596,"&lt;=10"))</x:f>
        <x:v>1</x:v>
      </x:c>
      <x:c r="K27" s="38" t="n">
        <x:f>IF(COUNTIF('Annotations'!$B$2:$B$596,A27)=0,0,(COUNTIFS('Annotations'!$B$2:$B$596,A27,'Annotations'!$R$2:$R$596,"2")+COUNTIFS('Annotations'!$B$2:$B$596,A27,'Annotations'!$R$2:$R$596,"1"))/COUNTIF('Annotations'!$B$2:$B$596,A27))</x:f>
        <x:v>0.95</x:v>
      </x:c>
      <x:c r="L27" s="39" t="n">
        <x:f>IF(C27=0,0,D27/C27)</x:f>
        <x:v>0.65</x:v>
      </x:c>
    </x:row>
    <x:row r="28" ht="42" customHeight="1">
      <x:c r="A28" s="35" t="str">
        <x:v>csq025</x:v>
      </x:c>
      <x:c r="B28" s="45" t="str">
        <x:v>Which datasets and evaluation protocols are used for machine-learning-based source-code vulnerability detection, and which forms of data leakage can inflate reported performance?</x:v>
      </x:c>
      <x:c r="C28" s="37" t="n">
        <x:f>COUNTIF('Annotations'!$B$2:$B$596,A28)</x:f>
        <x:v>20</x:v>
      </x:c>
      <x:c r="D28" s="37" t="n">
        <x:f>COUNTIFS('Annotations'!$B$2:$B$596,A28,'Annotations'!$R$2:$R$596,"2")</x:f>
        <x:v>7</x:v>
      </x:c>
      <x:c r="E28" s="37" t="n">
        <x:f>COUNTIFS('Annotations'!$B$2:$B$596,A28,'Annotations'!$R$2:$R$596,"1")</x:f>
        <x:v>7</x:v>
      </x:c>
      <x:c r="F28" s="37" t="n">
        <x:f>COUNTIFS('Annotations'!$B$2:$B$596,A28,'Annotations'!$R$2:$R$596,"0")</x:f>
        <x:v>6</x:v>
      </x:c>
      <x:c r="G28" s="37" t="n">
        <x:f>COUNTIFS('Annotations'!$B$2:$B$596,A28,'Annotations'!$R$2:$R$596,"~?")</x:f>
        <x:v>0</x:v>
      </x:c>
      <x:c r="H28" s="38" t="n">
        <x:f>IF(C28=0,0,(D28+E28)/C28)</x:f>
        <x:v>0.7</x:v>
      </x:c>
      <x:c r="I28" s="38" t="n">
        <x:f>IF(COUNTIFS('Annotations'!$B$2:$B$596,A28,'Annotations'!$F$2:$F$596,"&lt;=5")=0,0,(COUNTIFS('Annotations'!$B$2:$B$596,A28,'Annotations'!$F$2:$F$596,"&lt;=5",'Annotations'!$R$2:$R$596,"2")+COUNTIFS('Annotations'!$B$2:$B$596,A28,'Annotations'!$F$2:$F$596,"&lt;=5",'Annotations'!$R$2:$R$596,"1"))/COUNTIFS('Annotations'!$B$2:$B$596,A28,'Annotations'!$F$2:$F$596,"&lt;=5"))</x:f>
        <x:v>0.8</x:v>
      </x:c>
      <x:c r="J28" s="38" t="n">
        <x:f>IF(COUNTIFS('Annotations'!$B$2:$B$596,A28,'Annotations'!$F$2:$F$596,"&lt;=10")=0,0,(COUNTIFS('Annotations'!$B$2:$B$596,A28,'Annotations'!$F$2:$F$596,"&lt;=10",'Annotations'!$R$2:$R$596,"2")+COUNTIFS('Annotations'!$B$2:$B$596,A28,'Annotations'!$F$2:$F$596,"&lt;=10",'Annotations'!$R$2:$R$596,"1"))/COUNTIFS('Annotations'!$B$2:$B$596,A28,'Annotations'!$F$2:$F$596,"&lt;=10"))</x:f>
        <x:v>0.6</x:v>
      </x:c>
      <x:c r="K28" s="38" t="n">
        <x:f>IF(COUNTIF('Annotations'!$B$2:$B$596,A28)=0,0,(COUNTIFS('Annotations'!$B$2:$B$596,A28,'Annotations'!$R$2:$R$596,"2")+COUNTIFS('Annotations'!$B$2:$B$596,A28,'Annotations'!$R$2:$R$596,"1"))/COUNTIF('Annotations'!$B$2:$B$596,A28))</x:f>
        <x:v>0.7</x:v>
      </x:c>
      <x:c r="L28" s="39" t="n">
        <x:f>IF(C28=0,0,D28/C28)</x:f>
        <x:v>0.35</x:v>
      </x:c>
    </x:row>
    <x:row r="29" ht="42" customHeight="1">
      <x:c r="A29" s="35" t="str">
        <x:v>csq026</x:v>
      </x:c>
      <x:c r="B29" s="45" t="str">
        <x:v>What limitations have been reported for large-language-model agents on repository-level software engineering tasks, especially in localization, long-context reasoning, testing, and reproducibility?</x:v>
      </x:c>
      <x:c r="C29" s="37" t="n">
        <x:f>COUNTIF('Annotations'!$B$2:$B$596,A29)</x:f>
        <x:v>20</x:v>
      </x:c>
      <x:c r="D29" s="37" t="n">
        <x:f>COUNTIFS('Annotations'!$B$2:$B$596,A29,'Annotations'!$R$2:$R$596,"2")</x:f>
        <x:v>11</x:v>
      </x:c>
      <x:c r="E29" s="37" t="n">
        <x:f>COUNTIFS('Annotations'!$B$2:$B$596,A29,'Annotations'!$R$2:$R$596,"1")</x:f>
        <x:v>9</x:v>
      </x:c>
      <x:c r="F29" s="37" t="n">
        <x:f>COUNTIFS('Annotations'!$B$2:$B$596,A29,'Annotations'!$R$2:$R$596,"0")</x:f>
        <x:v>0</x:v>
      </x:c>
      <x:c r="G29" s="37" t="n">
        <x:f>COUNTIFS('Annotations'!$B$2:$B$596,A29,'Annotations'!$R$2:$R$596,"~?")</x:f>
        <x:v>0</x:v>
      </x:c>
      <x:c r="H29" s="38" t="n">
        <x:f>IF(C29=0,0,(D29+E29)/C29)</x:f>
        <x:v>1</x:v>
      </x:c>
      <x:c r="I29" s="38" t="n">
        <x:f>IF(COUNTIFS('Annotations'!$B$2:$B$596,A29,'Annotations'!$F$2:$F$596,"&lt;=5")=0,0,(COUNTIFS('Annotations'!$B$2:$B$596,A29,'Annotations'!$F$2:$F$596,"&lt;=5",'Annotations'!$R$2:$R$596,"2")+COUNTIFS('Annotations'!$B$2:$B$596,A29,'Annotations'!$F$2:$F$596,"&lt;=5",'Annotations'!$R$2:$R$596,"1"))/COUNTIFS('Annotations'!$B$2:$B$596,A29,'Annotations'!$F$2:$F$596,"&lt;=5"))</x:f>
        <x:v>1</x:v>
      </x:c>
      <x:c r="J29" s="38" t="n">
        <x:f>IF(COUNTIFS('Annotations'!$B$2:$B$596,A29,'Annotations'!$F$2:$F$596,"&lt;=10")=0,0,(COUNTIFS('Annotations'!$B$2:$B$596,A29,'Annotations'!$F$2:$F$596,"&lt;=10",'Annotations'!$R$2:$R$596,"2")+COUNTIFS('Annotations'!$B$2:$B$596,A29,'Annotations'!$F$2:$F$596,"&lt;=10",'Annotations'!$R$2:$R$596,"1"))/COUNTIFS('Annotations'!$B$2:$B$596,A29,'Annotations'!$F$2:$F$596,"&lt;=10"))</x:f>
        <x:v>1</x:v>
      </x:c>
      <x:c r="K29" s="38" t="n">
        <x:f>IF(COUNTIF('Annotations'!$B$2:$B$596,A29)=0,0,(COUNTIFS('Annotations'!$B$2:$B$596,A29,'Annotations'!$R$2:$R$596,"2")+COUNTIFS('Annotations'!$B$2:$B$596,A29,'Annotations'!$R$2:$R$596,"1"))/COUNTIF('Annotations'!$B$2:$B$596,A29))</x:f>
        <x:v>1</x:v>
      </x:c>
      <x:c r="L29" s="39" t="n">
        <x:f>IF(C29=0,0,D29/C29)</x:f>
        <x:v>0.55</x:v>
      </x:c>
    </x:row>
    <x:row r="30" ht="42" customHeight="1">
      <x:c r="A30" s="35" t="str">
        <x:v>csq027</x:v>
      </x:c>
      <x:c r="B30" s="45" t="str">
        <x:v>What learned index structures have been proposed, and under which data distributions and update workloads do they outperform or underperform traditional indexes?</x:v>
      </x:c>
      <x:c r="C30" s="37" t="n">
        <x:f>COUNTIF('Annotations'!$B$2:$B$596,A30)</x:f>
        <x:v>20</x:v>
      </x:c>
      <x:c r="D30" s="37" t="n">
        <x:f>COUNTIFS('Annotations'!$B$2:$B$596,A30,'Annotations'!$R$2:$R$596,"2")</x:f>
        <x:v>20</x:v>
      </x:c>
      <x:c r="E30" s="37" t="n">
        <x:f>COUNTIFS('Annotations'!$B$2:$B$596,A30,'Annotations'!$R$2:$R$596,"1")</x:f>
        <x:v>0</x:v>
      </x:c>
      <x:c r="F30" s="37" t="n">
        <x:f>COUNTIFS('Annotations'!$B$2:$B$596,A30,'Annotations'!$R$2:$R$596,"0")</x:f>
        <x:v>0</x:v>
      </x:c>
      <x:c r="G30" s="37" t="n">
        <x:f>COUNTIFS('Annotations'!$B$2:$B$596,A30,'Annotations'!$R$2:$R$596,"~?")</x:f>
        <x:v>0</x:v>
      </x:c>
      <x:c r="H30" s="38" t="n">
        <x:f>IF(C30=0,0,(D30+E30)/C30)</x:f>
        <x:v>1</x:v>
      </x:c>
      <x:c r="I30" s="38" t="n">
        <x:f>IF(COUNTIFS('Annotations'!$B$2:$B$596,A30,'Annotations'!$F$2:$F$596,"&lt;=5")=0,0,(COUNTIFS('Annotations'!$B$2:$B$596,A30,'Annotations'!$F$2:$F$596,"&lt;=5",'Annotations'!$R$2:$R$596,"2")+COUNTIFS('Annotations'!$B$2:$B$596,A30,'Annotations'!$F$2:$F$596,"&lt;=5",'Annotations'!$R$2:$R$596,"1"))/COUNTIFS('Annotations'!$B$2:$B$596,A30,'Annotations'!$F$2:$F$596,"&lt;=5"))</x:f>
        <x:v>1</x:v>
      </x:c>
      <x:c r="J30" s="38" t="n">
        <x:f>IF(COUNTIFS('Annotations'!$B$2:$B$596,A30,'Annotations'!$F$2:$F$596,"&lt;=10")=0,0,(COUNTIFS('Annotations'!$B$2:$B$596,A30,'Annotations'!$F$2:$F$596,"&lt;=10",'Annotations'!$R$2:$R$596,"2")+COUNTIFS('Annotations'!$B$2:$B$596,A30,'Annotations'!$F$2:$F$596,"&lt;=10",'Annotations'!$R$2:$R$596,"1"))/COUNTIFS('Annotations'!$B$2:$B$596,A30,'Annotations'!$F$2:$F$596,"&lt;=10"))</x:f>
        <x:v>1</x:v>
      </x:c>
      <x:c r="K30" s="38" t="n">
        <x:f>IF(COUNTIF('Annotations'!$B$2:$B$596,A30)=0,0,(COUNTIFS('Annotations'!$B$2:$B$596,A30,'Annotations'!$R$2:$R$596,"2")+COUNTIFS('Annotations'!$B$2:$B$596,A30,'Annotations'!$R$2:$R$596,"1"))/COUNTIF('Annotations'!$B$2:$B$596,A30))</x:f>
        <x:v>1</x:v>
      </x:c>
      <x:c r="L30" s="39" t="n">
        <x:f>IF(C30=0,0,D30/C30)</x:f>
        <x:v>1</x:v>
      </x:c>
    </x:row>
    <x:row r="31" ht="42" customHeight="1">
      <x:c r="A31" s="35" t="str">
        <x:v>csq028</x:v>
      </x:c>
      <x:c r="B31" s="45" t="str">
        <x:v>How do graph-based, quantization-based, and inverted-file approaches to approximate nearest-neighbor search compare in recall, latency, memory usage, and index construction cost?</x:v>
      </x:c>
      <x:c r="C31" s="37" t="n">
        <x:f>COUNTIF('Annotations'!$B$2:$B$596,A31)</x:f>
        <x:v>20</x:v>
      </x:c>
      <x:c r="D31" s="37" t="n">
        <x:f>COUNTIFS('Annotations'!$B$2:$B$596,A31,'Annotations'!$R$2:$R$596,"2")</x:f>
        <x:v>16</x:v>
      </x:c>
      <x:c r="E31" s="37" t="n">
        <x:f>COUNTIFS('Annotations'!$B$2:$B$596,A31,'Annotations'!$R$2:$R$596,"1")</x:f>
        <x:v>4</x:v>
      </x:c>
      <x:c r="F31" s="37" t="n">
        <x:f>COUNTIFS('Annotations'!$B$2:$B$596,A31,'Annotations'!$R$2:$R$596,"0")</x:f>
        <x:v>0</x:v>
      </x:c>
      <x:c r="G31" s="37" t="n">
        <x:f>COUNTIFS('Annotations'!$B$2:$B$596,A31,'Annotations'!$R$2:$R$596,"~?")</x:f>
        <x:v>0</x:v>
      </x:c>
      <x:c r="H31" s="38" t="n">
        <x:f>IF(C31=0,0,(D31+E31)/C31)</x:f>
        <x:v>1</x:v>
      </x:c>
      <x:c r="I31" s="38" t="n">
        <x:f>IF(COUNTIFS('Annotations'!$B$2:$B$596,A31,'Annotations'!$F$2:$F$596,"&lt;=5")=0,0,(COUNTIFS('Annotations'!$B$2:$B$596,A31,'Annotations'!$F$2:$F$596,"&lt;=5",'Annotations'!$R$2:$R$596,"2")+COUNTIFS('Annotations'!$B$2:$B$596,A31,'Annotations'!$F$2:$F$596,"&lt;=5",'Annotations'!$R$2:$R$596,"1"))/COUNTIFS('Annotations'!$B$2:$B$596,A31,'Annotations'!$F$2:$F$596,"&lt;=5"))</x:f>
        <x:v>1</x:v>
      </x:c>
      <x:c r="J31" s="38" t="n">
        <x:f>IF(COUNTIFS('Annotations'!$B$2:$B$596,A31,'Annotations'!$F$2:$F$596,"&lt;=10")=0,0,(COUNTIFS('Annotations'!$B$2:$B$596,A31,'Annotations'!$F$2:$F$596,"&lt;=10",'Annotations'!$R$2:$R$596,"2")+COUNTIFS('Annotations'!$B$2:$B$596,A31,'Annotations'!$F$2:$F$596,"&lt;=10",'Annotations'!$R$2:$R$596,"1"))/COUNTIFS('Annotations'!$B$2:$B$596,A31,'Annotations'!$F$2:$F$596,"&lt;=10"))</x:f>
        <x:v>1</x:v>
      </x:c>
      <x:c r="K31" s="38" t="n">
        <x:f>IF(COUNTIF('Annotations'!$B$2:$B$596,A31)=0,0,(COUNTIFS('Annotations'!$B$2:$B$596,A31,'Annotations'!$R$2:$R$596,"2")+COUNTIFS('Annotations'!$B$2:$B$596,A31,'Annotations'!$R$2:$R$596,"1"))/COUNTIF('Annotations'!$B$2:$B$596,A31))</x:f>
        <x:v>1</x:v>
      </x:c>
      <x:c r="L31" s="39" t="n">
        <x:f>IF(C31=0,0,D31/C31)</x:f>
        <x:v>0.8</x:v>
      </x:c>
    </x:row>
    <x:row r="32" ht="42" customHeight="1">
      <x:c r="A32" s="35" t="str">
        <x:v>csq029</x:v>
      </x:c>
      <x:c r="B32" s="45" t="str">
        <x:v>Which benchmarks and metrics are used to evaluate sparse, dense, and hybrid neural information retrieval, and how well do they measure out-of-domain robustness?</x:v>
      </x:c>
      <x:c r="C32" s="37" t="n">
        <x:f>COUNTIF('Annotations'!$B$2:$B$596,A32)</x:f>
        <x:v>20</x:v>
      </x:c>
      <x:c r="D32" s="37" t="n">
        <x:f>COUNTIFS('Annotations'!$B$2:$B$596,A32,'Annotations'!$R$2:$R$596,"2")</x:f>
        <x:v>10</x:v>
      </x:c>
      <x:c r="E32" s="37" t="n">
        <x:f>COUNTIFS('Annotations'!$B$2:$B$596,A32,'Annotations'!$R$2:$R$596,"1")</x:f>
        <x:v>6</x:v>
      </x:c>
      <x:c r="F32" s="37" t="n">
        <x:f>COUNTIFS('Annotations'!$B$2:$B$596,A32,'Annotations'!$R$2:$R$596,"0")</x:f>
        <x:v>4</x:v>
      </x:c>
      <x:c r="G32" s="37" t="n">
        <x:f>COUNTIFS('Annotations'!$B$2:$B$596,A32,'Annotations'!$R$2:$R$596,"~?")</x:f>
        <x:v>0</x:v>
      </x:c>
      <x:c r="H32" s="38" t="n">
        <x:f>IF(C32=0,0,(D32+E32)/C32)</x:f>
        <x:v>0.8</x:v>
      </x:c>
      <x:c r="I32" s="38" t="n">
        <x:f>IF(COUNTIFS('Annotations'!$B$2:$B$596,A32,'Annotations'!$F$2:$F$596,"&lt;=5")=0,0,(COUNTIFS('Annotations'!$B$2:$B$596,A32,'Annotations'!$F$2:$F$596,"&lt;=5",'Annotations'!$R$2:$R$596,"2")+COUNTIFS('Annotations'!$B$2:$B$596,A32,'Annotations'!$F$2:$F$596,"&lt;=5",'Annotations'!$R$2:$R$596,"1"))/COUNTIFS('Annotations'!$B$2:$B$596,A32,'Annotations'!$F$2:$F$596,"&lt;=5"))</x:f>
        <x:v>0.8</x:v>
      </x:c>
      <x:c r="J32" s="38" t="n">
        <x:f>IF(COUNTIFS('Annotations'!$B$2:$B$596,A32,'Annotations'!$F$2:$F$596,"&lt;=10")=0,0,(COUNTIFS('Annotations'!$B$2:$B$596,A32,'Annotations'!$F$2:$F$596,"&lt;=10",'Annotations'!$R$2:$R$596,"2")+COUNTIFS('Annotations'!$B$2:$B$596,A32,'Annotations'!$F$2:$F$596,"&lt;=10",'Annotations'!$R$2:$R$596,"1"))/COUNTIFS('Annotations'!$B$2:$B$596,A32,'Annotations'!$F$2:$F$596,"&lt;=10"))</x:f>
        <x:v>0.8</x:v>
      </x:c>
      <x:c r="K32" s="38" t="n">
        <x:f>IF(COUNTIF('Annotations'!$B$2:$B$596,A32)=0,0,(COUNTIFS('Annotations'!$B$2:$B$596,A32,'Annotations'!$R$2:$R$596,"2")+COUNTIFS('Annotations'!$B$2:$B$596,A32,'Annotations'!$R$2:$R$596,"1"))/COUNTIF('Annotations'!$B$2:$B$596,A32))</x:f>
        <x:v>0.8</x:v>
      </x:c>
      <x:c r="L32" s="39" t="n">
        <x:f>IF(C32=0,0,D32/C32)</x:f>
        <x:v>0.5</x:v>
      </x:c>
    </x:row>
    <x:row r="33" ht="42" customHeight="1">
      <x:c r="A33" s="35" t="str">
        <x:v>csq030</x:v>
      </x:c>
      <x:c r="B33" s="45" t="str">
        <x:v>How have text-to-SQL systems evolved from schema-aware neural parsers to large-language-model-based approaches, and which challenges remain on cross-domain benchmarks?</x:v>
      </x:c>
      <x:c r="C33" s="37" t="n">
        <x:f>COUNTIF('Annotations'!$B$2:$B$596,A33)</x:f>
        <x:v>20</x:v>
      </x:c>
      <x:c r="D33" s="37" t="n">
        <x:f>COUNTIFS('Annotations'!$B$2:$B$596,A33,'Annotations'!$R$2:$R$596,"2")</x:f>
        <x:v>18</x:v>
      </x:c>
      <x:c r="E33" s="37" t="n">
        <x:f>COUNTIFS('Annotations'!$B$2:$B$596,A33,'Annotations'!$R$2:$R$596,"1")</x:f>
        <x:v>2</x:v>
      </x:c>
      <x:c r="F33" s="37" t="n">
        <x:f>COUNTIFS('Annotations'!$B$2:$B$596,A33,'Annotations'!$R$2:$R$596,"0")</x:f>
        <x:v>0</x:v>
      </x:c>
      <x:c r="G33" s="37" t="n">
        <x:f>COUNTIFS('Annotations'!$B$2:$B$596,A33,'Annotations'!$R$2:$R$596,"~?")</x:f>
        <x:v>0</x:v>
      </x:c>
      <x:c r="H33" s="38" t="n">
        <x:f>IF(C33=0,0,(D33+E33)/C33)</x:f>
        <x:v>1</x:v>
      </x:c>
      <x:c r="I33" s="38" t="n">
        <x:f>IF(COUNTIFS('Annotations'!$B$2:$B$596,A33,'Annotations'!$F$2:$F$596,"&lt;=5")=0,0,(COUNTIFS('Annotations'!$B$2:$B$596,A33,'Annotations'!$F$2:$F$596,"&lt;=5",'Annotations'!$R$2:$R$596,"2")+COUNTIFS('Annotations'!$B$2:$B$596,A33,'Annotations'!$F$2:$F$596,"&lt;=5",'Annotations'!$R$2:$R$596,"1"))/COUNTIFS('Annotations'!$B$2:$B$596,A33,'Annotations'!$F$2:$F$596,"&lt;=5"))</x:f>
        <x:v>1</x:v>
      </x:c>
      <x:c r="J33" s="38" t="n">
        <x:f>IF(COUNTIFS('Annotations'!$B$2:$B$596,A33,'Annotations'!$F$2:$F$596,"&lt;=10")=0,0,(COUNTIFS('Annotations'!$B$2:$B$596,A33,'Annotations'!$F$2:$F$596,"&lt;=10",'Annotations'!$R$2:$R$596,"2")+COUNTIFS('Annotations'!$B$2:$B$596,A33,'Annotations'!$F$2:$F$596,"&lt;=10",'Annotations'!$R$2:$R$596,"1"))/COUNTIFS('Annotations'!$B$2:$B$596,A33,'Annotations'!$F$2:$F$596,"&lt;=10"))</x:f>
        <x:v>1</x:v>
      </x:c>
      <x:c r="K33" s="38" t="n">
        <x:f>IF(COUNTIF('Annotations'!$B$2:$B$596,A33)=0,0,(COUNTIFS('Annotations'!$B$2:$B$596,A33,'Annotations'!$R$2:$R$596,"2")+COUNTIFS('Annotations'!$B$2:$B$596,A33,'Annotations'!$R$2:$R$596,"1"))/COUNTIF('Annotations'!$B$2:$B$596,A33))</x:f>
        <x:v>1</x:v>
      </x:c>
      <x:c r="L33" s="39" t="n">
        <x:f>IF(C33=0,0,D33/C33)</x:f>
        <x:v>0.9</x:v>
      </x:c>
    </x:row>
    <x:row r="34">
      <x:c r="A34" s="35"/>
      <x:c r="B34" s="36"/>
      <x:c r="C34" s="37"/>
      <x:c r="D34" s="37"/>
      <x:c r="E34" s="37"/>
      <x:c r="F34" s="37"/>
      <x:c r="G34" s="37"/>
      <x:c r="H34" s="38"/>
      <x:c r="I34" s="38"/>
      <x:c r="J34" s="38"/>
      <x:c r="K34" s="38"/>
      <x:c r="L34" s="39"/>
    </x:row>
    <x:row r="35">
      <x:c r="A35" s="40" t="str">
        <x:v>总体</x:v>
      </x:c>
      <x:c r="B35" s="41"/>
      <x:c r="C35" s="42" t="n">
        <x:f>SUM(C4:C33)</x:f>
        <x:v>595</x:v>
      </x:c>
      <x:c r="D35" s="42" t="n">
        <x:f>SUM(D4:D33)</x:f>
        <x:v>401</x:v>
      </x:c>
      <x:c r="E35" s="42" t="n">
        <x:f>SUM(E4:E33)</x:f>
        <x:v>147</x:v>
      </x:c>
      <x:c r="F35" s="42" t="n">
        <x:f>SUM(F4:F33)</x:f>
        <x:v>47</x:v>
      </x:c>
      <x:c r="G35" s="42" t="n">
        <x:f>SUM(G4:G33)</x:f>
        <x:v>0</x:v>
      </x:c>
      <x:c r="H35" s="43" t="n">
        <x:f>IF(C35=0,0,(D35+E35)/C35)</x:f>
        <x:v>0.9210084033613445</x:v>
      </x:c>
      <x:c r="I35" s="43"/>
      <x:c r="J35" s="43"/>
      <x:c r="K35" s="43"/>
      <x:c r="L35" s="44" t="n">
        <x:f>IF(C35=0,0,D35/C35)</x:f>
        <x:v>0.6739495798319328</x:v>
      </x:c>
    </x:row>
  </x:sheetData>
  <x:mergeCells>
    <x:mergeCell ref="A1:L1"/>
    <x:mergeCell ref="A35:B3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12" hidden="0" customWidth="1"/>
    <x:col min="3" max="3" width="24" hidden="0" customWidth="1"/>
    <x:col min="4" max="4" width="24" hidden="0" customWidth="1"/>
    <x:col min="5" max="5" width="52" hidden="0" customWidth="1"/>
    <x:col min="6" max="6" width="8" hidden="0" customWidth="1"/>
    <x:col min="7" max="7" width="18" hidden="0" customWidth="1"/>
    <x:col min="8" max="8" width="55" hidden="0" customWidth="1"/>
    <x:col min="9" max="9" width="36" hidden="0" customWidth="1"/>
    <x:col min="10" max="10" width="9" hidden="0" customWidth="1"/>
    <x:col min="11" max="11" width="78" hidden="0" customWidth="1"/>
    <x:col min="12" max="12" width="34" hidden="0" customWidth="1"/>
    <x:col min="13" max="13" width="12" hidden="0" customWidth="1"/>
    <x:col min="14" max="14" width="48" hidden="0" customWidth="1"/>
    <x:col min="15" max="15" width="12" hidden="0" customWidth="1"/>
    <x:col min="16" max="16" width="36" hidden="0" customWidth="1"/>
    <x:col min="17" max="17" width="12" hidden="0" customWidth="1"/>
    <x:col min="18" max="18" width="12" hidden="0" customWidth="1"/>
    <x:col min="19" max="19" width="30" hidden="0" customWidth="1"/>
  </x:cols>
  <x:sheetData>
    <x:row r="1" ht="30" customHeight="1">
      <x:c r="A1" s="21" t="str">
        <x:v>item_id</x:v>
      </x:c>
      <x:c r="B1" s="21" t="str">
        <x:v>question_id</x:v>
      </x:c>
      <x:c r="C1" s="21" t="str">
        <x:v>domain</x:v>
      </x:c>
      <x:c r="D1" s="21" t="str">
        <x:v>topic</x:v>
      </x:c>
      <x:c r="E1" s="21" t="str">
        <x:v>question</x:v>
      </x:c>
      <x:c r="F1" s="21" t="str">
        <x:v>rank</x:v>
      </x:c>
      <x:c r="G1" s="21" t="str">
        <x:v>source_id</x:v>
      </x:c>
      <x:c r="H1" s="21" t="str">
        <x:v>title</x:v>
      </x:c>
      <x:c r="I1" s="21" t="str">
        <x:v>authors</x:v>
      </x:c>
      <x:c r="J1" s="21" t="str">
        <x:v>year</x:v>
      </x:c>
      <x:c r="K1" s="21" t="str">
        <x:v>abstract</x:v>
      </x:c>
      <x:c r="L1" s="21" t="str">
        <x:v>url</x:v>
      </x:c>
      <x:c r="M1" s="21" t="str">
        <x:v>RRF score</x:v>
      </x:c>
      <x:c r="N1" s="21" t="str">
        <x:v>source run</x:v>
      </x:c>
      <x:c r="O1" s="21" t="str">
        <x:v>Codex 初标</x:v>
      </x:c>
      <x:c r="P1" s="21" t="str">
        <x:v>初标理由</x:v>
      </x:c>
      <x:c r="Q1" s="21" t="str">
        <x:v>人工修正</x:v>
      </x:c>
      <x:c r="R1" s="21" t="str">
        <x:v>最终标签</x:v>
      </x:c>
      <x:c r="S1" s="21" t="str">
        <x:v>人工备注</x:v>
      </x:c>
    </x:row>
    <x:row r="2" ht="54" customHeight="1">
      <x:c r="A2" s="17" t="str">
        <x:v>csq001-r01</x:v>
      </x:c>
      <x:c r="B2" s="17" t="str">
        <x:v>csq001</x:v>
      </x:c>
      <x:c r="C2" s="17" t="str">
        <x:v>natural_language_processing</x:v>
      </x:c>
      <x:c r="D2" s="17" t="str">
        <x:v>rag_evaluation</x:v>
      </x:c>
      <x:c r="E2" s="27" t="str">
        <x:v>What are the main methods for evaluating retrieval-augmented generation systems, and which retrieval and generation dimensions do they measure?</x:v>
      </x:c>
      <x:c r="F2" s="22" t="n">
        <x:v>1</x:v>
      </x:c>
      <x:c r="G2" s="17" t="str">
        <x:v>arXiv:2309.15217</x:v>
      </x:c>
      <x:c r="H2" s="27" t="str">
        <x:v>Ragas: Automated Evaluation of Retrieval Augmented Generation</x:v>
      </x:c>
      <x:c r="I2" s="17" t="str">
        <x:v>Shahul Es; Jithin James; Luis Espinosa-Anke; Steven Schockaert</x:v>
      </x:c>
      <x:c r="J2" s="22" t="n">
        <x:v>2023</x:v>
      </x:c>
      <x:c r="K2" s="27" t="str">
        <x:v>We introduce Ragas (Retrieval Augmented Generation Assessment), a framework for reference-free evaluation of Retrieval Augmented Generation (RAG) pipelines. RAG systems are composed of a retrieval and an LLM based generation module, and provide LLMs with knowledge from a reference textual database, which enables them to act as a natural language layer between a user and textual databases, reducing the risk of hallucinations. Evaluating RAG architectures is, however, challenging because there are several dimensions to consider: the ability of the retrieval system to identify relevant and focused context passages, the ability of the LLM to exploit such passages in a faithful way, or the quality of the generation itself. With Ragas, we put forward a suite of metrics which can be used to evaluate these different dimensions \textit{without having to rely on ground truth human annotations}. We posit that such a framework can crucially contribute to faster evaluation cycles of RAG architectures, which is especially important given the fast adoption of LLMs.</x:v>
      </x:c>
      <x:c r="L2" s="17" t="str">
        <x:v>http://arxiv.org/abs/2309.15217v2</x:v>
      </x:c>
      <x:c r="M2" s="23" t="n">
        <x:v>0.06233293048402157</x:v>
      </x:c>
      <x:c r="N2" s="17" t="str">
        <x:v>arxiv-paper-eval-20260726-140242-results.jsonl</x:v>
      </x:c>
      <x:c r="O2" s="24" t="str">
        <x:v>2</x:v>
      </x:c>
      <x:c r="P2" s="28" t="str">
        <x:v>提出RAGAS指标体系，直接分别评估检索相关性、生成忠实性与生成质量。</x:v>
      </x:c>
      <x:c r="Q2" s="25" t="str"/>
      <x:c r="R2" s="24" t="str">
        <x:f>IF(Q2&lt;&gt;"",Q2,O2)</x:f>
        <x:v>2</x:v>
      </x:c>
      <x:c r="S2" s="29" t="str"/>
    </x:row>
    <x:row r="3" ht="54" customHeight="1">
      <x:c r="A3" s="17" t="str">
        <x:v>csq001-r02</x:v>
      </x:c>
      <x:c r="B3" s="17" t="str">
        <x:v>csq001</x:v>
      </x:c>
      <x:c r="C3" s="17" t="str">
        <x:v>natural_language_processing</x:v>
      </x:c>
      <x:c r="D3" s="17" t="str">
        <x:v>rag_evaluation</x:v>
      </x:c>
      <x:c r="E3" s="27" t="str">
        <x:v>What are the main methods for evaluating retrieval-augmented generation systems, and which retrieval and generation dimensions do they measure?</x:v>
      </x:c>
      <x:c r="F3" s="22" t="n">
        <x:v>2</x:v>
      </x:c>
      <x:c r="G3" s="17" t="str">
        <x:v>arXiv:2511.22858</x:v>
      </x:c>
      <x:c r="H3" s="27" t="str">
        <x:v>RAG System for Supporting Japanese Litigation Procedures: Faithful Response Generation Complying with Legal Norms</x:v>
      </x:c>
      <x:c r="I3" s="17" t="str">
        <x:v>Yuya Ishihara; Atsushi Keyaki; Hiroaki Yamada; Ryutaro Ohara; Mihoko Sumida</x:v>
      </x:c>
      <x:c r="J3" s="22" t="n">
        <x:v>2025</x:v>
      </x:c>
      <x:c r="K3" s="27" t="str">
        <x:v>This study discusses the essential components that a Retrieval-Augmented Generation (RAG)-based LLM system should possess in order to support Japanese medical litigation procedures complying with legal norms. In litigation, expert commissioners, such as physicians, architects, accountants, and engineers, provide specialized knowledge to help judges clarify points of dispute. When considering the substitution of these expert roles with a RAG-based LLM system, the constraint of strict adherence to legal norms is imposed. Specifically, three requirements arise: (1) the retrieval module must retrieve appropriate external knowledge relevant to the disputed issues in accordance with the principle prohibiting the use of private knowledge, (2) the responses generated must originate from the context provided by the RAG and remain faithful to that context, and (3) the retrieval module must reference external knowledge with appropriate timestamps corresponding to the issues at hand. This paper discusses the design of a RAG-based LLM system that satisfies these requirements.</x:v>
      </x:c>
      <x:c r="L3" s="17" t="str">
        <x:v>http://arxiv.org/abs/2511.22858v1</x:v>
      </x:c>
      <x:c r="M3" s="23" t="n">
        <x:v>0.061187503546044006</x:v>
      </x:c>
      <x:c r="N3" s="17" t="str">
        <x:v>arxiv-paper-eval-20260726-140242-results.jsonl</x:v>
      </x:c>
      <x:c r="O3" s="24" t="str">
        <x:v>1</x:v>
      </x:c>
      <x:c r="P3" s="28" t="str">
        <x:v>讨论法律RAG的检索与生成忠实性要求，但重点是系统设计而非通用评测方法。</x:v>
      </x:c>
      <x:c r="Q3" s="25" t="str"/>
      <x:c r="R3" s="24" t="str">
        <x:f>IF(Q3&lt;&gt;"",Q3,O3)</x:f>
        <x:v>1</x:v>
      </x:c>
      <x:c r="S3" s="29" t="str"/>
    </x:row>
    <x:row r="4" ht="54" customHeight="1">
      <x:c r="A4" s="17" t="str">
        <x:v>csq001-r03</x:v>
      </x:c>
      <x:c r="B4" s="17" t="str">
        <x:v>csq001</x:v>
      </x:c>
      <x:c r="C4" s="17" t="str">
        <x:v>natural_language_processing</x:v>
      </x:c>
      <x:c r="D4" s="17" t="str">
        <x:v>rag_evaluation</x:v>
      </x:c>
      <x:c r="E4" s="27" t="str">
        <x:v>What are the main methods for evaluating retrieval-augmented generation systems, and which retrieval and generation dimensions do they measure?</x:v>
      </x:c>
      <x:c r="F4" s="22" t="n">
        <x:v>3</x:v>
      </x:c>
      <x:c r="G4" s="17" t="str">
        <x:v>arXiv:2508.05650</x:v>
      </x:c>
      <x:c r="H4" s="27" t="str">
        <x:v>OmniBench-RAG: A Multi-Domain Evaluation Platform for Retrieval-Augmented Generation Tools</x:v>
      </x:c>
      <x:c r="I4" s="17" t="str">
        <x:v>Jiaxuan Liang; Shide Zhou; Kailong Wang</x:v>
      </x:c>
      <x:c r="J4" s="22" t="n">
        <x:v>2025</x:v>
      </x:c>
      <x:c r="K4" s="27" t="str">
        <x:v>While Retrieval Augmented Generation (RAG) is now widely adopted to enhance LLMs, evaluating its true performance benefits in a reproducible and interpretable way remains a major hurdle. Existing methods often fall short: they lack domain coverage, employ coarse metrics that miss sub document precision, and fail to capture computational trade offs. Most critically, they provide no standardized framework for comparing RAG effectiveness across different models and domains. We introduce OmniBench RAG, a novel automated platform for multi domain evaluation of RAG systems. The platform quantifies performance gains across accuracy and efficiency dimensions, spanning nine knowledge fields including culture, geography, and health. We introduce two standardized metrics: Improvements (accuracy gains) and Transformation (efficiency differences between pre RAG and post RAG models), enabling reproducible comparisons across models and tasks. The platform features dynamic test generation, modular evaluation pipelines, and automated knowledge base construction. Our evaluation reveals striking variability in RAG effectiveness, from significant gains in culture to declines in mathematics, highlighting the critical importance of systematic, domain aware assessment. A demonstration video is available at: https://www.youtube.com/watch?v=BZx83QFcTCI. Code and datasets: https://github.com/Garnett-Liang/Omnibench-RAG.</x:v>
      </x:c>
      <x:c r="L4" s="17" t="str">
        <x:v>http://arxiv.org/abs/2508.05650v1</x:v>
      </x:c>
      <x:c r="M4" s="23" t="n">
        <x:v>0.05977753420208663</x:v>
      </x:c>
      <x:c r="N4" s="17" t="str">
        <x:v>arxiv-paper-eval-20260726-140242-results.jsonl</x:v>
      </x:c>
      <x:c r="O4" s="24" t="str">
        <x:v>2</x:v>
      </x:c>
      <x:c r="P4" s="28" t="str">
        <x:v>构建多领域RAG评测平台并定义准确率与效率指标，直接对应评测维度。</x:v>
      </x:c>
      <x:c r="Q4" s="25" t="str"/>
      <x:c r="R4" s="24" t="str">
        <x:f>IF(Q4&lt;&gt;"",Q4,O4)</x:f>
        <x:v>2</x:v>
      </x:c>
      <x:c r="S4" s="29" t="str"/>
    </x:row>
    <x:row r="5" ht="54" customHeight="1">
      <x:c r="A5" s="17" t="str">
        <x:v>csq001-r04</x:v>
      </x:c>
      <x:c r="B5" s="17" t="str">
        <x:v>csq001</x:v>
      </x:c>
      <x:c r="C5" s="17" t="str">
        <x:v>natural_language_processing</x:v>
      </x:c>
      <x:c r="D5" s="17" t="str">
        <x:v>rag_evaluation</x:v>
      </x:c>
      <x:c r="E5" s="27" t="str">
        <x:v>What are the main methods for evaluating retrieval-augmented generation systems, and which retrieval and generation dimensions do they measure?</x:v>
      </x:c>
      <x:c r="F5" s="22" t="n">
        <x:v>4</x:v>
      </x:c>
      <x:c r="G5" s="17" t="str">
        <x:v>arXiv:2210.02627</x:v>
      </x:c>
      <x:c r="H5" s="27" t="str">
        <x:v>Improving the Domain Adaptation of Retrieval Augmented Generation (RAG) Models for Open Domain Question Answering</x:v>
      </x:c>
      <x:c r="I5" s="17" t="str">
        <x:v>Shamane Siriwardhana; Rivindu Weerasekera; Elliott Wen; Tharindu Kaluarachchi; Rajib Rana; Suranga Nanayakkara</x:v>
      </x:c>
      <x:c r="J5" s="22" t="n">
        <x:v>2022</x:v>
      </x:c>
      <x:c r="K5" s="27" t="str">
        <x:v>Retrieval Augment Generation (RAG) is a recent advancement in Open-Domain Question Answering (ODQA). RAG has only been trained and explored with a Wikipedia-based external knowledge base and is not optimized for use in other specialized domains such as healthcare and news. In this paper, we evaluate the impact of joint training of the retriever and generator components of RAG for the task of domain adaptation in ODQA. We propose \textit{RAG-end2end}, an extension to RAG, that can adapt to a domain-specific knowledge base by updating all components of the external knowledge base during training. In addition, we introduce an auxiliary training signal to inject more domain-specific knowledge. This auxiliary signal forces \textit{RAG-end2end} to reconstruct a given sentence by accessing the relevant information from the external knowledge base. Our novel contribution is unlike RAG, RAG-end2end does joint training of the retriever and generator for the end QA task and domain adaptation. We evaluate our approach with datasets from three domains: COVID-19, News, and Conversations, and achieve significant performance improvements compared to the original RAG model. Our work has been open-sourced through the Huggingface Transformers library, attesting to our work's credibility and technical consistency.</x:v>
      </x:c>
      <x:c r="L5" s="17" t="str">
        <x:v>http://arxiv.org/abs/2210.02627v1</x:v>
      </x:c>
      <x:c r="M5" s="23" t="n">
        <x:v>0.05972742818920693</x:v>
      </x:c>
      <x:c r="N5" s="17" t="str">
        <x:v>arxiv-paper-eval-20260726-140242-results.jsonl</x:v>
      </x:c>
      <x:c r="O5" s="24" t="str">
        <x:v>1</x:v>
      </x:c>
      <x:c r="P5" s="28" t="str">
        <x:v>评估领域适配RAG的问答表现，但未系统研究检索和生成评测方法。</x:v>
      </x:c>
      <x:c r="Q5" s="25" t="str"/>
      <x:c r="R5" s="24" t="str">
        <x:f>IF(Q5&lt;&gt;"",Q5,O5)</x:f>
        <x:v>1</x:v>
      </x:c>
      <x:c r="S5" s="29" t="str"/>
    </x:row>
    <x:row r="6" ht="54" customHeight="1">
      <x:c r="A6" s="17" t="str">
        <x:v>csq001-r05</x:v>
      </x:c>
      <x:c r="B6" s="17" t="str">
        <x:v>csq001</x:v>
      </x:c>
      <x:c r="C6" s="17" t="str">
        <x:v>natural_language_processing</x:v>
      </x:c>
      <x:c r="D6" s="17" t="str">
        <x:v>rag_evaluation</x:v>
      </x:c>
      <x:c r="E6" s="27" t="str">
        <x:v>What are the main methods for evaluating retrieval-augmented generation systems, and which retrieval and generation dimensions do they measure?</x:v>
      </x:c>
      <x:c r="F6" s="22" t="n">
        <x:v>5</x:v>
      </x:c>
      <x:c r="G6" s="17" t="str">
        <x:v>arXiv:2601.05264</x:v>
      </x:c>
      <x:c r="H6" s="27" t="str">
        <x:v>Engineering the RAG Stack: A Comprehensive Review of the Architecture and Trust Frameworks for Retrieval-Augmented Generation Systems</x:v>
      </x:c>
      <x:c r="I6" s="17" t="str">
        <x:v>Dean Wampler; Dave Nielson; Alireza Seddighi</x:v>
      </x:c>
      <x:c r="J6" s="22" t="n">
        <x:v>2025</x:v>
      </x:c>
      <x:c r="K6" s="27" t="str">
        <x:v>This article provides a comprehensive systematic literature review of academic studies, industrial applications, and real-world deployments from 2018 to 2025, providing a practical guide and detailed overview of modern Retrieval-Augmented Generation (RAG) architectures. RAG offers a modular approach for integrating external knowledge without increasing the capacity of the model as LLM systems expand. Research and engineering practices have been fragmented as a result of the increasing diversity of RAG methodologies, which encompasses a variety of fusion mechanisms, retrieval strategies, and orchestration approaches. We provide quantitative assessment frameworks, analyze the implications for trust and alignment, and systematically consolidate existing RAG techniques into a unified taxonomy. This document is a practical framework for the deployment of resilient, secure, and domain-adaptable RAG systems, synthesizing insights from academic literature, industry reports, and technical implementation guides. It also functions as a technical reference.</x:v>
      </x:c>
      <x:c r="L6" s="17" t="str">
        <x:v>http://arxiv.org/abs/2601.05264v1</x:v>
      </x:c>
      <x:c r="M6" s="23" t="n">
        <x:v>0.048915917503966164</x:v>
      </x:c>
      <x:c r="N6" s="17" t="str">
        <x:v>arxiv-paper-eval-20260726-140242-results.jsonl</x:v>
      </x:c>
      <x:c r="O6" s="24" t="str">
        <x:v>2</x:v>
      </x:c>
      <x:c r="P6" s="28" t="str">
        <x:v>综述RAG架构并整合量化评估与可信框架，可用于回答主要评测维度。</x:v>
      </x:c>
      <x:c r="Q6" s="25" t="str"/>
      <x:c r="R6" s="24" t="str">
        <x:f>IF(Q6&lt;&gt;"",Q6,O6)</x:f>
        <x:v>2</x:v>
      </x:c>
      <x:c r="S6" s="29" t="str"/>
    </x:row>
    <x:row r="7" ht="54" customHeight="1">
      <x:c r="A7" s="17" t="str">
        <x:v>csq001-r06</x:v>
      </x:c>
      <x:c r="B7" s="17" t="str">
        <x:v>csq001</x:v>
      </x:c>
      <x:c r="C7" s="17" t="str">
        <x:v>natural_language_processing</x:v>
      </x:c>
      <x:c r="D7" s="17" t="str">
        <x:v>rag_evaluation</x:v>
      </x:c>
      <x:c r="E7" s="27" t="str">
        <x:v>What are the main methods for evaluating retrieval-augmented generation systems, and which retrieval and generation dimensions do they measure?</x:v>
      </x:c>
      <x:c r="F7" s="22" t="n">
        <x:v>6</x:v>
      </x:c>
      <x:c r="G7" s="17" t="str">
        <x:v>arXiv:2510.25518</x:v>
      </x:c>
      <x:c r="H7" s="27" t="str">
        <x:v>Retrieval Augmented Generation (RAG) for Fintech: Agentic Design and Evaluation</x:v>
      </x:c>
      <x:c r="I7" s="17" t="str">
        <x:v>Thomas Cook; Richard Osuagwu; Liman Tsatiashvili; Vrynsia Vrynsia; Koustav Ghosal; Maraim Masoud; Riccardo Mattivi</x:v>
      </x:c>
      <x:c r="J7" s="22" t="n">
        <x:v>2025</x:v>
      </x:c>
      <x:c r="K7" s="27" t="str">
        <x:v>Retrieval-Augmented Generation (RAG) systems often face limitations in specialized domains such as fintech, where domain-specific ontologies, dense terminology, and acronyms complicate effective retrieval and synthesis. This paper introduces an agentic RAG architecture designed to address these challenges through a modular pipeline of specialized agents. The proposed system supports intelligent query reformulation, iterative sub-query decomposition guided by keyphrase extraction, contextual acronym resolution, and cross-encoder-based context re-ranking. We evaluate our approach against a standard RAG baseline using a curated dataset of 85 question--answer--reference triples derived from an enterprise fintech knowledge base. Experimental results demonstrate that the agentic RAG system outperforms the baseline in retrieval precision and relevance, albeit with increased latency. These findings suggest that structured, multi-agent methodologies offer a promising direction for enhancing retrieval robustness in complex, domain-specific settings.</x:v>
      </x:c>
      <x:c r="L7" s="17" t="str">
        <x:v>http://arxiv.org/abs/2510.25518v1</x:v>
      </x:c>
      <x:c r="M7" s="23" t="n">
        <x:v>0.04664224664224664</x:v>
      </x:c>
      <x:c r="N7" s="17" t="str">
        <x:v>arxiv-paper-eval-20260726-140242-results.jsonl</x:v>
      </x:c>
      <x:c r="O7" s="24" t="str">
        <x:v>1</x:v>
      </x:c>
      <x:c r="P7" s="28" t="str">
        <x:v>用检索精度、相关性和延迟比较金融RAG，提供应用案例但非通用评测综述。</x:v>
      </x:c>
      <x:c r="Q7" s="25" t="str"/>
      <x:c r="R7" s="24" t="str">
        <x:f>IF(Q7&lt;&gt;"",Q7,O7)</x:f>
        <x:v>1</x:v>
      </x:c>
      <x:c r="S7" s="29" t="str"/>
    </x:row>
    <x:row r="8" ht="54" customHeight="1">
      <x:c r="A8" s="17" t="str">
        <x:v>csq001-r07</x:v>
      </x:c>
      <x:c r="B8" s="17" t="str">
        <x:v>csq001</x:v>
      </x:c>
      <x:c r="C8" s="17" t="str">
        <x:v>natural_language_processing</x:v>
      </x:c>
      <x:c r="D8" s="17" t="str">
        <x:v>rag_evaluation</x:v>
      </x:c>
      <x:c r="E8" s="27" t="str">
        <x:v>What are the main methods for evaluating retrieval-augmented generation systems, and which retrieval and generation dimensions do they measure?</x:v>
      </x:c>
      <x:c r="F8" s="22" t="n">
        <x:v>7</x:v>
      </x:c>
      <x:c r="G8" s="17" t="str">
        <x:v>arXiv:2411.18583</x:v>
      </x:c>
      <x:c r="H8" s="27" t="str">
        <x:v>Automated Literature Review Using NLP Techniques and LLM-Based Retrieval-Augmented Generation</x:v>
      </x:c>
      <x:c r="I8" s="17" t="str">
        <x:v>Nurshat Fateh Ali; Md. Mahdi Mohtasim; Shakil Mosharrof; T. Gopi Krishna</x:v>
      </x:c>
      <x:c r="J8" s="22" t="n">
        <x:v>2024</x:v>
      </x:c>
      <x:c r="K8" s="27" t="str">
        <x:v>This research presents and compares multiple approaches to automate the generation of literature reviews using several Natural Language Processing (NLP) techniques and retrieval-augmented generation (RAG) with a Large Language Model (LLM). The ever-increasing number of research articles provides a huge challenge for manual literature review. It has resulted in an increased demand for automation. Developing a system capable of automatically generating the literature reviews from only the PDF files as input is the primary objective of this research work. The effectiveness of several Natural Language Processing (NLP) strategies, such as the frequency-based method (spaCy), the transformer model (Simple T5), and retrieval-augmented generation (RAG) with Large Language Model (GPT-3.5-turbo), is evaluated to meet the primary objective. The SciTLDR dataset is chosen for this research experiment and three distinct techniques are utilized to implement three different systems for auto-generating the literature reviews. The ROUGE scores are used for the evaluation of all three systems. Based on the evaluation, the Large Language Model GPT-3.5-turbo achieved the highest ROUGE-1 score, 0.364. The transformer model comes in second place and spaCy is at the last position. Finally, a graphical user interface is created for the best system based on the large language model.</x:v>
      </x:c>
      <x:c r="L8" s="17" t="str">
        <x:v>http://arxiv.org/abs/2411.18583v1</x:v>
      </x:c>
      <x:c r="M8" s="23" t="n">
        <x:v>0.04642338900734423</x:v>
      </x:c>
      <x:c r="N8" s="17" t="str">
        <x:v>arxiv-paper-eval-20260726-140242-results.jsonl</x:v>
      </x:c>
      <x:c r="O8" s="24" t="str">
        <x:v>1</x:v>
      </x:c>
      <x:c r="P8" s="28" t="str">
        <x:v>使用ROUGE比较文献综述生成系统，涉及生成评价但不覆盖RAG检索维度。</x:v>
      </x:c>
      <x:c r="Q8" s="25" t="str"/>
      <x:c r="R8" s="24" t="str">
        <x:f>IF(Q8&lt;&gt;"",Q8,O8)</x:f>
        <x:v>1</x:v>
      </x:c>
      <x:c r="S8" s="29" t="str"/>
    </x:row>
    <x:row r="9" ht="54" customHeight="1">
      <x:c r="A9" s="17" t="str">
        <x:v>csq001-r08</x:v>
      </x:c>
      <x:c r="B9" s="17" t="str">
        <x:v>csq001</x:v>
      </x:c>
      <x:c r="C9" s="17" t="str">
        <x:v>natural_language_processing</x:v>
      </x:c>
      <x:c r="D9" s="17" t="str">
        <x:v>rag_evaluation</x:v>
      </x:c>
      <x:c r="E9" s="27" t="str">
        <x:v>What are the main methods for evaluating retrieval-augmented generation systems, and which retrieval and generation dimensions do they measure?</x:v>
      </x:c>
      <x:c r="F9" s="22" t="n">
        <x:v>8</x:v>
      </x:c>
      <x:c r="G9" s="17" t="str">
        <x:v>arXiv:2402.13178</x:v>
      </x:c>
      <x:c r="H9" s="27" t="str">
        <x:v>Benchmarking Retrieval-Augmented Generation for Medicine</x:v>
      </x:c>
      <x:c r="I9" s="17" t="str">
        <x:v>Guangzhi Xiong; Qiao Jin; Zhiyong Lu; Aidong Zhang</x:v>
      </x:c>
      <x:c r="J9" s="22" t="n">
        <x:v>2024</x:v>
      </x:c>
      <x:c r="K9" s="27" t="str">
        <x:v>While large language models (LLMs) have achieved state-of-the-art performance on a wide range of medical question answering (QA) tasks, they still face challenges with hallucinations and outdated knowledge. Retrieval-augmented generation (RAG) is a promising solution and has been widely adopted. However, a RAG system can involve multiple flexible components, and there is a lack of best practices regarding the optimal RAG setting for various medical purposes. To systematically evaluate such systems, we propose the Medical Information Retrieval-Augmented Generation Evaluation (MIRAGE), a first-of-its-kind benchmark including 7,663 questions from five medical QA datasets. Using MIRAGE, we conducted large-scale experiments with over 1.8 trillion prompt tokens on 41 combinations of different corpora, retrievers, and backbone LLMs through the MedRAG toolkit introduced in this work. Overall, MedRAG improves the accuracy of six different LLMs by up to 18% over chain-of-thought prompting, elevating the performance of GPT-3.5 and Mixtral to GPT-4-level. Our results show that the combination of various medical corpora and retrievers achieves the best performance. In addition, we discovered a log-linear scaling property and the "lost-in-the-middle" effects in medical RAG. We believe our comprehensive evaluations can serve as practical guidelines for implementing RAG systems for medicine.</x:v>
      </x:c>
      <x:c r="L9" s="17" t="str">
        <x:v>http://arxiv.org/abs/2402.13178v2</x:v>
      </x:c>
      <x:c r="M9" s="23" t="n">
        <x:v>0.04410984848484849</x:v>
      </x:c>
      <x:c r="N9" s="17" t="str">
        <x:v>arxiv-paper-eval-20260726-140242-results.jsonl</x:v>
      </x:c>
      <x:c r="O9" s="24" t="str">
        <x:v>2</x:v>
      </x:c>
      <x:c r="P9" s="28" t="str">
        <x:v>提出医疗RAG基准并大规模比较语料、检索器和生成模型，直接提供评测协议。</x:v>
      </x:c>
      <x:c r="Q9" s="25" t="str"/>
      <x:c r="R9" s="24" t="str">
        <x:f>IF(Q9&lt;&gt;"",Q9,O9)</x:f>
        <x:v>2</x:v>
      </x:c>
      <x:c r="S9" s="29" t="str"/>
    </x:row>
    <x:row r="10" ht="54" customHeight="1">
      <x:c r="A10" s="17" t="str">
        <x:v>csq001-r09</x:v>
      </x:c>
      <x:c r="B10" s="17" t="str">
        <x:v>csq001</x:v>
      </x:c>
      <x:c r="C10" s="17" t="str">
        <x:v>natural_language_processing</x:v>
      </x:c>
      <x:c r="D10" s="17" t="str">
        <x:v>rag_evaluation</x:v>
      </x:c>
      <x:c r="E10" s="27" t="str">
        <x:v>What are the main methods for evaluating retrieval-augmented generation systems, and which retrieval and generation dimensions do they measure?</x:v>
      </x:c>
      <x:c r="F10" s="22" t="n">
        <x:v>9</x:v>
      </x:c>
      <x:c r="G10" s="17" t="str">
        <x:v>arXiv:2501.03995</x:v>
      </x:c>
      <x:c r="H10" s="27" t="str">
        <x:v>RAG-Check: Evaluating Multimodal Retrieval Augmented Generation Performance</x:v>
      </x:c>
      <x:c r="I10" s="17" t="str">
        <x:v>Matin Mortaheb; Mohammad A. Amir Khojastepour; Srimat T. Chakradhar; Sennur Ulukus</x:v>
      </x:c>
      <x:c r="J10" s="22" t="n">
        <x:v>2025</x:v>
      </x:c>
      <x:c r="K10" s="27" t="str">
        <x:v>Retrieval-augmented generation (RAG) improves large language models (LLMs) by using external knowledge to guide response generation, reducing hallucinations. However, RAG, particularly multi-modal RAG, can introduce new hallucination sources: (i) the retrieval process may select irrelevant pieces (e.g., documents, images) as raw context from the database, and (ii) retrieved images are processed into text-based context via vision-language models (VLMs) or directly used by multi-modal language models (MLLMs) like GPT-4o, which may hallucinate. To address this, we propose a novel framework to evaluate the reliability of multi-modal RAG using two performance measures: (i) the relevancy score (RS), assessing the relevance of retrieved entries to the query, and (ii) the correctness score (CS), evaluating the accuracy of the generated response. We train RS and CS models using a ChatGPT-derived database and human evaluator samples. Results show that both models achieve ~88% accuracy on test data. Additionally, we construct a 5000-sample human-annotated database evaluating the relevancy of retrieved pieces and the correctness of response statements. Our RS model aligns with human preferences 20% more often than CLIP in retrieval, and our CS model matches human preferences ~91% of the time. Finally, we assess various RAG systems' selection and generation performances using RS and CS.</x:v>
      </x:c>
      <x:c r="L10" s="17" t="str">
        <x:v>http://arxiv.org/abs/2501.03995v1</x:v>
      </x:c>
      <x:c r="M10" s="23" t="n">
        <x:v>0.04372877581695708</x:v>
      </x:c>
      <x:c r="N10" s="17" t="str">
        <x:v>arxiv-paper-eval-20260726-140242-results.jsonl</x:v>
      </x:c>
      <x:c r="O10" s="24" t="str">
        <x:v>2</x:v>
      </x:c>
      <x:c r="P10" s="28" t="str">
        <x:v>以检索相关性分数和回答正确性分数分别评价多模态RAG两阶段。</x:v>
      </x:c>
      <x:c r="Q10" s="25" t="str"/>
      <x:c r="R10" s="24" t="str">
        <x:f>IF(Q10&lt;&gt;"",Q10,O10)</x:f>
        <x:v>2</x:v>
      </x:c>
      <x:c r="S10" s="29" t="str"/>
    </x:row>
    <x:row r="11" ht="54" customHeight="1">
      <x:c r="A11" s="17" t="str">
        <x:v>csq001-r10</x:v>
      </x:c>
      <x:c r="B11" s="17" t="str">
        <x:v>csq001</x:v>
      </x:c>
      <x:c r="C11" s="17" t="str">
        <x:v>natural_language_processing</x:v>
      </x:c>
      <x:c r="D11" s="17" t="str">
        <x:v>rag_evaluation</x:v>
      </x:c>
      <x:c r="E11" s="27" t="str">
        <x:v>What are the main methods for evaluating retrieval-augmented generation systems, and which retrieval and generation dimensions do they measure?</x:v>
      </x:c>
      <x:c r="F11" s="22" t="n">
        <x:v>10</x:v>
      </x:c>
      <x:c r="G11" s="17" t="str">
        <x:v>arXiv:2502.11228</x:v>
      </x:c>
      <x:c r="H11" s="27" t="str">
        <x:v>Vendi-RAG: Adaptively Trading-Off Diversity And Quality Significantly Improves Retrieval Augmented Generation With LLMs</x:v>
      </x:c>
      <x:c r="I11" s="17" t="str">
        <x:v>Mohammad Reza Rezaei; Adji Bousso Dieng</x:v>
      </x:c>
      <x:c r="J11" s="22" t="n">
        <x:v>2025</x:v>
      </x:c>
      <x:c r="K11" s="27" t="str">
        <x:v>Retrieval-augmented generation (RAG) enhances large language models (LLMs) for domain-specific question-answering (QA) tasks by leveraging external knowledge sources. However, traditional RAG systems primarily focus on relevance-based retrieval and often struggle with redundancy, especially when reasoning requires connecting information from multiple sources. This paper introduces Vendi-RAG, a framework based on an iterative process that jointly optimizes retrieval diversity and answer quality. This joint optimization leads to significantly higher accuracy for multi-hop QA tasks. Vendi-RAG leverages the Vendi Score (VS), a flexible similarity-based diversity metric, to promote semantic diversity in document retrieval. It then uses an LLM judge that evaluates candidate answers, generated after a reasoning step, and outputs a score that the retriever uses to balance relevance and diversity among the retrieved documents during each iteration. Experiments on three challenging datasets -- HotpotQA, MuSiQue, and 2WikiMultiHopQA -- demonstrate Vendi-RAG's effectiveness in multi-hop reasoning tasks. The framework achieves significant accuracy improvements over traditional single-step and multi-step RAG approaches, with accuracy increases reaching up to +4.2% on HotpotQA, +4.1% on 2WikiMultiHopQA, and +1.3% on MuSiQue compared to Adaptive-RAG, the current best baseline. The benefits of Vendi-RAG are even more pronounced as the number of retrieved documents increases. Finally, we evaluated Vendi-RAG across different LLM backbones, including GPT-3.5, GPT-4, and GPT-4o-mini, and observed consistent improvements, demonstrating that the framework's advantages are model-agnostic.</x:v>
      </x:c>
      <x:c r="L11" s="17" t="str">
        <x:v>http://arxiv.org/abs/2502.11228v2</x:v>
      </x:c>
      <x:c r="M11" s="23" t="n">
        <x:v>0.043064182194616975</x:v>
      </x:c>
      <x:c r="N11" s="17" t="str">
        <x:v>arxiv-paper-eval-20260726-140242-results.jsonl</x:v>
      </x:c>
      <x:c r="O11" s="24" t="str">
        <x:v>1</x:v>
      </x:c>
      <x:c r="P11" s="28" t="str">
        <x:v>重点是用多样性优化RAG并报告问答准确率，评测仅服务于新方法验证。</x:v>
      </x:c>
      <x:c r="Q11" s="25" t="str"/>
      <x:c r="R11" s="24" t="str">
        <x:f>IF(Q11&lt;&gt;"",Q11,O11)</x:f>
        <x:v>1</x:v>
      </x:c>
      <x:c r="S11" s="29" t="str"/>
    </x:row>
    <x:row r="12" ht="54" customHeight="1">
      <x:c r="A12" s="17" t="str">
        <x:v>csq001-r11</x:v>
      </x:c>
      <x:c r="B12" s="17" t="str">
        <x:v>csq001</x:v>
      </x:c>
      <x:c r="C12" s="17" t="str">
        <x:v>natural_language_processing</x:v>
      </x:c>
      <x:c r="D12" s="17" t="str">
        <x:v>rag_evaluation</x:v>
      </x:c>
      <x:c r="E12" s="27" t="str">
        <x:v>What are the main methods for evaluating retrieval-augmented generation systems, and which retrieval and generation dimensions do they measure?</x:v>
      </x:c>
      <x:c r="F12" s="22" t="n">
        <x:v>11</x:v>
      </x:c>
      <x:c r="G12" s="17" t="str">
        <x:v>arXiv:2504.04915</x:v>
      </x:c>
      <x:c r="H12" s="27" t="str">
        <x:v>Collab-RAG: Boosting Retrieval-Augmented Generation for Complex Question Answering via White-Box and Black-Box LLM Collaboration</x:v>
      </x:c>
      <x:c r="I12" s="17" t="str">
        <x:v>Ran Xu; Wenqi Shi; Yuchen Zhuang; Yue Yu; Joyce C. Ho; Haoyu Wang; Carl Yang</x:v>
      </x:c>
      <x:c r="J12" s="22" t="n">
        <x:v>2025</x:v>
      </x:c>
      <x:c r="K12" s="27" t="str">
        <x:v>Retrieval-Augmented Generation (RAG) systems often struggle to handle multi-hop question-answering tasks accurately due to irrelevant context retrieval and limited complex reasoning capabilities. We introduce Collab-RAG, a collaborative training framework that leverages mutual enhancement between a white-box small language model (SLM) and a blackbox large language model (LLM) for RAG. Specifically, the SLM decomposes complex queries into simpler sub-questions, thus enhancing the accuracy of the retrieval and facilitating more effective reasoning by the black-box LLM. Concurrently, the black-box LLM provides feedback signals to improve the SLM's decomposition capability. We observe that Collab-RAG relies solely on supervision from an affordable black-box LLM without additional distillation from frontier LLMs, yet demonstrates strong generalization across multiple black-box LLMs. Experimental evaluations across five multi-hop QA datasets demonstrate that Collab-RAG substantially outperforms existing black-box-only and SLM fine-tuning baselines by 1.8%-14.2% on average. In particular, our fine-tuned 3B SLM surpasses a frozen 32B LLM in question decomposition, highlighting the efficiency of Collab-RAG in improving reasoning and retrieval for complex questions. The code of Collab-RAG is available on https://github.com/ritaranx/Collab-RAG/.</x:v>
      </x:c>
      <x:c r="L12" s="17" t="str">
        <x:v>http://arxiv.org/abs/2504.04915v1</x:v>
      </x:c>
      <x:c r="M12" s="23" t="n">
        <x:v>0.04187323331158947</x:v>
      </x:c>
      <x:c r="N12" s="17" t="str">
        <x:v>arxiv-paper-eval-20260726-140242-results.jsonl</x:v>
      </x:c>
      <x:c r="O12" s="24" t="str">
        <x:v>1</x:v>
      </x:c>
      <x:c r="P12" s="28" t="str">
        <x:v>研究协作式RAG的复杂问答改进，提供性能实验但不提出RAG评测体系。</x:v>
      </x:c>
      <x:c r="Q12" s="25" t="str"/>
      <x:c r="R12" s="24" t="str">
        <x:f>IF(Q12&lt;&gt;"",Q12,O12)</x:f>
        <x:v>1</x:v>
      </x:c>
      <x:c r="S12" s="29" t="str"/>
    </x:row>
    <x:row r="13" ht="54" customHeight="1">
      <x:c r="A13" s="17" t="str">
        <x:v>csq001-r12</x:v>
      </x:c>
      <x:c r="B13" s="17" t="str">
        <x:v>csq001</x:v>
      </x:c>
      <x:c r="C13" s="17" t="str">
        <x:v>natural_language_processing</x:v>
      </x:c>
      <x:c r="D13" s="17" t="str">
        <x:v>rag_evaluation</x:v>
      </x:c>
      <x:c r="E13" s="27" t="str">
        <x:v>What are the main methods for evaluating retrieval-augmented generation systems, and which retrieval and generation dimensions do they measure?</x:v>
      </x:c>
      <x:c r="F13" s="22" t="n">
        <x:v>12</x:v>
      </x:c>
      <x:c r="G13" s="17" t="str">
        <x:v>arXiv:2509.21325</x:v>
      </x:c>
      <x:c r="H13" s="27" t="str">
        <x:v>PIR-RAG: A System for Private Information Retrieval in Retrieval-Augmented Generation</x:v>
      </x:c>
      <x:c r="I13" s="17" t="str">
        <x:v>Baiqiang Wang; Qian Lou; Mengxin Zheng; Dongfang Zhao</x:v>
      </x:c>
      <x:c r="J13" s="22" t="n">
        <x:v>2025</x:v>
      </x:c>
      <x:c r="K13" s="27" t="str">
        <x:v>Retrieval-Augmented Generation (RAG) has become a foundational component of modern AI systems, yet it introduces significant privacy risks by exposing user queries to service providers. To address this, we introduce PIR-RAG, a practical system for privacy-preserving RAG. PIR-RAG employs a novel architecture that uses coarse-grained semantic clustering to prune the search space, combined with a fast, lattice-based Private Information Retrieval (PIR) protocol. This design allows for the efficient retrieval of entire document clusters, uniquely optimizing for the end-to-end RAG workflow where full document content is required. Our comprehensive evaluation against strong baseline architectures, including graph-based PIR and Tiptoe-style private scoring, demonstrates PIR-RAG's scalability and its superior performance in terms of "RAG-Ready Latency"-the true end-to-end time required to securely fetch content for an LLM. Our work establishes PIR-RAG as a viable and highly efficient solution for privacy in large-scale AI systems.</x:v>
      </x:c>
      <x:c r="L13" s="17" t="str">
        <x:v>http://arxiv.org/abs/2509.21325v1</x:v>
      </x:c>
      <x:c r="M13" s="23" t="n">
        <x:v>0.028381642512077296</x:v>
      </x:c>
      <x:c r="N13" s="17" t="str">
        <x:v>arxiv-paper-eval-20260726-140242-results.jsonl</x:v>
      </x:c>
      <x:c r="O13" s="24" t="str">
        <x:v>1</x:v>
      </x:c>
      <x:c r="P13" s="28" t="str">
        <x:v>评估隐私RAG的端到端延迟和可扩展性，覆盖效率侧面而非主要质量维度。</x:v>
      </x:c>
      <x:c r="Q13" s="25" t="str"/>
      <x:c r="R13" s="24" t="str">
        <x:f>IF(Q13&lt;&gt;"",Q13,O13)</x:f>
        <x:v>1</x:v>
      </x:c>
      <x:c r="S13" s="29" t="str"/>
    </x:row>
    <x:row r="14" ht="54" customHeight="1">
      <x:c r="A14" s="17" t="str">
        <x:v>csq001-r13</x:v>
      </x:c>
      <x:c r="B14" s="17" t="str">
        <x:v>csq001</x:v>
      </x:c>
      <x:c r="C14" s="17" t="str">
        <x:v>natural_language_processing</x:v>
      </x:c>
      <x:c r="D14" s="17" t="str">
        <x:v>rag_evaluation</x:v>
      </x:c>
      <x:c r="E14" s="27" t="str">
        <x:v>What are the main methods for evaluating retrieval-augmented generation systems, and which retrieval and generation dimensions do they measure?</x:v>
      </x:c>
      <x:c r="F14" s="22" t="n">
        <x:v>13</x:v>
      </x:c>
      <x:c r="G14" s="17" t="str">
        <x:v>arXiv:2505.04680</x:v>
      </x:c>
      <x:c r="H14" s="27" t="str">
        <x:v>Retrieval Augmented Generation Evaluation for Health Documents</x:v>
      </x:c>
      <x:c r="I14" s="17" t="str">
        <x:v>Mario Ceresa; Lorenzo Bertolini; Valentin Comte; Nicholas Spadaro; Barbara Raffael; Brigitte Toussaint; Sergio Consoli; Amalia Muñoz Piñeiro; Alex Patak; Maddalena Querci; Tobias Wiesenthal</x:v>
      </x:c>
      <x:c r="J14" s="22" t="n">
        <x:v>2025</x:v>
      </x:c>
      <x:c r="K14" s="27" t="str">
        <x:v>Safe and trustworthy use of Large Language Models (LLM) in the processing of healthcare documents and scientific papers could substantially help clinicians, scientists and policymakers in overcoming information overload and focusing on the most relevant information at a given moment. Retrieval Augmented Generation (RAG) is a promising method to leverage the potential of LLMs while enhancing the accuracy of their outcomes. This report assesses the potentials and shortcomings of such approaches in the automatic knowledge synthesis of different types of documents in the health domain. To this end, it describes: (1) an internally developed proof of concept pipeline that employs state-of-the-art practices to deliver safe and trustable analysis for healthcare documents and scientific papers called RAGEv (Retrieval Augmented Generation Evaluation); (2) a set of evaluation tools for LLM-based document retrieval and generation; (3) a benchmark dataset to verify the accuracy and veracity of the results called RAGEv-Bench. It concludes that careful implementations of RAG techniques could minimize most of the common problems in the use of LLMs for document processing in the health domain, obtaining very high scores both on short yes/no answers and long answers. There is a high potential for incorporating it into the day-to-day work of policy support tasks, but additional efforts are required to obtain a consistent and trustworthy tool.</x:v>
      </x:c>
      <x:c r="L14" s="17" t="str">
        <x:v>http://arxiv.org/abs/2505.04680v1</x:v>
      </x:c>
      <x:c r="M14" s="23" t="n">
        <x:v>0.027783137179239824</x:v>
      </x:c>
      <x:c r="N14" s="17" t="str">
        <x:v>arxiv-paper-eval-20260726-140242-results.jsonl</x:v>
      </x:c>
      <x:c r="O14" s="24" t="str">
        <x:v>2</x:v>
      </x:c>
      <x:c r="P14" s="28" t="str">
        <x:v>明确提出检索与生成评测工具及健康文档基准，直接讨论准确性和真实性。</x:v>
      </x:c>
      <x:c r="Q14" s="25" t="str"/>
      <x:c r="R14" s="24" t="str">
        <x:f>IF(Q14&lt;&gt;"",Q14,O14)</x:f>
        <x:v>2</x:v>
      </x:c>
      <x:c r="S14" s="29" t="str"/>
    </x:row>
    <x:row r="15" ht="54" customHeight="1">
      <x:c r="A15" s="17" t="str">
        <x:v>csq001-r14</x:v>
      </x:c>
      <x:c r="B15" s="17" t="str">
        <x:v>csq001</x:v>
      </x:c>
      <x:c r="C15" s="17" t="str">
        <x:v>natural_language_processing</x:v>
      </x:c>
      <x:c r="D15" s="17" t="str">
        <x:v>rag_evaluation</x:v>
      </x:c>
      <x:c r="E15" s="27" t="str">
        <x:v>What are the main methods for evaluating retrieval-augmented generation systems, and which retrieval and generation dimensions do they measure?</x:v>
      </x:c>
      <x:c r="F15" s="22" t="n">
        <x:v>14</x:v>
      </x:c>
      <x:c r="G15" s="17" t="str">
        <x:v>arXiv:2410.12812</x:v>
      </x:c>
      <x:c r="H15" s="27" t="str">
        <x:v>Optimizing and Evaluating Enterprise Retrieval-Augmented Generation (RAG): A Content Design Perspective</x:v>
      </x:c>
      <x:c r="I15" s="17" t="str">
        <x:v>Sarah Packowski; Inge Halilovic; Jenifer Schlotfeldt; Trish Smith</x:v>
      </x:c>
      <x:c r="J15" s="22" t="n">
        <x:v>2024</x:v>
      </x:c>
      <x:c r="K15" s="27" t="str">
        <x:v>Retrieval-augmented generation (RAG) is a popular technique for using large language models (LLMs) to build customer-support, question-answering solutions. In this paper, we share our team's practical experience building and maintaining enterprise-scale RAG solutions that answer users' questions about our software based on product documentation. Our experience has not always matched the most common patterns in the RAG literature. This paper focuses on solution strategies that are modular and model-agnostic. For example, our experience over the past few years - using different search methods and LLMs, and many knowledge base collections - has been that simple changes to the way we create knowledge base content can have a huge impact on our RAG solutions' success. In this paper, we also discuss how we monitor and evaluate results. Common RAG benchmark evaluation techniques have not been useful for evaluating responses to novel user questions, so we have found a flexible, "human in the lead" approach is required.</x:v>
      </x:c>
      <x:c r="L15" s="17" t="str">
        <x:v>http://arxiv.org/abs/2410.12812v1</x:v>
      </x:c>
      <x:c r="M15" s="23" t="n">
        <x:v>0.02684684684684685</x:v>
      </x:c>
      <x:c r="N15" s="17" t="str">
        <x:v>arxiv-paper-eval-20260726-140242-results.jsonl</x:v>
      </x:c>
      <x:c r="O15" s="24" t="str">
        <x:v>2</x:v>
      </x:c>
      <x:c r="P15" s="28" t="str">
        <x:v>专门讨论企业RAG监控评估及基准局限，并提出人工主导的评价方案。</x:v>
      </x:c>
      <x:c r="Q15" s="25" t="str"/>
      <x:c r="R15" s="24" t="str">
        <x:f>IF(Q15&lt;&gt;"",Q15,O15)</x:f>
        <x:v>2</x:v>
      </x:c>
      <x:c r="S15" s="29" t="str"/>
    </x:row>
    <x:row r="16" ht="54" customHeight="1">
      <x:c r="A16" s="17" t="str">
        <x:v>csq001-r15</x:v>
      </x:c>
      <x:c r="B16" s="17" t="str">
        <x:v>csq001</x:v>
      </x:c>
      <x:c r="C16" s="17" t="str">
        <x:v>natural_language_processing</x:v>
      </x:c>
      <x:c r="D16" s="17" t="str">
        <x:v>rag_evaluation</x:v>
      </x:c>
      <x:c r="E16" s="27" t="str">
        <x:v>What are the main methods for evaluating retrieval-augmented generation systems, and which retrieval and generation dimensions do they measure?</x:v>
      </x:c>
      <x:c r="F16" s="22" t="n">
        <x:v>15</x:v>
      </x:c>
      <x:c r="G16" s="17" t="str">
        <x:v>arXiv:2510.22344</x:v>
      </x:c>
      <x:c r="H16" s="27" t="str">
        <x:v>FAIR-RAG: Faithful Adaptive Iterative Refinement for Retrieval-Augmented Generation</x:v>
      </x:c>
      <x:c r="I16" s="17" t="str">
        <x:v>Mohammad Aghajani Asl; Majid Asgari-Bidhendi; Behrooz Minaei-Bidgoli</x:v>
      </x:c>
      <x:c r="J16" s="22" t="n">
        <x:v>2025</x:v>
      </x:c>
      <x:c r="K16" s="27" t="str">
        <x:v>While Retrieval-Augmented Generation (RAG) mitigates hallucination and knowledge staleness in Large Language Models (LLMs), existing frameworks often falter on complex, multi-hop queries that require synthesizing information from disparate sources. Current advanced RAG methods, employing iterative or adaptive strategies, lack a robust mechanism to systematically identify and fill evidence gaps, often propagating noise or failing to gather a comprehensive context. We introduce FAIR-RAG, a novel agentic framework that transforms the standard RAG pipeline into a dynamic, evidence-driven reasoning process. At its core is an Iterative Refinement Cycle governed by a module we term Structured Evidence Assessment (SEA). The SEA acts as an analytical gating mechanism: it deconstructs the initial query into a checklist of required findings and audits the aggregated evidence to identify confirmed facts and, critically, explicit informational gaps. These gaps provide a precise signal to an Adaptive Query Refinement agent, which generates new, targeted sub-queries to retrieve missing information. This cycle repeats until the evidence is verified as sufficient, ensuring a comprehensive context for a final, strictly faithful generation. We conducted experiments on challenging multi-hop QA benchmarks, including HotpotQA, 2WikiMultiHopQA, and MusiQue. In a unified experimental setup, FAIR-RAG significantly outperforms strong baselines. On HotpotQA, it achieves an F1-score of 0.453 -- an absolute improvement of 8.3 points over the strongest iterative baseline -- establishing a new state-of-the-art for this class of methods on these benchmarks. Our work demonstrates that a structured, evidence-driven refinement process with explicit gap analysis is crucial for unlocking reliable and accurate reasoning in advanced RAG systems for complex, knowledge-intensive tasks.</x:v>
      </x:c>
      <x:c r="L16" s="17" t="str">
        <x:v>http://arxiv.org/abs/2510.22344v1</x:v>
      </x:c>
      <x:c r="M16" s="23" t="n">
        <x:v>0.01639344262295082</x:v>
      </x:c>
      <x:c r="N16" s="17" t="str">
        <x:v>arxiv-paper-eval-20260726-140242-results.jsonl</x:v>
      </x:c>
      <x:c r="O16" s="24" t="str">
        <x:v>1</x:v>
      </x:c>
      <x:c r="P16" s="28" t="str">
        <x:v>核心是迭代证据补全方法，评估用于证明改进而非总结评测维度。</x:v>
      </x:c>
      <x:c r="Q16" s="25" t="str"/>
      <x:c r="R16" s="24" t="str">
        <x:f>IF(Q16&lt;&gt;"",Q16,O16)</x:f>
        <x:v>1</x:v>
      </x:c>
      <x:c r="S16" s="29" t="str"/>
    </x:row>
    <x:row r="17" ht="54" customHeight="1">
      <x:c r="A17" s="17" t="str">
        <x:v>csq001-r16</x:v>
      </x:c>
      <x:c r="B17" s="17" t="str">
        <x:v>csq001</x:v>
      </x:c>
      <x:c r="C17" s="17" t="str">
        <x:v>natural_language_processing</x:v>
      </x:c>
      <x:c r="D17" s="17" t="str">
        <x:v>rag_evaluation</x:v>
      </x:c>
      <x:c r="E17" s="27" t="str">
        <x:v>What are the main methods for evaluating retrieval-augmented generation systems, and which retrieval and generation dimensions do they measure?</x:v>
      </x:c>
      <x:c r="F17" s="22" t="n">
        <x:v>16</x:v>
      </x:c>
      <x:c r="G17" s="17" t="str">
        <x:v>arXiv:2510.08945</x:v>
      </x:c>
      <x:c r="H17" s="27" t="str">
        <x:v>FATHOMS-RAG: A Framework for the Assessment of Thinking and Observation in Multimodal Systems that use Retrieval Augmented Generation</x:v>
      </x:c>
      <x:c r="I17" s="17" t="str">
        <x:v>Samuel Hildebrand; Curtis Taylor; Sean Oesch; James M Ghawaly; Amir Sadovnik; Ryan Shivers; Brandon Schreiber; Kevin Kurian</x:v>
      </x:c>
      <x:c r="J17" s="22" t="n">
        <x:v>2025</x:v>
      </x:c>
      <x:c r="K17" s="27" t="str">
        <x:v>Retrieval-augmented generation (RAG) has emerged as a promising paradigm for improving factual accuracy in large language models (LLMs). We introduce a benchmark designed to evaluate RAG pipelines as a whole, evaluating a pipeline's ability to ingest, retrieve, and reason about several modalities of information, differentiating it from existing benchmarks that focus on particular aspects such as retrieval. We present (1) a small, human-created dataset of 93 questions designed to evaluate a pipeline's ability to ingest textual data, tables, images, and data spread across these modalities in one or more documents; (2) a phrase-level recall metric for correctness; (3) a nearest-neighbor embedding classifier to identify potential pipeline hallucinations; (4) a comparative evaluation of 2 pipelines built with open-source retrieval mechanisms and 4 closed-source foundation models; and (5) a third-party human evaluation of the alignment of our correctness and hallucination metrics. We find that closed-source pipelines significantly outperform open-source pipelines in both correctness and hallucination metrics, with wider performance gaps in questions relying on multimodal and cross-document information. Human evaluation of our metrics showed average agreement of 4.62 for correctness and 4.53 for hallucination detection on a 1-5 Likert scale (5 indicating "strongly agree").</x:v>
      </x:c>
      <x:c r="L17" s="17" t="str">
        <x:v>http://arxiv.org/abs/2510.08945v3</x:v>
      </x:c>
      <x:c r="M17" s="23" t="n">
        <x:v>0.015384615384615385</x:v>
      </x:c>
      <x:c r="N17" s="17" t="str">
        <x:v>arxiv-paper-eval-20260726-140242-results.jsonl</x:v>
      </x:c>
      <x:c r="O17" s="24" t="str">
        <x:v>2</x:v>
      </x:c>
      <x:c r="P17" s="28" t="str">
        <x:v>从标题即为多模态RAG思考与观察能力评估框架，直接面向评测。</x:v>
      </x:c>
      <x:c r="Q17" s="25" t="str"/>
      <x:c r="R17" s="24" t="str">
        <x:f>IF(Q17&lt;&gt;"",Q17,O17)</x:f>
        <x:v>2</x:v>
      </x:c>
      <x:c r="S17" s="29" t="str"/>
    </x:row>
    <x:row r="18" ht="54" customHeight="1">
      <x:c r="A18" s="17" t="str">
        <x:v>csq001-r17</x:v>
      </x:c>
      <x:c r="B18" s="17" t="str">
        <x:v>csq001</x:v>
      </x:c>
      <x:c r="C18" s="17" t="str">
        <x:v>natural_language_processing</x:v>
      </x:c>
      <x:c r="D18" s="17" t="str">
        <x:v>rag_evaluation</x:v>
      </x:c>
      <x:c r="E18" s="27" t="str">
        <x:v>What are the main methods for evaluating retrieval-augmented generation systems, and which retrieval and generation dimensions do they measure?</x:v>
      </x:c>
      <x:c r="F18" s="22" t="n">
        <x:v>17</x:v>
      </x:c>
      <x:c r="G18" s="17" t="str">
        <x:v>arXiv:2401.15391</x:v>
      </x:c>
      <x:c r="H18" s="27" t="str">
        <x:v>MultiHop-RAG: Benchmarking Retrieval-Augmented Generation for Multi-Hop Queries</x:v>
      </x:c>
      <x:c r="I18" s="17" t="str">
        <x:v>Yixuan Tang; Yi Yang</x:v>
      </x:c>
      <x:c r="J18" s="22" t="n">
        <x:v>2024</x:v>
      </x:c>
      <x:c r="K18" s="27" t="str">
        <x:v>Retrieval-augmented generation (RAG) augments large language models (LLM) by retrieving relevant knowledge, showing promising potential in mitigating LLM hallucinations and enhancing response quality, thereby facilitating the great adoption of LLMs in practice. However, we find that existing RAG systems are inadequate in answering multi-hop queries, which require retrieving and reasoning over multiple pieces of supporting evidence. Furthermore, to our knowledge, no existing RAG benchmarking dataset focuses on multi-hop queries. In this paper, we develop a novel dataset, MultiHop-RAG, which consists of a knowledge base, a large collection of multi-hop queries, their ground-truth answers, and the associated supporting evidence. We detail the procedure of building the dataset, utilizing an English news article dataset as the underlying RAG knowledge base. We demonstrate the benchmarking utility of MultiHop-RAG in two experiments. The first experiment compares different embedding models for retrieving evidence for multi-hop queries. In the second experiment, we examine the capabilities of various state-of-the-art LLMs, including GPT-4, PaLM, and Llama2-70B, in reasoning and answering multi-hop queries given the evidence. Both experiments reveal that existing RAG methods perform unsatisfactorily in retrieving and answering multi-hop queries. We hope MultiHop-RAG will be a valuable resource for the community in developing effective RAG systems, thereby facilitating greater adoption of LLMs in practice. The MultiHop-RAG and implemented RAG system is publicly available at https://github.com/yixuantt/MultiHop-RAG/.</x:v>
      </x:c>
      <x:c r="L18" s="17" t="str">
        <x:v>http://arxiv.org/abs/2401.15391v1</x:v>
      </x:c>
      <x:c r="M18" s="23" t="n">
        <x:v>0.015384615384615385</x:v>
      </x:c>
      <x:c r="N18" s="17" t="str">
        <x:v>arxiv-paper-eval-20260726-140242-results.jsonl</x:v>
      </x:c>
      <x:c r="O18" s="24" t="str">
        <x:v>2</x:v>
      </x:c>
      <x:c r="P18" s="28" t="str">
        <x:v>构建多跳RAG基准，直接衡量复杂检索与生成回答能力。</x:v>
      </x:c>
      <x:c r="Q18" s="25" t="str"/>
      <x:c r="R18" s="24" t="str">
        <x:f>IF(Q18&lt;&gt;"",Q18,O18)</x:f>
        <x:v>2</x:v>
      </x:c>
      <x:c r="S18" s="29" t="str"/>
    </x:row>
    <x:row r="19" ht="54" customHeight="1">
      <x:c r="A19" s="17" t="str">
        <x:v>csq001-r18</x:v>
      </x:c>
      <x:c r="B19" s="17" t="str">
        <x:v>csq001</x:v>
      </x:c>
      <x:c r="C19" s="17" t="str">
        <x:v>natural_language_processing</x:v>
      </x:c>
      <x:c r="D19" s="17" t="str">
        <x:v>rag_evaluation</x:v>
      </x:c>
      <x:c r="E19" s="27" t="str">
        <x:v>What are the main methods for evaluating retrieval-augmented generation systems, and which retrieval and generation dimensions do they measure?</x:v>
      </x:c>
      <x:c r="F19" s="22" t="n">
        <x:v>18</x:v>
      </x:c>
      <x:c r="G19" s="17" t="str">
        <x:v>arXiv:2503.16581</x:v>
      </x:c>
      <x:c r="H19" s="27" t="str">
        <x:v>Investigating Retrieval-Augmented Generation in Quranic Studies: A Study of 13 Open-Source Large Language Models</x:v>
      </x:c>
      <x:c r="I19" s="17" t="str">
        <x:v>Zahra Khalila; Arbi Haza Nasution; Winda Monika; Aytug Onan; Yohei Murakami; Yasir Bin Ismail Radi; Noor Mohammad Osmani</x:v>
      </x:c>
      <x:c r="J19" s="22" t="n">
        <x:v>2025</x:v>
      </x:c>
      <x:c r="K19" s="27" t="str">
        <x:v>Accurate and contextually faithful responses are critical when applying large language models (LLMs) to sensitive and domain-specific tasks, such as answering queries related to quranic studies. General-purpose LLMs often struggle with hallucinations, where generated responses deviate from authoritative sources, raising concerns about their reliability in religious contexts. This challenge highlights the need for systems that can integrate domain-specific knowledge while maintaining response accuracy, relevance, and faithfulness. In this study, we investigate 13 open-source LLMs categorized into large (e.g., Llama3:70b, Gemma2:27b, QwQ:32b), medium (e.g., Gemma2:9b, Llama3:8b), and small (e.g., Llama3.2:3b, Phi3:3.8b). A Retrieval-Augmented Generation (RAG) is used to make up for the problems that come with using separate models. This research utilizes a descriptive dataset of Quranic surahs including the meanings, historical context, and qualities of the 114 surahs, allowing the model to gather relevant knowledge before responding. The models are evaluated using three key metrics set by human evaluators: context relevance, answer faithfulness, and answer relevance. The findings reveal that large models consistently outperform smaller models in capturing query semantics and producing accurate, contextually grounded responses. The Llama3.2:3b model, even though it is considered small, does very well on faithfulness (4.619) and relevance (4.857), showing the promise of smaller architectures that have been well optimized. This article examines the trade-offs between model size, computational efficiency, and response quality while using LLMs in domain-specific applications.</x:v>
      </x:c>
      <x:c r="L19" s="17" t="str">
        <x:v>http://arxiv.org/abs/2503.16581v1</x:v>
      </x:c>
      <x:c r="M19" s="23" t="n">
        <x:v>0.015151515151515152</x:v>
      </x:c>
      <x:c r="N19" s="17" t="str">
        <x:v>arxiv-paper-eval-20260726-140242-results.jsonl</x:v>
      </x:c>
      <x:c r="O19" s="24" t="str">
        <x:v>1</x:v>
      </x:c>
      <x:c r="P19" s="28" t="str">
        <x:v>比较宗教问答RAG中的多种模型，属于领域评估案例而非通用方法整理。</x:v>
      </x:c>
      <x:c r="Q19" s="25" t="str"/>
      <x:c r="R19" s="24" t="str">
        <x:f>IF(Q19&lt;&gt;"",Q19,O19)</x:f>
        <x:v>1</x:v>
      </x:c>
      <x:c r="S19" s="29" t="str"/>
    </x:row>
    <x:row r="20" ht="54" customHeight="1">
      <x:c r="A20" s="17" t="str">
        <x:v>csq001-r19</x:v>
      </x:c>
      <x:c r="B20" s="17" t="str">
        <x:v>csq001</x:v>
      </x:c>
      <x:c r="C20" s="17" t="str">
        <x:v>natural_language_processing</x:v>
      </x:c>
      <x:c r="D20" s="17" t="str">
        <x:v>rag_evaluation</x:v>
      </x:c>
      <x:c r="E20" s="27" t="str">
        <x:v>What are the main methods for evaluating retrieval-augmented generation systems, and which retrieval and generation dimensions do they measure?</x:v>
      </x:c>
      <x:c r="F20" s="22" t="n">
        <x:v>19</x:v>
      </x:c>
      <x:c r="G20" s="17" t="str">
        <x:v>arXiv:2504.19754</x:v>
      </x:c>
      <x:c r="H20" s="27" t="str">
        <x:v>Reconstructing Context: Evaluating Advanced Chunking Strategies for Retrieval-Augmented Generation</x:v>
      </x:c>
      <x:c r="I20" s="17" t="str">
        <x:v>Carlo Merola; Jaspinder Singh</x:v>
      </x:c>
      <x:c r="J20" s="22" t="n">
        <x:v>2025</x:v>
      </x:c>
      <x:c r="K20" s="27" t="str">
        <x:v>Retrieval-augmented generation (RAG) has become a transformative approach for enhancing large language models (LLMs) by grounding their outputs in external knowledge sources. Yet, a critical question persists: how can vast volumes of external knowledge be managed effectively within the input constraints of LLMs? Traditional methods address this by chunking external documents into smaller, fixed-size segments. While this approach alleviates input limitations, it often fragments context, resulting in incomplete retrieval and diminished coherence in generation. To overcome these shortcomings, two advanced techniques, late chunking and contextual retrieval, have been introduced, both aiming to preserve global context. Despite their potential, their comparative strengths and limitations remain unclear. This study presents a rigorous analysis of late chunking and contextual retrieval, evaluating their effectiveness and efficiency in optimizing RAG systems. Our results indicate that contextual retrieval preserves semantic coherence more effectively but requires greater computational resources. In contrast, late chunking offers higher efficiency but tends to sacrifice relevance and completeness.</x:v>
      </x:c>
      <x:c r="L20" s="17" t="str">
        <x:v>http://arxiv.org/abs/2504.19754v1</x:v>
      </x:c>
      <x:c r="M20" s="23" t="n">
        <x:v>0.014925373134328358</x:v>
      </x:c>
      <x:c r="N20" s="17" t="str">
        <x:v>arxiv-paper-eval-20260726-140242-results.jsonl</x:v>
      </x:c>
      <x:c r="O20" s="24" t="str">
        <x:v>2</x:v>
      </x:c>
      <x:c r="P20" s="28" t="str">
        <x:v>系统评价分块策略对RAG检索和下游生成效果的影响，直接覆盖检索评测。</x:v>
      </x:c>
      <x:c r="Q20" s="25" t="str"/>
      <x:c r="R20" s="24" t="str">
        <x:f>IF(Q20&lt;&gt;"",Q20,O20)</x:f>
        <x:v>2</x:v>
      </x:c>
      <x:c r="S20" s="29" t="str"/>
    </x:row>
    <x:row r="21" ht="54" customHeight="1">
      <x:c r="A21" s="17" t="str">
        <x:v>csq001-r20</x:v>
      </x:c>
      <x:c r="B21" s="17" t="str">
        <x:v>csq001</x:v>
      </x:c>
      <x:c r="C21" s="17" t="str">
        <x:v>natural_language_processing</x:v>
      </x:c>
      <x:c r="D21" s="17" t="str">
        <x:v>rag_evaluation</x:v>
      </x:c>
      <x:c r="E21" s="27" t="str">
        <x:v>What are the main methods for evaluating retrieval-augmented generation systems, and which retrieval and generation dimensions do they measure?</x:v>
      </x:c>
      <x:c r="F21" s="22" t="n">
        <x:v>20</x:v>
      </x:c>
      <x:c r="G21" s="17" t="str">
        <x:v>arXiv:2510.25621</x:v>
      </x:c>
      <x:c r="H21" s="27" t="str">
        <x:v>FARSIQA: Faithful and Advanced RAG System for Islamic Question Answering</x:v>
      </x:c>
      <x:c r="I21" s="17" t="str">
        <x:v>Mohammad Aghajani Asl; Behrooz Minaei Bidgoli</x:v>
      </x:c>
      <x:c r="J21" s="22" t="n">
        <x:v>2025</x:v>
      </x:c>
      <x:c r="K21" s="27" t="str">
        <x:v>The advent of Large Language Models (LLMs) has revolutionized Natural Language Processing, yet their application in high-stakes, specialized domains like religious question answering is hindered by challenges like hallucination and unfaithfulness to authoritative sources. This issue is particularly critical for the Persian-speaking Muslim community, where accuracy and trustworthiness are paramount. Existing Retrieval-Augmented Generation (RAG) systems, relying on simplistic single-pass pipelines, fall short on complex, multi-hop queries requiring multi-step reasoning and evidence aggregation. To address this gap, we introduce FARSIQA, a novel, end-to-end system for Faithful Advanced Question Answering in the Persian Islamic domain. FARSIQA is built upon our innovative FAIR-RAG architecture: a Faithful, Adaptive, Iterative Refinement framework for RAG. FAIR-RAG employs a dynamic, self-correcting process: it adaptively decomposes complex queries, assesses evidence sufficiency, and enters an iterative loop to generate sub-queries, progressively filling information gaps. Operating on a curated knowledge base of over one million authoritative Islamic documents, FARSIQA demonstrates superior performance. Rigorous evaluation on the challenging IslamicPCQA benchmark shows state-of-the-art performance: the system achieves a remarkable 97.0% in Negative Rejection - a 40-point improvement over baselines - and a high Answer Correctness score of 74.3%. Our work establishes a new standard for Persian Islamic QA and validates that our iterative, adaptive architecture is crucial for building faithful, reliable AI systems in sensitive domains.</x:v>
      </x:c>
      <x:c r="L21" s="17" t="str">
        <x:v>http://arxiv.org/abs/2510.25621v1</x:v>
      </x:c>
      <x:c r="M21" s="23" t="n">
        <x:v>0.014925373134328358</x:v>
      </x:c>
      <x:c r="N21" s="17" t="str">
        <x:v>arxiv-paper-eval-20260726-140242-results.jsonl</x:v>
      </x:c>
      <x:c r="O21" s="24" t="str">
        <x:v>1</x:v>
      </x:c>
      <x:c r="P21" s="28" t="str">
        <x:v>主要贡献是特定领域问答RAG系统，相关评估仅用于验证系统。</x:v>
      </x:c>
      <x:c r="Q21" s="25" t="str"/>
      <x:c r="R21" s="24" t="str">
        <x:f>IF(Q21&lt;&gt;"",Q21,O21)</x:f>
        <x:v>1</x:v>
      </x:c>
      <x:c r="S21" s="29" t="str"/>
    </x:row>
    <x:row r="22" ht="54" customHeight="1">
      <x:c r="A22" s="17" t="str">
        <x:v>csq002-r01</x:v>
      </x:c>
      <x:c r="B22" s="17" t="str">
        <x:v>csq002</x:v>
      </x:c>
      <x:c r="C22" s="17" t="str">
        <x:v>natural_language_processing</x:v>
      </x:c>
      <x:c r="D22" s="17" t="str">
        <x:v>llm_inference</x:v>
      </x:c>
      <x:c r="E22" s="27" t="str">
        <x:v>How do speculative decoding, model quantization, and KV-cache optimization differ as methods for accelerating large language model inference?</x:v>
      </x:c>
      <x:c r="F22" s="22" t="n">
        <x:v>1</x:v>
      </x:c>
      <x:c r="G22" s="17" t="str">
        <x:v>arXiv:2410.22118</x:v>
      </x:c>
      <x:c r="H22" s="27" t="str">
        <x:v>The Impact of Inference Acceleration on Bias of LLMs</x:v>
      </x:c>
      <x:c r="I22" s="17" t="str">
        <x:v>Elisabeth Kirsten; Ivan Habernal; Vedant Nanda; Muhammad Bilal Zafar</x:v>
      </x:c>
      <x:c r="J22" s="22" t="n">
        <x:v>2024</x:v>
      </x:c>
      <x:c r="K22" s="27" t="str">
        <x:v>Last few years have seen unprecedented advances in capabilities of Large Language Models (LLMs). These advancements promise to benefit a vast array of application domains. However, due to their immense size, performing inference with LLMs is both costly and slow. Consequently, a plethora of recent work has proposed strategies to enhance inference efficiency, e.g., quantization, pruning, and caching. These acceleration strategies reduce the inference cost and latency, often by several factors, while maintaining much of the predictive performance measured via common benchmarks. In this work, we explore another critical aspect of LLM performance: demographic bias in model generations due to inference acceleration optimizations. Using a wide range of metrics, we probe bias in model outputs from a number of angles. Analysis of outputs before and after inference acceleration shows significant change in bias. Worryingly, these bias effects are complex and unpredictable. A combination of an acceleration strategy and bias type may show little bias change in one model but may lead to a large effect in another. Our results highlight a need for in-depth and case-by-case evaluation of model bias after it has been modified to accelerate inference.</x:v>
      </x:c>
      <x:c r="L22" s="17" t="str">
        <x:v>http://arxiv.org/abs/2410.22118v3</x:v>
      </x:c>
      <x:c r="M22" s="23" t="n">
        <x:v>0.028985507246376812</x:v>
      </x:c>
      <x:c r="N22" s="17" t="str">
        <x:v>arxiv-paper-eval-20260726-140242-results.jsonl</x:v>
      </x:c>
      <x:c r="O22" s="24" t="str">
        <x:v>2</x:v>
      </x:c>
      <x:c r="P22" s="28" t="str">
        <x:v>直接研究多种推理加速对LLM偏差和性能的影响，可支撑加速方法权衡比较。</x:v>
      </x:c>
      <x:c r="Q22" s="25" t="str"/>
      <x:c r="R22" s="24" t="str">
        <x:f>IF(Q22&lt;&gt;"",Q22,O22)</x:f>
        <x:v>2</x:v>
      </x:c>
      <x:c r="S22" s="29" t="str"/>
    </x:row>
    <x:row r="23" ht="54" customHeight="1">
      <x:c r="A23" s="17" t="str">
        <x:v>csq002-r02</x:v>
      </x:c>
      <x:c r="B23" s="17" t="str">
        <x:v>csq002</x:v>
      </x:c>
      <x:c r="C23" s="17" t="str">
        <x:v>natural_language_processing</x:v>
      </x:c>
      <x:c r="D23" s="17" t="str">
        <x:v>llm_inference</x:v>
      </x:c>
      <x:c r="E23" s="27" t="str">
        <x:v>How do speculative decoding, model quantization, and KV-cache optimization differ as methods for accelerating large language model inference?</x:v>
      </x:c>
      <x:c r="F23" s="22" t="n">
        <x:v>2</x:v>
      </x:c>
      <x:c r="G23" s="17" t="str">
        <x:v>arXiv:2502.16002</x:v>
      </x:c>
      <x:c r="H23" s="27" t="str">
        <x:v>KVLink: Accelerating Large Language Models via Efficient KV Cache Reuse</x:v>
      </x:c>
      <x:c r="I23" s="17" t="str">
        <x:v>Jingbo Yang; Bairu Hou; Wei Wei; Yujia Bao; Shiyu Chang</x:v>
      </x:c>
      <x:c r="J23" s="22" t="n">
        <x:v>2025</x:v>
      </x:c>
      <x:c r="K23" s="27" t="str">
        <x:v>We describe KVLink, an approach for efficient key-value (KV) cache reuse in large language models (LLMs). In many LLM applications, different inputs can share overlapping context, such as the same retrieved document appearing in multiple queries. However, the LLMs still need to encode the entire context for each query, leading to redundant computation. In this paper, we investigate a new strategy to eliminate such inefficiency, where the KV cache of each document is precomputed independently. During inference, the KV caches of retrieved documents are concatenated, allowing the model to reuse cached representations instead of recomputing them. To mitigate the performance degradation when using KV caches computed independently for each document, KVLink introduces two key techniques: adjusting positional embeddings of the KV cache at inference to match the global position after concatenation, and using trainable special tokens to restore self-attention across independently encoded documents. Experiments across 7 datasets demonstrate that KVLink improves question answering accuracy by an average of 4% over state-of-the-art methods. Furthermore, by leveraging precomputed KV caches, our approach reduces time-to-first-token by up to 96% compared to standard LLM inference, making it a scalable and efficient solution for context reuse. Additionally, KVLink can be combined with KV cache compression to further save cache loading and storage overhead while outperforming the baselines.</x:v>
      </x:c>
      <x:c r="L23" s="17" t="str">
        <x:v>http://arxiv.org/abs/2502.16002v4</x:v>
      </x:c>
      <x:c r="M23" s="23" t="n">
        <x:v>0.01639344262295082</x:v>
      </x:c>
      <x:c r="N23" s="17" t="str">
        <x:v>arxiv-paper-eval-20260726-140242-results.jsonl</x:v>
      </x:c>
      <x:c r="O23" s="24" t="str">
        <x:v>2</x:v>
      </x:c>
      <x:c r="P23" s="28" t="str">
        <x:v>提出KV缓存复用以减少重复计算，直接属于KV-cache推理加速。</x:v>
      </x:c>
      <x:c r="Q23" s="25" t="str"/>
      <x:c r="R23" s="24" t="str">
        <x:f>IF(Q23&lt;&gt;"",Q23,O23)</x:f>
        <x:v>2</x:v>
      </x:c>
      <x:c r="S23" s="29" t="str"/>
    </x:row>
    <x:row r="24" ht="54" customHeight="1">
      <x:c r="A24" s="17" t="str">
        <x:v>csq002-r03</x:v>
      </x:c>
      <x:c r="B24" s="17" t="str">
        <x:v>csq002</x:v>
      </x:c>
      <x:c r="C24" s="17" t="str">
        <x:v>natural_language_processing</x:v>
      </x:c>
      <x:c r="D24" s="17" t="str">
        <x:v>llm_inference</x:v>
      </x:c>
      <x:c r="E24" s="27" t="str">
        <x:v>How do speculative decoding, model quantization, and KV-cache optimization differ as methods for accelerating large language model inference?</x:v>
      </x:c>
      <x:c r="F24" s="22" t="n">
        <x:v>3</x:v>
      </x:c>
      <x:c r="G24" s="17" t="str">
        <x:v>arXiv:2505.17074</x:v>
      </x:c>
      <x:c r="H24" s="27" t="str">
        <x:v>Semi-Clairvoyant Scheduling of Speculative Decoding Requests to Minimize LLM Inference Latency</x:v>
      </x:c>
      <x:c r="I24" s="17" t="str">
        <x:v>Ruixiao Li; Fahao Chen; Peng Li</x:v>
      </x:c>
      <x:c r="J24" s="22" t="n">
        <x:v>2025</x:v>
      </x:c>
      <x:c r="K24" s="27" t="str">
        <x:v>Speculative decoding accelerates Large Language Model (LLM) inference by employing a small speculative model (SSM) to generate multiple candidate tokens and verify them using the LLM in parallel. This technique has been widely integrated into LLM inference serving systems. However, inference requests typically exhibit uncertain execution time, which poses a significant challenge of efficiently scheduling requests in these systems. Existing work estimates execution time based solely on predicted output length, which could be inaccurate because execution time depends on both output length and token acceptance rate of verification by the LLM. In this paper, we propose a semi-clairvoyant request scheduling algorithm called Least-Attained/Perceived-Service for Speculative Decoding (LAPS-SD). Given a number of inference requests, LAPS-SD can effectively minimize average inference latency by adaptively scheduling requests according to their features during decoding. When the token acceptance rate is dynamic and execution time is difficult to estimate, LAPS-SD maintains multiple priority queues and allows request execution preemption across different queues. Once the token acceptance rate becomes stable, LAPS-SD can accurately estimate the execution time and schedule requests accordingly. Extensive experiments show that LAPS-SD reduces inference latency by approximately 39\% compared to state-of-the-art scheduling methods.</x:v>
      </x:c>
      <x:c r="L24" s="17" t="str">
        <x:v>http://arxiv.org/abs/2505.17074v1</x:v>
      </x:c>
      <x:c r="M24" s="23" t="n">
        <x:v>0.01639344262295082</x:v>
      </x:c>
      <x:c r="N24" s="17" t="str">
        <x:v>arxiv-paper-eval-20260726-140242-results.jsonl</x:v>
      </x:c>
      <x:c r="O24" s="24" t="str">
        <x:v>2</x:v>
      </x:c>
      <x:c r="P24" s="28" t="str">
        <x:v>围绕推测解码请求调度降低推理延迟，直接覆盖推测解码机制与系统收益。</x:v>
      </x:c>
      <x:c r="Q24" s="25" t="str"/>
      <x:c r="R24" s="24" t="str">
        <x:f>IF(Q24&lt;&gt;"",Q24,O24)</x:f>
        <x:v>2</x:v>
      </x:c>
      <x:c r="S24" s="29" t="str"/>
    </x:row>
    <x:row r="25" ht="54" customHeight="1">
      <x:c r="A25" s="17" t="str">
        <x:v>csq002-r04</x:v>
      </x:c>
      <x:c r="B25" s="17" t="str">
        <x:v>csq002</x:v>
      </x:c>
      <x:c r="C25" s="17" t="str">
        <x:v>natural_language_processing</x:v>
      </x:c>
      <x:c r="D25" s="17" t="str">
        <x:v>llm_inference</x:v>
      </x:c>
      <x:c r="E25" s="27" t="str">
        <x:v>How do speculative decoding, model quantization, and KV-cache optimization differ as methods for accelerating large language model inference?</x:v>
      </x:c>
      <x:c r="F25" s="22" t="n">
        <x:v>4</x:v>
      </x:c>
      <x:c r="G25" s="17" t="str">
        <x:v>arXiv:2412.00061</x:v>
      </x:c>
      <x:c r="H25" s="27" t="str">
        <x:v>Speculative Decoding with CTC-based Draft Model for LLM Inference Acceleration</x:v>
      </x:c>
      <x:c r="I25" s="17" t="str">
        <x:v>Zhuofan Wen; Shangtong Gui; Yang Feng</x:v>
      </x:c>
      <x:c r="J25" s="22" t="n">
        <x:v>2024</x:v>
      </x:c>
      <x:c r="K25" s="27" t="str">
        <x:v>Inference acceleration of large language models (LLMs) has been put forward in many application scenarios and speculative decoding has shown its advantage in addressing inference acceleration. Speculative decoding usually introduces a draft model to assist the base LLM where the draft model produces drafts and the base LLM verifies the draft for acceptance or rejection. In this framework, the final inference speed is decided by the decoding speed of the draft model and the acceptance rate of the draft provided by the draft model. Currently the widely used draft models usually generate draft tokens for the next several positions in a non-autoregressive way without considering the correlations between draft tokens. Therefore, it has a high decoding speed but an unsatisfactory acceptance rate. In this paper, we focus on how to improve the performance of the draft model and aim to accelerate inference via a high acceptance rate. To this end, we propose a CTC-based draft model which strengthens the correlations between draft tokens during the draft phase, thereby generating higher-quality draft candidate sequences. Experiment results show that compared to strong baselines, the proposed method can achieve a higher acceptance rate and hence a faster inference speed.</x:v>
      </x:c>
      <x:c r="L25" s="17" t="str">
        <x:v>http://arxiv.org/abs/2412.00061v1</x:v>
      </x:c>
      <x:c r="M25" s="23" t="n">
        <x:v>0.01639344262295082</x:v>
      </x:c>
      <x:c r="N25" s="17" t="str">
        <x:v>arxiv-paper-eval-20260726-140242-results.jsonl</x:v>
      </x:c>
      <x:c r="O25" s="24" t="str">
        <x:v>2</x:v>
      </x:c>
      <x:c r="P25" s="28" t="str">
        <x:v>以CTC草稿模型实现推测解码加速，直接说明该类方法。</x:v>
      </x:c>
      <x:c r="Q25" s="25" t="str"/>
      <x:c r="R25" s="24" t="str">
        <x:f>IF(Q25&lt;&gt;"",Q25,O25)</x:f>
        <x:v>2</x:v>
      </x:c>
      <x:c r="S25" s="29" t="str"/>
    </x:row>
    <x:row r="26" ht="54" customHeight="1">
      <x:c r="A26" s="17" t="str">
        <x:v>csq002-r05</x:v>
      </x:c>
      <x:c r="B26" s="17" t="str">
        <x:v>csq002</x:v>
      </x:c>
      <x:c r="C26" s="17" t="str">
        <x:v>natural_language_processing</x:v>
      </x:c>
      <x:c r="D26" s="17" t="str">
        <x:v>llm_inference</x:v>
      </x:c>
      <x:c r="E26" s="27" t="str">
        <x:v>How do speculative decoding, model quantization, and KV-cache optimization differ as methods for accelerating large language model inference?</x:v>
      </x:c>
      <x:c r="F26" s="22" t="n">
        <x:v>5</x:v>
      </x:c>
      <x:c r="G26" s="17" t="str">
        <x:v>arXiv:2411.00850</x:v>
      </x:c>
      <x:c r="H26" s="27" t="str">
        <x:v>GWQ: Gradient-Aware Weight Quantization for Large Language Models</x:v>
      </x:c>
      <x:c r="I26" s="17" t="str">
        <x:v>Yihua Shao; Yan Gu; Siyu Chen; Haiyang Liu; Zixian Zhu; Zijian Ling; Minxi Yan; Ziyang Yan; Chenyu Zhang; Michele Magno; Haotong Qin; Yan Wang; Jingcai Guo; Ling Shao; Hao Tang</x:v>
      </x:c>
      <x:c r="J26" s="22" t="n">
        <x:v>2024</x:v>
      </x:c>
      <x:c r="K26" s="27" t="str">
        <x:v>Large language models (LLMs) show impressive performance in solving complex language tasks. However, its large number of parameters presents significant challenges for the deployment. So, compressing LLMs to low bits can enable to deploy on resource-constrained devices. To address this problem, we propose gradient-aware weight quantization (GWQ), the first quantization approach for low-bit weight quantization that leverages gradients to localize outliers, requiring only a minimal amount of calibration data for outlier detection. GWQ retains the top 1\% outliers preferentially at FP16 precision, while the remaining non-outlier weights are stored in a low-bit. We widely evaluate GWQ on different task include language modeling, grounding detection, massive multitask language understanding and vision-language question and answering. Results show that models quantified by GWQ performs better than other quantization method. During quantization process, GWQ only need one calibration set to realize effective quant. Also, GWQ achieves 1.2x inference speedup in comparison to the original model and effectively reduces the inference memory.</x:v>
      </x:c>
      <x:c r="L26" s="17" t="str">
        <x:v>http://arxiv.org/abs/2411.00850v4</x:v>
      </x:c>
      <x:c r="M26" s="23" t="n">
        <x:v>0.01639344262295082</x:v>
      </x:c>
      <x:c r="N26" s="17" t="str">
        <x:v>arxiv-paper-eval-20260726-140242-results.jsonl</x:v>
      </x:c>
      <x:c r="O26" s="24" t="str">
        <x:v>2</x:v>
      </x:c>
      <x:c r="P26" s="28" t="str">
        <x:v>提出梯度感知权重量化以降低模型成本，直接属于量化加速路径。</x:v>
      </x:c>
      <x:c r="Q26" s="25" t="str"/>
      <x:c r="R26" s="24" t="str">
        <x:f>IF(Q26&lt;&gt;"",Q26,O26)</x:f>
        <x:v>2</x:v>
      </x:c>
      <x:c r="S26" s="29" t="str"/>
    </x:row>
    <x:row r="27" ht="54" customHeight="1">
      <x:c r="A27" s="17" t="str">
        <x:v>csq002-r06</x:v>
      </x:c>
      <x:c r="B27" s="17" t="str">
        <x:v>csq002</x:v>
      </x:c>
      <x:c r="C27" s="17" t="str">
        <x:v>natural_language_processing</x:v>
      </x:c>
      <x:c r="D27" s="17" t="str">
        <x:v>llm_inference</x:v>
      </x:c>
      <x:c r="E27" s="27" t="str">
        <x:v>How do speculative decoding, model quantization, and KV-cache optimization differ as methods for accelerating large language model inference?</x:v>
      </x:c>
      <x:c r="F27" s="22" t="n">
        <x:v>6</x:v>
      </x:c>
      <x:c r="G27" s="17" t="str">
        <x:v>arXiv:2509.04377</x:v>
      </x:c>
      <x:c r="H27" s="27" t="str">
        <x:v>PagedEviction: Structured Block-wise KV Cache Pruning for Efficient Large Language Model Inference</x:v>
      </x:c>
      <x:c r="I27" s="17" t="str">
        <x:v>Krishna Teja Chitty-Venkata; Jie Ye; Xian-He Sun; Anthony Kougkas; Murali Emani; Venkatram Vishwanath; Bogdan Nicolae</x:v>
      </x:c>
      <x:c r="J27" s="22" t="n">
        <x:v>2025</x:v>
      </x:c>
      <x:c r="K27" s="27" t="str">
        <x:v>KV caching significantly improves the efficiency of Large Language Model (LLM) inference by storing attention states from previously processed tokens, enabling faster generation of subsequent tokens. However, as sequence length increases, the KV cache quickly becomes a major memory bottleneck. To address this, we propose PagedEviction, a novel fine-grained, structured KV cache pruning strategy that enhances the memory efficiency of vLLM's PagedAttention. Unlike existing approaches that rely on attention-based token importance or evict tokens across different vLLM pages, PagedEviction introduces an efficient block-wise eviction algorithm tailored for paged memory layouts. Our method integrates seamlessly with PagedAttention without requiring any modifications to its CUDA attention kernels. We evaluate PagedEviction across Llama-3.1-8B-Instruct, Llama-3.2-1B-Instruct, and Llama-3.2-3B-Instruct models on the LongBench benchmark suite, demonstrating improved memory usage with better accuracy than baselines on long context tasks.</x:v>
      </x:c>
      <x:c r="L27" s="17" t="str">
        <x:v>http://arxiv.org/abs/2509.04377v1</x:v>
      </x:c>
      <x:c r="M27" s="23" t="n">
        <x:v>0.016129032258064516</x:v>
      </x:c>
      <x:c r="N27" s="17" t="str">
        <x:v>arxiv-paper-eval-20260726-140242-results.jsonl</x:v>
      </x:c>
      <x:c r="O27" s="24" t="str">
        <x:v>2</x:v>
      </x:c>
      <x:c r="P27" s="28" t="str">
        <x:v>通过结构化KV缓存剪枝降低内存并保持长上下文精度，直接对应缓存优化。</x:v>
      </x:c>
      <x:c r="Q27" s="25" t="str"/>
      <x:c r="R27" s="24" t="str">
        <x:f>IF(Q27&lt;&gt;"",Q27,O27)</x:f>
        <x:v>2</x:v>
      </x:c>
      <x:c r="S27" s="29" t="str"/>
    </x:row>
    <x:row r="28" ht="54" customHeight="1">
      <x:c r="A28" s="17" t="str">
        <x:v>csq002-r07</x:v>
      </x:c>
      <x:c r="B28" s="17" t="str">
        <x:v>csq002</x:v>
      </x:c>
      <x:c r="C28" s="17" t="str">
        <x:v>natural_language_processing</x:v>
      </x:c>
      <x:c r="D28" s="17" t="str">
        <x:v>llm_inference</x:v>
      </x:c>
      <x:c r="E28" s="27" t="str">
        <x:v>How do speculative decoding, model quantization, and KV-cache optimization differ as methods for accelerating large language model inference?</x:v>
      </x:c>
      <x:c r="F28" s="22" t="n">
        <x:v>7</x:v>
      </x:c>
      <x:c r="G28" s="17" t="str">
        <x:v>arXiv:2505.09142</x:v>
      </x:c>
      <x:c r="H28" s="27" t="str">
        <x:v>ELIS: Efficient LLM Iterative Scheduling System with Response Length Predictor</x:v>
      </x:c>
      <x:c r="I28" s="17" t="str">
        <x:v>Seungbeom Choi; Jeonghoe Goo; Eunjoo Jeon; Mingyu Yang; Minsung Jang</x:v>
      </x:c>
      <x:c r="J28" s="22" t="n">
        <x:v>2025</x:v>
      </x:c>
      <x:c r="K28" s="27" t="str">
        <x:v>We propose ELIS, a serving system for Large Language Models (LLMs) featuring an Iterative Shortest Remaining Time First (ISRTF) scheduler designed to efficiently manage inference tasks with the shortest remaining tokens. Current LLM serving systems often employ a first-come-first-served scheduling strategy, which can lead to the "head-of-line blocking" problem. To overcome this limitation, it is necessary to predict LLM inference times and apply a shortest job first scheduling strategy. However, due to the auto-regressive nature of LLMs, predicting the inference latency is challenging. ELIS addresses this challenge by training a response length predictor for LLMs using the BGE model, an encoder-based state-of-the-art model. Additionally, we have devised the ISRTF scheduling strategy, an optimization of shortest remaining time first tailored to existing LLM iteration batching. To evaluate our work in an industrial setting, we simulate streams of requests based on our study of real-world user LLM serving trace records. Furthermore, we implemented ELIS as a cloud-native scheduler system on Kubernetes to evaluate its performance in production environments. Our experimental results demonstrate that ISRTF reduces the average job completion time by up to 19.6%.</x:v>
      </x:c>
      <x:c r="L28" s="17" t="str">
        <x:v>http://arxiv.org/abs/2505.09142v1</x:v>
      </x:c>
      <x:c r="M28" s="23" t="n">
        <x:v>0.016129032258064516</x:v>
      </x:c>
      <x:c r="N28" s="17" t="str">
        <x:v>arxiv-paper-eval-20260726-140242-results.jsonl</x:v>
      </x:c>
      <x:c r="O28" s="24" t="str">
        <x:v>0</x:v>
      </x:c>
      <x:c r="P28" s="28" t="str">
        <x:v>研究基于响应长度预测的请求调度，不属于推测解码、量化或KV缓存优化。</x:v>
      </x:c>
      <x:c r="Q28" s="25" t="str"/>
      <x:c r="R28" s="24" t="str">
        <x:f>IF(Q28&lt;&gt;"",Q28,O28)</x:f>
        <x:v>0</x:v>
      </x:c>
      <x:c r="S28" s="29" t="str"/>
    </x:row>
    <x:row r="29" ht="54" customHeight="1">
      <x:c r="A29" s="17" t="str">
        <x:v>csq002-r08</x:v>
      </x:c>
      <x:c r="B29" s="17" t="str">
        <x:v>csq002</x:v>
      </x:c>
      <x:c r="C29" s="17" t="str">
        <x:v>natural_language_processing</x:v>
      </x:c>
      <x:c r="D29" s="17" t="str">
        <x:v>llm_inference</x:v>
      </x:c>
      <x:c r="E29" s="27" t="str">
        <x:v>How do speculative decoding, model quantization, and KV-cache optimization differ as methods for accelerating large language model inference?</x:v>
      </x:c>
      <x:c r="F29" s="22" t="n">
        <x:v>8</x:v>
      </x:c>
      <x:c r="G29" s="17" t="str">
        <x:v>arXiv:2401.07851</x:v>
      </x:c>
      <x:c r="H29" s="27" t="str">
        <x:v>Unlocking Efficiency in Large Language Model Inference: A Comprehensive Survey of Speculative Decoding</x:v>
      </x:c>
      <x:c r="I29" s="17" t="str">
        <x:v>Heming Xia; Zhe Yang; Qingxiu Dong; Peiyi Wang; Yongqi Li; Tao Ge; Tianyu Liu; Wenjie Li; Zhifang Sui</x:v>
      </x:c>
      <x:c r="J29" s="22" t="n">
        <x:v>2024</x:v>
      </x:c>
      <x:c r="K29" s="27" t="str">
        <x:v>To mitigate the high inference latency stemming from autoregressive decoding in Large Language Models (LLMs), Speculative Decoding has emerged as a novel decoding paradigm for LLM inference. In each decoding step, this method first drafts several future tokens efficiently and then verifies them in parallel. Unlike autoregressive decoding, Speculative Decoding facilitates the simultaneous decoding of multiple tokens per step, thereby accelerating inference. This paper presents a comprehensive overview and analysis of this promising decoding paradigm. We begin by providing a formal definition and formulation of Speculative Decoding. Then, we organize in-depth discussions on its key facets, such as drafter selection and verification strategies. Furthermore, we present a comparative analysis of leading methods under third-party testing environments. We aim for this work to serve as a catalyst for further research on Speculative Decoding, ultimately contributing to more efficient LLM inference.</x:v>
      </x:c>
      <x:c r="L29" s="17" t="str">
        <x:v>http://arxiv.org/abs/2401.07851v3</x:v>
      </x:c>
      <x:c r="M29" s="23" t="n">
        <x:v>0.016129032258064516</x:v>
      </x:c>
      <x:c r="N29" s="17" t="str">
        <x:v>arxiv-paper-eval-20260726-140242-results.jsonl</x:v>
      </x:c>
      <x:c r="O29" s="24" t="str">
        <x:v>2</x:v>
      </x:c>
      <x:c r="P29" s="28" t="str">
        <x:v>系统综述推测解码的草稿与验证策略及加速效果，直接回答一个核心分支。</x:v>
      </x:c>
      <x:c r="Q29" s="25" t="str"/>
      <x:c r="R29" s="24" t="str">
        <x:f>IF(Q29&lt;&gt;"",Q29,O29)</x:f>
        <x:v>2</x:v>
      </x:c>
      <x:c r="S29" s="29" t="str"/>
    </x:row>
    <x:row r="30" ht="54" customHeight="1">
      <x:c r="A30" s="17" t="str">
        <x:v>csq002-r09</x:v>
      </x:c>
      <x:c r="B30" s="17" t="str">
        <x:v>csq002</x:v>
      </x:c>
      <x:c r="C30" s="17" t="str">
        <x:v>natural_language_processing</x:v>
      </x:c>
      <x:c r="D30" s="17" t="str">
        <x:v>llm_inference</x:v>
      </x:c>
      <x:c r="E30" s="27" t="str">
        <x:v>How do speculative decoding, model quantization, and KV-cache optimization differ as methods for accelerating large language model inference?</x:v>
      </x:c>
      <x:c r="F30" s="22" t="n">
        <x:v>9</x:v>
      </x:c>
      <x:c r="G30" s="17" t="str">
        <x:v>arXiv:2306.02272</x:v>
      </x:c>
      <x:c r="H30" s="27" t="str">
        <x:v>OWQ: Outlier-Aware Weight Quantization for Efficient Fine-Tuning and Inference of Large Language Models</x:v>
      </x:c>
      <x:c r="I30" s="17" t="str">
        <x:v>Changhun Lee; Jungyu Jin; Taesu Kim; Hyungjun Kim; Eunhyeok Park</x:v>
      </x:c>
      <x:c r="J30" s="22" t="n">
        <x:v>2023</x:v>
      </x:c>
      <x:c r="K30" s="27" t="str">
        <x:v>Large language models (LLMs) with hundreds of billions of parameters require powerful server-grade GPUs for inference, limiting their practical deployment. To address this challenge, we introduce the outlier-aware weight quantization (OWQ) method, which aims to minimize LLM's footprint through low-precision representation. OWQ prioritizes a small subset of structured weights sensitive to quantization, storing them in high-precision, while applying highly tuned quantization to the remaining dense weights. This sensitivity-aware mixed-precision scheme reduces the quantization error notably, and extensive experiments demonstrate that 3.1-bit models using OWQ perform comparably to 4-bit models optimized by OPTQ. Furthermore, OWQ incorporates a parameter-efficient fine-tuning for task-specific adaptation, called weak column tuning (WCT), enabling accurate task-specific LLM adaptation with minimal memory overhead in the optimized format. OWQ represents a notable advancement in the flexibility, efficiency, and practicality of LLM optimization literature. The source code is available at https://github.com/xvyaward/owq</x:v>
      </x:c>
      <x:c r="L30" s="17" t="str">
        <x:v>http://arxiv.org/abs/2306.02272v4</x:v>
      </x:c>
      <x:c r="M30" s="23" t="n">
        <x:v>0.016129032258064516</x:v>
      </x:c>
      <x:c r="N30" s="17" t="str">
        <x:v>arxiv-paper-eval-20260726-140242-results.jsonl</x:v>
      </x:c>
      <x:c r="O30" s="24" t="str">
        <x:v>2</x:v>
      </x:c>
      <x:c r="P30" s="28" t="str">
        <x:v>提出异常值感知低比特权重量化并讨论内存与推理效率，直接相关。</x:v>
      </x:c>
      <x:c r="Q30" s="25" t="str"/>
      <x:c r="R30" s="24" t="str">
        <x:f>IF(Q30&lt;&gt;"",Q30,O30)</x:f>
        <x:v>2</x:v>
      </x:c>
      <x:c r="S30" s="29" t="str"/>
    </x:row>
    <x:row r="31" ht="54" customHeight="1">
      <x:c r="A31" s="17" t="str">
        <x:v>csq002-r10</x:v>
      </x:c>
      <x:c r="B31" s="17" t="str">
        <x:v>csq002</x:v>
      </x:c>
      <x:c r="C31" s="17" t="str">
        <x:v>natural_language_processing</x:v>
      </x:c>
      <x:c r="D31" s="17" t="str">
        <x:v>llm_inference</x:v>
      </x:c>
      <x:c r="E31" s="27" t="str">
        <x:v>How do speculative decoding, model quantization, and KV-cache optimization differ as methods for accelerating large language model inference?</x:v>
      </x:c>
      <x:c r="F31" s="22" t="n">
        <x:v>10</x:v>
      </x:c>
      <x:c r="G31" s="17" t="str">
        <x:v>arXiv:2511.04036</x:v>
      </x:c>
      <x:c r="H31" s="27" t="str">
        <x:v>PICNIC: Silicon Photonic Interconnected Chiplets with Computational Network and In-memory Computing for LLM Inference Acceleration</x:v>
      </x:c>
      <x:c r="I31" s="17" t="str">
        <x:v>Yue Jiet Chong; Yimin Wang; Zhen Wu; Xuanyao Fong</x:v>
      </x:c>
      <x:c r="J31" s="22" t="n">
        <x:v>2025</x:v>
      </x:c>
      <x:c r="K31" s="27" t="str">
        <x:v>This paper presents a 3D-stacked chiplets based large language model (LLM) inference accelerator, consisting of non-volatile in-memory-computing processing elements (PEs) and Inter-PE Computational Network (IPCN), interconnected via silicon photonic to effectively address the communication bottlenecks. A LLM mapping scheme was developed to optimize hardware scheduling and workload mapping. Simulation results show it achieves $3.95\times$ speedup and $30\times$ efficiency improvement over the Nvidia A100 before chiplet clustering and power gating scheme (CCPG). Additionally, the system achieves further scalability and efficiency improvement with the implementation of CCPG to accommodate larger models, attaining $57\times$ efficiency improvement over Nvidia H100 at similar throughput.</x:v>
      </x:c>
      <x:c r="L31" s="17" t="str">
        <x:v>http://arxiv.org/abs/2511.04036v1</x:v>
      </x:c>
      <x:c r="M31" s="23" t="n">
        <x:v>0.015873015873015872</x:v>
      </x:c>
      <x:c r="N31" s="17" t="str">
        <x:v>arxiv-paper-eval-20260726-140242-results.jsonl</x:v>
      </x:c>
      <x:c r="O31" s="24" t="str">
        <x:v>0</x:v>
      </x:c>
      <x:c r="P31" s="28" t="str">
        <x:v>重点是光子互连和存内计算硬件加速，与题目指定三类软件方法无实质对应。</x:v>
      </x:c>
      <x:c r="Q31" s="25" t="str"/>
      <x:c r="R31" s="24" t="str">
        <x:f>IF(Q31&lt;&gt;"",Q31,O31)</x:f>
        <x:v>0</x:v>
      </x:c>
      <x:c r="S31" s="29" t="str"/>
    </x:row>
    <x:row r="32" ht="54" customHeight="1">
      <x:c r="A32" s="17" t="str">
        <x:v>csq002-r11</x:v>
      </x:c>
      <x:c r="B32" s="17" t="str">
        <x:v>csq002</x:v>
      </x:c>
      <x:c r="C32" s="17" t="str">
        <x:v>natural_language_processing</x:v>
      </x:c>
      <x:c r="D32" s="17" t="str">
        <x:v>llm_inference</x:v>
      </x:c>
      <x:c r="E32" s="27" t="str">
        <x:v>How do speculative decoding, model quantization, and KV-cache optimization differ as methods for accelerating large language model inference?</x:v>
      </x:c>
      <x:c r="F32" s="22" t="n">
        <x:v>11</x:v>
      </x:c>
      <x:c r="G32" s="17" t="str">
        <x:v>arXiv:2404.08856</x:v>
      </x:c>
      <x:c r="H32" s="27" t="str">
        <x:v>On Speculative Decoding for Multimodal Large Language Models</x:v>
      </x:c>
      <x:c r="I32" s="17" t="str">
        <x:v>Mukul Gagrani; Raghavv Goel; Wonseok Jeon; Junyoung Park; Mingu Lee; Christopher Lott</x:v>
      </x:c>
      <x:c r="J32" s="22" t="n">
        <x:v>2024</x:v>
      </x:c>
      <x:c r="K32" s="27" t="str">
        <x:v>Inference with Multimodal Large Language Models (MLLMs) is slow due to their large-language-model backbone which suffers from memory bandwidth bottleneck and generates tokens auto-regressively. In this paper, we explore the application of speculative decoding to enhance the inference efficiency of MLLMs, specifically the LLaVA 7B model. We show that a language-only model can serve as a good draft model for speculative decoding with LLaVA 7B, bypassing the need for image tokens and their associated processing components from the draft model. Our experiments across three different tasks show that speculative decoding can achieve a memory-bound speedup of up to 2.37$\times$ using a 115M parameter language model that we trained from scratch. Additionally, we introduce a compact LLaVA draft model incorporating an image adapter, which shows marginal performance gains in image captioning while maintaining comparable results in other tasks.</x:v>
      </x:c>
      <x:c r="L32" s="17" t="str">
        <x:v>http://arxiv.org/abs/2404.08856v1</x:v>
      </x:c>
      <x:c r="M32" s="23" t="n">
        <x:v>0.015873015873015872</x:v>
      </x:c>
      <x:c r="N32" s="17" t="str">
        <x:v>arxiv-paper-eval-20260726-140242-results.jsonl</x:v>
      </x:c>
      <x:c r="O32" s="24" t="str">
        <x:v>2</x:v>
      </x:c>
      <x:c r="P32" s="28" t="str">
        <x:v>直接将推测解码用于多模态LLM并量化草稿模型与加速效果。</x:v>
      </x:c>
      <x:c r="Q32" s="25" t="str"/>
      <x:c r="R32" s="24" t="str">
        <x:f>IF(Q32&lt;&gt;"",Q32,O32)</x:f>
        <x:v>2</x:v>
      </x:c>
      <x:c r="S32" s="29" t="str"/>
    </x:row>
    <x:row r="33" ht="54" customHeight="1">
      <x:c r="A33" s="17" t="str">
        <x:v>csq002-r12</x:v>
      </x:c>
      <x:c r="B33" s="17" t="str">
        <x:v>csq002</x:v>
      </x:c>
      <x:c r="C33" s="17" t="str">
        <x:v>natural_language_processing</x:v>
      </x:c>
      <x:c r="D33" s="17" t="str">
        <x:v>llm_inference</x:v>
      </x:c>
      <x:c r="E33" s="27" t="str">
        <x:v>How do speculative decoding, model quantization, and KV-cache optimization differ as methods for accelerating large language model inference?</x:v>
      </x:c>
      <x:c r="F33" s="22" t="n">
        <x:v>12</x:v>
      </x:c>
      <x:c r="G33" s="17" t="str">
        <x:v>arXiv:2406.19707</x:v>
      </x:c>
      <x:c r="H33" s="27" t="str">
        <x:v>InfiniGen: Efficient Generative Inference of Large Language Models with Dynamic KV Cache Management</x:v>
      </x:c>
      <x:c r="I33" s="17" t="str">
        <x:v>Wonbeom Lee; Jungi Lee; Junghwan Seo; Jaewoong Sim</x:v>
      </x:c>
      <x:c r="J33" s="22" t="n">
        <x:v>2024</x:v>
      </x:c>
      <x:c r="K33" s="27" t="str">
        <x:v>Transformer-based large language models (LLMs) demonstrate impressive performance across various natural language processing tasks. Serving LLM inference for generating long contents, however, poses a challenge due to the enormous memory footprint of the transient state, known as the key-value (KV) cache, which scales with the sequence length and batch size. In this paper, we present InfiniGen, a novel KV cache management framework tailored for long-text generation, which synergistically works with modern offloading-based inference systems. InfiniGen leverages the key insight that a few important tokens that are essential for computing the subsequent attention layer in the Transformer can be speculated by performing a minimal rehearsal with the inputs of the current layer and part of the query weight and key cache of the subsequent layer. This allows us to prefetch only the essential KV cache entries (without fetching them all), thereby mitigating the fetch overhead from the host memory in offloading-based LLM serving systems. Our evaluation on several representative LLMs shows that InfiniGen improves the overall performance of a modern offloading-based system by up to 3.00x compared to prior KV cache management methods while offering substantially better model accuracy.</x:v>
      </x:c>
      <x:c r="L33" s="17" t="str">
        <x:v>http://arxiv.org/abs/2406.19707v1</x:v>
      </x:c>
      <x:c r="M33" s="23" t="n">
        <x:v>0.015873015873015872</x:v>
      </x:c>
      <x:c r="N33" s="17" t="str">
        <x:v>arxiv-paper-eval-20260726-140242-results.jsonl</x:v>
      </x:c>
      <x:c r="O33" s="24" t="str">
        <x:v>2</x:v>
      </x:c>
      <x:c r="P33" s="28" t="str">
        <x:v>通过动态选择和预取关键KV条目减少内存传输，直接属于KV缓存管理。</x:v>
      </x:c>
      <x:c r="Q33" s="25" t="str"/>
      <x:c r="R33" s="24" t="str">
        <x:f>IF(Q33&lt;&gt;"",Q33,O33)</x:f>
        <x:v>2</x:v>
      </x:c>
      <x:c r="S33" s="29" t="str"/>
    </x:row>
    <x:row r="34" ht="54" customHeight="1">
      <x:c r="A34" s="17" t="str">
        <x:v>csq002-r13</x:v>
      </x:c>
      <x:c r="B34" s="17" t="str">
        <x:v>csq002</x:v>
      </x:c>
      <x:c r="C34" s="17" t="str">
        <x:v>natural_language_processing</x:v>
      </x:c>
      <x:c r="D34" s="17" t="str">
        <x:v>llm_inference</x:v>
      </x:c>
      <x:c r="E34" s="27" t="str">
        <x:v>How do speculative decoding, model quantization, and KV-cache optimization differ as methods for accelerating large language model inference?</x:v>
      </x:c>
      <x:c r="F34" s="22" t="n">
        <x:v>13</x:v>
      </x:c>
      <x:c r="G34" s="17" t="str">
        <x:v>arXiv:2306.00978</x:v>
      </x:c>
      <x:c r="H34" s="27" t="str">
        <x:v>AWQ: Activation-aware Weight Quantization for LLM Compression and Acceleration</x:v>
      </x:c>
      <x:c r="I34" s="17" t="str">
        <x:v>Ji Lin; Jiaming Tang; Haotian Tang; Shang Yang; Wei-Ming Chen; Wei-Chen Wang; Guangxuan Xiao; Xingyu Dang; Chuang Gan; Song Han</x:v>
      </x:c>
      <x:c r="J34" s="22" t="n">
        <x:v>2023</x:v>
      </x:c>
      <x:c r="K34" s="27" t="str">
        <x:v>Large language models (LLMs) have transformed numerous AI applications. On-device LLM is becoming increasingly important: running LLMs locally on edge devices can reduce the cloud computing cost and protect users' privacy. However, the astronomical model size and the limited hardware resource pose significant deployment challenges. We propose Activation-aware Weight Quantization (AWQ), a hardware-friendly approach for LLM low-bit weight-only quantization. AWQ finds that not all weights in an LLM are equally important. Protecting only 1% salient weights can greatly reduce quantization error. To identify salient weight channels, we should refer to the activation distribution, not weights. To avoid the hardware-inefficient mix-precision quantization, we mathematically derive that scaling up the salient channels can reduce the quantization error. AWQ employs an equivalent transformation to scale the salient weight channels to protect them. The scale is determined by collecting the activation statistics offline. AWQ does not rely on any backpropagation or reconstruction, so it generalizes to different domains and modalities without overfitting the calibration set. AWQ outperforms existing work on various language modeling and domain-specific benchmarks (coding and math). Thanks to better generalization, it achieves excellent quantization performance for instruction-tuned LMs and, for the first time, multi-modal LMs. Alongside AWQ, we implement TinyChat, an efficient and flexible inference framework tailored for 4-bit on-device LLM/VLMs. With kernel fusion and platform-aware weight packing, TinyChat offers more than 3x speedup over the Huggingface FP16 implementation on both desktop and mobile GPUs. It also democratizes the deployment of the 70B Llama-2 model on mobile GPUs.</x:v>
      </x:c>
      <x:c r="L34" s="17" t="str">
        <x:v>http://arxiv.org/abs/2306.00978v6</x:v>
      </x:c>
      <x:c r="M34" s="23" t="n">
        <x:v>0.015873015873015872</x:v>
      </x:c>
      <x:c r="N34" s="17" t="str">
        <x:v>arxiv-paper-eval-20260726-140242-results.jsonl</x:v>
      </x:c>
      <x:c r="O34" s="24" t="str">
        <x:v>2</x:v>
      </x:c>
      <x:c r="P34" s="28" t="str">
        <x:v>提出激活感知权重量化并给出低比特压缩和推理加速结果。</x:v>
      </x:c>
      <x:c r="Q34" s="25" t="str"/>
      <x:c r="R34" s="24" t="str">
        <x:f>IF(Q34&lt;&gt;"",Q34,O34)</x:f>
        <x:v>2</x:v>
      </x:c>
      <x:c r="S34" s="29" t="str"/>
    </x:row>
    <x:row r="35" ht="54" customHeight="1">
      <x:c r="A35" s="17" t="str">
        <x:v>csq002-r14</x:v>
      </x:c>
      <x:c r="B35" s="17" t="str">
        <x:v>csq002</x:v>
      </x:c>
      <x:c r="C35" s="17" t="str">
        <x:v>natural_language_processing</x:v>
      </x:c>
      <x:c r="D35" s="17" t="str">
        <x:v>llm_inference</x:v>
      </x:c>
      <x:c r="E35" s="27" t="str">
        <x:v>How do speculative decoding, model quantization, and KV-cache optimization differ as methods for accelerating large language model inference?</x:v>
      </x:c>
      <x:c r="F35" s="22" t="n">
        <x:v>14</x:v>
      </x:c>
      <x:c r="G35" s="17" t="str">
        <x:v>arXiv:2511.01695</x:v>
      </x:c>
      <x:c r="H35" s="27" t="str">
        <x:v>Collaborative Large Language Model Inference via Resource-Aware Parallel Speculative Decoding</x:v>
      </x:c>
      <x:c r="I35" s="17" t="str">
        <x:v>Jungyeon Koh; Hyun Jong Yang</x:v>
      </x:c>
      <x:c r="J35" s="22" t="n">
        <x:v>2025</x:v>
      </x:c>
      <x:c r="K35" s="27" t="str">
        <x:v>The growing demand for on-device large language model (LLM) inference highlights the need for efficient mobile edge computing (MEC) solutions, especially in resource-constrained settings. Speculative decoding offers a promising solution by partitioning token generation between a lightweight draft model on mobile devices and a powerful target model on edge servers, but suffers from communication overhead and asynchronous delays. This paper is the first to propose a unified framework that jointly optimizes user association and resource allocation (UARA) to support efficient parallel speculative decoding. We solve the UARA problem using a multi-agent deep reinforcement learning algorithm. To evaluate our approach under realistic conditions, we conduct experiments using the Sionna simulator. Results show that our method achieves up to 28.0% and an average of 23.7% reduction in end-to-end latency without compromising inference accuracy, enabling scalable and low-latency LLM services in MEC systems.</x:v>
      </x:c>
      <x:c r="L35" s="17" t="str">
        <x:v>http://arxiv.org/abs/2511.01695v4</x:v>
      </x:c>
      <x:c r="M35" s="23" t="n">
        <x:v>0.015625</x:v>
      </x:c>
      <x:c r="N35" s="17" t="str">
        <x:v>arxiv-paper-eval-20260726-140242-results.jsonl</x:v>
      </x:c>
      <x:c r="O35" s="24" t="str">
        <x:v>2</x:v>
      </x:c>
      <x:c r="P35" s="28" t="str">
        <x:v>研究资源感知并行推测解码，直接展示其延迟机制和系统权衡。</x:v>
      </x:c>
      <x:c r="Q35" s="25" t="str"/>
      <x:c r="R35" s="24" t="str">
        <x:f>IF(Q35&lt;&gt;"",Q35,O35)</x:f>
        <x:v>2</x:v>
      </x:c>
      <x:c r="S35" s="29" t="str"/>
    </x:row>
    <x:row r="36" ht="54" customHeight="1">
      <x:c r="A36" s="17" t="str">
        <x:v>csq002-r15</x:v>
      </x:c>
      <x:c r="B36" s="17" t="str">
        <x:v>csq002</x:v>
      </x:c>
      <x:c r="C36" s="17" t="str">
        <x:v>natural_language_processing</x:v>
      </x:c>
      <x:c r="D36" s="17" t="str">
        <x:v>llm_inference</x:v>
      </x:c>
      <x:c r="E36" s="27" t="str">
        <x:v>How do speculative decoding, model quantization, and KV-cache optimization differ as methods for accelerating large language model inference?</x:v>
      </x:c>
      <x:c r="F36" s="22" t="n">
        <x:v>15</x:v>
      </x:c>
      <x:c r="G36" s="17" t="str">
        <x:v>arXiv:2408.08554</x:v>
      </x:c>
      <x:c r="H36" s="27" t="str">
        <x:v>ABQ-LLM: Arbitrary-Bit Quantized Inference Acceleration for Large Language Models</x:v>
      </x:c>
      <x:c r="I36" s="17" t="str">
        <x:v>Chao Zeng; Songwei Liu; Yusheng Xie; Hong Liu; Xiaojian Wang; Miao Wei; Shu Yang; Fangmin Chen; Xing Mei</x:v>
      </x:c>
      <x:c r="J36" s="22" t="n">
        <x:v>2024</x:v>
      </x:c>
      <x:c r="K36" s="27" t="str">
        <x:v>Large Language Models (LLMs) have revolutionized natural language processing tasks. However, their practical application is constrained by substantial memory and computational demands. Post-training quantization (PTQ) is considered an effective method to accelerate LLM inference. Despite its growing popularity in LLM model compression, PTQ deployment faces two major challenges. First, low-bit quantization leads to performance degradation. Second, restricted by the limited integer computing unit type on GPUs, quantized matrix operations with different precisions cannot be effectively accelerated. To address these issues, we introduce a novel arbitrary-bit quantization algorithm and inference framework, ABQ-LLM. It achieves superior performance across various quantization settings and enables efficient arbitrary-precision quantized inference on the GPU. ABQ-LLM introduces several key innovations: (1) a distribution correction method for transformer blocks to mitigate distribution differences caused by full quantization of weights and activations, improving performance at low bit-widths. (2) the bit balance strategy to counteract performance degradation from asymmetric distribution issues at very low bit-widths (e.g., 2-bit). (3) an innovative quantization acceleration framework that reconstructs the quantization matrix multiplication of arbitrary precision combinations based on BTC (Binary TensorCore) equivalents, gets rid of the limitations of INT4/INT8 computing units. ABQ-LLM can convert each component bit width gain into actual acceleration gain, maximizing performance under mixed precision(e.g., W6A6, W2A8). Based on W2*A8 quantization configuration on LLaMA-7B model, it achieved a WikiText2 perplexity of 7.59 (2.17$\downarrow $ vs 9.76 in AffineQuant). Compared to SmoothQuant, we realized 1.6$\times$ acceleration improvement and 2.7$\times$ memory compression gain.</x:v>
      </x:c>
      <x:c r="L36" s="17" t="str">
        <x:v>http://arxiv.org/abs/2408.08554v3</x:v>
      </x:c>
      <x:c r="M36" s="23" t="n">
        <x:v>0.015625</x:v>
      </x:c>
      <x:c r="N36" s="17" t="str">
        <x:v>arxiv-paper-eval-20260726-140242-results.jsonl</x:v>
      </x:c>
      <x:c r="O36" s="24" t="str">
        <x:v>2</x:v>
      </x:c>
      <x:c r="P36" s="28" t="str">
        <x:v>提出任意位宽量化算法与GPU推理框架，直接覆盖量化的精度和速度权衡。</x:v>
      </x:c>
      <x:c r="Q36" s="25" t="str"/>
      <x:c r="R36" s="24" t="str">
        <x:f>IF(Q36&lt;&gt;"",Q36,O36)</x:f>
        <x:v>2</x:v>
      </x:c>
      <x:c r="S36" s="29" t="str"/>
    </x:row>
    <x:row r="37" ht="54" customHeight="1">
      <x:c r="A37" s="17" t="str">
        <x:v>csq002-r16</x:v>
      </x:c>
      <x:c r="B37" s="17" t="str">
        <x:v>csq002</x:v>
      </x:c>
      <x:c r="C37" s="17" t="str">
        <x:v>natural_language_processing</x:v>
      </x:c>
      <x:c r="D37" s="17" t="str">
        <x:v>llm_inference</x:v>
      </x:c>
      <x:c r="E37" s="27" t="str">
        <x:v>How do speculative decoding, model quantization, and KV-cache optimization differ as methods for accelerating large language model inference?</x:v>
      </x:c>
      <x:c r="F37" s="22" t="n">
        <x:v>16</x:v>
      </x:c>
      <x:c r="G37" s="17" t="str">
        <x:v>arXiv:2412.19442</x:v>
      </x:c>
      <x:c r="H37" s="27" t="str">
        <x:v>A Survey on Large Language Model Acceleration based on KV Cache Management</x:v>
      </x:c>
      <x:c r="I37" s="17" t="str">
        <x:v>Haoyang Li; Yiming Li; Anxin Tian; Tianhao Tang; Zhanchao Xu; Xuejia Chen; Nicole Hu; Wei Dong; Qing Li; Lei Chen</x:v>
      </x:c>
      <x:c r="J37" s="22" t="n">
        <x:v>2024</x:v>
      </x:c>
      <x:c r="K37" s="27" t="str">
        <x:v>Large Language Models (LLMs) have revolutionized a wide range of domains such as natural language processing, computer vision, and multi-modal tasks due to their ability to comprehend context and perform logical reasoning. However, the computational and memory demands of LLMs, particularly during inference, pose significant challenges when scaling them to real-world, long-context, and real-time applications. Key-Value (KV) cache management has emerged as a critical optimization technique for accelerating LLM inference by reducing redundant computations and improving memory utilization. This survey provides a comprehensive overview of KV cache management strategies for LLM acceleration, categorizing them into token-level, model-level, and system-level optimizations. Token-level strategies include KV cache selection, budget allocation, merging, quantization, and low-rank decomposition, while model-level optimizations focus on architectural innovations and attention mechanisms to enhance KV reuse. System-level approaches address memory management, scheduling, and hardware-aware designs to improve efficiency across diverse computing environments. Additionally, the survey provides an overview of both text and multimodal datasets and benchmarks used to evaluate these strategies. By presenting detailed taxonomies and comparative analyses, this work aims to offer useful insights for researchers and practitioners to support the development of efficient and scalable KV cache management techniques, contributing to the practical deployment of LLMs in real-world applications. The curated paper list for KV cache management is in: \href{https://github.com/TreeAI-Lab/Awesome-KV-Cache-Management}{https://github.com/TreeAI-Lab/Awesome-KV-Cache-Management}.</x:v>
      </x:c>
      <x:c r="L37" s="17" t="str">
        <x:v>http://arxiv.org/abs/2412.19442v3</x:v>
      </x:c>
      <x:c r="M37" s="23" t="n">
        <x:v>0.015625</x:v>
      </x:c>
      <x:c r="N37" s="17" t="str">
        <x:v>arxiv-paper-eval-20260726-140242-results.jsonl</x:v>
      </x:c>
      <x:c r="O37" s="24" t="str">
        <x:v>2</x:v>
      </x:c>
      <x:c r="P37" s="28" t="str">
        <x:v>全面综述KV缓存选择、量化、低秩及系统管理等加速策略。</x:v>
      </x:c>
      <x:c r="Q37" s="25" t="str"/>
      <x:c r="R37" s="24" t="str">
        <x:f>IF(Q37&lt;&gt;"",Q37,O37)</x:f>
        <x:v>2</x:v>
      </x:c>
      <x:c r="S37" s="29" t="str"/>
    </x:row>
    <x:row r="38" ht="54" customHeight="1">
      <x:c r="A38" s="17" t="str">
        <x:v>csq002-r17</x:v>
      </x:c>
      <x:c r="B38" s="17" t="str">
        <x:v>csq002</x:v>
      </x:c>
      <x:c r="C38" s="17" t="str">
        <x:v>natural_language_processing</x:v>
      </x:c>
      <x:c r="D38" s="17" t="str">
        <x:v>llm_inference</x:v>
      </x:c>
      <x:c r="E38" s="27" t="str">
        <x:v>How do speculative decoding, model quantization, and KV-cache optimization differ as methods for accelerating large language model inference?</x:v>
      </x:c>
      <x:c r="F38" s="22" t="n">
        <x:v>17</x:v>
      </x:c>
      <x:c r="G38" s="17" t="str">
        <x:v>arXiv:2404.06709</x:v>
      </x:c>
      <x:c r="H38" s="27" t="str">
        <x:v>CQIL: Inference Latency Optimization with Concurrent Computation of Quasi-Independent Layers</x:v>
      </x:c>
      <x:c r="I38" s="17" t="str">
        <x:v>Longwei Zou; Qingyang Wang; Han Zhao; Jiangang Kong; Yi Yang; Yangdong Deng</x:v>
      </x:c>
      <x:c r="J38" s="22" t="n">
        <x:v>2024</x:v>
      </x:c>
      <x:c r="K38" s="27" t="str">
        <x:v>The fast-growing large scale language models are delivering unprecedented performance on almost all natural language processing tasks. However, the effectiveness of large language models are reliant on an exponentially increasing number of parameters. The overwhelming computation complexity incurs a high inference latency that negatively affects user experience. Existing methods to improve inference efficiency, such as tensor parallelism and quantization, target to reduce per-layer computing latency, yet overlook the cumulative latency due to the number of layers. Recent works on reducing the cumulative latency through layer removing, however, lead to significant performance drop. Motivated by the similarity of inputs among adjacent layers, we propose to identify quasi-independent layers, which can be concurrently computed to significantly decrease inference latency. We also introduce a bypassing technique to mitigate the effect of information loss. Empirical experiments of the proposed approach on the LLaMA models confirm that Concurrent Computation of Quasi-Independent Layers (CQIL) can reduce latency by up to 48.3% on LLaMA-33B, while maintaining a close level of performance.</x:v>
      </x:c>
      <x:c r="L38" s="17" t="str">
        <x:v>http://arxiv.org/abs/2404.06709v2</x:v>
      </x:c>
      <x:c r="M38" s="23" t="n">
        <x:v>0.015625</x:v>
      </x:c>
      <x:c r="N38" s="17" t="str">
        <x:v>arxiv-paper-eval-20260726-140242-results.jsonl</x:v>
      </x:c>
      <x:c r="O38" s="24" t="str">
        <x:v>0</x:v>
      </x:c>
      <x:c r="P38" s="28" t="str">
        <x:v>通过相邻层并发计算降低延迟，不属于题目比较的三类方法。</x:v>
      </x:c>
      <x:c r="Q38" s="25" t="str"/>
      <x:c r="R38" s="24" t="str">
        <x:f>IF(Q38&lt;&gt;"",Q38,O38)</x:f>
        <x:v>0</x:v>
      </x:c>
      <x:c r="S38" s="29" t="str"/>
    </x:row>
    <x:row r="39" ht="54" customHeight="1">
      <x:c r="A39" s="17" t="str">
        <x:v>csq002-r18</x:v>
      </x:c>
      <x:c r="B39" s="17" t="str">
        <x:v>csq002</x:v>
      </x:c>
      <x:c r="C39" s="17" t="str">
        <x:v>natural_language_processing</x:v>
      </x:c>
      <x:c r="D39" s="17" t="str">
        <x:v>llm_inference</x:v>
      </x:c>
      <x:c r="E39" s="27" t="str">
        <x:v>How do speculative decoding, model quantization, and KV-cache optimization differ as methods for accelerating large language model inference?</x:v>
      </x:c>
      <x:c r="F39" s="22" t="n">
        <x:v>18</x:v>
      </x:c>
      <x:c r="G39" s="17" t="str">
        <x:v>arXiv:2503.05096</x:v>
      </x:c>
      <x:c r="H39" s="27" t="str">
        <x:v>AdaSpec: Adaptive Speculative Decoding for Fast, SLO-Aware Large Language Model Serving</x:v>
      </x:c>
      <x:c r="I39" s="17" t="str">
        <x:v>Kaiyu Huang; Hao Wu; Zhubo Shi; Han Zou; Minchen Yu; Qingjiang Shi</x:v>
      </x:c>
      <x:c r="J39" s="22" t="n">
        <x:v>2025</x:v>
      </x:c>
      <x:c r="K39" s="27" t="str">
        <x:v>Cloud-based Large Language Model (LLM) services often face challenges in achieving low inference latency and meeting Service Level Objectives (SLOs) under dynamic request patterns. Speculative decoding, which exploits lightweight models for drafting and LLMs for verification, has emerged as a compelling technique to accelerate LLM inference. However, existing speculative decoding solutions often fail to adapt to fluctuating workloads and dynamic system environments, resulting in impaired performance and SLO violations. In this paper, we introduce AdaSpec, an efficient LLM inference system that dynamically adjusts speculative strategies according to real-time request loads and system configurations. AdaSpec proposes a theoretical model to analyze and predict the efficiency of speculative strategies across diverse scenarios. Additionally, it implements intelligent drafting and verification algorithms to maximize performance while ensuring high SLO attainment. Experimental results on real-world LLM service traces demonstrate that AdaSpec consistently meets SLOs and achieves substantial performance improvements, delivering up to 66% speedup compared to state-of-the-art speculative inference systems. The source code is publicly available at https://github.com/cerebellumking/AdaSpec</x:v>
      </x:c>
      <x:c r="L39" s="17" t="str">
        <x:v>http://arxiv.org/abs/2503.05096v2</x:v>
      </x:c>
      <x:c r="M39" s="23" t="n">
        <x:v>0.015384615384615385</x:v>
      </x:c>
      <x:c r="N39" s="17" t="str">
        <x:v>arxiv-paper-eval-20260726-140242-results.jsonl</x:v>
      </x:c>
      <x:c r="O39" s="24" t="str">
        <x:v>2</x:v>
      </x:c>
      <x:c r="P39" s="28" t="str">
        <x:v>自适应选择推测策略以满足服务SLO，直接说明推测解码的运行时权衡。</x:v>
      </x:c>
      <x:c r="Q39" s="25" t="str"/>
      <x:c r="R39" s="24" t="str">
        <x:f>IF(Q39&lt;&gt;"",Q39,O39)</x:f>
        <x:v>2</x:v>
      </x:c>
      <x:c r="S39" s="29" t="str"/>
    </x:row>
    <x:row r="40" ht="54" customHeight="1">
      <x:c r="A40" s="17" t="str">
        <x:v>csq002-r19</x:v>
      </x:c>
      <x:c r="B40" s="17" t="str">
        <x:v>csq002</x:v>
      </x:c>
      <x:c r="C40" s="17" t="str">
        <x:v>natural_language_processing</x:v>
      </x:c>
      <x:c r="D40" s="17" t="str">
        <x:v>llm_inference</x:v>
      </x:c>
      <x:c r="E40" s="27" t="str">
        <x:v>How do speculative decoding, model quantization, and KV-cache optimization differ as methods for accelerating large language model inference?</x:v>
      </x:c>
      <x:c r="F40" s="22" t="n">
        <x:v>19</x:v>
      </x:c>
      <x:c r="G40" s="17" t="str">
        <x:v>arXiv:2507.16933</x:v>
      </x:c>
      <x:c r="H40" s="27" t="str">
        <x:v>SiLQ: Simple Large Language Model Quantization-Aware Training</x:v>
      </x:c>
      <x:c r="I40" s="17" t="str">
        <x:v>Steven K. Esser; Jeffrey L. McKinstry; Deepika Bablani; Rathinakumar Appuswamy; Dharmendra S. Modha</x:v>
      </x:c>
      <x:c r="J40" s="22" t="n">
        <x:v>2025</x:v>
      </x:c>
      <x:c r="K40" s="27" t="str">
        <x:v>Large language models can be quantized to reduce inference time latency, model size, and energy consumption, thereby delivering a better user experience at lower cost. A challenge exists to deliver quantized models with minimal loss of accuracy in reasonable time, and in particular to do so without requiring mechanisms incompatible with specialized inference accelerators. Here, we demonstrate a simple, end-to-end quantization-aware training approach that, with an increase in total model training budget of less than 0.1%, outperforms the leading published quantization methods by large margins on several modern benchmarks, with both base and instruct model variants. The approach easily generalizes across different model architectures, can be applied to activations, cache, and weights, and requires the introduction of no additional operations to the model other than the quantization itself.</x:v>
      </x:c>
      <x:c r="L40" s="17" t="str">
        <x:v>http://arxiv.org/abs/2507.16933v1</x:v>
      </x:c>
      <x:c r="M40" s="23" t="n">
        <x:v>0.015384615384615385</x:v>
      </x:c>
      <x:c r="N40" s="17" t="str">
        <x:v>arxiv-paper-eval-20260726-140242-results.jsonl</x:v>
      </x:c>
      <x:c r="O40" s="24" t="str">
        <x:v>2</x:v>
      </x:c>
      <x:c r="P40" s="28" t="str">
        <x:v>量化感知训练直接降低模型大小、延迟和能耗并讨论精度保持。</x:v>
      </x:c>
      <x:c r="Q40" s="25" t="str"/>
      <x:c r="R40" s="24" t="str">
        <x:f>IF(Q40&lt;&gt;"",Q40,O40)</x:f>
        <x:v>2</x:v>
      </x:c>
      <x:c r="S40" s="29" t="str"/>
    </x:row>
    <x:row r="41" ht="54" customHeight="1">
      <x:c r="A41" s="17" t="str">
        <x:v>csq002-r20</x:v>
      </x:c>
      <x:c r="B41" s="17" t="str">
        <x:v>csq002</x:v>
      </x:c>
      <x:c r="C41" s="17" t="str">
        <x:v>natural_language_processing</x:v>
      </x:c>
      <x:c r="D41" s="17" t="str">
        <x:v>llm_inference</x:v>
      </x:c>
      <x:c r="E41" s="27" t="str">
        <x:v>How do speculative decoding, model quantization, and KV-cache optimization differ as methods for accelerating large language model inference?</x:v>
      </x:c>
      <x:c r="F41" s="22" t="n">
        <x:v>20</x:v>
      </x:c>
      <x:c r="G41" s="17" t="str">
        <x:v>arXiv:2501.06807</x:v>
      </x:c>
      <x:c r="H41" s="27" t="str">
        <x:v>MPCache: MPC-Friendly KV Cache Eviction for Efficient Private LLM Inference</x:v>
      </x:c>
      <x:c r="I41" s="17" t="str">
        <x:v>Wenxuan Zeng; Ye Dong; Jinjin Zhou; Jin Tan; Lei Wang; Tao Wei; Runsheng Wang; Meng Li</x:v>
      </x:c>
      <x:c r="J41" s="22" t="n">
        <x:v>2025</x:v>
      </x:c>
      <x:c r="K41" s="27" t="str">
        <x:v>Private large language model (LLM) inference based on secure multi-party computation (MPC) achieves formal data privacy protection but suffers from significant latency overhead, especially for long input sequences. While key-value (KV) cache eviction and sparse attention algorithms have been proposed for efficient LLM inference in plaintext, they are not designed for MPC and cannot benefit private LLM inference directly. In this paper, we propose an accurate and MPC-friendly KV cache eviction framework, dubbed MPCache, building on the observation that historical tokens in a long sequence may have different effects on the downstream decoding. Hence, MPCache combines a look-once static eviction algorithm to discard unimportant KV cache and a query-aware dynamic selection algorithm to activate only a small subset of KV cache for attention computation. MPCache further incorporates a series of optimizations for efficient dynamic KV cache selection, including MPC-friendly similarity approximation, hierarchical KV cache clustering, and cross-layer index-sharing strategy. Extensive experiments demonstrate that MPCache consistently outperforms prior-art KV cache eviction baselines across different generation tasks and achieves 1.8 ~ 2.01x and 3.39 ~ 8.37x decoding latency and communication reduction on different sequence lengths, respectively.</x:v>
      </x:c>
      <x:c r="L41" s="17" t="str">
        <x:v>http://arxiv.org/abs/2501.06807v2</x:v>
      </x:c>
      <x:c r="M41" s="23" t="n">
        <x:v>0.015384615384615385</x:v>
      </x:c>
      <x:c r="N41" s="17" t="str">
        <x:v>arxiv-paper-eval-20260726-140242-results.jsonl</x:v>
      </x:c>
      <x:c r="O41" s="24" t="str">
        <x:v>2</x:v>
      </x:c>
      <x:c r="P41" s="28" t="str">
        <x:v>面向私有推理设计KV缓存淘汰与动态选择，直接属于缓存优化。</x:v>
      </x:c>
      <x:c r="Q41" s="25" t="str"/>
      <x:c r="R41" s="24" t="str">
        <x:f>IF(Q41&lt;&gt;"",Q41,O41)</x:f>
        <x:v>2</x:v>
      </x:c>
      <x:c r="S41" s="29" t="str"/>
    </x:row>
    <x:row r="42" ht="54" customHeight="1">
      <x:c r="A42" s="17" t="str">
        <x:v>csq003-r01</x:v>
      </x:c>
      <x:c r="B42" s="17" t="str">
        <x:v>csq003</x:v>
      </x:c>
      <x:c r="C42" s="17" t="str">
        <x:v>natural_language_processing</x:v>
      </x:c>
      <x:c r="D42" s="17" t="str">
        <x:v>hallucination_evaluation</x:v>
      </x:c>
      <x:c r="E42" s="27" t="str">
        <x:v>Which automatic and human evaluation methods are used to measure hallucination and factual consistency in large language models, and what evidence exists about their reliability?</x:v>
      </x:c>
      <x:c r="F42" s="22" t="n">
        <x:v>1</x:v>
      </x:c>
      <x:c r="G42" s="17" t="str">
        <x:v>arXiv:2404.06579</x:v>
      </x:c>
      <x:c r="H42" s="27" t="str">
        <x:v>Less is More for Improving Automatic Evaluation of Factual Consistency</x:v>
      </x:c>
      <x:c r="I42" s="17" t="str">
        <x:v>Tong Wang; Ninad Kulkarni; Yanjun Qi</x:v>
      </x:c>
      <x:c r="J42" s="22" t="n">
        <x:v>2024</x:v>
      </x:c>
      <x:c r="K42" s="27" t="str">
        <x:v>Assessing the factual consistency of automatically generated texts in relation to source context is crucial for developing reliable natural language generation applications. Recent literature proposes AlignScore which uses a unified alignment model to evaluate factual consistency and substantially outperforms previous methods across many benchmark tasks. In this paper, we take a closer look of datasets used in AlignScore and uncover an unexpected finding: utilizing a smaller number of data points can actually improve performance. We process the original AlignScore training dataset to remove noise, augment with robustness-enhanced samples, and utilize a subset comprising 10\% of the data to train an improved factual consistency evaluation model, we call LIM-RA (Less Is More for Robust AlignScore). LIM-RA demonstrates superior performance, consistently outperforming AlignScore and other strong baselines like ChatGPT across four benchmarks (two utilizing traditional natural language generation datasets and two focused on large language model outputs). Our experiments show that LIM-RA achieves the highest score on 24 of the 33 test datasets, while staying competitive on the rest, establishing the new state-of-the-art benchmarks.</x:v>
      </x:c>
      <x:c r="L42" s="17" t="str">
        <x:v>http://arxiv.org/abs/2404.06579v1</x:v>
      </x:c>
      <x:c r="M42" s="23" t="n">
        <x:v>0.04335125448028674</x:v>
      </x:c>
      <x:c r="N42" s="17" t="str">
        <x:v>arxiv-paper-eval-20260726-140242-results.jsonl</x:v>
      </x:c>
      <x:c r="O42" s="24" t="str">
        <x:v>2</x:v>
      </x:c>
      <x:c r="P42" s="28" t="str">
        <x:v>分析自动事实一致性指标及其数据设置和可靠性，直接对应自动评测方法。</x:v>
      </x:c>
      <x:c r="Q42" s="25" t="str"/>
      <x:c r="R42" s="24" t="str">
        <x:f>IF(Q42&lt;&gt;"",Q42,O42)</x:f>
        <x:v>2</x:v>
      </x:c>
      <x:c r="S42" s="29" t="str"/>
    </x:row>
    <x:row r="43" ht="54" customHeight="1">
      <x:c r="A43" s="17" t="str">
        <x:v>csq003-r02</x:v>
      </x:c>
      <x:c r="B43" s="17" t="str">
        <x:v>csq003</x:v>
      </x:c>
      <x:c r="C43" s="17" t="str">
        <x:v>natural_language_processing</x:v>
      </x:c>
      <x:c r="D43" s="17" t="str">
        <x:v>hallucination_evaluation</x:v>
      </x:c>
      <x:c r="E43" s="27" t="str">
        <x:v>Which automatic and human evaluation methods are used to measure hallucination and factual consistency in large language models, and what evidence exists about their reliability?</x:v>
      </x:c>
      <x:c r="F43" s="22" t="n">
        <x:v>2</x:v>
      </x:c>
      <x:c r="G43" s="17" t="str">
        <x:v>arXiv:2211.08412</x:v>
      </x:c>
      <x:c r="H43" s="27" t="str">
        <x:v>Evaluating the Factual Consistency of Large Language Models Through News Summarization</x:v>
      </x:c>
      <x:c r="I43" s="17" t="str">
        <x:v>Derek Tam; Anisha Mascarenhas; Shiyue Zhang; Sarah Kwan; Mohit Bansal; Colin Raffel</x:v>
      </x:c>
      <x:c r="J43" s="22" t="n">
        <x:v>2022</x:v>
      </x:c>
      <x:c r="K43" s="27" t="str">
        <x:v>While large language models (LLMs) have proven to be effective on a large variety of tasks, they are also known to hallucinate information. To measure whether an LLM prefers factually consistent continuations of its input, we propose a new benchmark called FIB(Factual Inconsistency Benchmark) that focuses on the task of summarization. Specifically, our benchmark involves comparing the scores an LLM assigns to a factually consistent versus a factually inconsistent summary for an input news article. For factually consistent summaries, we use human-written reference summaries that we manually verify as factually consistent. To generate summaries that are factually inconsistent, we generate summaries from a suite of summarization models that we have manually annotated as factually inconsistent. A model's factual consistency is then measured according to its accuracy, i.e.\ the proportion of documents where it assigns a higher score to the factually consistent summary. To validate the usefulness of FIB, we evaluate 23 large language models ranging from 1B to 176B parameters from six different model families including BLOOM and OPT. We find that existing LLMs generally assign a higher score to factually consistent summaries than to factually inconsistent summaries. However, if the factually inconsistent summaries occur verbatim in the document, then LLMs assign a higher score to these factually inconsistent summaries than factually consistent summaries. We validate design choices in our benchmark including the scoring method and source of distractor summaries. Our code and benchmark data can be found at https://github.com/r-three/fib.</x:v>
      </x:c>
      <x:c r="L43" s="17" t="str">
        <x:v>http://arxiv.org/abs/2211.08412v2</x:v>
      </x:c>
      <x:c r="M43" s="23" t="n">
        <x:v>0.03252247488101534</x:v>
      </x:c>
      <x:c r="N43" s="17" t="str">
        <x:v>arxiv-paper-eval-20260726-140242-results.jsonl</x:v>
      </x:c>
      <x:c r="O43" s="24" t="str">
        <x:v>2</x:v>
      </x:c>
      <x:c r="P43" s="28" t="str">
        <x:v>提出新闻摘要事实不一致基准，直接测量LLM偏好事实一致输出的能力。</x:v>
      </x:c>
      <x:c r="Q43" s="25" t="str"/>
      <x:c r="R43" s="24" t="str">
        <x:f>IF(Q43&lt;&gt;"",Q43,O43)</x:f>
        <x:v>2</x:v>
      </x:c>
      <x:c r="S43" s="29" t="str"/>
    </x:row>
    <x:row r="44" ht="54" customHeight="1">
      <x:c r="A44" s="17" t="str">
        <x:v>csq003-r03</x:v>
      </x:c>
      <x:c r="B44" s="17" t="str">
        <x:v>csq003</x:v>
      </x:c>
      <x:c r="C44" s="17" t="str">
        <x:v>natural_language_processing</x:v>
      </x:c>
      <x:c r="D44" s="17" t="str">
        <x:v>hallucination_evaluation</x:v>
      </x:c>
      <x:c r="E44" s="27" t="str">
        <x:v>Which automatic and human evaluation methods are used to measure hallucination and factual consistency in large language models, and what evidence exists about their reliability?</x:v>
      </x:c>
      <x:c r="F44" s="22" t="n">
        <x:v>3</x:v>
      </x:c>
      <x:c r="G44" s="17" t="str">
        <x:v>arXiv:2411.19203</x:v>
      </x:c>
      <x:c r="H44" s="27" t="str">
        <x:v>An Extensive Evaluation of Factual Consistency in Large Language Models for Data-to-Text Generation</x:v>
      </x:c>
      <x:c r="I44" s="17" t="str">
        <x:v>Joy Mahapatra; Utpal Garain</x:v>
      </x:c>
      <x:c r="J44" s="22" t="n">
        <x:v>2024</x:v>
      </x:c>
      <x:c r="K44" s="27" t="str">
        <x:v>Large Language Models (LLMs) have shown exceptional performance across various Data-to-Text Generation (DTG) tasks. However, generating factually consistent text in DTG remains challenging for LLMs. Despite this, in-depth evaluations of LLM factual consistency for DTG remain missing in the current literature. This paper addresses this gap by providing an extensive evaluation of factual consistency in LLMs for DTG. Our evaluation covers five widely used DTG datasets (E2E, ViGGo, WikiTableText, DART, and WebNLG) and five prominent LLM families (T5, BART, OPT, BLOOM, and Llama 2). To ensure a thorough evaluation of factual consistency, we use four state-of-the-art automatic metrics and include essential human assessments. Our extensive evaluations reveals three key findings regarding factual consistency in LLMs for DTG. First, Llama 2 often excels in generating factually consistent text, although smaller models like T5 and BART can achieve strong factual consistency on larger, lexically less-diverse datasets. Second, the average rate of change (AROC) indicates that increasing model size (number of model trainable parameters) generally enhances factual consistency of LLMs in DTG. Third, we observe that source-reference divergence (i.e., when the reference text diverges semantically from the source) typically reduces the factual consistency of LLMs in DTG.</x:v>
      </x:c>
      <x:c r="L44" s="17" t="str">
        <x:v>http://arxiv.org/abs/2411.19203v1</x:v>
      </x:c>
      <x:c r="M44" s="23" t="n">
        <x:v>0.032266458495966696</x:v>
      </x:c>
      <x:c r="N44" s="17" t="str">
        <x:v>arxiv-paper-eval-20260726-140242-results.jsonl</x:v>
      </x:c>
      <x:c r="O44" s="24" t="str">
        <x:v>2</x:v>
      </x:c>
      <x:c r="P44" s="28" t="str">
        <x:v>跨多个数据到文本数据集深入评估LLM事实一致性，直接提供方法与证据。</x:v>
      </x:c>
      <x:c r="Q44" s="25" t="str"/>
      <x:c r="R44" s="24" t="str">
        <x:f>IF(Q44&lt;&gt;"",Q44,O44)</x:f>
        <x:v>2</x:v>
      </x:c>
      <x:c r="S44" s="29" t="str"/>
    </x:row>
    <x:row r="45" ht="54" customHeight="1">
      <x:c r="A45" s="17" t="str">
        <x:v>csq003-r04</x:v>
      </x:c>
      <x:c r="B45" s="17" t="str">
        <x:v>csq003</x:v>
      </x:c>
      <x:c r="C45" s="17" t="str">
        <x:v>natural_language_processing</x:v>
      </x:c>
      <x:c r="D45" s="17" t="str">
        <x:v>hallucination_evaluation</x:v>
      </x:c>
      <x:c r="E45" s="27" t="str">
        <x:v>Which automatic and human evaluation methods are used to measure hallucination and factual consistency in large language models, and what evidence exists about their reliability?</x:v>
      </x:c>
      <x:c r="F45" s="22" t="n">
        <x:v>4</x:v>
      </x:c>
      <x:c r="G45" s="17" t="str">
        <x:v>arXiv:2311.00681</x:v>
      </x:c>
      <x:c r="H45" s="27" t="str">
        <x:v>Are Large Language Models Reliable Judges? A Study on the Factuality Evaluation Capabilities of LLMs</x:v>
      </x:c>
      <x:c r="I45" s="17" t="str">
        <x:v>Xue-Yong Fu; Md Tahmid Rahman Laskar; Cheng Chen; Shashi Bhushan TN</x:v>
      </x:c>
      <x:c r="J45" s="22" t="n">
        <x:v>2023</x:v>
      </x:c>
      <x:c r="K45" s="27" t="str">
        <x:v>In recent years, Large Language Models (LLMs) have gained immense attention due to their notable emergent capabilities, surpassing those seen in earlier language models. A particularly intriguing application of LLMs is their role as evaluators for texts produced by various generative models. In this study, we delve into the potential of LLMs as reliable assessors of factual consistency in summaries generated by text-generation models. Initially, we introduce an innovative approach for factuality assessment using LLMs. This entails employing a singular LLM for the entirety of the question-answering-based factuality scoring process. Following this, we examine the efficacy of various LLMs in direct factuality scoring, benchmarking them against traditional measures and human annotations. Contrary to initial expectations, our results indicate a lack of significant correlations between factuality metrics and human evaluations, specifically for GPT-4 and PaLM-2. Notable correlations were only observed with GPT-3.5 across two factuality subcategories. These consistent findings across various factual error categories suggest a fundamental limitation in the current LLMs' capability to accurately gauge factuality. This version presents the information more concisely while maintaining the main points and findings of the original text.</x:v>
      </x:c>
      <x:c r="L45" s="17" t="str">
        <x:v>http://arxiv.org/abs/2311.00681v1</x:v>
      </x:c>
      <x:c r="M45" s="23" t="n">
        <x:v>0.03225806451612903</x:v>
      </x:c>
      <x:c r="N45" s="17" t="str">
        <x:v>arxiv-paper-eval-20260726-140242-results.jsonl</x:v>
      </x:c>
      <x:c r="O45" s="24" t="str">
        <x:v>2</x:v>
      </x:c>
      <x:c r="P45" s="28" t="str">
        <x:v>研究LLM作为事实性评审员并检验其可靠性，直接命中题目。</x:v>
      </x:c>
      <x:c r="Q45" s="25" t="str"/>
      <x:c r="R45" s="24" t="str">
        <x:f>IF(Q45&lt;&gt;"",Q45,O45)</x:f>
        <x:v>2</x:v>
      </x:c>
      <x:c r="S45" s="29" t="str"/>
    </x:row>
    <x:row r="46" ht="54" customHeight="1">
      <x:c r="A46" s="17" t="str">
        <x:v>csq003-r05</x:v>
      </x:c>
      <x:c r="B46" s="17" t="str">
        <x:v>csq003</x:v>
      </x:c>
      <x:c r="C46" s="17" t="str">
        <x:v>natural_language_processing</x:v>
      </x:c>
      <x:c r="D46" s="17" t="str">
        <x:v>hallucination_evaluation</x:v>
      </x:c>
      <x:c r="E46" s="27" t="str">
        <x:v>Which automatic and human evaluation methods are used to measure hallucination and factual consistency in large language models, and what evidence exists about their reliability?</x:v>
      </x:c>
      <x:c r="F46" s="22" t="n">
        <x:v>5</x:v>
      </x:c>
      <x:c r="G46" s="17" t="str">
        <x:v>arXiv:2403.18802</x:v>
      </x:c>
      <x:c r="H46" s="27" t="str">
        <x:v>Long-form factuality in large language models</x:v>
      </x:c>
      <x:c r="I46" s="17" t="str">
        <x:v>Jerry Wei; Chengrun Yang; Xinying Song; Yifeng Lu; Nathan Hu; Jie Huang; Dustin Tran; Daiyi Peng; Ruibo Liu; Da Huang; Cosmo Du; Quoc V. Le</x:v>
      </x:c>
      <x:c r="J46" s="22" t="n">
        <x:v>2024</x:v>
      </x:c>
      <x:c r="K46" s="27" t="str">
        <x:v>Large language models (LLMs) often generate content that contains factual errors when responding to fact-seeking prompts on open-ended topics. To benchmark a model's long-form factuality in open domains, we first use GPT-4 to generate LongFact, a prompt set comprising thousands of questions spanning 38 topics. We then propose that LLM agents can be used as automated evaluators for long-form factuality through a method which we call Search-Augmented Factuality Evaluator (SAFE). SAFE utilizes an LLM to break down a long-form response into a set of individual facts and to evaluate the accuracy of each fact using a multi-step reasoning process comprising sending search queries to Google Search and determining whether a fact is supported by the search results. Furthermore, we propose extending F1 score as an aggregated metric for long-form factuality. To do so, we balance the percentage of supported facts in a response (precision) with the percentage of provided facts relative to a hyperparameter representing a user's preferred response length (recall). Empirically, we demonstrate that LLM agents can outperform crowdsourced human annotators - on a set of ~16k individual facts, SAFE agrees with crowdsourced human annotators 72% of the time, and on a random subset of 100 disagreement cases, SAFE wins 76% of the time. At the same time, SAFE is more than 20 times cheaper than human annotators. We also benchmark thirteen language models on LongFact across four model families (Gemini, GPT, Claude, and PaLM-2), finding that larger language models generally achieve better long-form factuality. LongFact, SAFE, and all experimental code are available at https://github.com/google-deepmind/long-form-factuality.</x:v>
      </x:c>
      <x:c r="L46" s="17" t="str">
        <x:v>http://arxiv.org/abs/2403.18802v4</x:v>
      </x:c>
      <x:c r="M46" s="23" t="n">
        <x:v>0.032018442622950824</x:v>
      </x:c>
      <x:c r="N46" s="17" t="str">
        <x:v>arxiv-paper-eval-20260726-140242-results.jsonl</x:v>
      </x:c>
      <x:c r="O46" s="24" t="str">
        <x:v>2</x:v>
      </x:c>
      <x:c r="P46" s="28" t="str">
        <x:v>提出LongFact与自动事实评估器SAFE，并涉及与人工判断的比较。</x:v>
      </x:c>
      <x:c r="Q46" s="25" t="str"/>
      <x:c r="R46" s="24" t="str">
        <x:f>IF(Q46&lt;&gt;"",Q46,O46)</x:f>
        <x:v>2</x:v>
      </x:c>
      <x:c r="S46" s="29" t="str"/>
    </x:row>
    <x:row r="47" ht="54" customHeight="1">
      <x:c r="A47" s="17" t="str">
        <x:v>csq003-r06</x:v>
      </x:c>
      <x:c r="B47" s="17" t="str">
        <x:v>csq003</x:v>
      </x:c>
      <x:c r="C47" s="17" t="str">
        <x:v>natural_language_processing</x:v>
      </x:c>
      <x:c r="D47" s="17" t="str">
        <x:v>hallucination_evaluation</x:v>
      </x:c>
      <x:c r="E47" s="27" t="str">
        <x:v>Which automatic and human evaluation methods are used to measure hallucination and factual consistency in large language models, and what evidence exists about their reliability?</x:v>
      </x:c>
      <x:c r="F47" s="22" t="n">
        <x:v>6</x:v>
      </x:c>
      <x:c r="G47" s="17" t="str">
        <x:v>arXiv:2505.23295</x:v>
      </x:c>
      <x:c r="H47" s="27" t="str">
        <x:v>How Does Response Length Affect Long-Form Factuality</x:v>
      </x:c>
      <x:c r="I47" s="17" t="str">
        <x:v>James Xu Zhao; Jimmy Z. J. Liu; Bryan Hooi; See-Kiong Ng</x:v>
      </x:c>
      <x:c r="J47" s="22" t="n">
        <x:v>2025</x:v>
      </x:c>
      <x:c r="K47" s="27" t="str">
        <x:v>Large language models (LLMs) are widely used for long-form text generation. However, factual errors in the responses would undermine their reliability. Despite growing attention to LLM factuality, the effect of response length on factuality remains underexplored. In this work, we systematically investigate this relationship by first introducing an automatic and bi-level long-form factuality evaluation framework, which achieves high agreement with human annotations while being cost-effective. Using this framework, we conduct controlled experiments and find that longer responses exhibit lower factual precision, confirming the presence of length bias. To explain this phenomenon, we empirically examine three hypotheses: error propagation, long context, and facts exhaustion. Our results reveal that facts exhaustion, where the model gradually exhausts more reliable knowledge, is the primary cause of factual degradation, rather than the other two hypotheses.</x:v>
      </x:c>
      <x:c r="L47" s="17" t="str">
        <x:v>http://arxiv.org/abs/2505.23295v1</x:v>
      </x:c>
      <x:c r="M47" s="23" t="n">
        <x:v>0.030776515151515152</x:v>
      </x:c>
      <x:c r="N47" s="17" t="str">
        <x:v>arxiv-paper-eval-20260726-140242-results.jsonl</x:v>
      </x:c>
      <x:c r="O47" s="24" t="str">
        <x:v>2</x:v>
      </x:c>
      <x:c r="P47" s="28" t="str">
        <x:v>提出自动长文本事实性框架并报告与人工标注的一致性。</x:v>
      </x:c>
      <x:c r="Q47" s="25" t="str"/>
      <x:c r="R47" s="24" t="str">
        <x:f>IF(Q47&lt;&gt;"",Q47,O47)</x:f>
        <x:v>2</x:v>
      </x:c>
      <x:c r="S47" s="29" t="str"/>
    </x:row>
    <x:row r="48" ht="54" customHeight="1">
      <x:c r="A48" s="17" t="str">
        <x:v>csq003-r07</x:v>
      </x:c>
      <x:c r="B48" s="17" t="str">
        <x:v>csq003</x:v>
      </x:c>
      <x:c r="C48" s="17" t="str">
        <x:v>natural_language_processing</x:v>
      </x:c>
      <x:c r="D48" s="17" t="str">
        <x:v>hallucination_evaluation</x:v>
      </x:c>
      <x:c r="E48" s="27" t="str">
        <x:v>Which automatic and human evaluation methods are used to measure hallucination and factual consistency in large language models, and what evidence exists about their reliability?</x:v>
      </x:c>
      <x:c r="F48" s="22" t="n">
        <x:v>7</x:v>
      </x:c>
      <x:c r="G48" s="17" t="str">
        <x:v>arXiv:2503.08890</x:v>
      </x:c>
      <x:c r="H48" s="27" t="str">
        <x:v>PlainQAFact: Retrieval-augmented Factual Consistency Evaluation Metric for Biomedical Plain Language Summarization</x:v>
      </x:c>
      <x:c r="I48" s="17" t="str">
        <x:v>Zhiwen You; Yue Guo</x:v>
      </x:c>
      <x:c r="J48" s="22" t="n">
        <x:v>2025</x:v>
      </x:c>
      <x:c r="K48" s="27" t="str">
        <x:v>Hallucinated outputs from large language models (LLMs) pose risks in the medical domain, especially for lay audiences making health-related decisions. Existing automatic factual consistency evaluation methods, such as entailment- and question-answering (QA) -based, struggle with plain language summarization (PLS) due to elaborative explanation phenomenon, which introduces external content (e.g., definitions, background, examples) absent from the scientific abstract to enhance comprehension. To address this, we introduce PlainQAFact, an automatic factual consistency evaluation metric trained on a fine-grained, human-annotated dataset PlainFact, for evaluating factual consistency of both source-simplified and elaborately explained sentences. PlainQAFact first classifies sentence type, then applies a retrieval-augmented QA scoring method. Empirical results show that existing evaluation metrics fail to evaluate the factual consistency in PLS, especially for elaborative explanations, whereas PlainQAFact consistently outperforms them across all evaluation settings. We further analyze PlainQAFact's effectiveness across external knowledge sources, answer extraction strategies, answer overlap measures, and document granularity levels, refining its overall factual consistency assessment. Taken together, our work presents a sentence-aware, retrieval-augmented metric targeted at elaborative explanations in biomedical PLS tasks, providing the community with both a new benchmark and a practical evaluation tool to advance reliable and safe plain language communication in the medical domain. PlainQAFact and PlainFact are available at: https://github.com/zhiwenyou103/PlainQAFact</x:v>
      </x:c>
      <x:c r="L48" s="17" t="str">
        <x:v>http://arxiv.org/abs/2503.08890v4</x:v>
      </x:c>
      <x:c r="M48" s="23" t="n">
        <x:v>0.03036576949620428</x:v>
      </x:c>
      <x:c r="N48" s="17" t="str">
        <x:v>arxiv-paper-eval-20260726-140242-results.jsonl</x:v>
      </x:c>
      <x:c r="O48" s="24" t="str">
        <x:v>2</x:v>
      </x:c>
      <x:c r="P48" s="28" t="str">
        <x:v>针对生物医学摘要提出检索增强事实一致性指标，并分析既有指标失效。</x:v>
      </x:c>
      <x:c r="Q48" s="25" t="str"/>
      <x:c r="R48" s="24" t="str">
        <x:f>IF(Q48&lt;&gt;"",Q48,O48)</x:f>
        <x:v>2</x:v>
      </x:c>
      <x:c r="S48" s="29" t="str"/>
    </x:row>
    <x:row r="49" ht="54" customHeight="1">
      <x:c r="A49" s="17" t="str">
        <x:v>csq003-r08</x:v>
      </x:c>
      <x:c r="B49" s="17" t="str">
        <x:v>csq003</x:v>
      </x:c>
      <x:c r="C49" s="17" t="str">
        <x:v>natural_language_processing</x:v>
      </x:c>
      <x:c r="D49" s="17" t="str">
        <x:v>hallucination_evaluation</x:v>
      </x:c>
      <x:c r="E49" s="27" t="str">
        <x:v>Which automatic and human evaluation methods are used to measure hallucination and factual consistency in large language models, and what evidence exists about their reliability?</x:v>
      </x:c>
      <x:c r="F49" s="22" t="n">
        <x:v>8</x:v>
      </x:c>
      <x:c r="G49" s="17" t="str">
        <x:v>arXiv:2511.10671</x:v>
      </x:c>
      <x:c r="H49" s="27" t="str">
        <x:v>Grounded Visual Factualization: Factual Anchor-Based Finetuning for Enhancing MLLM Factual Consistency</x:v>
      </x:c>
      <x:c r="I49" s="17" t="str">
        <x:v>Filippo Morbiato; Luca Romano; Alessandro Persona</x:v>
      </x:c>
      <x:c r="J49" s="22" t="n">
        <x:v>2025</x:v>
      </x:c>
      <x:c r="K49" s="27" t="str">
        <x:v>Visual hallucination, where Multimodal Large Language Models fabricate details inconsistent with image content, critically undermines their reliability. Existing fine-tuning methods offer limited improvement, failing to deeply intervene in factual reasoning. This paper introduces Grounded Visual Factualization (GVF) Finetuning, a novel approach to systematically enhance MLLM visual factual consistency. GVF integrates explicit factual signals via three core mechanisms: Factual Anchor Data Augmentation, enriching training data with structured factual anchors and counter-factual prompts; Fact-Aware Instruction Tuning, embedding these cues into explicit instructions; and a Factual Consistency Loss function, specifically penalizing factual inaccuracies. Evaluated on LLaVA-1.5-13B, GVF Finetuning significantly outperforms standard fine-tuning on the VHTest benchmark for both Open-Ended Question (OEQ) and Yes/No Question (YNQ) formats. Crucially, GVF maintains or even slightly improves performance on general multimodal benchmarks like MME and POPE, demonstrating effective mitigation of visual hallucinations without compromising general understanding and reasoning abilities.</x:v>
      </x:c>
      <x:c r="L49" s="17" t="str">
        <x:v>http://arxiv.org/abs/2511.10671v1</x:v>
      </x:c>
      <x:c r="M49" s="23" t="n">
        <x:v>0.030158730158730156</x:v>
      </x:c>
      <x:c r="N49" s="17" t="str">
        <x:v>arxiv-paper-eval-20260726-140242-results.jsonl</x:v>
      </x:c>
      <x:c r="O49" s="24" t="str">
        <x:v>1</x:v>
      </x:c>
      <x:c r="P49" s="28" t="str">
        <x:v>主要贡献是微调方法缓解多模态幻觉，评测事实一致性只是验证环节。</x:v>
      </x:c>
      <x:c r="Q49" s="25" t="str"/>
      <x:c r="R49" s="24" t="str">
        <x:f>IF(Q49&lt;&gt;"",Q49,O49)</x:f>
        <x:v>1</x:v>
      </x:c>
      <x:c r="S49" s="29" t="str"/>
    </x:row>
    <x:row r="50" ht="54" customHeight="1">
      <x:c r="A50" s="17" t="str">
        <x:v>csq003-r09</x:v>
      </x:c>
      <x:c r="B50" s="17" t="str">
        <x:v>csq003</x:v>
      </x:c>
      <x:c r="C50" s="17" t="str">
        <x:v>natural_language_processing</x:v>
      </x:c>
      <x:c r="D50" s="17" t="str">
        <x:v>hallucination_evaluation</x:v>
      </x:c>
      <x:c r="E50" s="27" t="str">
        <x:v>Which automatic and human evaluation methods are used to measure hallucination and factual consistency in large language models, and what evidence exists about their reliability?</x:v>
      </x:c>
      <x:c r="F50" s="22" t="n">
        <x:v>9</x:v>
      </x:c>
      <x:c r="G50" s="17" t="str">
        <x:v>arXiv:2310.07289</x:v>
      </x:c>
      <x:c r="H50" s="27" t="str">
        <x:v>Beyond Factuality: A Comprehensive Evaluation of Large Language Models as Knowledge Generators</x:v>
      </x:c>
      <x:c r="I50" s="17" t="str">
        <x:v>Liang Chen; Yang Deng; Yatao Bian; Zeyu Qin; Bingzhe Wu; Tat-Seng Chua; Kam-Fai Wong</x:v>
      </x:c>
      <x:c r="J50" s="22" t="n">
        <x:v>2023</x:v>
      </x:c>
      <x:c r="K50" s="27" t="str">
        <x:v>Large language models (LLMs) outperform information retrieval techniques for downstream knowledge-intensive tasks when being prompted to generate world knowledge. However, community concerns abound regarding the factuality and potential implications of using this uncensored knowledge. In light of this, we introduce CONNER, a COmpreheNsive kNowledge Evaluation fRamework, designed to systematically and automatically evaluate generated knowledge from six important perspectives -- Factuality, Relevance, Coherence, Informativeness, Helpfulness and Validity. We conduct an extensive empirical analysis of the generated knowledge from three different types of LLMs on two widely studied knowledge-intensive tasks, i.e., open-domain question answering and knowledge-grounded dialogue. Surprisingly, our study reveals that the factuality of generated knowledge, even if lower, does not significantly hinder downstream tasks. Instead, the relevance and coherence of the outputs are more important than small factual mistakes. Further, we show how to use CONNER to improve knowledge-intensive tasks by designing two strategies: Prompt Engineering and Knowledge Selection. Our evaluation code and LLM-generated knowledge with human annotations will be released to facilitate future research.</x:v>
      </x:c>
      <x:c r="L50" s="17" t="str">
        <x:v>http://arxiv.org/abs/2310.07289v1</x:v>
      </x:c>
      <x:c r="M50" s="23" t="n">
        <x:v>0.029709507042253523</x:v>
      </x:c>
      <x:c r="N50" s="17" t="str">
        <x:v>arxiv-paper-eval-20260726-140242-results.jsonl</x:v>
      </x:c>
      <x:c r="O50" s="24" t="str">
        <x:v>2</x:v>
      </x:c>
      <x:c r="P50" s="28" t="str">
        <x:v>提出包含事实性等六维度的自动知识生成评价框架，直接提供评测方法。</x:v>
      </x:c>
      <x:c r="Q50" s="25" t="str"/>
      <x:c r="R50" s="24" t="str">
        <x:f>IF(Q50&lt;&gt;"",Q50,O50)</x:f>
        <x:v>2</x:v>
      </x:c>
      <x:c r="S50" s="29" t="str"/>
    </x:row>
    <x:row r="51" ht="54" customHeight="1">
      <x:c r="A51" s="17" t="str">
        <x:v>csq003-r10</x:v>
      </x:c>
      <x:c r="B51" s="17" t="str">
        <x:v>csq003</x:v>
      </x:c>
      <x:c r="C51" s="17" t="str">
        <x:v>natural_language_processing</x:v>
      </x:c>
      <x:c r="D51" s="17" t="str">
        <x:v>hallucination_evaluation</x:v>
      </x:c>
      <x:c r="E51" s="27" t="str">
        <x:v>Which automatic and human evaluation methods are used to measure hallucination and factual consistency in large language models, and what evidence exists about their reliability?</x:v>
      </x:c>
      <x:c r="F51" s="22" t="n">
        <x:v>10</x:v>
      </x:c>
      <x:c r="G51" s="17" t="str">
        <x:v>arXiv:2507.19586</x:v>
      </x:c>
      <x:c r="H51" s="27" t="str">
        <x:v>Mitigating Geospatial Knowledge Hallucination in Large Language Models: Benchmarking and Dynamic Factuality Aligning</x:v>
      </x:c>
      <x:c r="I51" s="17" t="str">
        <x:v>Shengyuan Wang; Jie Feng; Tianhui Liu; Dan Pei; Yong Li</x:v>
      </x:c>
      <x:c r="J51" s="22" t="n">
        <x:v>2025</x:v>
      </x:c>
      <x:c r="K51" s="27" t="str">
        <x:v>Large language models (LLMs) possess extensive world knowledge, including geospatial knowledge, which has been successfully applied to various geospatial tasks such as mobility prediction and social indicator prediction. However, LLMs often generate inaccurate geospatial knowledge, leading to geospatial hallucinations (incorrect or inconsistent representations of geospatial information) that compromise their reliability. While the phenomenon of general knowledge hallucination in LLMs has been widely studied, the systematic evaluation and mitigation of geospatial hallucinations remain largely unexplored. To address this gap, we propose a comprehensive evaluation framework for geospatial hallucinations, leveraging structured geospatial knowledge graphs for controlled assessment. Through extensive evaluation across 20 advanced LLMs, we uncover the hallucinations in their geospatial knowledge. Building on these insights, we introduce a dynamic factuality aligning method based on Kahneman-Tversky Optimization (KTO) to mitigate geospatial hallucinations in LLMs, leading to a performance improvement of over 29.6% on the proposed benchmark. Extensive experimental results demonstrate the effectiveness of our benchmark and learning algorithm in enhancing the trustworthiness of LLMs in geospatial knowledge and reasoning tasks.</x:v>
      </x:c>
      <x:c r="L51" s="17" t="str">
        <x:v>http://arxiv.org/abs/2507.19586v1</x:v>
      </x:c>
      <x:c r="M51" s="23" t="n">
        <x:v>0.029631255487269532</x:v>
      </x:c>
      <x:c r="N51" s="17" t="str">
        <x:v>arxiv-paper-eval-20260726-140242-results.jsonl</x:v>
      </x:c>
      <x:c r="O51" s="24" t="str">
        <x:v>2</x:v>
      </x:c>
      <x:c r="P51" s="28" t="str">
        <x:v>对地理知识幻觉进行基准评测并结合事实对齐，直接提供领域证据。</x:v>
      </x:c>
      <x:c r="Q51" s="25" t="str"/>
      <x:c r="R51" s="24" t="str">
        <x:f>IF(Q51&lt;&gt;"",Q51,O51)</x:f>
        <x:v>2</x:v>
      </x:c>
      <x:c r="S51" s="29" t="str"/>
    </x:row>
    <x:row r="52" ht="54" customHeight="1">
      <x:c r="A52" s="17" t="str">
        <x:v>csq003-r11</x:v>
      </x:c>
      <x:c r="B52" s="17" t="str">
        <x:v>csq003</x:v>
      </x:c>
      <x:c r="C52" s="17" t="str">
        <x:v>natural_language_processing</x:v>
      </x:c>
      <x:c r="D52" s="17" t="str">
        <x:v>hallucination_evaluation</x:v>
      </x:c>
      <x:c r="E52" s="27" t="str">
        <x:v>Which automatic and human evaluation methods are used to measure hallucination and factual consistency in large language models, and what evidence exists about their reliability?</x:v>
      </x:c>
      <x:c r="F52" s="22" t="n">
        <x:v>11</x:v>
      </x:c>
      <x:c r="G52" s="17" t="str">
        <x:v>arXiv:2510.13852</x:v>
      </x:c>
      <x:c r="H52" s="27" t="str">
        <x:v>ConsistencyAI: A Benchmark to Assess LLMs' Factual Consistency When Responding to Different Demographic Groups</x:v>
      </x:c>
      <x:c r="I52" s="17" t="str">
        <x:v>Peter Banyas; Shristi Sharma; Alistair Simmons; Atharva Vispute</x:v>
      </x:c>
      <x:c r="J52" s="22" t="n">
        <x:v>2025</x:v>
      </x:c>
      <x:c r="K52" s="27" t="str">
        <x:v>Is an LLM telling you different facts than it's telling me? This paper introduces ConsistencyAI, an independent benchmark for measuring the factual consistency of large language models (LLMs) for different personas. ConsistencyAI tests whether, when users of different demographics ask identical questions, the model responds with factually inconsistent answers. Designed without involvement from LLM providers, this benchmark offers impartial evaluation and accountability. In our experiment, we queried 19 LLMs with prompts that requested 5 facts for each of 15 topics. We repeated this query 100 times for each LLM, each time adding prompt context from a different persona selected from a subset of personas modeling the general population. We processed the responses into sentence embeddings, computed cross-persona cosine similarity, and computed the weighted average of cross-persona cosine similarity to calculate factual consistency scores. In 100-persona experiments, scores ranged from 0.9065 to 0.7896, and the mean was 0.8656, which we adopt as a benchmark threshold. xAI's Grok-3 is most consistent, while several lightweight models rank lowest. Consistency varies by topic: the job market is least consistent, G7 world leaders most consistent, and issues like vaccines or the Israeli-Palestinian conflict diverge by provider. These results show that both the provider and the topic shape the factual consistency. We release our code and interactive demo to support reproducible evaluation and encourage persona-invariant prompting strategies.</x:v>
      </x:c>
      <x:c r="L52" s="17" t="str">
        <x:v>http://arxiv.org/abs/2510.13852v2</x:v>
      </x:c>
      <x:c r="M52" s="23" t="n">
        <x:v>0.01639344262295082</x:v>
      </x:c>
      <x:c r="N52" s="17" t="str">
        <x:v>arxiv-paper-eval-20260726-140242-results.jsonl</x:v>
      </x:c>
      <x:c r="O52" s="24" t="str">
        <x:v>2</x:v>
      </x:c>
      <x:c r="P52" s="28" t="str">
        <x:v>构建跨人口群体回答事实一致性基准并评估多个LLM。</x:v>
      </x:c>
      <x:c r="Q52" s="25" t="str"/>
      <x:c r="R52" s="24" t="str">
        <x:f>IF(Q52&lt;&gt;"",Q52,O52)</x:f>
        <x:v>2</x:v>
      </x:c>
      <x:c r="S52" s="29" t="str"/>
    </x:row>
    <x:row r="53" ht="54" customHeight="1">
      <x:c r="A53" s="17" t="str">
        <x:v>csq003-r12</x:v>
      </x:c>
      <x:c r="B53" s="17" t="str">
        <x:v>csq003</x:v>
      </x:c>
      <x:c r="C53" s="17" t="str">
        <x:v>natural_language_processing</x:v>
      </x:c>
      <x:c r="D53" s="17" t="str">
        <x:v>hallucination_evaluation</x:v>
      </x:c>
      <x:c r="E53" s="27" t="str">
        <x:v>Which automatic and human evaluation methods are used to measure hallucination and factual consistency in large language models, and what evidence exists about their reliability?</x:v>
      </x:c>
      <x:c r="F53" s="22" t="n">
        <x:v>12</x:v>
      </x:c>
      <x:c r="G53" s="17" t="str">
        <x:v>arXiv:2406.14709</x:v>
      </x:c>
      <x:c r="H53" s="27" t="str">
        <x:v>Factual Dialogue Summarization via Learning from Large Language Models</x:v>
      </x:c>
      <x:c r="I53" s="17" t="str">
        <x:v>Rongxin Zhu; Jey Han Lau; Jianzhong Qi</x:v>
      </x:c>
      <x:c r="J53" s="22" t="n">
        <x:v>2024</x:v>
      </x:c>
      <x:c r="K53" s="27" t="str">
        <x:v>Factual consistency is an important quality in dialogue summarization. Large language model (LLM)-based automatic text summarization models generate more factually consistent summaries compared to those by smaller pretrained language models, but they face deployment challenges in real-world applications due to privacy or resource constraints. In this paper, we investigate the use of symbolic knowledge distillation to improve the factual consistency of smaller pretrained models for dialogue summarization. We employ zero-shot learning to extract symbolic knowledge from LLMs, generating both factually consistent (positive) and inconsistent (negative) summaries. We then apply two contrastive learning objectives on these summaries to enhance smaller summarization models. Experiments with BART, PEGASUS, and Flan-T5 indicate that our approach surpasses strong baselines that rely on complex data augmentation strategies. Our approach achieves better factual consistency while maintaining coherence, fluency, and relevance, as confirmed by various automatic evaluation metrics. We also provide access to the data and code to facilitate future research.</x:v>
      </x:c>
      <x:c r="L53" s="17" t="str">
        <x:v>http://arxiv.org/abs/2406.14709v1</x:v>
      </x:c>
      <x:c r="M53" s="23" t="n">
        <x:v>0.015873015873015872</x:v>
      </x:c>
      <x:c r="N53" s="17" t="str">
        <x:v>arxiv-paper-eval-20260726-140242-results.jsonl</x:v>
      </x:c>
      <x:c r="O53" s="24" t="str">
        <x:v>1</x:v>
      </x:c>
      <x:c r="P53" s="28" t="str">
        <x:v>重点是蒸馏提升对话摘要事实性，不是评测方法或可靠性研究。</x:v>
      </x:c>
      <x:c r="Q53" s="25" t="str"/>
      <x:c r="R53" s="24" t="str">
        <x:f>IF(Q53&lt;&gt;"",Q53,O53)</x:f>
        <x:v>1</x:v>
      </x:c>
      <x:c r="S53" s="29" t="str"/>
    </x:row>
    <x:row r="54" ht="54" customHeight="1">
      <x:c r="A54" s="17" t="str">
        <x:v>csq003-r13</x:v>
      </x:c>
      <x:c r="B54" s="17" t="str">
        <x:v>csq003</x:v>
      </x:c>
      <x:c r="C54" s="17" t="str">
        <x:v>natural_language_processing</x:v>
      </x:c>
      <x:c r="D54" s="17" t="str">
        <x:v>hallucination_evaluation</x:v>
      </x:c>
      <x:c r="E54" s="27" t="str">
        <x:v>Which automatic and human evaluation methods are used to measure hallucination and factual consistency in large language models, and what evidence exists about their reliability?</x:v>
      </x:c>
      <x:c r="F54" s="22" t="n">
        <x:v>13</x:v>
      </x:c>
      <x:c r="G54" s="17" t="str">
        <x:v>arXiv:2502.13622</x:v>
      </x:c>
      <x:c r="H54" s="27" t="str">
        <x:v>REFIND at SemEval-2025 Task 3: Retrieval-Augmented Factuality Hallucination Detection in Large Language Models</x:v>
      </x:c>
      <x:c r="I54" s="17" t="str">
        <x:v>DongGeon Lee; Hwanjo Yu</x:v>
      </x:c>
      <x:c r="J54" s="22" t="n">
        <x:v>2025</x:v>
      </x:c>
      <x:c r="K54" s="27" t="str">
        <x:v>Hallucinations in large language model (LLM) outputs severely limit their reliability in knowledge-intensive tasks such as question answering. To address this challenge, we introduce REFIND (Retrieval-augmented Factuality hallucINation Detection), a novel framework that detects hallucinated spans within LLM outputs by directly leveraging retrieved documents. As part of the REFIND, we propose the Context Sensitivity Ratio (CSR), a novel metric that quantifies the sensitivity of LLM outputs to retrieved evidence. This innovative approach enables REFIND to efficiently and accurately detect hallucinations, setting it apart from existing methods. In the evaluation, REFIND demonstrated robustness across nine languages, including low-resource settings, and significantly outperformed baseline models, achieving superior IoU scores in identifying hallucinated spans. This work highlights the effectiveness of quantifying context sensitivity for hallucination detection, thereby paving the way for more reliable and trustworthy LLM applications across diverse languages. Our code is available at https://github.com/oneonlee/REFIND.</x:v>
      </x:c>
      <x:c r="L54" s="17" t="str">
        <x:v>http://arxiv.org/abs/2502.13622v2</x:v>
      </x:c>
      <x:c r="M54" s="23" t="n">
        <x:v>0.015625</x:v>
      </x:c>
      <x:c r="N54" s="17" t="str">
        <x:v>arxiv-paper-eval-20260726-140242-results.jsonl</x:v>
      </x:c>
      <x:c r="O54" s="24" t="str">
        <x:v>2</x:v>
      </x:c>
      <x:c r="P54" s="28" t="str">
        <x:v>提出检索增强幻觉片段检测与上下文敏感度指标，直接属于自动评测。</x:v>
      </x:c>
      <x:c r="Q54" s="25" t="str"/>
      <x:c r="R54" s="24" t="str">
        <x:f>IF(Q54&lt;&gt;"",Q54,O54)</x:f>
        <x:v>2</x:v>
      </x:c>
      <x:c r="S54" s="29" t="str"/>
    </x:row>
    <x:row r="55" ht="54" customHeight="1">
      <x:c r="A55" s="17" t="str">
        <x:v>csq003-r14</x:v>
      </x:c>
      <x:c r="B55" s="17" t="str">
        <x:v>csq003</x:v>
      </x:c>
      <x:c r="C55" s="17" t="str">
        <x:v>natural_language_processing</x:v>
      </x:c>
      <x:c r="D55" s="17" t="str">
        <x:v>hallucination_evaluation</x:v>
      </x:c>
      <x:c r="E55" s="27" t="str">
        <x:v>Which automatic and human evaluation methods are used to measure hallucination and factual consistency in large language models, and what evidence exists about their reliability?</x:v>
      </x:c>
      <x:c r="F55" s="22" t="n">
        <x:v>14</x:v>
      </x:c>
      <x:c r="G55" s="17" t="str">
        <x:v>arXiv:2508.03860</x:v>
      </x:c>
      <x:c r="H55" s="27" t="str">
        <x:v>Hallucination to Truth: A Review of Fact-Checking and Factuality Evaluation in Large Language Models</x:v>
      </x:c>
      <x:c r="I55" s="17" t="str">
        <x:v>Subhey Sadi Rahman; Md. Adnanul Islam; Md. Mahbub Alam; Musarrat Zeba; Md. Abdur Rahman; Sadia Sultana Chowa; Mohaimenul Azam Khan Raiaan; Sami Azam</x:v>
      </x:c>
      <x:c r="J55" s="22" t="n">
        <x:v>2025</x:v>
      </x:c>
      <x:c r="K55" s="27" t="str">
        <x:v>Large Language Models (LLMs) are trained on vast and diverse internet corpora that often include inaccurate or misleading content. Consequently, LLMs can generate misinformation, making robust fact-checking essential. This review systematically analyzes how LLM-generated content is evaluated for factual accuracy by exploring key challenges such as hallucinations, dataset limitations, and the reliability of evaluation metrics. The review emphasizes the need for strong fact-checking frameworks that integrate advanced prompting strategies, domain-specific fine-tuning, and retrieval-augmented generation (RAG) methods. It proposes five research questions that guide the analysis of the recent literature from 2020 to 2025, focusing on evaluation methods and mitigation techniques. Instruction tuning, multi-agent reasoning, and RAG frameworks for external knowledge access are also reviewed. The key findings demonstrate the limitations of current metrics, the importance of validated external evidence, and the improvement of factual consistency through domain-specific customization. The review underscores the importance of building more accurate, understandable, and context-aware fact-checking. These insights contribute to the advancement of research toward more trustworthy models.</x:v>
      </x:c>
      <x:c r="L55" s="17" t="str">
        <x:v>http://arxiv.org/abs/2508.03860v2</x:v>
      </x:c>
      <x:c r="M55" s="23" t="n">
        <x:v>0.015384615384615385</x:v>
      </x:c>
      <x:c r="N55" s="17" t="str">
        <x:v>arxiv-paper-eval-20260726-140242-results.jsonl</x:v>
      </x:c>
      <x:c r="O55" s="24" t="str">
        <x:v>2</x:v>
      </x:c>
      <x:c r="P55" s="28" t="str">
        <x:v>系统综述事实核查、幻觉评估、数据集局限与指标可靠性。</x:v>
      </x:c>
      <x:c r="Q55" s="25" t="str"/>
      <x:c r="R55" s="24" t="str">
        <x:f>IF(Q55&lt;&gt;"",Q55,O55)</x:f>
        <x:v>2</x:v>
      </x:c>
      <x:c r="S55" s="29" t="str"/>
    </x:row>
    <x:row r="56" ht="54" customHeight="1">
      <x:c r="A56" s="17" t="str">
        <x:v>csq003-r15</x:v>
      </x:c>
      <x:c r="B56" s="17" t="str">
        <x:v>csq003</x:v>
      </x:c>
      <x:c r="C56" s="17" t="str">
        <x:v>natural_language_processing</x:v>
      </x:c>
      <x:c r="D56" s="17" t="str">
        <x:v>hallucination_evaluation</x:v>
      </x:c>
      <x:c r="E56" s="27" t="str">
        <x:v>Which automatic and human evaluation methods are used to measure hallucination and factual consistency in large language models, and what evidence exists about their reliability?</x:v>
      </x:c>
      <x:c r="F56" s="22" t="n">
        <x:v>15</x:v>
      </x:c>
      <x:c r="G56" s="17" t="str">
        <x:v>arXiv:2409.19255</x:v>
      </x:c>
      <x:c r="H56" s="27" t="str">
        <x:v>DENEB: A Hallucination-Robust Automatic Evaluation Metric for Image Captioning</x:v>
      </x:c>
      <x:c r="I56" s="17" t="str">
        <x:v>Kazuki Matsuda; Yuiga Wada; Komei Sugiura</x:v>
      </x:c>
      <x:c r="J56" s="22" t="n">
        <x:v>2024</x:v>
      </x:c>
      <x:c r="K56" s="27" t="str">
        <x:v>In this work, we address the challenge of developing automatic evaluation metrics for image captioning, with a particular focus on robustness against hallucinations. Existing metrics are often inadequate for handling hallucinations, primarily due to their limited ability to compare candidate captions with multifaceted reference captions. To address this shortcoming, we propose DENEB, a novel supervised automatic evaluation metric specifically robust against hallucinations. DENEB incorporates the Sim-Vec Transformer, a mechanism that processes multiple references simultaneously, thereby efficiently capturing the similarity between an image, a candidate caption, and reference captions. To train DENEB, we construct the diverse and balanced Nebula dataset comprising 32,978 images, paired with human judgments provided by 805 annotators. We demonstrated that DENEB achieves state-of-the-art performance among existing LLM-free metrics on the FOIL, Composite, Flickr8K-Expert, Flickr8K-CF, Nebula, and PASCAL-50S datasets, validating its effectiveness and robustness against hallucinations.</x:v>
      </x:c>
      <x:c r="L56" s="17" t="str">
        <x:v>http://arxiv.org/abs/2409.19255v2</x:v>
      </x:c>
      <x:c r="M56" s="23" t="n">
        <x:v>0.015384615384615385</x:v>
      </x:c>
      <x:c r="N56" s="17" t="str">
        <x:v>arxiv-paper-eval-20260726-140242-results.jsonl</x:v>
      </x:c>
      <x:c r="O56" s="24" t="str">
        <x:v>1</x:v>
      </x:c>
      <x:c r="P56" s="28" t="str">
        <x:v>提出图像描述幻觉鲁棒指标，方法相关但对象不是LLM文本事实性。</x:v>
      </x:c>
      <x:c r="Q56" s="25" t="str"/>
      <x:c r="R56" s="24" t="str">
        <x:f>IF(Q56&lt;&gt;"",Q56,O56)</x:f>
        <x:v>1</x:v>
      </x:c>
      <x:c r="S56" s="29" t="str"/>
    </x:row>
    <x:row r="57" ht="54" customHeight="1">
      <x:c r="A57" s="17" t="str">
        <x:v>csq003-r16</x:v>
      </x:c>
      <x:c r="B57" s="17" t="str">
        <x:v>csq003</x:v>
      </x:c>
      <x:c r="C57" s="17" t="str">
        <x:v>natural_language_processing</x:v>
      </x:c>
      <x:c r="D57" s="17" t="str">
        <x:v>hallucination_evaluation</x:v>
      </x:c>
      <x:c r="E57" s="27" t="str">
        <x:v>Which automatic and human evaluation methods are used to measure hallucination and factual consistency in large language models, and what evidence exists about their reliability?</x:v>
      </x:c>
      <x:c r="F57" s="22" t="n">
        <x:v>16</x:v>
      </x:c>
      <x:c r="G57" s="17" t="str">
        <x:v>arXiv:2310.06271</x:v>
      </x:c>
      <x:c r="H57" s="27" t="str">
        <x:v>Towards Mitigating Hallucination in Large Language Models via Self-Reflection</x:v>
      </x:c>
      <x:c r="I57" s="17" t="str">
        <x:v>Ziwei Ji; Tiezheng Yu; Yan Xu; Nayeon Lee; Etsuko Ishii; Pascale Fung</x:v>
      </x:c>
      <x:c r="J57" s="22" t="n">
        <x:v>2023</x:v>
      </x:c>
      <x:c r="K57" s="27" t="str">
        <x:v>Large language models (LLMs) have shown promise for generative and knowledge-intensive tasks including question-answering (QA) tasks. However, the practical deployment still faces challenges, notably the issue of "hallucination",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x:v>
      </x:c>
      <x:c r="L57" s="17" t="str">
        <x:v>http://arxiv.org/abs/2310.06271v1</x:v>
      </x:c>
      <x:c r="M57" s="23" t="n">
        <x:v>0.015384615384615385</x:v>
      </x:c>
      <x:c r="N57" s="17" t="str">
        <x:v>arxiv-paper-eval-20260726-140242-results.jsonl</x:v>
      </x:c>
      <x:c r="O57" s="24" t="str">
        <x:v>1</x:v>
      </x:c>
      <x:c r="P57" s="28" t="str">
        <x:v>核心是通过自我反思缓解医疗LLM幻觉，未专门研究评测可靠性。</x:v>
      </x:c>
      <x:c r="Q57" s="25" t="str"/>
      <x:c r="R57" s="24" t="str">
        <x:f>IF(Q57&lt;&gt;"",Q57,O57)</x:f>
        <x:v>1</x:v>
      </x:c>
      <x:c r="S57" s="29" t="str"/>
    </x:row>
    <x:row r="58" ht="54" customHeight="1">
      <x:c r="A58" s="17" t="str">
        <x:v>csq003-r17</x:v>
      </x:c>
      <x:c r="B58" s="17" t="str">
        <x:v>csq003</x:v>
      </x:c>
      <x:c r="C58" s="17" t="str">
        <x:v>natural_language_processing</x:v>
      </x:c>
      <x:c r="D58" s="17" t="str">
        <x:v>hallucination_evaluation</x:v>
      </x:c>
      <x:c r="E58" s="27" t="str">
        <x:v>Which automatic and human evaluation methods are used to measure hallucination and factual consistency in large language models, and what evidence exists about their reliability?</x:v>
      </x:c>
      <x:c r="F58" s="22" t="n">
        <x:v>17</x:v>
      </x:c>
      <x:c r="G58" s="17" t="str">
        <x:v>arXiv:2310.00259</x:v>
      </x:c>
      <x:c r="H58" s="27" t="str">
        <x:v>AutoHall: Automated Factuality Hallucination Dataset Generation for Large Language Models</x:v>
      </x:c>
      <x:c r="I58" s="17" t="str">
        <x:v>Zouying Cao; Yifei Yang; XiaoJing Li; Hai Zhao</x:v>
      </x:c>
      <x:c r="J58" s="22" t="n">
        <x:v>2023</x:v>
      </x:c>
      <x:c r="K58" s="27" t="str">
        <x:v>Large language models (LLMs) have gained broad applications across various domains but still struggle with hallucinations. Currently, hallucinations occur frequently in the generation of factual content and pose a great challenge to trustworthy LLMs. However, hallucination detection is hindered by the laborious and expensive manual annotation of hallucinatory content. Meanwhile, as different LLMs exhibit distinct types and rates of hallucination, the collection of hallucination datasets is inherently model-specific, which also increases the cost. To address this issue, this paper proposes a method called $\textbf{AutoHall}$ for $\underline{Auto}$matically constructing model-specific $\underline{Hall}$ucination datasets based on existing fact-checking datasets. The empirical results reveal variations in hallucination proportions and types among different models. Moreover, we introduce a zero-resource and black-box hallucination detection method based on self-contradiction to recognize the hallucination in our constructed dataset, achieving superior detection performance compared to baselines. Further analysis on our dataset provides insight into factors that may contribute to LLM hallucinations. Our codes and datasets are publicly available at https://github.com/zouyingcao/AutoHall.</x:v>
      </x:c>
      <x:c r="L58" s="17" t="str">
        <x:v>http://arxiv.org/abs/2310.00259v3</x:v>
      </x:c>
      <x:c r="M58" s="23" t="n">
        <x:v>0.015384615384615385</x:v>
      </x:c>
      <x:c r="N58" s="17" t="str">
        <x:v>arxiv-paper-eval-20260726-140242-results.jsonl</x:v>
      </x:c>
      <x:c r="O58" s="24" t="str">
        <x:v>1</x:v>
      </x:c>
      <x:c r="P58" s="28" t="str">
        <x:v>自动生成事实幻觉数据可支持检测评估，但主要贡献是数据生成而非指标可靠性。</x:v>
      </x:c>
      <x:c r="Q58" s="25" t="str"/>
      <x:c r="R58" s="24" t="str">
        <x:f>IF(Q58&lt;&gt;"",Q58,O58)</x:f>
        <x:v>1</x:v>
      </x:c>
      <x:c r="S58" s="29" t="str"/>
    </x:row>
    <x:row r="59" ht="54" customHeight="1">
      <x:c r="A59" s="17" t="str">
        <x:v>csq003-r18</x:v>
      </x:c>
      <x:c r="B59" s="17" t="str">
        <x:v>csq003</x:v>
      </x:c>
      <x:c r="C59" s="17" t="str">
        <x:v>natural_language_processing</x:v>
      </x:c>
      <x:c r="D59" s="17" t="str">
        <x:v>hallucination_evaluation</x:v>
      </x:c>
      <x:c r="E59" s="27" t="str">
        <x:v>Which automatic and human evaluation methods are used to measure hallucination and factual consistency in large language models, and what evidence exists about their reliability?</x:v>
      </x:c>
      <x:c r="F59" s="22" t="n">
        <x:v>18</x:v>
      </x:c>
      <x:c r="G59" s="17" t="str">
        <x:v>arXiv:2506.06539</x:v>
      </x:c>
      <x:c r="H59" s="27" t="str">
        <x:v>Beyond Facts: Evaluating Intent Hallucination in Large Language Models</x:v>
      </x:c>
      <x:c r="I59" s="17" t="str">
        <x:v>Yijie Hao; Haofei Yu; Jiaxuan You</x:v>
      </x:c>
      <x:c r="J59" s="22" t="n">
        <x:v>2025</x:v>
      </x:c>
      <x:c r="K59" s="27" t="str">
        <x:v>When exposed to complex queries containing multiple conditions, today's large language models (LLMs) tend to produce responses that only partially satisfy the query while neglecting certain conditions. We therefore introduce the concept of Intent Hallucination. In this phenomenon, LLMs either omit (neglecting to address certain parts) or misinterpret (responding to invented query parts) elements of the given query, leading to intent hallucinated generation. To systematically evaluate intent hallucination, we introduce FAITHQA, a novel benchmark for intent hallucination that contains 20,068 problems, covering both query-only and retrieval-augmented generation (RAG) setups with varying topics and difficulty. FAITHQA is the first hallucination benchmark that goes beyond factual verification, tailored to identify the fundamental cause of intent hallucination. By evaluating various LLMs on FAITHQA, we find that (1) intent hallucination is a common issue even for state-of-the-art models, and (2) the phenomenon stems from omission or misinterpretation of LLMs. To facilitate future research, we introduce an automatic LLM generation evaluation metric, CONSTRAINT SCORE, for detecting intent hallucination. Human evaluation results demonstrate that CONSTRAINT SCORE is closer to human performance for intent hallucination compared to baselines.</x:v>
      </x:c>
      <x:c r="L59" s="17" t="str">
        <x:v>http://arxiv.org/abs/2506.06539v1</x:v>
      </x:c>
      <x:c r="M59" s="23" t="n">
        <x:v>0.015151515151515152</x:v>
      </x:c>
      <x:c r="N59" s="17" t="str">
        <x:v>arxiv-paper-eval-20260726-140242-results.jsonl</x:v>
      </x:c>
      <x:c r="O59" s="24" t="str">
        <x:v>2</x:v>
      </x:c>
      <x:c r="P59" s="28" t="str">
        <x:v>定义意图幻觉并建立系统评估方法，扩展了幻觉测量类型。</x:v>
      </x:c>
      <x:c r="Q59" s="25" t="str"/>
      <x:c r="R59" s="24" t="str">
        <x:f>IF(Q59&lt;&gt;"",Q59,O59)</x:f>
        <x:v>2</x:v>
      </x:c>
      <x:c r="S59" s="29" t="str"/>
    </x:row>
    <x:row r="60" ht="54" customHeight="1">
      <x:c r="A60" s="17" t="str">
        <x:v>csq003-r19</x:v>
      </x:c>
      <x:c r="B60" s="17" t="str">
        <x:v>csq003</x:v>
      </x:c>
      <x:c r="C60" s="17" t="str">
        <x:v>natural_language_processing</x:v>
      </x:c>
      <x:c r="D60" s="17" t="str">
        <x:v>hallucination_evaluation</x:v>
      </x:c>
      <x:c r="E60" s="27" t="str">
        <x:v>Which automatic and human evaluation methods are used to measure hallucination and factual consistency in large language models, and what evidence exists about their reliability?</x:v>
      </x:c>
      <x:c r="F60" s="22" t="n">
        <x:v>19</x:v>
      </x:c>
      <x:c r="G60" s="17" t="str">
        <x:v>arXiv:2405.12701</x:v>
      </x:c>
      <x:c r="H60" s="27" t="str">
        <x:v>OLAPH: Improving Factuality in Biomedical Long-form Question Answering</x:v>
      </x:c>
      <x:c r="I60" s="17" t="str">
        <x:v>Minbyul Jeong; Hyeon Hwang; Chanwoong Yoon; Taewhoo Lee; Jaewoo Kang</x:v>
      </x:c>
      <x:c r="J60" s="22" t="n">
        <x:v>2024</x:v>
      </x:c>
      <x:c r="K60" s="27" t="str">
        <x:v>In the medical domain, numerous scenarios necessitate the long-form generation ability of large language models (LLMs). Specifically, when addressing patients' questions, it is essential that the model's response conveys factual claims, highlighting the need for an automated method to evaluate those claims. Thus, we introduce MedLFQA, a benchmark dataset reconstructed using long-form question-answering datasets related to the biomedical domain. We use MedLFQA to facilitate a cost-effective automatic evaluations of factuality. We also propose OLAPH, a simple and novel framework that utilizes cost-effective and multifaceted automatic evaluation to construct a synthetic preference set and answers questions in our preferred manner. Our framework leads us to train LLMs step-by-step to reduce hallucinations and include crucial medical claims. We highlight that, even on evaluation metrics not used during training, LLMs trained with our OLAPH framework demonstrate significant performance improvement in factuality. Our findings reveal that a 7B LLM trained with our OLAPH framework can provide long answers comparable to the medical experts' answers in terms of factuality. We believe that our work could shed light on gauging the long-text generation ability of LLMs in the medical domain. Our code and datasets are available.</x:v>
      </x:c>
      <x:c r="L60" s="17" t="str">
        <x:v>http://arxiv.org/abs/2405.12701v3</x:v>
      </x:c>
      <x:c r="M60" s="23" t="n">
        <x:v>0.015151515151515152</x:v>
      </x:c>
      <x:c r="N60" s="17" t="str">
        <x:v>arxiv-paper-eval-20260726-140242-results.jsonl</x:v>
      </x:c>
      <x:c r="O60" s="24" t="str">
        <x:v>2</x:v>
      </x:c>
      <x:c r="P60" s="28" t="str">
        <x:v>构建医学长问答事实性基准和自动评价流程，同时用于改进模型。</x:v>
      </x:c>
      <x:c r="Q60" s="25" t="str"/>
      <x:c r="R60" s="24" t="str">
        <x:f>IF(Q60&lt;&gt;"",Q60,O60)</x:f>
        <x:v>2</x:v>
      </x:c>
      <x:c r="S60" s="29" t="str"/>
    </x:row>
    <x:row r="61" ht="54" customHeight="1">
      <x:c r="A61" s="17" t="str">
        <x:v>csq003-r20</x:v>
      </x:c>
      <x:c r="B61" s="17" t="str">
        <x:v>csq003</x:v>
      </x:c>
      <x:c r="C61" s="17" t="str">
        <x:v>natural_language_processing</x:v>
      </x:c>
      <x:c r="D61" s="17" t="str">
        <x:v>hallucination_evaluation</x:v>
      </x:c>
      <x:c r="E61" s="27" t="str">
        <x:v>Which automatic and human evaluation methods are used to measure hallucination and factual consistency in large language models, and what evidence exists about their reliability?</x:v>
      </x:c>
      <x:c r="F61" s="22" t="n">
        <x:v>20</x:v>
      </x:c>
      <x:c r="G61" s="17" t="str">
        <x:v>arXiv:2409.14038</x:v>
      </x:c>
      <x:c r="H61" s="27" t="str">
        <x:v>OAEI-LLM: A Benchmark Dataset for Understanding Large Language Model Hallucinations in Ontology Matching</x:v>
      </x:c>
      <x:c r="I61" s="17" t="str">
        <x:v>Zhangcheng Qiang; Kerry Taylor; Weiqing Wang; Jing Jiang</x:v>
      </x:c>
      <x:c r="J61" s="22" t="n">
        <x:v>2024</x:v>
      </x:c>
      <x:c r="K61" s="27" t="str">
        <x:v>Hallucinations of large language models (LLMs) commonly occur in domain-specific downstream tasks, with no exception in ontology matching (OM). The prevalence of using LLMs for OM raises the need for benchmarks to better understand LLM hallucinations. The OAEI-LLM dataset is an extended version of the Ontology Alignment Evaluation Initiative (OAEI) datasets that evaluate LLM-specific hallucinations in OM tasks. We outline the methodology used in dataset construction and schema extension, and provide examples of potential use cases.</x:v>
      </x:c>
      <x:c r="L61" s="17" t="str">
        <x:v>http://arxiv.org/abs/2409.14038v6</x:v>
      </x:c>
      <x:c r="M61" s="23" t="n">
        <x:v>0.015151515151515152</x:v>
      </x:c>
      <x:c r="N61" s="17" t="str">
        <x:v>arxiv-paper-eval-20260726-140242-results.jsonl</x:v>
      </x:c>
      <x:c r="O61" s="24" t="str">
        <x:v>2</x:v>
      </x:c>
      <x:c r="P61" s="28" t="str">
        <x:v>构建本体匹配场景的LLM幻觉基准，直接提供领域化评测协议。</x:v>
      </x:c>
      <x:c r="Q61" s="25" t="str"/>
      <x:c r="R61" s="24" t="str">
        <x:f>IF(Q61&lt;&gt;"",Q61,O61)</x:f>
        <x:v>2</x:v>
      </x:c>
      <x:c r="S61" s="29" t="str"/>
    </x:row>
    <x:row r="62" ht="54" customHeight="1">
      <x:c r="A62" s="17" t="str">
        <x:v>csq004-r01</x:v>
      </x:c>
      <x:c r="B62" s="17" t="str">
        <x:v>csq004</x:v>
      </x:c>
      <x:c r="C62" s="17" t="str">
        <x:v>natural_language_processing</x:v>
      </x:c>
      <x:c r="D62" s="17" t="str">
        <x:v>llm_as_a_judge</x:v>
      </x:c>
      <x:c r="E62" s="27" t="str">
        <x:v>What limitations and biases have been identified in LLM-as-a-judge evaluation, and which mitigation strategies have been proposed?</x:v>
      </x:c>
      <x:c r="F62" s="22" t="n">
        <x:v>1</x:v>
      </x:c>
      <x:c r="G62" s="17" t="str">
        <x:v>arXiv:2503.05061</x:v>
      </x:c>
      <x:c r="H62" s="27" t="str">
        <x:v>No Free Labels: Limitations of LLM-as-a-Judge Without Human Grounding</x:v>
      </x:c>
      <x:c r="I62" s="17" t="str">
        <x:v>Michael Krumdick; Charles Lovering; Varshini Reddy; Seth Ebner; Chris Tanner</x:v>
      </x:c>
      <x:c r="J62" s="22" t="n">
        <x:v>2025</x:v>
      </x:c>
      <x:c r="K62" s="27" t="str">
        <x:v>Reliable evaluation of large language models (LLMs) is critical as their deployment rapidly expands, particularly in high-stakes domains such as business and finance. The LLM-as-a-Judge framework, which uses prompted LLMs to evaluate response quality, is appealing due to its scalability, low cost, and strong correlations with human stylistic preferences. However, it remains unclear how accurately these methods can assess response quality in domains where correctness matters more than style. To address this gap, we introduce the Business and Finance Fundamentals Benchmark (BFF-Bench), a dataset of 160 challenging questions and long-form responses authored by financial professionals. These experts subsequently evaluated the correctness of 1,200 responses generated by a diverse set of LLMs on both BFF-Bench and a challenging subset of MT-Bench. With this expert-annotated dataset of judgments (VERDICTS), we analyze the agreement between a suite of automated grading methods and human experts. While we observe that LLM Judges are more reliable than other grading methods, our findings reveal a clear pattern in LLM Judge performance: when not provided with a correct reference, judges show high agreement with human experts only on questions the judges were able to correctly answer themselves. We demonstrate that providing the judges with expert-written references largely mitigates this issue, highlighting the limits of using LLM-as-a-Judge without any form of human verification.</x:v>
      </x:c>
      <x:c r="L62" s="17" t="str">
        <x:v>http://arxiv.org/abs/2503.05061v2</x:v>
      </x:c>
      <x:c r="M62" s="23" t="n">
        <x:v>0.05887445887445887</x:v>
      </x:c>
      <x:c r="N62" s="17" t="str">
        <x:v>arxiv-paper-eval-20260726-140242-results.jsonl</x:v>
      </x:c>
      <x:c r="O62" s="24" t="str">
        <x:v>2</x:v>
      </x:c>
      <x:c r="P62" s="28" t="str">
        <x:v>直接检验缺乏人工基准时LLM评审的准确性限制。</x:v>
      </x:c>
      <x:c r="Q62" s="25" t="str"/>
      <x:c r="R62" s="24" t="str">
        <x:f>IF(Q62&lt;&gt;"",Q62,O62)</x:f>
        <x:v>2</x:v>
      </x:c>
      <x:c r="S62" s="29" t="str"/>
    </x:row>
    <x:row r="63" ht="54" customHeight="1">
      <x:c r="A63" s="17" t="str">
        <x:v>csq004-r02</x:v>
      </x:c>
      <x:c r="B63" s="17" t="str">
        <x:v>csq004</x:v>
      </x:c>
      <x:c r="C63" s="17" t="str">
        <x:v>natural_language_processing</x:v>
      </x:c>
      <x:c r="D63" s="17" t="str">
        <x:v>llm_as_a_judge</x:v>
      </x:c>
      <x:c r="E63" s="27" t="str">
        <x:v>What limitations and biases have been identified in LLM-as-a-judge evaluation, and which mitigation strategies have been proposed?</x:v>
      </x:c>
      <x:c r="F63" s="22" t="n">
        <x:v>2</x:v>
      </x:c>
      <x:c r="G63" s="17" t="str">
        <x:v>arXiv:2504.07887</x:v>
      </x:c>
      <x:c r="H63" s="27" t="str">
        <x:v>Benchmarking Adversarial Robustness to Bias Elicitation in Large Language Models: Scalable Automated Assessment with LLM-as-a-Judge</x:v>
      </x:c>
      <x:c r="I63" s="17" t="str">
        <x:v>Riccardo Cantini; Alessio Orsino; Massimo Ruggiero; Domenico Talia</x:v>
      </x:c>
      <x:c r="J63" s="22" t="n">
        <x:v>2025</x:v>
      </x:c>
      <x:c r="K63" s="27" t="str">
        <x:v>The growing integration of Large Language Models (LLMs) into critical societal domains has raised concerns about embedded biases that can perpetuate stereotypes and undermine fairness. Such biases may stem from historical inequalities in training data, linguistic imbalances, or adversarial manipulation. Despite mitigation efforts, recent studies show that LLMs remain vulnerable to adversarial attacks that elicit biased outputs. This work proposes a scalable benchmarking framework to assess LLM robustness to adversarial bias elicitation. Our methodology involves: (i) systematically probing models across multiple tasks targeting diverse sociocultural biases, (ii) quantifying robustness through safety scores using an LLM-as-a-Judge approach, and (iii) employing jailbreak techniques to reveal safety vulnerabilities. To facilitate systematic benchmarking, we release a curated dataset of bias-related prompts, named CLEAR-Bias. Our analysis, identifying DeepSeek V3 as the most reliable judge LLM, reveals that bias resilience is uneven, with age, disability, and intersectional biases among the most prominent. Some small models outperform larger ones in safety, suggesting that training and architecture may matter more than scale. However, no model is fully robust to adversarial elicitation, with jailbreak attacks using low-resource languages or refusal suppression proving effective across model families. We also find that successive LLM generations exhibit slight safety gains, while models fine-tuned for the medical domain tend to be less safe than their general-purpose counterparts.</x:v>
      </x:c>
      <x:c r="L63" s="17" t="str">
        <x:v>http://arxiv.org/abs/2504.07887v2</x:v>
      </x:c>
      <x:c r="M63" s="23" t="n">
        <x:v>0.04841188524590164</x:v>
      </x:c>
      <x:c r="N63" s="17" t="str">
        <x:v>arxiv-paper-eval-20260726-140242-results.jsonl</x:v>
      </x:c>
      <x:c r="O63" s="24" t="str">
        <x:v>1</x:v>
      </x:c>
      <x:c r="P63" s="28" t="str">
        <x:v>用LLM评审规模化评价被测模型的偏见，重点不是评审模型自身偏差。</x:v>
      </x:c>
      <x:c r="Q63" s="25" t="str"/>
      <x:c r="R63" s="24" t="str">
        <x:f>IF(Q63&lt;&gt;"",Q63,O63)</x:f>
        <x:v>1</x:v>
      </x:c>
      <x:c r="S63" s="29" t="str"/>
    </x:row>
    <x:row r="64" ht="54" customHeight="1">
      <x:c r="A64" s="17" t="str">
        <x:v>csq004-r03</x:v>
      </x:c>
      <x:c r="B64" s="17" t="str">
        <x:v>csq004</x:v>
      </x:c>
      <x:c r="C64" s="17" t="str">
        <x:v>natural_language_processing</x:v>
      </x:c>
      <x:c r="D64" s="17" t="str">
        <x:v>llm_as_a_judge</x:v>
      </x:c>
      <x:c r="E64" s="27" t="str">
        <x:v>What limitations and biases have been identified in LLM-as-a-judge evaluation, and which mitigation strategies have been proposed?</x:v>
      </x:c>
      <x:c r="F64" s="22" t="n">
        <x:v>3</x:v>
      </x:c>
      <x:c r="G64" s="17" t="str">
        <x:v>arXiv:2408.13006</x:v>
      </x:c>
      <x:c r="H64" s="27" t="str">
        <x:v>Systematic Evaluation of LLM-as-a-Judge in LLM Alignment Tasks: Explainable Metrics and Diverse Prompt Templates</x:v>
      </x:c>
      <x:c r="I64" s="17" t="str">
        <x:v>Hui Wei; Shenghua He; Tian Xia; Fei Liu; Andy Wong; Jingyang Lin; Mei Han</x:v>
      </x:c>
      <x:c r="J64" s="22" t="n">
        <x:v>2024</x:v>
      </x:c>
      <x:c r="K64" s="27" t="str">
        <x:v>LLM-as-a-Judge has been widely applied to evaluate and compare different LLM alignmnet approaches (e.g., RLHF and DPO). However, concerns regarding its reliability have emerged, due to LLM judges' biases and inconsistent decision-making. Previous research has developed evaluation frameworks to assess reliability of LLM judges and their alignment with human preferences. However, the employed evaluation metrics often lack adequate explainability and fail to address LLM internal inconsistency. Additionally, existing studies inadequately explore the impact of various prompt templates when applying LLM-as-a-Judge methods, leading to potentially inconsistent comparisons between different alignment algorithms. In this work, we systematically evaluate LLM-as-a-Judge on alignment tasks by defining more theoretically interpretable evaluation metrics and explicitly mitigating LLM internal inconsistency from reliability metrics. We develop an open-source framework to evaluate, compare, and visualize the reliability and alignment of LLM judges, which facilitates practitioners to choose LLM judges for alignment tasks. In the experiments, we examine effects of diverse prompt templates on LLM-judge reliability and also demonstrate our developed framework by comparing various LLM judges on two common alignment datasets (i.e., TL;DR Summarization and HH-RLHF-Helpfulness). Our results indicate a significant impact of prompt templates on LLM judge performance, as well as a mediocre alignment level between the tested LLM judges and human evaluators.</x:v>
      </x:c>
      <x:c r="L64" s="17" t="str">
        <x:v>http://arxiv.org/abs/2408.13006v2</x:v>
      </x:c>
      <x:c r="M64" s="23" t="n">
        <x:v>0.04666516279419505</x:v>
      </x:c>
      <x:c r="N64" s="17" t="str">
        <x:v>arxiv-paper-eval-20260726-140242-results.jsonl</x:v>
      </x:c>
      <x:c r="O64" s="24" t="str">
        <x:v>2</x:v>
      </x:c>
      <x:c r="P64" s="28" t="str">
        <x:v>系统分析LLM评审偏差与不一致，并提出可解释指标和多样提示模板。</x:v>
      </x:c>
      <x:c r="Q64" s="25" t="str"/>
      <x:c r="R64" s="24" t="str">
        <x:f>IF(Q64&lt;&gt;"",Q64,O64)</x:f>
        <x:v>2</x:v>
      </x:c>
      <x:c r="S64" s="29" t="str"/>
    </x:row>
    <x:row r="65" ht="54" customHeight="1">
      <x:c r="A65" s="17" t="str">
        <x:v>csq004-r04</x:v>
      </x:c>
      <x:c r="B65" s="17" t="str">
        <x:v>csq004</x:v>
      </x:c>
      <x:c r="C65" s="17" t="str">
        <x:v>natural_language_processing</x:v>
      </x:c>
      <x:c r="D65" s="17" t="str">
        <x:v>llm_as_a_judge</x:v>
      </x:c>
      <x:c r="E65" s="27" t="str">
        <x:v>What limitations and biases have been identified in LLM-as-a-judge evaluation, and which mitigation strategies have been proposed?</x:v>
      </x:c>
      <x:c r="F65" s="22" t="n">
        <x:v>4</x:v>
      </x:c>
      <x:c r="G65" s="17" t="str">
        <x:v>arXiv:2402.10669</x:v>
      </x:c>
      <x:c r="H65" s="27" t="str">
        <x:v>Humans or LLMs as the Judge? A Study on Judgement Biases</x:v>
      </x:c>
      <x:c r="I65" s="17" t="str">
        <x:v>Guiming Hardy Chen; Shunian Chen; Ziche Liu; Feng Jiang; Benyou Wang</x:v>
      </x:c>
      <x:c r="J65" s="22" t="n">
        <x:v>2024</x:v>
      </x:c>
      <x:c r="K65" s="27" t="str">
        <x:v>Adopting human and large language models (LLM) as judges (a.k.a human- and LLM-as-a-judge) for evaluating the performance of LLMs has recently gained attention. Nonetheless, this approach concurrently introduces potential biases from human and LLMs, questioning the reliability of the evaluation results. In this paper, we propose a novel framework that is free from referencing groundtruth annotations for investigating Misinformation Oversight Bias, Gender Bias, Authority Bias and Beauty Bias on LLM and human judges. We curate a dataset referring to the revised Bloom's Taxonomy and conduct thousands of evaluations. Results show that human and LLM judges are vulnerable to perturbations to various degrees, and that even the cutting-edge judges possess considerable biases. We further exploit these biases to conduct attacks on LLM judges. We hope that our work can notify the community of the bias and vulnerability of human- and LLM-as-a-judge, as well as the urgency of developing robust evaluation systems.</x:v>
      </x:c>
      <x:c r="L65" s="17" t="str">
        <x:v>http://arxiv.org/abs/2402.10669v5</x:v>
      </x:c>
      <x:c r="M65" s="23" t="n">
        <x:v>0.0454615036704589</x:v>
      </x:c>
      <x:c r="N65" s="17" t="str">
        <x:v>arxiv-paper-eval-20260726-140242-results.jsonl</x:v>
      </x:c>
      <x:c r="O65" s="24" t="str">
        <x:v>2</x:v>
      </x:c>
      <x:c r="P65" s="28" t="str">
        <x:v>比较人类和LLM评审的多类判断偏差，直接提供限制证据。</x:v>
      </x:c>
      <x:c r="Q65" s="25" t="str"/>
      <x:c r="R65" s="24" t="str">
        <x:f>IF(Q65&lt;&gt;"",Q65,O65)</x:f>
        <x:v>2</x:v>
      </x:c>
      <x:c r="S65" s="29" t="str"/>
    </x:row>
    <x:row r="66" ht="54" customHeight="1">
      <x:c r="A66" s="17" t="str">
        <x:v>csq004-r05</x:v>
      </x:c>
      <x:c r="B66" s="17" t="str">
        <x:v>csq004</x:v>
      </x:c>
      <x:c r="C66" s="17" t="str">
        <x:v>natural_language_processing</x:v>
      </x:c>
      <x:c r="D66" s="17" t="str">
        <x:v>llm_as_a_judge</x:v>
      </x:c>
      <x:c r="E66" s="27" t="str">
        <x:v>What limitations and biases have been identified in LLM-as-a-judge evaluation, and which mitigation strategies have been proposed?</x:v>
      </x:c>
      <x:c r="F66" s="22" t="n">
        <x:v>5</x:v>
      </x:c>
      <x:c r="G66" s="17" t="str">
        <x:v>arXiv:2411.15594</x:v>
      </x:c>
      <x:c r="H66" s="27" t="str">
        <x:v>A Survey on LLM-as-a-Judge</x:v>
      </x:c>
      <x:c r="I66" s="17" t="str">
        <x:v>Jiawei Gu; Xuhui Jiang; Zhichao Shi; Hexiang Tan; Xuehao Zhai; Chengjin Xu; Wei Li; Yinghan Shen; Shengjie Ma; Honghao Liu; Saizhuo Wang; Kun Zhang; Yuanzhuo Wang; Wen Gao; Lionel Ni; Jian Guo</x:v>
      </x:c>
      <x:c r="J66" s="22" t="n">
        <x:v>2024</x:v>
      </x:c>
      <x:c r="K66" s="27" t="str">
        <x:v>Accurate and consistent evaluation is crucial for decision-making across numerous fields, yet it remains a challenging task due to inherent subjectivity, variability, and scale. Large Language Models (LLMs) have achieved remarkable success across diverse domains, leading to the emergence of "LLM-as-a-Judge," where LLMs are employed as evaluators for complex tasks. With their ability to process diverse data types and provide scalable, cost-effective, and consistent assessments, LLMs present a compelling alternative to traditional expert-driven evaluations. However, ensuring the reliability of LLM-as-a-Judge systems remains a significant challenge that requires careful design and standardization. This paper provides a comprehensive survey of LLM-as-a-Judge, addressing the core question: How can reliable LLM-as-a-Judge systems be built? We explore strategies to enhance reliability, including improving consistency, mitigating biases, and adapting to diverse assessment scenarios. Additionally, we propose methodologies for evaluating the reliability of LLM-as-a-Judge systems, supported by a novel benchmark designed for this purpose. To advance the development and real-world deployment of LLM-as-a-Judge systems, we also discussed practical applications, challenges, and future directions. This survey serves as a foundational reference for researchers and practitioners in this rapidly evolving field.</x:v>
      </x:c>
      <x:c r="L66" s="17" t="str">
        <x:v>http://arxiv.org/abs/2411.15594v6</x:v>
      </x:c>
      <x:c r="M66" s="23" t="n">
        <x:v>0.032266458495966696</x:v>
      </x:c>
      <x:c r="N66" s="17" t="str">
        <x:v>arxiv-paper-eval-20260726-140242-results.jsonl</x:v>
      </x:c>
      <x:c r="O66" s="24" t="str">
        <x:v>2</x:v>
      </x:c>
      <x:c r="P66" s="28" t="str">
        <x:v>LLM-as-a-judge综述直接覆盖方法、局限、偏差及改进方向。</x:v>
      </x:c>
      <x:c r="Q66" s="25" t="str"/>
      <x:c r="R66" s="24" t="str">
        <x:f>IF(Q66&lt;&gt;"",Q66,O66)</x:f>
        <x:v>2</x:v>
      </x:c>
      <x:c r="S66" s="29" t="str"/>
    </x:row>
    <x:row r="67" ht="54" customHeight="1">
      <x:c r="A67" s="17" t="str">
        <x:v>csq004-r06</x:v>
      </x:c>
      <x:c r="B67" s="17" t="str">
        <x:v>csq004</x:v>
      </x:c>
      <x:c r="C67" s="17" t="str">
        <x:v>natural_language_processing</x:v>
      </x:c>
      <x:c r="D67" s="17" t="str">
        <x:v>llm_as_a_judge</x:v>
      </x:c>
      <x:c r="E67" s="27" t="str">
        <x:v>What limitations and biases have been identified in LLM-as-a-judge evaluation, and which mitigation strategies have been proposed?</x:v>
      </x:c>
      <x:c r="F67" s="22" t="n">
        <x:v>6</x:v>
      </x:c>
      <x:c r="G67" s="17" t="str">
        <x:v>arXiv:2508.07805</x:v>
      </x:c>
      <x:c r="H67" s="27" t="str">
        <x:v>Can You Trick the Grader? Adversarial Persuasion of LLM Judges</x:v>
      </x:c>
      <x:c r="I67" s="17" t="str">
        <x:v>Yerin Hwang; Dongryeol Lee; Taegwan Kang; Yongil Kim; Kyomin Jung</x:v>
      </x:c>
      <x:c r="J67" s="22" t="n">
        <x:v>2025</x:v>
      </x:c>
      <x:c r="K67" s="27" t="str">
        <x:v>As large language models take on growing roles as automated evaluators in practical settings, a critical question arises: Can individuals persuade an LLM judge to assign unfairly high scores? This study is the first to reveal that strategically embedded persuasive language can bias LLM judges when scoring mathematical reasoning tasks, where correctness should be independent of stylistic variation. Grounded in Aristotle's rhetorical principles, we formalize seven persuasion techniques (Majority, Consistency, Flattery, Reciprocity, Pity, Authority, Identity) and embed them into otherwise identical responses. Across six math benchmarks, we find that persuasive language leads LLM judges to assign inflated scores to incorrect solutions, by up to 8% on average, with Consistency causing the most severe distortion. Notably, increasing model size does not substantially mitigate this vulnerability. Further analysis demonstrates that combining multiple persuasion techniques amplifies the bias, and pairwise evaluation is likewise susceptible. Moreover, the persuasive effect persists under counter prompting strategies, highlighting a critical vulnerability in LLM-as-a-Judge pipelines and underscoring the need for robust defenses against persuasion-based attacks.</x:v>
      </x:c>
      <x:c r="L67" s="17" t="str">
        <x:v>http://arxiv.org/abs/2508.07805v1</x:v>
      </x:c>
      <x:c r="M67" s="23" t="n">
        <x:v>0.03055037313432836</x:v>
      </x:c>
      <x:c r="N67" s="17" t="str">
        <x:v>arxiv-paper-eval-20260726-140242-results.jsonl</x:v>
      </x:c>
      <x:c r="O67" s="24" t="str">
        <x:v>2</x:v>
      </x:c>
      <x:c r="P67" s="28" t="str">
        <x:v>揭示说服性语言对LLM评分的对抗偏置，直接属于鲁棒性限制。</x:v>
      </x:c>
      <x:c r="Q67" s="25" t="str"/>
      <x:c r="R67" s="24" t="str">
        <x:f>IF(Q67&lt;&gt;"",Q67,O67)</x:f>
        <x:v>2</x:v>
      </x:c>
      <x:c r="S67" s="29" t="str"/>
    </x:row>
    <x:row r="68" ht="54" customHeight="1">
      <x:c r="A68" s="17" t="str">
        <x:v>csq004-r07</x:v>
      </x:c>
      <x:c r="B68" s="17" t="str">
        <x:v>csq004</x:v>
      </x:c>
      <x:c r="C68" s="17" t="str">
        <x:v>natural_language_processing</x:v>
      </x:c>
      <x:c r="D68" s="17" t="str">
        <x:v>llm_as_a_judge</x:v>
      </x:c>
      <x:c r="E68" s="27" t="str">
        <x:v>What limitations and biases have been identified in LLM-as-a-judge evaluation, and which mitigation strategies have been proposed?</x:v>
      </x:c>
      <x:c r="F68" s="22" t="n">
        <x:v>7</x:v>
      </x:c>
      <x:c r="G68" s="17" t="str">
        <x:v>arXiv:2503.00596</x:v>
      </x:c>
      <x:c r="H68" s="27" t="str">
        <x:v>BadJudge: Backdoor Vulnerabilities of LLM-as-a-Judge</x:v>
      </x:c>
      <x:c r="I68" s="17" t="str">
        <x:v>Terry Tong; Fei Wang; Zhe Zhao; Muhao Chen</x:v>
      </x:c>
      <x:c r="J68" s="22" t="n">
        <x:v>2025</x:v>
      </x:c>
      <x:c r="K68" s="27" t="str">
        <x:v>This paper proposes a novel backdoor threat attacking the LLM-as-a-Judge evaluation regime, where the adversary controls both the candidate and evaluator model. The backdoored evaluator victimizes benign users by unfairly assigning inflated scores to adversary. A trivial single token backdoor poisoning 1% of the evaluator training data triples the adversary's score with respect to their legitimate score. We systematically categorize levels of data access corresponding to three real-world settings, (1) web poisoning, (2) malicious annotator, and (3) weight poisoning. These regimes reflect a weak to strong escalation of data access that highly correlates with attack severity. Under the weakest assumptions - web poisoning (1), the adversary still induces a 20% score inflation. Likewise, in the (3) weight poisoning regime, the stronger assumptions enable the adversary to inflate their scores from 1.5/5 to 4.9/5. The backdoor threat generalizes across different evaluator architectures, trigger designs, evaluation tasks, and poisoning rates. By poisoning 10% of the evaluator training data, we control toxicity judges (Guardrails) to misclassify toxic prompts as non-toxic 89% of the time, and document reranker judges in RAG to rank the poisoned document first 97% of the time. LLM-as-a-Judge is uniquely positioned at the intersection of ethics and technology, where social implications of mislead model selection and evaluation constrain the available defensive tools. Amidst these challenges, model merging emerges as a principled tool to offset the backdoor, reducing ASR to near 0% whilst maintaining SOTA performance. Model merging's low computational cost and convenient integration into the current LLM Judge training pipeline position it as a promising avenue for backdoor mitigation in the LLM-as-a-Judge setting.</x:v>
      </x:c>
      <x:c r="L68" s="17" t="str">
        <x:v>http://arxiv.org/abs/2503.00596v1</x:v>
      </x:c>
      <x:c r="M68" s="23" t="n">
        <x:v>0.03055037313432836</x:v>
      </x:c>
      <x:c r="N68" s="17" t="str">
        <x:v>arxiv-paper-eval-20260726-140242-results.jsonl</x:v>
      </x:c>
      <x:c r="O68" s="24" t="str">
        <x:v>2</x:v>
      </x:c>
      <x:c r="P68" s="28" t="str">
        <x:v>系统研究LLM评审的后门漏洞与攻击场景，直接说明安全限制。</x:v>
      </x:c>
      <x:c r="Q68" s="25" t="str"/>
      <x:c r="R68" s="24" t="str">
        <x:f>IF(Q68&lt;&gt;"",Q68,O68)</x:f>
        <x:v>2</x:v>
      </x:c>
      <x:c r="S68" s="29" t="str"/>
    </x:row>
    <x:row r="69" ht="54" customHeight="1">
      <x:c r="A69" s="17" t="str">
        <x:v>csq004-r08</x:v>
      </x:c>
      <x:c r="B69" s="17" t="str">
        <x:v>csq004</x:v>
      </x:c>
      <x:c r="C69" s="17" t="str">
        <x:v>natural_language_processing</x:v>
      </x:c>
      <x:c r="D69" s="17" t="str">
        <x:v>llm_as_a_judge</x:v>
      </x:c>
      <x:c r="E69" s="27" t="str">
        <x:v>What limitations and biases have been identified in LLM-as-a-judge evaluation, and which mitigation strategies have been proposed?</x:v>
      </x:c>
      <x:c r="F69" s="22" t="n">
        <x:v>8</x:v>
      </x:c>
      <x:c r="G69" s="17" t="str">
        <x:v>arXiv:2506.09443</x:v>
      </x:c>
      <x:c r="H69" s="27" t="str">
        <x:v>LLMs Cannot Reliably Judge (Yet?): A Comprehensive Assessment on the Robustness of LLM-as-a-Judge</x:v>
      </x:c>
      <x:c r="I69" s="17" t="str">
        <x:v>Songze Li; Chuokun Xu; Jiaying Wang; Xueluan Gong; Chen Chen; Jirui Zhang; Jun Wang; Kwok-Yan Lam; Shouling Ji</x:v>
      </x:c>
      <x:c r="J69" s="22" t="n">
        <x:v>2025</x:v>
      </x:c>
      <x:c r="K69" s="27" t="str">
        <x:v>Large Language Models (LLMs) have demonstrated exceptional capabilities across diverse tasks, driving the development and widespread adoption of LLM-as-a-Judge systems for automated evaluation, including red teaming and benchmarking. However, these systems are susceptible to adversarial attacks that can manipulate evaluation outcomes, raising critical concerns about their robustness and trustworthiness. Existing evaluation methods for LLM-based judges are often fragmented and lack a unified framework for comprehensive robustness assessment. Furthermore, the impact of prompt template design and model selection on judge robustness has rarely been explored, and their performance in real-world deployments remains largely unverified. To address these gaps, we introduce RobustJudge, a fully automated and scalable framework designed to systematically evaluate the robustness of LLM-as-a-Judge systems. Specifically, RobustJudge investigates the effectiveness of 15 attack methods and 7 defense strategies across 12 models (RQ1), examines the impact of prompt template design and model selection (RQ2), and evaluates the security of real-world deployments (RQ3). Our study yields three key findings: (1) LLM-as-a-Judge systems are highly vulnerable to attacks such as PAIR and combined attacks, while defense mechanisms such as re-tokenization and LLM-based detectors can provide enhanced protection; (2) robustness varies substantially across prompt templates (up to 40%); (3) deploying RobustJudge on Alibaba's PAI platform uncovers previously undiscovered vulnerabilities. These results offer practical insights for building trustworthy LLM-as-a-Judge systems.</x:v>
      </x:c>
      <x:c r="L69" s="17" t="str">
        <x:v>http://arxiv.org/abs/2506.09443v2</x:v>
      </x:c>
      <x:c r="M69" s="23" t="n">
        <x:v>0.02782608695652174</x:v>
      </x:c>
      <x:c r="N69" s="17" t="str">
        <x:v>arxiv-paper-eval-20260726-140242-results.jsonl</x:v>
      </x:c>
      <x:c r="O69" s="24" t="str">
        <x:v>2</x:v>
      </x:c>
      <x:c r="P69" s="28" t="str">
        <x:v>综合评估LLM评审的对抗鲁棒性并寻求统一框架，直接命中。</x:v>
      </x:c>
      <x:c r="Q69" s="25" t="str"/>
      <x:c r="R69" s="24" t="str">
        <x:f>IF(Q69&lt;&gt;"",Q69,O69)</x:f>
        <x:v>2</x:v>
      </x:c>
      <x:c r="S69" s="29" t="str"/>
    </x:row>
    <x:row r="70" ht="54" customHeight="1">
      <x:c r="A70" s="17" t="str">
        <x:v>csq004-r09</x:v>
      </x:c>
      <x:c r="B70" s="17" t="str">
        <x:v>csq004</x:v>
      </x:c>
      <x:c r="C70" s="17" t="str">
        <x:v>natural_language_processing</x:v>
      </x:c>
      <x:c r="D70" s="17" t="str">
        <x:v>llm_as_a_judge</x:v>
      </x:c>
      <x:c r="E70" s="27" t="str">
        <x:v>What limitations and biases have been identified in LLM-as-a-judge evaluation, and which mitigation strategies have been proposed?</x:v>
      </x:c>
      <x:c r="F70" s="22" t="n">
        <x:v>9</x:v>
      </x:c>
      <x:c r="G70" s="17" t="str">
        <x:v>arXiv:2410.02736</x:v>
      </x:c>
      <x:c r="H70" s="27" t="str">
        <x:v>Justice or Prejudice? Quantifying Biases in LLM-as-a-Judge</x:v>
      </x:c>
      <x:c r="I70" s="17" t="str">
        <x:v>Jiayi Ye; Yanbo Wang; Yue Huang; Dongping Chen; Qihui Zhang; Nuno Moniz; Tian Gao; Werner Geyer; Chao Huang; Pin-Yu Chen; Nitesh V Chawla; Xiangliang Zhang</x:v>
      </x:c>
      <x:c r="J70" s="22" t="n">
        <x:v>2024</x:v>
      </x:c>
      <x:c r="K70" s="27" t="str">
        <x:v>LLM-as-a-Judge has been widely utilized as an evaluation method in various benchmarks and served as supervised rewards in model training. However, despite their excellence in many domains, potential issues are under-explored, undermining their reliability and the scope of their utility. Therefore, we identify 12 key potential biases and propose a new automated bias quantification framework-CALM-which systematically quantifies and analyzes each type of bias in LLM-as-a-Judge by using automated and principle-guided modification. Our experiments cover multiple popular language models, and the results indicate that while advanced models have achieved commendable overall performance, significant biases persist in certain specific tasks. Empirical results suggest that there remains room for improvement in the reliability of LLM-as-a-Judge. Moreover, we also discuss the explicit and implicit influence of these biases and give some suggestions for the reliable application of LLM-as-a-Judge. Our work highlights the need for stakeholders to address these issues and remind users to exercise caution in LLM-as-a-Judge applications.</x:v>
      </x:c>
      <x:c r="L70" s="17" t="str">
        <x:v>http://arxiv.org/abs/2410.02736v2</x:v>
      </x:c>
      <x:c r="M70" s="23" t="n">
        <x:v>0.027598020555767037</x:v>
      </x:c>
      <x:c r="N70" s="17" t="str">
        <x:v>arxiv-paper-eval-20260726-140242-results.jsonl</x:v>
      </x:c>
      <x:c r="O70" s="24" t="str">
        <x:v>2</x:v>
      </x:c>
      <x:c r="P70" s="28" t="str">
        <x:v>识别并量化十二类LLM评审偏差，直接提供偏差分类和评估方案。</x:v>
      </x:c>
      <x:c r="Q70" s="25" t="str"/>
      <x:c r="R70" s="24" t="str">
        <x:f>IF(Q70&lt;&gt;"",Q70,O70)</x:f>
        <x:v>2</x:v>
      </x:c>
      <x:c r="S70" s="29" t="str"/>
    </x:row>
    <x:row r="71" ht="54" customHeight="1">
      <x:c r="A71" s="17" t="str">
        <x:v>csq004-r10</x:v>
      </x:c>
      <x:c r="B71" s="17" t="str">
        <x:v>csq004</x:v>
      </x:c>
      <x:c r="C71" s="17" t="str">
        <x:v>natural_language_processing</x:v>
      </x:c>
      <x:c r="D71" s="17" t="str">
        <x:v>llm_as_a_judge</x:v>
      </x:c>
      <x:c r="E71" s="27" t="str">
        <x:v>What limitations and biases have been identified in LLM-as-a-judge evaluation, and which mitigation strategies have been proposed?</x:v>
      </x:c>
      <x:c r="F71" s="22" t="n">
        <x:v>10</x:v>
      </x:c>
      <x:c r="G71" s="17" t="str">
        <x:v>arXiv:2503.05965</x:v>
      </x:c>
      <x:c r="H71" s="27" t="str">
        <x:v>Validating LLM-as-a-Judge Systems under Rating Indeterminacy</x:v>
      </x:c>
      <x:c r="I71" s="17" t="str">
        <x:v>Luke Guerdan; Solon Barocas; Kenneth Holstein; Hanna Wallach; Zhiwei Steven Wu; Alexandra Chouldechova</x:v>
      </x:c>
      <x:c r="J71" s="22" t="n">
        <x:v>2025</x:v>
      </x:c>
      <x:c r="K71" s="27" t="str">
        <x:v>The LLM-as-a-judge paradigm, in which a judge LLM system replaces human raters in rating the outputs of other generative AI (GenAI) systems, plays a critical role in scaling and standardizing GenAI evaluations. To validate such judge systems, evaluators assess human--judge agreement by first collecting multiple human ratings for each item in a validation corpus, then aggregating the ratings into a single, per-item gold label rating. For many items, however, rating criteria may admit multiple valid interpretations, so a human or LLM rater may deem multiple ratings "reasonable" or "correct." We call this condition rating indeterminacy. Problematically, many rating tasks that contain rating indeterminacy rely on forced-choice elicitation, whereby raters are instructed to select only one rating for each item. In this paper, we introduce a framework for validating LLM-as-a-judge systems under rating indeterminacy. We draw theoretical connections between different measures of judge system performance under different human--judge agreement metrics, and different rating elicitation and aggregation schemes. We demonstrate that differences in how humans and LLMs resolve rating indeterminacy when responding to forced-choice rating instructions can heavily bias LLM-as-a-judge validation. Through extensive experiments involving 11 real-world rating tasks and 9 commercial LLMs, we show that standard validation approaches that rely upon forced-choice ratings select judge systems that are highly suboptimal, performing as much as 31% worse than judge systems selected by our approach that uses multi-label "response set" ratings to account for rating indeterminacy. We conclude with concrete recommendations for more principled approaches to LLM-as-a-judge validation.</x:v>
      </x:c>
      <x:c r="L71" s="17" t="str">
        <x:v>http://arxiv.org/abs/2503.05965v4</x:v>
      </x:c>
      <x:c r="M71" s="23" t="n">
        <x:v>0.027402402402402402</x:v>
      </x:c>
      <x:c r="N71" s="17" t="str">
        <x:v>arxiv-paper-eval-20260726-140242-results.jsonl</x:v>
      </x:c>
      <x:c r="O71" s="24" t="str">
        <x:v>2</x:v>
      </x:c>
      <x:c r="P71" s="28" t="str">
        <x:v>指出评分不确定性下单一人工金标的局限并提出验证思路。</x:v>
      </x:c>
      <x:c r="Q71" s="25" t="str"/>
      <x:c r="R71" s="24" t="str">
        <x:f>IF(Q71&lt;&gt;"",Q71,O71)</x:f>
        <x:v>2</x:v>
      </x:c>
      <x:c r="S71" s="29" t="str"/>
    </x:row>
    <x:row r="72" ht="54" customHeight="1">
      <x:c r="A72" s="17" t="str">
        <x:v>csq004-r11</x:v>
      </x:c>
      <x:c r="B72" s="17" t="str">
        <x:v>csq004</x:v>
      </x:c>
      <x:c r="C72" s="17" t="str">
        <x:v>natural_language_processing</x:v>
      </x:c>
      <x:c r="D72" s="17" t="str">
        <x:v>llm_as_a_judge</x:v>
      </x:c>
      <x:c r="E72" s="27" t="str">
        <x:v>What limitations and biases have been identified in LLM-as-a-judge evaluation, and which mitigation strategies have been proposed?</x:v>
      </x:c>
      <x:c r="F72" s="22" t="n">
        <x:v>11</x:v>
      </x:c>
      <x:c r="G72" s="17" t="str">
        <x:v>arXiv:2502.06193</x:v>
      </x:c>
      <x:c r="H72" s="27" t="str">
        <x:v>Can LLMs Replace Human Evaluators? An Empirical Study of LLM-as-a-Judge in Software Engineering</x:v>
      </x:c>
      <x:c r="I72" s="17" t="str">
        <x:v>Ruiqi Wang; Jiyu Guo; Cuiyun Gao; Guodong Fan; Chun Yong Chong; Xin Xia</x:v>
      </x:c>
      <x:c r="J72" s="22" t="n">
        <x:v>2025</x:v>
      </x:c>
      <x:c r="K72" s="27" t="str">
        <x:v>Recently, large language models (LLMs) have been deployed to tackle various software engineering (SE) tasks like code generation, significantly advancing the automation of SE tasks. However, assessing the quality of these LLM-generated code and text remains challenging. The commonly used Pass@k metric necessitates extensive unit tests and configured environments, demands a high labor cost, and is not suitable for evaluating LLM-generated text. Conventional metrics like BLEU, which measure only lexical rather than semantic similarity, have also come under scrutiny. In response, a new trend has emerged to employ LLMs for automated evaluation, known as LLM-as-a-judge. These LLM-as-a-judge methods are claimed to better mimic human assessment than conventional metrics without relying on high-quality reference answers. Nevertheless, their exact human alignment in SE tasks remains unexplored. In this paper, we empirically explore LLM-as-a-judge methods for evaluating SE tasks, focusing on their alignment with human judgments. We select seven LLM-as-a-judge methods that utilize general-purpose LLMs, alongside two LLMs specifically fine-tuned for evaluation. After generating and manually scoring LLM responses on three recent SE datasets of code translation, code generation, and code summarization, we then prompt these methods to evaluate each response. Finally, we compare the scores generated by these methods with human evaluation. The results indicate that output-based methods reach the highest Pearson correlation of 81.32 and 68.51 with human scores in code translation and generation, achieving near-human evaluation, noticeably outperforming ChrF++, one of the best conventional metrics, at 34.23 and 64.92. Such output-based methods prompt LLMs to output judgments directly, and exhibit more balanced score distributions that resemble human score patterns. Finally, we provide...</x:v>
      </x:c>
      <x:c r="L72" s="17" t="str">
        <x:v>http://arxiv.org/abs/2502.06193v3</x:v>
      </x:c>
      <x:c r="M72" s="23" t="n">
        <x:v>0.01639344262295082</x:v>
      </x:c>
      <x:c r="N72" s="17" t="str">
        <x:v>arxiv-paper-eval-20260726-140242-results.jsonl</x:v>
      </x:c>
      <x:c r="O72" s="24" t="str">
        <x:v>2</x:v>
      </x:c>
      <x:c r="P72" s="28" t="str">
        <x:v>在软件工程中实证比较LLM与人工评估，直接检验替代可靠性。</x:v>
      </x:c>
      <x:c r="Q72" s="25" t="str"/>
      <x:c r="R72" s="24" t="str">
        <x:f>IF(Q72&lt;&gt;"",Q72,O72)</x:f>
        <x:v>2</x:v>
      </x:c>
      <x:c r="S72" s="29" t="str"/>
    </x:row>
    <x:row r="73" ht="54" customHeight="1">
      <x:c r="A73" s="17" t="str">
        <x:v>csq004-r12</x:v>
      </x:c>
      <x:c r="B73" s="17" t="str">
        <x:v>csq004</x:v>
      </x:c>
      <x:c r="C73" s="17" t="str">
        <x:v>natural_language_processing</x:v>
      </x:c>
      <x:c r="D73" s="17" t="str">
        <x:v>llm_as_a_judge</x:v>
      </x:c>
      <x:c r="E73" s="27" t="str">
        <x:v>What limitations and biases have been identified in LLM-as-a-judge evaluation, and which mitigation strategies have been proposed?</x:v>
      </x:c>
      <x:c r="F73" s="22" t="n">
        <x:v>12</x:v>
      </x:c>
      <x:c r="G73" s="17" t="str">
        <x:v>arXiv:2505.13348</x:v>
      </x:c>
      <x:c r="H73" s="27" t="str">
        <x:v>Investigating the Vulnerability of LLM-as-a-Judge Architectures to Prompt-Injection Attacks</x:v>
      </x:c>
      <x:c r="I73" s="17" t="str">
        <x:v>Narek Maloyan; Bislan Ashinov; Dmitry Namiot</x:v>
      </x:c>
      <x:c r="J73" s="22" t="n">
        <x:v>2025</x:v>
      </x:c>
      <x:c r="K73" s="27" t="str">
        <x:v>Large Language Models (LLMs) are increasingly employed as evaluators (LLM-as-a-Judge) for assessing the quality of machine-generated text. This paradigm offers scalability and cost-effectiveness compared to human annotation. However, the reliability and security of such systems, particularly their robustness against adversarial manipulations, remain critical concerns. This paper investigates the vulnerability of LLM-as-a-Judge architectures to prompt-injection attacks, where malicious inputs are designed to compromise the judge's decision-making process. We formalize two primary attack strategies: Comparative Undermining Attack (CUA), which directly targets the final decision output, and Justification Manipulation Attack (JMA), which aims to alter the model's generated reasoning. Using the Greedy Coordinate Gradient (GCG) optimization method, we craft adversarial suffixes appended to one of the responses being compared. Experiments conducted on the MT-Bench Human Judgments dataset with open-source instruction-tuned LLMs (Qwen2.5-3B-Instruct and Falcon3-3B-Instruct) demonstrate significant susceptibility. The CUA achieves an Attack Success Rate (ASR) exceeding 30\%, while JMA also shows notable effectiveness. These findings highlight substantial vulnerabilities in current LLM-as-a-Judge systems, underscoring the need for robust defense mechanisms and further research into adversarial evaluation and trustworthiness in LLM-based assessment frameworks.</x:v>
      </x:c>
      <x:c r="L73" s="17" t="str">
        <x:v>http://arxiv.org/abs/2505.13348v1</x:v>
      </x:c>
      <x:c r="M73" s="23" t="n">
        <x:v>0.016129032258064516</x:v>
      </x:c>
      <x:c r="N73" s="17" t="str">
        <x:v>arxiv-paper-eval-20260726-140242-results.jsonl</x:v>
      </x:c>
      <x:c r="O73" s="24" t="str">
        <x:v>2</x:v>
      </x:c>
      <x:c r="P73" s="28" t="str">
        <x:v>直接测试提示注入对LLM评审架构可靠性与安全性的破坏。</x:v>
      </x:c>
      <x:c r="Q73" s="25" t="str"/>
      <x:c r="R73" s="24" t="str">
        <x:f>IF(Q73&lt;&gt;"",Q73,O73)</x:f>
        <x:v>2</x:v>
      </x:c>
      <x:c r="S73" s="29" t="str"/>
    </x:row>
    <x:row r="74" ht="54" customHeight="1">
      <x:c r="A74" s="17" t="str">
        <x:v>csq004-r13</x:v>
      </x:c>
      <x:c r="B74" s="17" t="str">
        <x:v>csq004</x:v>
      </x:c>
      <x:c r="C74" s="17" t="str">
        <x:v>natural_language_processing</x:v>
      </x:c>
      <x:c r="D74" s="17" t="str">
        <x:v>llm_as_a_judge</x:v>
      </x:c>
      <x:c r="E74" s="27" t="str">
        <x:v>What limitations and biases have been identified in LLM-as-a-judge evaluation, and which mitigation strategies have been proposed?</x:v>
      </x:c>
      <x:c r="F74" s="22" t="n">
        <x:v>13</x:v>
      </x:c>
      <x:c r="G74" s="17" t="str">
        <x:v>arXiv:2510.12462</x:v>
      </x:c>
      <x:c r="H74" s="27" t="str">
        <x:v>Evaluating and Mitigating LLM-as-a-judge Bias in Communication Systems</x:v>
      </x:c>
      <x:c r="I74" s="17" t="str">
        <x:v>Jiaxin Gao; Chen Chen; Yanwen Jia; Xueluan Gong; Kwok-Yan Lam; Qian Wang</x:v>
      </x:c>
      <x:c r="J74" s="22" t="n">
        <x:v>2025</x:v>
      </x:c>
      <x:c r="K74" s="27" t="str">
        <x:v>Large Language Models (LLMs) are increasingly being used to autonomously evaluate the quality of content in communication systems, e.g., to assess responses in telecom customer support chatbots. However, the impartiality of these AI "judges" is not guaranteed, and any biases in their evaluation criteria could skew outcomes and undermine user trust. In this paper, we systematically investigate judgment biases across 6 LLM-as-a-judge models spanning both prompt-based and fine-tuned judges under the pointwise scoring setting, encompassing 11 types of biases that cover both implicit and explicit forms. We observed that state-of-the-art LLM judges demonstrate robustness to biased inputs, generally assigning them lower scores than the corresponding clean samples. We further found that fine-tuning an LLM on high-scoring yet biased responses can significantly degrade its performance, highlighting the risk of training on biased data. We also discovered that the judged scores correlate with task difficulty: a challenging dataset like GPQA yields lower average scores, whereas an open-ended reasoning dataset (e.g., JudgeLM-val) sees higher average scores. Finally, we proposed four potential mitigation strategies to ensure fair and reliable AI judging in practical communication scenarios.</x:v>
      </x:c>
      <x:c r="L74" s="17" t="str">
        <x:v>http://arxiv.org/abs/2510.12462v3</x:v>
      </x:c>
      <x:c r="M74" s="23" t="n">
        <x:v>0.016129032258064516</x:v>
      </x:c>
      <x:c r="N74" s="17" t="str">
        <x:v>arxiv-paper-eval-20260726-140242-results.jsonl</x:v>
      </x:c>
      <x:c r="O74" s="24" t="str">
        <x:v>2</x:v>
      </x:c>
      <x:c r="P74" s="28" t="str">
        <x:v>系统评估通信场景LLM评审偏差并明确提出缓解方法。</x:v>
      </x:c>
      <x:c r="Q74" s="25" t="str"/>
      <x:c r="R74" s="24" t="str">
        <x:f>IF(Q74&lt;&gt;"",Q74,O74)</x:f>
        <x:v>2</x:v>
      </x:c>
      <x:c r="S74" s="29" t="str"/>
    </x:row>
    <x:row r="75" ht="54" customHeight="1">
      <x:c r="A75" s="17" t="str">
        <x:v>csq004-r14</x:v>
      </x:c>
      <x:c r="B75" s="17" t="str">
        <x:v>csq004</x:v>
      </x:c>
      <x:c r="C75" s="17" t="str">
        <x:v>natural_language_processing</x:v>
      </x:c>
      <x:c r="D75" s="17" t="str">
        <x:v>llm_as_a_judge</x:v>
      </x:c>
      <x:c r="E75" s="27" t="str">
        <x:v>What limitations and biases have been identified in LLM-as-a-judge evaluation, and which mitigation strategies have been proposed?</x:v>
      </x:c>
      <x:c r="F75" s="22" t="n">
        <x:v>14</x:v>
      </x:c>
      <x:c r="G75" s="17" t="str">
        <x:v>arXiv:2510.24367</x:v>
      </x:c>
      <x:c r="H75" s="27" t="str">
        <x:v>LLM-as-a-Judge for Software Engineering: Literature Review, Vision, and the Road Ahead</x:v>
      </x:c>
      <x:c r="I75" s="17" t="str">
        <x:v>Junda He; Jieke Shi; Terry Yue Zhuo; Christoph Treude; Jiamou Sun; Zhenchang Xing; Xiaoning Du; David Lo</x:v>
      </x:c>
      <x:c r="J75" s="22" t="n">
        <x:v>2025</x:v>
      </x:c>
      <x:c r="K75" s="27" t="str">
        <x:v>The rapid integration of Large Language Models (LLMs) into software engineering (SE) has revolutionized tasks like code generation, producing a massive volume of software artifacts. This surge has exposed a critical bottleneck: the lack of scalable, reliable methods to evaluate these outputs. Human evaluation is costly and time-consuming, while traditional automated metrics like BLEU fail to capture nuanced quality aspects. In response, the LLM-as-a-Judge paradigm - using LLMs for automated evaluation - has emerged. This approach leverages the advanced reasoning of LLMs, offering a path toward human-like nuance at automated scale. However, LLM-as-a-Judge research in SE is still in its early stages. This forward-looking SE 2030 paper aims to steer the community toward advancing LLM-as-a-Judge for evaluating LLM-generated software artifacts. We provide a literature review of existing SE studies, analyze their limitations, identify key research gaps, and outline a detailed roadmap. We envision these frameworks as reliable, robust, and scalable human surrogates capable of consistent, multi-faceted artifact evaluation by 2030. Our work aims to foster research and adoption of LLM-as-a-Judge frameworks, ultimately improving the scalability of software artifact evaluation.</x:v>
      </x:c>
      <x:c r="L75" s="17" t="str">
        <x:v>http://arxiv.org/abs/2510.24367v1</x:v>
      </x:c>
      <x:c r="M75" s="23" t="n">
        <x:v>0.016129032258064516</x:v>
      </x:c>
      <x:c r="N75" s="17" t="str">
        <x:v>arxiv-paper-eval-20260726-140242-results.jsonl</x:v>
      </x:c>
      <x:c r="O75" s="24" t="str">
        <x:v>2</x:v>
      </x:c>
      <x:c r="P75" s="28" t="str">
        <x:v>文献综述讨论软件工程LLM评审的可靠性挑战和未来改进。</x:v>
      </x:c>
      <x:c r="Q75" s="25" t="str"/>
      <x:c r="R75" s="24" t="str">
        <x:f>IF(Q75&lt;&gt;"",Q75,O75)</x:f>
        <x:v>2</x:v>
      </x:c>
      <x:c r="S75" s="29" t="str"/>
    </x:row>
    <x:row r="76" ht="54" customHeight="1">
      <x:c r="A76" s="17" t="str">
        <x:v>csq004-r15</x:v>
      </x:c>
      <x:c r="B76" s="17" t="str">
        <x:v>csq004</x:v>
      </x:c>
      <x:c r="C76" s="17" t="str">
        <x:v>natural_language_processing</x:v>
      </x:c>
      <x:c r="D76" s="17" t="str">
        <x:v>llm_as_a_judge</x:v>
      </x:c>
      <x:c r="E76" s="27" t="str">
        <x:v>What limitations and biases have been identified in LLM-as-a-judge evaluation, and which mitigation strategies have been proposed?</x:v>
      </x:c>
      <x:c r="F76" s="22" t="n">
        <x:v>15</x:v>
      </x:c>
      <x:c r="G76" s="17" t="str">
        <x:v>arXiv:2501.10970</x:v>
      </x:c>
      <x:c r="H76" s="27" t="str">
        <x:v>The Alternative Annotator Test for LLM-as-a-Judge: How to Statistically Justify Replacing Human Annotators with LLMs</x:v>
      </x:c>
      <x:c r="I76" s="17" t="str">
        <x:v>Nitay Calderon; Roi Reichart; Rotem Dror</x:v>
      </x:c>
      <x:c r="J76" s="22" t="n">
        <x:v>2025</x:v>
      </x:c>
      <x:c r="K76" s="27" t="str">
        <x:v>The "LLM-as-an-annotator" and "LLM-as-a-judge" paradigms employ Large Language Models (LLMs) as annotators, judges, and evaluators in tasks traditionally performed by humans. LLM annotations are widely used, not only in NLP research but also in fields like medicine, psychology, and social science. Despite their role in shaping study results and insights, there is no standard or rigorous procedure to determine whether LLMs can replace human annotators. In this paper, we propose a novel statistical procedure, the Alternative Annotator Test (alt-test), that requires only a modest subset of annotated examples to justify using LLM annotations. Additionally, we introduce a versatile and interpretable measure for comparing LLM annotators and judges. To demonstrate our procedure, we curated a diverse collection of ten datasets, consisting of language and vision-language tasks, and conducted experiments with six LLMs and four prompting techniques. Our results show that LLMs can sometimes replace humans with closed-source LLMs (such as GPT-4o), outperforming the open-source LLMs we examine, and that prompting techniques yield judges of varying quality. We hope this study encourages more rigorous and reliable practices.</x:v>
      </x:c>
      <x:c r="L76" s="17" t="str">
        <x:v>http://arxiv.org/abs/2501.10970v4</x:v>
      </x:c>
      <x:c r="M76" s="23" t="n">
        <x:v>0.015873015873015872</x:v>
      </x:c>
      <x:c r="N76" s="17" t="str">
        <x:v>arxiv-paper-eval-20260726-140242-results.jsonl</x:v>
      </x:c>
      <x:c r="O76" s="24" t="str">
        <x:v>2</x:v>
      </x:c>
      <x:c r="P76" s="28" t="str">
        <x:v>提出统计检验来判断LLM能否替代人工标注，属于关键可靠性缓解方案。</x:v>
      </x:c>
      <x:c r="Q76" s="25" t="str"/>
      <x:c r="R76" s="24" t="str">
        <x:f>IF(Q76&lt;&gt;"",Q76,O76)</x:f>
        <x:v>2</x:v>
      </x:c>
      <x:c r="S76" s="29" t="str"/>
    </x:row>
    <x:row r="77" ht="54" customHeight="1">
      <x:c r="A77" s="17" t="str">
        <x:v>csq004-r16</x:v>
      </x:c>
      <x:c r="B77" s="17" t="str">
        <x:v>csq004</x:v>
      </x:c>
      <x:c r="C77" s="17" t="str">
        <x:v>natural_language_processing</x:v>
      </x:c>
      <x:c r="D77" s="17" t="str">
        <x:v>llm_as_a_judge</x:v>
      </x:c>
      <x:c r="E77" s="27" t="str">
        <x:v>What limitations and biases have been identified in LLM-as-a-judge evaluation, and which mitigation strategies have been proposed?</x:v>
      </x:c>
      <x:c r="F77" s="22" t="n">
        <x:v>16</x:v>
      </x:c>
      <x:c r="G77" s="17" t="str">
        <x:v>arXiv:2406.07791</x:v>
      </x:c>
      <x:c r="H77" s="27" t="str">
        <x:v>Judging the Judges: A Systematic Study of Position Bias in LLM-as-a-Judge</x:v>
      </x:c>
      <x:c r="I77" s="17" t="str">
        <x:v>Lin Shi; Chiyu Ma; Wenhua Liang; Xingjian Diao; Weicheng Ma; Soroush Vosoughi</x:v>
      </x:c>
      <x:c r="J77" s="22" t="n">
        <x:v>2024</x:v>
      </x:c>
      <x:c r="K77" s="27" t="str">
        <x:v>LLM-as-a-Judge has emerged as a promising alternative to human evaluators across various tasks, yet inherent biases - particularly position bias, the tendency to favor solutions based on their position within the prompt - compromise its reliability. This exploratory study evaluates position bias in LLM judges across pairwise and list-wise comparison settings, introducing three metrics: repetition stability, position consistency, and preference fairness. Our experiments, involving 15 LLM judges across MTBench and DevBench with 22 tasks and approximately 40 solution-generating models, result in over 150,000 evaluation instances. We identify Judge-Level, Candidate-Level, and Task-Level factors contributing to bias. The findings confirm that position bias is not due to random chance and varies significantly across judges and tasks. While position bias is weakly influenced by the length of prompt components, it is strongly affected by the quality gap between solutions. Our agreement and disagreement analysis among judges further provides insights into the distribution of judging difficulty across the dataset, and highlights the potential for dataset modifications.</x:v>
      </x:c>
      <x:c r="L77" s="17" t="str">
        <x:v>http://arxiv.org/abs/2406.07791v9</x:v>
      </x:c>
      <x:c r="M77" s="23" t="n">
        <x:v>0.015873015873015872</x:v>
      </x:c>
      <x:c r="N77" s="17" t="str">
        <x:v>arxiv-paper-eval-20260726-140242-results.jsonl</x:v>
      </x:c>
      <x:c r="O77" s="24" t="str">
        <x:v>2</x:v>
      </x:c>
      <x:c r="P77" s="28" t="str">
        <x:v>系统研究位置偏差并定义稳定性、一致性和公平性指标。</x:v>
      </x:c>
      <x:c r="Q77" s="25" t="str"/>
      <x:c r="R77" s="24" t="str">
        <x:f>IF(Q77&lt;&gt;"",Q77,O77)</x:f>
        <x:v>2</x:v>
      </x:c>
      <x:c r="S77" s="29" t="str"/>
    </x:row>
    <x:row r="78" ht="54" customHeight="1">
      <x:c r="A78" s="17" t="str">
        <x:v>csq004-r17</x:v>
      </x:c>
      <x:c r="B78" s="17" t="str">
        <x:v>csq004</x:v>
      </x:c>
      <x:c r="C78" s="17" t="str">
        <x:v>natural_language_processing</x:v>
      </x:c>
      <x:c r="D78" s="17" t="str">
        <x:v>llm_as_a_judge</x:v>
      </x:c>
      <x:c r="E78" s="27" t="str">
        <x:v>What limitations and biases have been identified in LLM-as-a-judge evaluation, and which mitigation strategies have been proposed?</x:v>
      </x:c>
      <x:c r="F78" s="22" t="n">
        <x:v>17</x:v>
      </x:c>
      <x:c r="G78" s="17" t="str">
        <x:v>arXiv:2411.16594</x:v>
      </x:c>
      <x:c r="H78" s="27" t="str">
        <x:v>From Generation to Judgment: Opportunities and Challenges of LLM-as-a-judge</x:v>
      </x:c>
      <x:c r="I78" s="17" t="str">
        <x:v>Dawei Li; Bohan Jiang; Liangjie Huang; Alimohammad Beigi; Chengshuai Zhao; Zhen Tan; Amrita Bhattacharjee; Yuxuan Jiang; Canyu Chen; Tianhao Wu; Kai Shu; Lu Cheng; Huan Liu</x:v>
      </x:c>
      <x:c r="J78" s="22" t="n">
        <x:v>2024</x:v>
      </x:c>
      <x:c r="K78" s="27" t="str">
        <x:v>Assessment and evaluation have long been critical challenges in artificial intelligence (AI) and natural language processing (NLP). Traditional methods, usually matching-based or small model-based, often fall short in open-ended and dynamic scenarios. Recent advancements in Large Language Models (LLMs) inspire the "LLM-as-a-judge" paradigm, where LLMs are leveraged to perform scoring, ranking, or selection for various machine learning evaluation scenarios. This paper presents a comprehensive survey of LLM-based judgment and assessment, offering an in-depth overview to review this evolving field. We first provide the definition from both input and output perspectives. Then we introduce a systematic taxonomy to explore LLM-as-a-judge along three dimensions: what to judge, how to judge, and how to benchmark. Finally, we also highlight key challenges and promising future directions for this emerging area. More resources on LLM-as-a-judge are on the website: https://llm-as-a-judge.github.io and https://github.com/llm-as-a-judge/Awesome-LLM-as-a-judge.</x:v>
      </x:c>
      <x:c r="L78" s="17" t="str">
        <x:v>http://arxiv.org/abs/2411.16594v7</x:v>
      </x:c>
      <x:c r="M78" s="23" t="n">
        <x:v>0.015873015873015872</x:v>
      </x:c>
      <x:c r="N78" s="17" t="str">
        <x:v>arxiv-paper-eval-20260726-140242-results.jsonl</x:v>
      </x:c>
      <x:c r="O78" s="24" t="str">
        <x:v>2</x:v>
      </x:c>
      <x:c r="P78" s="28" t="str">
        <x:v>综述LLM评审的机会、应用与挑战，可直接支撑局限和策略总结。</x:v>
      </x:c>
      <x:c r="Q78" s="25" t="str"/>
      <x:c r="R78" s="24" t="str">
        <x:f>IF(Q78&lt;&gt;"",Q78,O78)</x:f>
        <x:v>2</x:v>
      </x:c>
      <x:c r="S78" s="29" t="str"/>
    </x:row>
    <x:row r="79" ht="54" customHeight="1">
      <x:c r="A79" s="17" t="str">
        <x:v>csq004-r18</x:v>
      </x:c>
      <x:c r="B79" s="17" t="str">
        <x:v>csq004</x:v>
      </x:c>
      <x:c r="C79" s="17" t="str">
        <x:v>natural_language_processing</x:v>
      </x:c>
      <x:c r="D79" s="17" t="str">
        <x:v>llm_as_a_judge</x:v>
      </x:c>
      <x:c r="E79" s="27" t="str">
        <x:v>What limitations and biases have been identified in LLM-as-a-judge evaluation, and which mitigation strategies have been proposed?</x:v>
      </x:c>
      <x:c r="F79" s="22" t="n">
        <x:v>18</x:v>
      </x:c>
      <x:c r="G79" s="17" t="str">
        <x:v>arXiv:2505.12201</x:v>
      </x:c>
      <x:c r="H79" s="27" t="str">
        <x:v>How Reliable is Multilingual LLM-as-a-Judge?</x:v>
      </x:c>
      <x:c r="I79" s="17" t="str">
        <x:v>Xiyan Fu; Wei Liu</x:v>
      </x:c>
      <x:c r="J79" s="22" t="n">
        <x:v>2025</x:v>
      </x:c>
      <x:c r="K79" s="27" t="str">
        <x:v>LLM-as-a-Judge has emerged as a popular evaluation strategy, where advanced large language models assess generation results in alignment with human instructions. While these models serve as a promising alternative to human annotators, their reliability in multilingual evaluation remains uncertain. To bridge this gap, we conduct a comprehensive analysis of multilingual LLM-as-a-Judge. Specifically, we evaluate five models from different model families across five diverse tasks involving 25 languages. Our findings reveal that LLMs struggle to achieve consistent judgment results across languages, with an average Fleiss' Kappa of approximately 0.3, and some models performing even worse. To investigate the cause of inconsistency, we analyze various influencing factors. We observe that consistency varies significantly across languages, with particularly poor performance in low-resource languages. Additionally, we find that neither training on multilingual data nor increasing model scale directly improves judgment consistency. These findings suggest that LLMs are not yet reliable for evaluating multilingual predictions. We finally propose an ensemble strategy which improves the consistency of the multilingual judge in real-world applications.</x:v>
      </x:c>
      <x:c r="L79" s="17" t="str">
        <x:v>http://arxiv.org/abs/2505.12201v1</x:v>
      </x:c>
      <x:c r="M79" s="23" t="n">
        <x:v>0.015625</x:v>
      </x:c>
      <x:c r="N79" s="17" t="str">
        <x:v>arxiv-paper-eval-20260726-140242-results.jsonl</x:v>
      </x:c>
      <x:c r="O79" s="24" t="str">
        <x:v>2</x:v>
      </x:c>
      <x:c r="P79" s="28" t="str">
        <x:v>跨任务和语言分析多语LLM评审可靠性，直接揭示语言相关失效。</x:v>
      </x:c>
      <x:c r="Q79" s="25" t="str"/>
      <x:c r="R79" s="24" t="str">
        <x:f>IF(Q79&lt;&gt;"",Q79,O79)</x:f>
        <x:v>2</x:v>
      </x:c>
      <x:c r="S79" s="29" t="str"/>
    </x:row>
    <x:row r="80" ht="54" customHeight="1">
      <x:c r="A80" s="17" t="str">
        <x:v>csq004-r19</x:v>
      </x:c>
      <x:c r="B80" s="17" t="str">
        <x:v>csq004</x:v>
      </x:c>
      <x:c r="C80" s="17" t="str">
        <x:v>natural_language_processing</x:v>
      </x:c>
      <x:c r="D80" s="17" t="str">
        <x:v>llm_as_a_judge</x:v>
      </x:c>
      <x:c r="E80" s="27" t="str">
        <x:v>What limitations and biases have been identified in LLM-as-a-judge evaluation, and which mitigation strategies have been proposed?</x:v>
      </x:c>
      <x:c r="F80" s="22" t="n">
        <x:v>19</x:v>
      </x:c>
      <x:c r="G80" s="17" t="str">
        <x:v>arXiv:2506.22316</x:v>
      </x:c>
      <x:c r="H80" s="27" t="str">
        <x:v>Evaluating Scoring Bias in LLM-as-a-Judge</x:v>
      </x:c>
      <x:c r="I80" s="17" t="str">
        <x:v>Qingquan Li; Shaoyu Dou; Kailai Shao; Chao Chen; Haixiang Hu</x:v>
      </x:c>
      <x:c r="J80" s="22" t="n">
        <x:v>2025</x:v>
      </x:c>
      <x:c r="K80" s="27" t="str">
        <x:v>The "LLM-as-a-Judge" paradigm, using Large Language Models (LLMs) as automated evaluators, is pivotal to LLM development, offering scalable feedback for complex tasks. However, the reliability of these judges is compromised by various biases. Existing research has heavily concentrated on biases in comparative evaluations. In contrast, scoring-based evaluations-which assign an absolute score and are often more practical in industrial applications-remain under-investigated. To address this gap, we undertake the first dedicated examination of scoring bias in LLM judges. We shift the focus from biases tied to the evaluation targets to those originating from the scoring prompt itself. We formally define scoring bias and identify three novel, previously unstudied types: rubric order bias, score ID bias, and reference answer score bias. We propose a comprehensive framework to quantify these biases, featuring a suite of multi-faceted metrics and an automatic data synthesis pipeline to create a tailored evaluation corpus. Our experiments empirically demonstrate that even the most advanced LLMs suffer from these substantial scoring biases. Our analysis yields actionable insights for designing more robust scoring prompts and mitigating these newly identified biases.</x:v>
      </x:c>
      <x:c r="L80" s="17" t="str">
        <x:v>http://arxiv.org/abs/2506.22316v4</x:v>
      </x:c>
      <x:c r="M80" s="23" t="n">
        <x:v>0.015384615384615385</x:v>
      </x:c>
      <x:c r="N80" s="17" t="str">
        <x:v>arxiv-paper-eval-20260726-140242-results.jsonl</x:v>
      </x:c>
      <x:c r="O80" s="24" t="str">
        <x:v>2</x:v>
      </x:c>
      <x:c r="P80" s="28" t="str">
        <x:v>专门评估绝对打分场景的LLM评审偏差，填补已有偏差研究空白。</x:v>
      </x:c>
      <x:c r="Q80" s="25" t="str"/>
      <x:c r="R80" s="24" t="str">
        <x:f>IF(Q80&lt;&gt;"",Q80,O80)</x:f>
        <x:v>2</x:v>
      </x:c>
      <x:c r="S80" s="29" t="str"/>
    </x:row>
    <x:row r="81" ht="54" customHeight="1">
      <x:c r="A81" s="17" t="str">
        <x:v>csq004-r20</x:v>
      </x:c>
      <x:c r="B81" s="17" t="str">
        <x:v>csq004</x:v>
      </x:c>
      <x:c r="C81" s="17" t="str">
        <x:v>natural_language_processing</x:v>
      </x:c>
      <x:c r="D81" s="17" t="str">
        <x:v>llm_as_a_judge</x:v>
      </x:c>
      <x:c r="E81" s="27" t="str">
        <x:v>What limitations and biases have been identified in LLM-as-a-judge evaluation, and which mitigation strategies have been proposed?</x:v>
      </x:c>
      <x:c r="F81" s="22" t="n">
        <x:v>20</x:v>
      </x:c>
      <x:c r="G81" s="17" t="str">
        <x:v>arXiv:2407.03479</x:v>
      </x:c>
      <x:c r="H81" s="27" t="str">
        <x:v>Human-Centered Design Recommendations for LLM-as-a-Judge</x:v>
      </x:c>
      <x:c r="I81" s="17" t="str">
        <x:v>Qian Pan; Zahra Ashktorab; Michael Desmond; Martin Santillan Cooper; James Johnson; Rahul Nair; Elizabeth Daly; Werner Geyer</x:v>
      </x:c>
      <x:c r="J81" s="22" t="n">
        <x:v>2024</x:v>
      </x:c>
      <x:c r="K81" s="27" t="str">
        <x:v>Traditional reference-based metrics, such as BLEU and ROUGE, are less effective for assessing outputs from Large Language Models (LLMs) that produce highly creative or superior-quality text, or in situations where reference outputs are unavailable. While human evaluation remains an option, it is costly and difficult to scale. Recent work using LLMs as evaluators (LLM-as-a-judge) is promising, but trust and reliability remain a significant concern. Integrating human input is crucial to ensure criteria used to evaluate are aligned with the human's intent, and evaluations are robust and consistent. This paper presents a user study of a design exploration called EvaluLLM, that enables users to leverage LLMs as customizable judges, promoting human involvement to balance trust and cost-saving potential with caution. Through interviews with eight domain experts, we identified the need for assistance in developing effective evaluation criteria aligning the LLM-as-a-judge with practitioners' preferences and expectations. We offer findings and design recommendations to optimize human-assisted LLM-as-judge systems.</x:v>
      </x:c>
      <x:c r="L81" s="17" t="str">
        <x:v>http://arxiv.org/abs/2407.03479v1</x:v>
      </x:c>
      <x:c r="M81" s="23" t="n">
        <x:v>0.015384615384615385</x:v>
      </x:c>
      <x:c r="N81" s="17" t="str">
        <x:v>arxiv-paper-eval-20260726-140242-results.jsonl</x:v>
      </x:c>
      <x:c r="O81" s="24" t="str">
        <x:v>2</x:v>
      </x:c>
      <x:c r="P81" s="28" t="str">
        <x:v>围绕信任问题提出人类参与的LLM评审设计建议，直接属于缓解策略。</x:v>
      </x:c>
      <x:c r="Q81" s="25" t="str"/>
      <x:c r="R81" s="24" t="str">
        <x:f>IF(Q81&lt;&gt;"",Q81,O81)</x:f>
        <x:v>2</x:v>
      </x:c>
      <x:c r="S81" s="29" t="str"/>
    </x:row>
    <x:row r="82" ht="54" customHeight="1">
      <x:c r="A82" s="17" t="str">
        <x:v>csq005-r01</x:v>
      </x:c>
      <x:c r="B82" s="17" t="str">
        <x:v>csq005</x:v>
      </x:c>
      <x:c r="C82" s="17" t="str">
        <x:v>natural_language_processing</x:v>
      </x:c>
      <x:c r="D82" s="17" t="str">
        <x:v>long_context</x:v>
      </x:c>
      <x:c r="E82" s="27" t="str">
        <x:v>How have methods for extending the effective context length of transformer language models evolved, and what trade-offs do they make in memory, latency, and retrieval quality?</x:v>
      </x:c>
      <x:c r="F82" s="22" t="n">
        <x:v>1</x:v>
      </x:c>
      <x:c r="G82" s="17" t="str">
        <x:v>arXiv:2505.22842</x:v>
      </x:c>
      <x:c r="H82" s="27" t="str">
        <x:v>Bayesian Attention Mechanism: A Probabilistic Framework for Positional Encoding and Context Length Extrapolation</x:v>
      </x:c>
      <x:c r="I82" s="17" t="str">
        <x:v>Arthur S. Bianchessi; Yasmin C. Aguirre; Rodrigo C. Barros; Lucas S. Kupssinskü</x:v>
      </x:c>
      <x:c r="J82" s="22" t="n">
        <x:v>2025</x:v>
      </x:c>
      <x:c r="K82" s="27" t="str">
        <x:v>Transformer-based language models rely on positional encoding (PE) to handle token order and support context length extrapolation. However, existing PE methods lack theoretical clarity and rely on limited evaluation metrics to substantiate their extrapolation claims. We propose the Bayesian Attention Mechanism (BAM), a theoretical framework that formulates positional encoding as a prior within a probabilistic model. BAM unifies existing methods (e.g., NoPE and ALiBi) and motivates a new Generalized Gaussian positional prior that substantially improves long-context generalization. Empirically, BAM enables accurate information retrieval at $500\times$ the training context length, outperforming previous state-of-the-art context length generalization in long context retrieval accuracy while maintaining comparable perplexity and introducing minimal additional parameters.</x:v>
      </x:c>
      <x:c r="L82" s="17" t="str">
        <x:v>http://arxiv.org/abs/2505.22842v4</x:v>
      </x:c>
      <x:c r="M82" s="23" t="n">
        <x:v>0.03225806451612903</x:v>
      </x:c>
      <x:c r="N82" s="17" t="str">
        <x:v>arxiv-paper-eval-20260726-140242-results.jsonl</x:v>
      </x:c>
      <x:c r="O82" s="24" t="str">
        <x:v>2</x:v>
      </x:c>
      <x:c r="P82" s="28" t="str">
        <x:v>以概率位置编码研究上下文长度外推并指出现有评测不足，直接相关。</x:v>
      </x:c>
      <x:c r="Q82" s="25" t="str"/>
      <x:c r="R82" s="24" t="str">
        <x:f>IF(Q82&lt;&gt;"",Q82,O82)</x:f>
        <x:v>2</x:v>
      </x:c>
      <x:c r="S82" s="29" t="str"/>
    </x:row>
    <x:row r="83" ht="54" customHeight="1">
      <x:c r="A83" s="17" t="str">
        <x:v>csq005-r02</x:v>
      </x:c>
      <x:c r="B83" s="17" t="str">
        <x:v>csq005</x:v>
      </x:c>
      <x:c r="C83" s="17" t="str">
        <x:v>natural_language_processing</x:v>
      </x:c>
      <x:c r="D83" s="17" t="str">
        <x:v>long_context</x:v>
      </x:c>
      <x:c r="E83" s="27" t="str">
        <x:v>How have methods for extending the effective context length of transformer language models evolved, and what trade-offs do they make in memory, latency, and retrieval quality?</x:v>
      </x:c>
      <x:c r="F83" s="22" t="n">
        <x:v>2</x:v>
      </x:c>
      <x:c r="G83" s="17" t="str">
        <x:v>arXiv:2503.10589</x:v>
      </x:c>
      <x:c r="H83" s="27" t="str">
        <x:v>Long Context Tuning for Video Generation</x:v>
      </x:c>
      <x:c r="I83" s="17" t="str">
        <x:v>Yuwei Guo; Ceyuan Yang; Ziyan Yang; Zhibei Ma; Zhijie Lin; Zhenheng Yang; Dahua Lin; Lu Jiang</x:v>
      </x:c>
      <x:c r="J83" s="22" t="n">
        <x:v>2025</x:v>
      </x:c>
      <x:c r="K83" s="27" t="str">
        <x:v>Recent advances in video generation can produce realistic, minute-long single-shot videos with scalable diffusion transformers. However, real-world narrative videos require multi-shot scenes with visual and dynamic consistency across shots. In this work, we introduce Long Context Tuning (LCT), a training paradigm that expands the context window of pre-trained single-shot video diffusion models to learn scene-level consistency directly from data. Our method expands full attention mechanisms from individual shots to encompass all shots within a scene, incorporating interleaved 3D position embedding and an asynchronous noise strategy, enabling both joint and auto-regressive shot generation without additional parameters. Models with bidirectional attention after LCT can further be fine-tuned with context-causal attention, facilitating auto-regressive generation with efficient KV-cache. Experiments demonstrate single-shot models after LCT can produce coherent multi-shot scenes and exhibit emerging capabilities, including compositional generation and interactive shot extension, paving the way for more practical visual content creation. See https://guoyww.github.io/projects/long-context-video/ for more details.</x:v>
      </x:c>
      <x:c r="L83" s="17" t="str">
        <x:v>http://arxiv.org/abs/2503.10589v1</x:v>
      </x:c>
      <x:c r="M83" s="23" t="n">
        <x:v>0.03009207275993712</x:v>
      </x:c>
      <x:c r="N83" s="17" t="str">
        <x:v>arxiv-paper-eval-20260726-140242-results.jsonl</x:v>
      </x:c>
      <x:c r="O83" s="24" t="str">
        <x:v>0</x:v>
      </x:c>
      <x:c r="P83" s="28" t="str">
        <x:v>研究视频扩散模型的长上下文调优，不是Transformer语言模型。</x:v>
      </x:c>
      <x:c r="Q83" s="25" t="str"/>
      <x:c r="R83" s="24" t="str">
        <x:f>IF(Q83&lt;&gt;"",Q83,O83)</x:f>
        <x:v>0</x:v>
      </x:c>
      <x:c r="S83" s="29" t="str"/>
    </x:row>
    <x:row r="84" ht="54" customHeight="1">
      <x:c r="A84" s="17" t="str">
        <x:v>csq005-r03</x:v>
      </x:c>
      <x:c r="B84" s="17" t="str">
        <x:v>csq005</x:v>
      </x:c>
      <x:c r="C84" s="17" t="str">
        <x:v>natural_language_processing</x:v>
      </x:c>
      <x:c r="D84" s="17" t="str">
        <x:v>long_context</x:v>
      </x:c>
      <x:c r="E84" s="27" t="str">
        <x:v>How have methods for extending the effective context length of transformer language models evolved, and what trade-offs do they make in memory, latency, and retrieval quality?</x:v>
      </x:c>
      <x:c r="F84" s="22" t="n">
        <x:v>3</x:v>
      </x:c>
      <x:c r="G84" s="17" t="str">
        <x:v>arXiv:2502.17129</x:v>
      </x:c>
      <x:c r="H84" s="27" t="str">
        <x:v>Thus Spake Long-Context Large Language Model</x:v>
      </x:c>
      <x:c r="I84" s="17" t="str">
        <x:v>Xiaoran Liu; Ruixiao Li; Mianqiu Huang; Zhigeng Liu; Yuerong Song; Qipeng Guo; Siyang He; Qiqi Wang; Linlin Li; Qun Liu; Ziwei He; Yaqian Zhou; Xuanjing Huang; Xipeng Qiu</x:v>
      </x:c>
      <x:c r="J84" s="22" t="n">
        <x:v>2025</x:v>
      </x:c>
      <x:c r="K84" s="27" t="str">
        <x:v>Long context is an important topic in Natural Language Processing (NLP), running through the development of NLP architectures, and offers immense opportunities for Large Language Models (LLMs), giving LLMs the lifelong learning potential akin to humans. Unfortunately, the pursuit of a long context is accompanied by numerous obstacles. Nevertheless, long context remains a core competitive advantage for LLMs. In the past two years, the context length of LLMs has achieved a breakthrough extension to millions of tokens. Moreover, research on long-context LLMs has expanded beyond length extrapolation to a comprehensive focus on architecture, infrastructure, training, and evaluation technologies. Inspired by the symphonic poem, Thus Spake Zarathustra, we draw an analogy between the journey of extending the context of LLM and the attempts of humans to transcend their mortality. In this survey, we will illustrate how LLM struggles between the tremendous need for a longer context and its equal need to accept the fact that it is ultimately finite. To achieve this, we give a global picture of the lifecycle of long-context LLMs from four perspectives: architecture, infrastructure, training, and evaluation, showcasing the full spectrum of long-context technologies. At the end of this survey, we will present 10 unanswered questions currently faced by long-context LLMs. We hope this survey can serve as a systematic introduction to research on long-context LLMs. Video: https://www.bilibili.com/video/BV11h9AYoEYj. Github: https://github.com/OpenMOSS/Thus-Spake-Long-Context-LLM.</x:v>
      </x:c>
      <x:c r="L84" s="17" t="str">
        <x:v>http://arxiv.org/abs/2502.17129v2</x:v>
      </x:c>
      <x:c r="M84" s="23" t="n">
        <x:v>0.01639344262295082</x:v>
      </x:c>
      <x:c r="N84" s="17" t="str">
        <x:v>arxiv-paper-eval-20260726-140242-results.jsonl</x:v>
      </x:c>
      <x:c r="O84" s="24" t="str">
        <x:v>2</x:v>
      </x:c>
      <x:c r="P84" s="28" t="str">
        <x:v>围绕长上下文LLM的发展、障碍和机会展开综述，直接相关。</x:v>
      </x:c>
      <x:c r="Q84" s="25" t="str"/>
      <x:c r="R84" s="24" t="str">
        <x:f>IF(Q84&lt;&gt;"",Q84,O84)</x:f>
        <x:v>2</x:v>
      </x:c>
      <x:c r="S84" s="29" t="str"/>
    </x:row>
    <x:row r="85" ht="54" customHeight="1">
      <x:c r="A85" s="17" t="str">
        <x:v>csq005-r04</x:v>
      </x:c>
      <x:c r="B85" s="17" t="str">
        <x:v>csq005</x:v>
      </x:c>
      <x:c r="C85" s="17" t="str">
        <x:v>natural_language_processing</x:v>
      </x:c>
      <x:c r="D85" s="17" t="str">
        <x:v>long_context</x:v>
      </x:c>
      <x:c r="E85" s="27" t="str">
        <x:v>How have methods for extending the effective context length of transformer language models evolved, and what trade-offs do they make in memory, latency, and retrieval quality?</x:v>
      </x:c>
      <x:c r="F85" s="22" t="n">
        <x:v>4</x:v>
      </x:c>
      <x:c r="G85" s="17" t="str">
        <x:v>arXiv:2503.17876</x:v>
      </x:c>
      <x:c r="H85" s="27" t="str">
        <x:v>Satisfactory Medical Consultation based on Terminology-Enhanced Information Retrieval and Emotional In-Context Learning</x:v>
      </x:c>
      <x:c r="I85" s="17" t="str">
        <x:v>Kaiwen Zuo; Jing Tang; Hanbing Qin; Binli Luo; Ligang He; Shiyan Tang</x:v>
      </x:c>
      <x:c r="J85" s="22" t="n">
        <x:v>2025</x:v>
      </x:c>
      <x:c r="K85" s="27" t="str">
        <x:v>Recent advancements in Large Language Models (LLMs) have marked significant progress in understanding and responding to medical inquiries. However, their performance still falls short of the standards set by professional consultations. This paper introduces a novel framework for medical consultation, comprising two main modules: Terminology-Enhanced Information Retrieval (TEIR) and Emotional In-Context Learning (EICL). TEIR ensures implicit reasoning through the utilization of inductive knowledge and key terminology retrieval, overcoming the limitations of restricted domain knowledge in public databases. Additionally, this module features capabilities for processing long context. The EICL module aids in generating sentences with high attribute relevance by memorizing semantic and attribute information from unlabelled corpora and applying controlled retrieval for the required information. Furthermore, a dataset comprising 803,564 consultation records was compiled in China, significantly enhancing the model's capability for complex dialogues and proactive inquiry initiation. Comprehensive experiments demonstrate the proposed method's effectiveness in extending the context window length of existing LLMs. The experimental outcomes and extensive data validate the framework's superiority over five baseline models in terms of BLEU and ROUGE performance metrics, with substantial leads in certain capabilities. Notably, ablation studies confirm the significance of the TEIR and EICL components. In addition, our new framework has the potential to significantly improve patient satisfaction in real clinical consulting situations.</x:v>
      </x:c>
      <x:c r="L85" s="17" t="str">
        <x:v>http://arxiv.org/abs/2503.17876v1</x:v>
      </x:c>
      <x:c r="M85" s="23" t="n">
        <x:v>0.01639344262295082</x:v>
      </x:c>
      <x:c r="N85" s="17" t="str">
        <x:v>arxiv-paper-eval-20260726-140242-results.jsonl</x:v>
      </x:c>
      <x:c r="O85" s="24" t="str">
        <x:v>0</x:v>
      </x:c>
      <x:c r="P85" s="28" t="str">
        <x:v>重点是医疗检索和情感上下文学习，并非扩展语言模型有效上下文。</x:v>
      </x:c>
      <x:c r="Q85" s="25" t="str"/>
      <x:c r="R85" s="24" t="str">
        <x:f>IF(Q85&lt;&gt;"",Q85,O85)</x:f>
        <x:v>0</x:v>
      </x:c>
      <x:c r="S85" s="29" t="str"/>
    </x:row>
    <x:row r="86" ht="54" customHeight="1">
      <x:c r="A86" s="17" t="str">
        <x:v>csq005-r05</x:v>
      </x:c>
      <x:c r="B86" s="17" t="str">
        <x:v>csq005</x:v>
      </x:c>
      <x:c r="C86" s="17" t="str">
        <x:v>natural_language_processing</x:v>
      </x:c>
      <x:c r="D86" s="17" t="str">
        <x:v>long_context</x:v>
      </x:c>
      <x:c r="E86" s="27" t="str">
        <x:v>How have methods for extending the effective context length of transformer language models evolved, and what trade-offs do they make in memory, latency, and retrieval quality?</x:v>
      </x:c>
      <x:c r="F86" s="22" t="n">
        <x:v>5</x:v>
      </x:c>
      <x:c r="G86" s="17" t="str">
        <x:v>arXiv:2412.10319</x:v>
      </x:c>
      <x:c r="H86" s="27" t="str">
        <x:v>SCBench: A KV Cache-Centric Analysis of Long-Context Methods</x:v>
      </x:c>
      <x:c r="I86" s="17" t="str">
        <x:v>Yucheng Li; Huiqiang Jiang; Qianhui Wu; Xufang Luo; Surin Ahn; Chengruidong Zhang; Amir H. Abdi; Dongsheng Li; Jianfeng Gao; Yuqing Yang; Lili Qiu</x:v>
      </x:c>
      <x:c r="J86" s="22" t="n">
        <x:v>2024</x:v>
      </x:c>
      <x:c r="K86" s="27" t="str">
        <x:v>Long-context LLMs have enabled numerous downstream applications but also introduced significant challenges related to computational and memory efficiency. To address these challenges, optimizations for long-context inference have been developed, centered around the KV cache. However, existing benchmarks often evaluate in single-request, neglecting the full lifecycle of the KV cache in real-world use. This oversight is particularly critical, as KV cache reuse has become widely adopted in LLMs inference frameworks, such as vLLM and SGLang, as well as by LLM providers, including OpenAI, Microsoft, Google, and Anthropic. To address this gap, we introduce SCBench(SharedContextBench), a comprehensive benchmark for evaluating long-context methods from a KV cachecentric perspective: 1) KV cache generation, 2) KV cache compression, 3) KV cache retrieval, 4) KV cache loading. Specifically, SCBench uses test examples with shared context, ranging 12 tasks with two shared context modes, covering four categories of long-context capabilities: string retrieval, semantic retrieval, global information, and multi-task. With it, we provide an extensive KV cache-centric analysis of eight categories long-context solutions, including Gated Linear RNNs, Mamba-Attention hybrids, and efficient methods such as sparse attention, KV cache dropping, quantization, retrieval, loading, and prompt compression. The evaluation is conducted on 8 long-context LLMs. Our findings show that sub-O(n) memory methods suffer in multi-turn scenarios, while sparse encoding with O(n) memory and sub-O(n^2) pre-filling computation perform robustly. Dynamic sparsity yields more expressive KV caches than static patterns, and layer-level sparsity in hybrid architectures reduces memory usage with strong performance. Additionally, we identify attention distribution shift issues in long-generation scenarios. https://aka.ms/SCBench.</x:v>
      </x:c>
      <x:c r="L86" s="17" t="str">
        <x:v>http://arxiv.org/abs/2412.10319v2</x:v>
      </x:c>
      <x:c r="M86" s="23" t="n">
        <x:v>0.01639344262295082</x:v>
      </x:c>
      <x:c r="N86" s="17" t="str">
        <x:v>arxiv-paper-eval-20260726-140242-results.jsonl</x:v>
      </x:c>
      <x:c r="O86" s="24" t="str">
        <x:v>2</x:v>
      </x:c>
      <x:c r="P86" s="28" t="str">
        <x:v>从KV缓存全生命周期分析长上下文方法的计算、内存和实际效果。</x:v>
      </x:c>
      <x:c r="Q86" s="25" t="str"/>
      <x:c r="R86" s="24" t="str">
        <x:f>IF(Q86&lt;&gt;"",Q86,O86)</x:f>
        <x:v>2</x:v>
      </x:c>
      <x:c r="S86" s="29" t="str"/>
    </x:row>
    <x:row r="87" ht="54" customHeight="1">
      <x:c r="A87" s="17" t="str">
        <x:v>csq005-r06</x:v>
      </x:c>
      <x:c r="B87" s="17" t="str">
        <x:v>csq005</x:v>
      </x:c>
      <x:c r="C87" s="17" t="str">
        <x:v>natural_language_processing</x:v>
      </x:c>
      <x:c r="D87" s="17" t="str">
        <x:v>long_context</x:v>
      </x:c>
      <x:c r="E87" s="27" t="str">
        <x:v>How have methods for extending the effective context length of transformer language models evolved, and what trade-offs do they make in memory, latency, and retrieval quality?</x:v>
      </x:c>
      <x:c r="F87" s="22" t="n">
        <x:v>6</x:v>
      </x:c>
      <x:c r="G87" s="17" t="str">
        <x:v>arXiv:2505.09561</x:v>
      </x:c>
      <x:c r="H87" s="27" t="str">
        <x:v>Learning Long-Context Diffusion Policies via Past-Token Prediction</x:v>
      </x:c>
      <x:c r="I87" s="17" t="str">
        <x:v>Marcel Torne; Andy Tang; Yuejiang Liu; Chelsea Finn</x:v>
      </x:c>
      <x:c r="J87" s="22" t="n">
        <x:v>2025</x:v>
      </x:c>
      <x:c r="K87" s="27" t="str">
        <x:v>Reasoning over long sequences of observations and actions is essential for many robotic tasks. Yet, learning effective long-context policies from demonstrations remains challenging. As context length increases, training becomes increasingly expensive due to rising memory demands, and policy performance often degrades as a result of spurious correlations. Recent methods typically sidestep these issues by truncating context length, discarding historical information that may be critical for subsequent decisions. In this paper, we propose an alternative approach that explicitly regularizes the retention of past information. We first revisit the copycat problem in imitation learning and identify an opposite challenge in recent diffusion policies: rather than over-relying on prior actions, they often fail to capture essential dependencies between past and future actions. To address this, we introduce Past-Token Prediction (PTP), an auxiliary task in which the policy learns to predict past action tokens alongside future ones. This regularization significantly improves temporal modeling in the policy head, with minimal reliance on visual representations. Building on this observation, we further introduce a multistage training strategy: pre-train the visual encoder with short contexts, and fine-tune the policy head using cached long-context embeddings. This strategy preserves the benefits of PTP while greatly reducing memory and computational overhead. Finally, we extend PTP into a self-verification mechanism at test time, enabling the policy to score and select candidates consistent with past actions during inference. Experiments across four real-world and six simulated tasks demonstrate that our proposed method improves the performance of long-context diffusion policies by 3x and accelerates policy training by more than 10x.</x:v>
      </x:c>
      <x:c r="L87" s="17" t="str">
        <x:v>http://arxiv.org/abs/2505.09561v2</x:v>
      </x:c>
      <x:c r="M87" s="23" t="n">
        <x:v>0.016129032258064516</x:v>
      </x:c>
      <x:c r="N87" s="17" t="str">
        <x:v>arxiv-paper-eval-20260726-140242-results.jsonl</x:v>
      </x:c>
      <x:c r="O87" s="24" t="str">
        <x:v>0</x:v>
      </x:c>
      <x:c r="P87" s="28" t="str">
        <x:v>对象是机器人长上下文扩散策略，不是Transformer语言模型。</x:v>
      </x:c>
      <x:c r="Q87" s="25" t="str"/>
      <x:c r="R87" s="24" t="str">
        <x:f>IF(Q87&lt;&gt;"",Q87,O87)</x:f>
        <x:v>0</x:v>
      </x:c>
      <x:c r="S87" s="29" t="str"/>
    </x:row>
    <x:row r="88" ht="54" customHeight="1">
      <x:c r="A88" s="17" t="str">
        <x:v>csq005-r07</x:v>
      </x:c>
      <x:c r="B88" s="17" t="str">
        <x:v>csq005</x:v>
      </x:c>
      <x:c r="C88" s="17" t="str">
        <x:v>natural_language_processing</x:v>
      </x:c>
      <x:c r="D88" s="17" t="str">
        <x:v>long_context</x:v>
      </x:c>
      <x:c r="E88" s="27" t="str">
        <x:v>How have methods for extending the effective context length of transformer language models evolved, and what trade-offs do they make in memory, latency, and retrieval quality?</x:v>
      </x:c>
      <x:c r="F88" s="22" t="n">
        <x:v>7</x:v>
      </x:c>
      <x:c r="G88" s="17" t="str">
        <x:v>arXiv:2311.12351</x:v>
      </x:c>
      <x:c r="H88" s="27" t="str">
        <x:v>Advancing Transformer Architecture in Long-Context Large Language Models: A Comprehensive Survey</x:v>
      </x:c>
      <x:c r="I88" s="17" t="str">
        <x:v>Yunpeng Huang; Jingwei Xu; Junyu Lai; Zixu Jiang; Taolue Chen; Zenan Li; Yuan Yao; Xiaoxing Ma; Lijuan Yang; Hao Chen; Shupeng Li; Penghao Zhao</x:v>
      </x:c>
      <x:c r="J88" s="22" t="n">
        <x:v>2023</x:v>
      </x:c>
      <x:c r="K88" s="27" t="str">
        <x:v>Transformer-based Large Language Models (LLMs) have been applied in diverse areas such as knowledge bases, human interfaces, and dynamic agents, and marking a stride towards achieving Artificial General Intelligence (AGI). However, current LLMs are predominantly pretrained on short text snippets, which compromises their effectiveness in processing the long-context prompts that are frequently encountered in practical scenarios. This article offers a comprehensive survey of the recent advancement in Transformer-based LLM architectures aimed at enhancing the long-context capabilities of LLMs throughout the entire model lifecycle, from pre-training through to inference. We first delineate and analyze the problems of handling long-context input and output with the current Transformer-based models. We then provide a taxonomy and the landscape of upgrades on Transformer architecture to solve these problems. Afterwards, we provide an investigation on wildly used evaluation necessities tailored for long-context LLMs, including datasets, metrics, and baseline models, as well as optimization toolkits such as libraries, frameworks, and compilers to boost the efficacy of LLMs across different stages in runtime. Finally, we discuss the challenges and potential avenues for future research. A curated repository of relevant literature, continuously updated, is available at https://github.com/Strivin0311/long-llms-learning.</x:v>
      </x:c>
      <x:c r="L88" s="17" t="str">
        <x:v>http://arxiv.org/abs/2311.12351v2</x:v>
      </x:c>
      <x:c r="M88" s="23" t="n">
        <x:v>0.016129032258064516</x:v>
      </x:c>
      <x:c r="N88" s="17" t="str">
        <x:v>arxiv-paper-eval-20260726-140242-results.jsonl</x:v>
      </x:c>
      <x:c r="O88" s="24" t="str">
        <x:v>2</x:v>
      </x:c>
      <x:c r="P88" s="28" t="str">
        <x:v>全面综述长上下文LLM的Transformer架构演进及效率挑战。</x:v>
      </x:c>
      <x:c r="Q88" s="25" t="str"/>
      <x:c r="R88" s="24" t="str">
        <x:f>IF(Q88&lt;&gt;"",Q88,O88)</x:f>
        <x:v>2</x:v>
      </x:c>
      <x:c r="S88" s="29" t="str"/>
    </x:row>
    <x:row r="89" ht="54" customHeight="1">
      <x:c r="A89" s="17" t="str">
        <x:v>csq005-r08</x:v>
      </x:c>
      <x:c r="B89" s="17" t="str">
        <x:v>csq005</x:v>
      </x:c>
      <x:c r="C89" s="17" t="str">
        <x:v>natural_language_processing</x:v>
      </x:c>
      <x:c r="D89" s="17" t="str">
        <x:v>long_context</x:v>
      </x:c>
      <x:c r="E89" s="27" t="str">
        <x:v>How have methods for extending the effective context length of transformer language models evolved, and what trade-offs do they make in memory, latency, and retrieval quality?</x:v>
      </x:c>
      <x:c r="F89" s="22" t="n">
        <x:v>8</x:v>
      </x:c>
      <x:c r="G89" s="17" t="str">
        <x:v>arXiv:2503.17407</x:v>
      </x:c>
      <x:c r="H89" s="27" t="str">
        <x:v>A Comprehensive Survey on Long Context Language Modeling</x:v>
      </x:c>
      <x:c r="I89" s="17" t="str">
        <x:v>Jiaheng Liu; Dawei Zhu; Zhiqi Bai; Yancheng He; Huanxuan Liao; Haoran Que; Zekun Wang; Chenchen Zhang; Ge Zhang; Jiebin Zhang; Yuanxing Zhang; Zhuo Chen; Hangyu Guo; Shilong Li; Ziqiang Liu; Yong Shan; Yifan Song; Jiayi Tian; Wenhao Wu; Zhejian Zhou; Ruijie Zhu; Junlan Feng; Yang Gao; Shizhu He; Zhoujun Li; Tianyu Liu; Fanyu Meng; Wenbo Su; Yingshui Tan; Zili Wang; Jian Yang; Wei Ye; Bo Zheng; Wangchunshu Zhou; Wenhao Huang; Sujian Li; Zhaoxiang Zhang</x:v>
      </x:c>
      <x:c r="J89" s="22" t="n">
        <x:v>2025</x:v>
      </x:c>
      <x:c r="K89" s="27" t="str">
        <x:v>Efficient processing of long contexts has been a persistent pursuit in Natural Language Processing. With the growing number of long documents, dialogues, and other textual data, it is important to develop Long Context Language Models (LCLMs) that can process and analyze extensive inputs in an effective and efficient way. In this paper, we present a comprehensive survey on recent advances in long-context modeling for large language models. Our survey is structured around three key aspects: how to obtain effective and efficient LCLMs, how to train and deploy LCLMs efficiently, and how to evaluate and analyze LCLMs comprehensively. For the first aspect, we discuss data strategies, architectural designs, and workflow approaches oriented with long context processing. For the second aspect, we provide a detailed examination of the infrastructure required for LCLM training and inference. For the third aspect, we present evaluation paradigms for long-context comprehension and long-form generation, as well as behavioral analysis and mechanism interpretability of LCLMs. Beyond these three key aspects, we thoroughly explore the diverse application scenarios where existing LCLMs have been deployed and outline promising future development directions. This survey provides an up-to-date review of the literature on long-context LLMs, which we wish to serve as a valuable resource for both researchers and engineers. An associated GitHub repository collecting the latest papers and repos is available at: \href{https://github.com/LCLM-Horizon/A-Comprehensive-Survey-For-Long-Context-Language-Modeling}{\color[RGB]{175,36,67}{LCLM-Horizon}}.</x:v>
      </x:c>
      <x:c r="L89" s="17" t="str">
        <x:v>http://arxiv.org/abs/2503.17407v2</x:v>
      </x:c>
      <x:c r="M89" s="23" t="n">
        <x:v>0.015873015873015872</x:v>
      </x:c>
      <x:c r="N89" s="17" t="str">
        <x:v>arxiv-paper-eval-20260726-140242-results.jsonl</x:v>
      </x:c>
      <x:c r="O89" s="24" t="str">
        <x:v>2</x:v>
      </x:c>
      <x:c r="P89" s="28" t="str">
        <x:v>综合梳理长上下文语言建模方法与效率问题，直接回答演进。</x:v>
      </x:c>
      <x:c r="Q89" s="25" t="str"/>
      <x:c r="R89" s="24" t="str">
        <x:f>IF(Q89&lt;&gt;"",Q89,O89)</x:f>
        <x:v>2</x:v>
      </x:c>
      <x:c r="S89" s="29" t="str"/>
    </x:row>
    <x:row r="90" ht="54" customHeight="1">
      <x:c r="A90" s="17" t="str">
        <x:v>csq005-r09</x:v>
      </x:c>
      <x:c r="B90" s="17" t="str">
        <x:v>csq005</x:v>
      </x:c>
      <x:c r="C90" s="17" t="str">
        <x:v>natural_language_processing</x:v>
      </x:c>
      <x:c r="D90" s="17" t="str">
        <x:v>long_context</x:v>
      </x:c>
      <x:c r="E90" s="27" t="str">
        <x:v>How have methods for extending the effective context length of transformer language models evolved, and what trade-offs do they make in memory, latency, and retrieval quality?</x:v>
      </x:c>
      <x:c r="F90" s="22" t="n">
        <x:v>9</x:v>
      </x:c>
      <x:c r="G90" s="17" t="str">
        <x:v>arXiv:2502.14051</x:v>
      </x:c>
      <x:c r="H90" s="27" t="str">
        <x:v>RocketKV: Accelerating Long-Context LLM Inference via Two-Stage KV Cache Compression</x:v>
      </x:c>
      <x:c r="I90" s="17" t="str">
        <x:v>Payman Behnam; Yaosheng Fu; Ritchie Zhao; Po-An Tsai; Zhiding Yu; Alexey Tumanov</x:v>
      </x:c>
      <x:c r="J90" s="22" t="n">
        <x:v>2025</x:v>
      </x:c>
      <x:c r="K90" s="27" t="str">
        <x:v>Transformer-based Large Language Models rely critically on the KV cache to efficiently handle extended contexts during the decode phase. Yet, the size of the KV cache grows proportionally with the input length, burdening both memory bandwidth and capacity as decoding progresses. To address this challenge, we present RocketKV, a training-free KV cache compression strategy containing two consecutive stages. In the first stage, it performs coarse-grain permanent KV cache eviction on the input sequence tokens. In the second stage, it adopts a hybrid sparse attention method to conduct fine-grain top-k sparse attention, approximating the attention scores by leveraging both head and sequence dimensionality reductions. We show that RocketKV provides a compression ratio of up to 400$\times$, end-to-end speedup of up to 3.7$\times$ as well as peak memory reduction of up to 32.6% in the decode phase on an NVIDIA A100 GPU compared to the full KV cache baseline, while achieving negligible accuracy loss on a variety of long-context tasks. We also propose a variant of RocketKV for multi-turn scenarios, which consistently outperforms other existing methods and achieves accuracy nearly on par with an oracle top-k attention scheme. The source code is available here: https://github.com/NVlabs/RocketKV.</x:v>
      </x:c>
      <x:c r="L90" s="17" t="str">
        <x:v>http://arxiv.org/abs/2502.14051v3</x:v>
      </x:c>
      <x:c r="M90" s="23" t="n">
        <x:v>0.015873015873015872</x:v>
      </x:c>
      <x:c r="N90" s="17" t="str">
        <x:v>arxiv-paper-eval-20260726-140242-results.jsonl</x:v>
      </x:c>
      <x:c r="O90" s="24" t="str">
        <x:v>2</x:v>
      </x:c>
      <x:c r="P90" s="28" t="str">
        <x:v>以两阶段KV压缩降低长上下文内存带宽成本并评估精度保持。</x:v>
      </x:c>
      <x:c r="Q90" s="25" t="str"/>
      <x:c r="R90" s="24" t="str">
        <x:f>IF(Q90&lt;&gt;"",Q90,O90)</x:f>
        <x:v>2</x:v>
      </x:c>
      <x:c r="S90" s="29" t="str"/>
    </x:row>
    <x:row r="91" ht="54" customHeight="1">
      <x:c r="A91" s="17" t="str">
        <x:v>csq005-r10</x:v>
      </x:c>
      <x:c r="B91" s="17" t="str">
        <x:v>csq005</x:v>
      </x:c>
      <x:c r="C91" s="17" t="str">
        <x:v>natural_language_processing</x:v>
      </x:c>
      <x:c r="D91" s="17" t="str">
        <x:v>long_context</x:v>
      </x:c>
      <x:c r="E91" s="27" t="str">
        <x:v>How have methods for extending the effective context length of transformer language models evolved, and what trade-offs do they make in memory, latency, and retrieval quality?</x:v>
      </x:c>
      <x:c r="F91" s="22" t="n">
        <x:v>10</x:v>
      </x:c>
      <x:c r="G91" s="17" t="str">
        <x:v>arXiv:2411.09688</x:v>
      </x:c>
      <x:c r="H91" s="27" t="str">
        <x:v>Squeezed Attention: Accelerating Long Context Length LLM Inference</x:v>
      </x:c>
      <x:c r="I91" s="17" t="str">
        <x:v>Coleman Hooper; Sehoon Kim; Hiva Mohammadzadeh; Monishwaran Maheswaran; Sebastian Zhao; June Paik; Michael W. Mahoney; Kurt Keutzer; Amir Gholami</x:v>
      </x:c>
      <x:c r="J91" s="22" t="n">
        <x:v>2024</x:v>
      </x:c>
      <x:c r="K91" s="27" t="str">
        <x:v>Emerging Large Language Model (LLM) applications require long input context in order to perform complex tasks like document analysis and code generation. For these long context length applications, the length of the input prompt poses a significant challenge in terms of inference efficiency since the inference costs increase linearly with sequence length. However, for many of these applications, much of the context in the prompt is fixed across different user inputs, thereby providing the opportunity to perform offline optimizations in order to process user inputs quickly, as they are received. We propose Squeezed Attention to accelerate LLM applications where a large portion of the input context is fixed. We first leverage K-means clustering offline to group the keys for the fixed context based on semantic similarity and represent each cluster with a single centroid value. During inference, we compare query tokens from the user input with the centroids to predict which keys from the fixed context are semantically relevant, and then compute exact attention using only the important keys, thereby reducing bandwidth and computational costs. We also present a hierarchical version of our algorithm which can reduce the complexity of attention from linear to logarithmic with respect to the fixed context length. We evaluate our method on long-context benchmarks including LongBench, where it achieves a 3.1$\times$ reduction in KV budget with no noticeable accuracy loss and up to an 8$\times$ reduction with only a 0.5 point accuracy gap for the LLaMA-2-7B-32K, LWM-Text-Chat-1M, and Longchat-7B-v1.5-32K models. Futhermore, we implement kernels for centroid comparison and sparse FlashAttention with important keys, achieving more than 4$\times$ speedups during both the prefill and generation phases for long-context inference. Our code is available at https://github.com/SqueezeAILab/SqueezedAttention.</x:v>
      </x:c>
      <x:c r="L91" s="17" t="str">
        <x:v>http://arxiv.org/abs/2411.09688v3</x:v>
      </x:c>
      <x:c r="M91" s="23" t="n">
        <x:v>0.015873015873015872</x:v>
      </x:c>
      <x:c r="N91" s="17" t="str">
        <x:v>arxiv-paper-eval-20260726-140242-results.jsonl</x:v>
      </x:c>
      <x:c r="O91" s="24" t="str">
        <x:v>2</x:v>
      </x:c>
      <x:c r="P91" s="28" t="str">
        <x:v>通过压缩注意力加速长上下文推理，直接涉及延迟与信息保留权衡。</x:v>
      </x:c>
      <x:c r="Q91" s="25" t="str"/>
      <x:c r="R91" s="24" t="str">
        <x:f>IF(Q91&lt;&gt;"",Q91,O91)</x:f>
        <x:v>2</x:v>
      </x:c>
      <x:c r="S91" s="29" t="str"/>
    </x:row>
    <x:row r="92" ht="54" customHeight="1">
      <x:c r="A92" s="17" t="str">
        <x:v>csq005-r11</x:v>
      </x:c>
      <x:c r="B92" s="17" t="str">
        <x:v>csq005</x:v>
      </x:c>
      <x:c r="C92" s="17" t="str">
        <x:v>natural_language_processing</x:v>
      </x:c>
      <x:c r="D92" s="17" t="str">
        <x:v>long_context</x:v>
      </x:c>
      <x:c r="E92" s="27" t="str">
        <x:v>How have methods for extending the effective context length of transformer language models evolved, and what trade-offs do they make in memory, latency, and retrieval quality?</x:v>
      </x:c>
      <x:c r="F92" s="22" t="n">
        <x:v>11</x:v>
      </x:c>
      <x:c r="G92" s="17" t="str">
        <x:v>arXiv:2310.03025</x:v>
      </x:c>
      <x:c r="H92" s="27" t="str">
        <x:v>Retrieval meets Long Context Large Language Models</x:v>
      </x:c>
      <x:c r="I92" s="17" t="str">
        <x:v>Peng Xu; Wei Ping; Xianchao Wu; Lawrence McAfee; Chen Zhu; Zihan Liu; Sandeep Subramanian; Evelina Bakhturina; Mohammad Shoeybi; Bryan Catanzaro</x:v>
      </x:c>
      <x:c r="J92" s="22" t="n">
        <x:v>2023</x:v>
      </x:c>
      <x:c r="K92" s="27" t="str">
        <x:v>Extending the context window of large language models (LLMs) is getting popular recently, while the solution of augmenting LLMs with retrieval has existed for years. The natural questions are: i) Retrieval-augmentation versus long context window, which one is better for downstream tasks? ii) Can both methods be combined to get the best of both worlds? In this work, we answer these questions by studying both solutions using two state-of-the-art pretrained LLMs, i.e., a proprietary 43B GPT and Llama2-70B. Perhaps surprisingly, we find that LLM with 4K context window using simple retrieval-augmentation at generation can achieve comparable performance to finetuned LLM with 16K context window via positional interpolation on long context tasks, while taking much less computation. More importantly, we demonstrate that retrieval can significantly improve the performance of LLMs regardless of their extended context window sizes. Our best model, retrieval-augmented Llama2-70B with 32K context window, outperforms GPT-3.5-turbo-16k and Davinci003 in terms of average score on nine long context tasks including question answering, query-based summarization, and in-context few-shot learning tasks. It also outperforms its non-retrieval Llama2-70B-32k baseline by a margin, while being much faster at generation. Our study provides general insights on the choice of retrieval-augmentation versus long context extension of LLM for practitioners.</x:v>
      </x:c>
      <x:c r="L92" s="17" t="str">
        <x:v>http://arxiv.org/abs/2310.03025v2</x:v>
      </x:c>
      <x:c r="M92" s="23" t="n">
        <x:v>0.015873015873015872</x:v>
      </x:c>
      <x:c r="N92" s="17" t="str">
        <x:v>arxiv-paper-eval-20260726-140242-results.jsonl</x:v>
      </x:c>
      <x:c r="O92" s="24" t="str">
        <x:v>2</x:v>
      </x:c>
      <x:c r="P92" s="28" t="str">
        <x:v>直接比较检索增强与扩大上下文窗口及二者组合的下游表现。</x:v>
      </x:c>
      <x:c r="Q92" s="25" t="str"/>
      <x:c r="R92" s="24" t="str">
        <x:f>IF(Q92&lt;&gt;"",Q92,O92)</x:f>
        <x:v>2</x:v>
      </x:c>
      <x:c r="S92" s="29" t="str"/>
    </x:row>
    <x:row r="93" ht="54" customHeight="1">
      <x:c r="A93" s="17" t="str">
        <x:v>csq005-r12</x:v>
      </x:c>
      <x:c r="B93" s="17" t="str">
        <x:v>csq005</x:v>
      </x:c>
      <x:c r="C93" s="17" t="str">
        <x:v>natural_language_processing</x:v>
      </x:c>
      <x:c r="D93" s="17" t="str">
        <x:v>long_context</x:v>
      </x:c>
      <x:c r="E93" s="27" t="str">
        <x:v>How have methods for extending the effective context length of transformer language models evolved, and what trade-offs do they make in memory, latency, and retrieval quality?</x:v>
      </x:c>
      <x:c r="F93" s="22" t="n">
        <x:v>12</x:v>
      </x:c>
      <x:c r="G93" s="17" t="str">
        <x:v>arXiv:2504.01707</x:v>
      </x:c>
      <x:c r="H93" s="27" t="str">
        <x:v>InfiniteICL: Breaking the Limit of Context Window Size via Long Short-term Memory Transformation</x:v>
      </x:c>
      <x:c r="I93" s="17" t="str">
        <x:v>Bowen Cao; Deng Cai; Wai Lam</x:v>
      </x:c>
      <x:c r="J93" s="22" t="n">
        <x:v>2025</x:v>
      </x:c>
      <x:c r="K93" s="27" t="str">
        <x:v>In-context learning (ICL) is critical for large language models (LLMs), but its effectiveness is constrained by finite context windows, particularly in ultra-long contexts. To overcome this, we introduce InfiniteICL, a framework that parallels context and parameters in LLMs with short- and long-term memory in human cognitive systems, focusing on transforming temporary context knowledge into permanent parameter updates. This approach significantly reduces memory usage, maintains robust performance across varying input lengths, and theoretically enables infinite context integration through the principles of context knowledge elicitation, selection, and consolidation. Evaluations demonstrate that our method reduces context length by 90% while achieving 103% average performance of full-context prompting across fact recall, grounded reasoning, and skill acquisition tasks. When conducting sequential multi-turn transformations on complex, real-world contexts (with length up to 2M tokens), our approach surpasses full-context prompting while using only 0.4% of the original contexts. These findings highlight InfiniteICL's potential to enhance the scalability and efficiency of LLMs by breaking the limitations of conventional context window sizes.</x:v>
      </x:c>
      <x:c r="L93" s="17" t="str">
        <x:v>http://arxiv.org/abs/2504.01707v2</x:v>
      </x:c>
      <x:c r="M93" s="23" t="n">
        <x:v>0.015625</x:v>
      </x:c>
      <x:c r="N93" s="17" t="str">
        <x:v>arxiv-paper-eval-20260726-140242-results.jsonl</x:v>
      </x:c>
      <x:c r="O93" s="24" t="str">
        <x:v>2</x:v>
      </x:c>
      <x:c r="P93" s="28" t="str">
        <x:v>将临时上下文转化为参数化长期记忆以突破窗口，属于明确扩展路线。</x:v>
      </x:c>
      <x:c r="Q93" s="25" t="str"/>
      <x:c r="R93" s="24" t="str">
        <x:f>IF(Q93&lt;&gt;"",Q93,O93)</x:f>
        <x:v>2</x:v>
      </x:c>
      <x:c r="S93" s="29" t="str"/>
    </x:row>
    <x:row r="94" ht="54" customHeight="1">
      <x:c r="A94" s="17" t="str">
        <x:v>csq005-r13</x:v>
      </x:c>
      <x:c r="B94" s="17" t="str">
        <x:v>csq005</x:v>
      </x:c>
      <x:c r="C94" s="17" t="str">
        <x:v>natural_language_processing</x:v>
      </x:c>
      <x:c r="D94" s="17" t="str">
        <x:v>long_context</x:v>
      </x:c>
      <x:c r="E94" s="27" t="str">
        <x:v>How have methods for extending the effective context length of transformer language models evolved, and what trade-offs do they make in memory, latency, and retrieval quality?</x:v>
      </x:c>
      <x:c r="F94" s="22" t="n">
        <x:v>13</x:v>
      </x:c>
      <x:c r="G94" s="17" t="str">
        <x:v>arXiv:2402.02244</x:v>
      </x:c>
      <x:c r="H94" s="27" t="str">
        <x:v>Beyond the Limits: A Survey of Techniques to Extend the Context Length in Large Language Models</x:v>
      </x:c>
      <x:c r="I94" s="17" t="str">
        <x:v>Xindi Wang; Mahsa Salmani; Parsa Omidi; Xiangyu Ren; Mehdi Rezagholizadeh; Armaghan Eshaghi</x:v>
      </x:c>
      <x:c r="J94" s="22" t="n">
        <x:v>2024</x:v>
      </x:c>
      <x:c r="K94" s="27" t="str">
        <x:v>Recently, large language models (LLMs) have shown remarkable capabilities including understanding context, engaging in logical reasoning, and generating responses. However, this is achieved at the expense of stringent computational and memory requirements, hindering their ability to effectively support long input sequences. This survey provides an inclusive review of the recent techniques and methods devised to extend the sequence length in LLMs, thereby enhancing their capacity for long-context understanding. In particular, we review and categorize a wide range of techniques including architectural modifications, such as modified positional encoding and altered attention mechanisms, which are designed to enhance the processing of longer sequences while avoiding a proportional increase in computational requirements. The diverse methodologies investigated in this study can be leveraged across different phases of LLMs, i.e., training, fine-tuning and inference. This enables LLMs to efficiently process extended sequences. The limitations of the current methodologies is discussed in the last section along with the suggestions for future research directions, underscoring the importance of sequence length in the continued advancement of LLMs.</x:v>
      </x:c>
      <x:c r="L94" s="17" t="str">
        <x:v>http://arxiv.org/abs/2402.02244v3</x:v>
      </x:c>
      <x:c r="M94" s="23" t="n">
        <x:v>0.015625</x:v>
      </x:c>
      <x:c r="N94" s="17" t="str">
        <x:v>arxiv-paper-eval-20260726-140242-results.jsonl</x:v>
      </x:c>
      <x:c r="O94" s="24" t="str">
        <x:v>2</x:v>
      </x:c>
      <x:c r="P94" s="28" t="str">
        <x:v>专门综述延长LLM上下文的技术及计算和内存代价。</x:v>
      </x:c>
      <x:c r="Q94" s="25" t="str"/>
      <x:c r="R94" s="24" t="str">
        <x:f>IF(Q94&lt;&gt;"",Q94,O94)</x:f>
        <x:v>2</x:v>
      </x:c>
      <x:c r="S94" s="29" t="str"/>
    </x:row>
    <x:row r="95" ht="54" customHeight="1">
      <x:c r="A95" s="17" t="str">
        <x:v>csq005-r14</x:v>
      </x:c>
      <x:c r="B95" s="17" t="str">
        <x:v>csq005</x:v>
      </x:c>
      <x:c r="C95" s="17" t="str">
        <x:v>natural_language_processing</x:v>
      </x:c>
      <x:c r="D95" s="17" t="str">
        <x:v>long_context</x:v>
      </x:c>
      <x:c r="E95" s="27" t="str">
        <x:v>How have methods for extending the effective context length of transformer language models evolved, and what trade-offs do they make in memory, latency, and retrieval quality?</x:v>
      </x:c>
      <x:c r="F95" s="22" t="n">
        <x:v>14</x:v>
      </x:c>
      <x:c r="G95" s="17" t="str">
        <x:v>arXiv:2412.18232</x:v>
      </x:c>
      <x:c r="H95" s="27" t="str">
        <x:v>Efficient Long Context Language Model Retrieval with Compression</x:v>
      </x:c>
      <x:c r="I95" s="17" t="str">
        <x:v>Minju Seo; Jinheon Baek; Seongyun Lee; Sung Ju Hwang</x:v>
      </x:c>
      <x:c r="J95" s="22" t="n">
        <x:v>2024</x:v>
      </x:c>
      <x:c r="K95" s="27" t="str">
        <x:v>Long Context Language Models (LCLMs) have emerged as a new paradigm to perform Information Retrieval (IR), which enables the direct ingestion and retrieval of information by processing an entire corpus in their single context, showcasing the potential to surpass traditional sparse and dense retrieval methods. However, processing a large number of passages within in-context for retrieval is computationally expensive, and handling their representations during inference further exacerbates the processing time; thus, we aim to make LCLM retrieval more efficient and potentially more effective with passage compression. Specifically, we propose a new compression approach tailored for LCLM retrieval, which is trained to maximize the retrieval performance while minimizing the length of the compressed passages. To accomplish this, we generate the synthetic data, where compressed passages are automatically created and labeled as chosen or rejected according to their retrieval success for a given query, and we train the proposed Compression model for Long context Retrieval (CoLoR) with this data via preference optimization while adding the length regularization loss on top of it to enforce brevity. Through extensive experiments on 9 datasets, we show that CoLoR improves the retrieval performance by 6% while compressing the in-context size by a factor of 1.91. Our code is available at: https://github.com/going-doer/CoLoR.</x:v>
      </x:c>
      <x:c r="L95" s="17" t="str">
        <x:v>http://arxiv.org/abs/2412.18232v2</x:v>
      </x:c>
      <x:c r="M95" s="23" t="n">
        <x:v>0.015625</x:v>
      </x:c>
      <x:c r="N95" s="17" t="str">
        <x:v>arxiv-paper-eval-20260726-140242-results.jsonl</x:v>
      </x:c>
      <x:c r="O95" s="24" t="str">
        <x:v>2</x:v>
      </x:c>
      <x:c r="P95" s="28" t="str">
        <x:v>研究压缩长上下文以降低检索成本，并直接涉及检索质量和效率。</x:v>
      </x:c>
      <x:c r="Q95" s="25" t="str"/>
      <x:c r="R95" s="24" t="str">
        <x:f>IF(Q95&lt;&gt;"",Q95,O95)</x:f>
        <x:v>2</x:v>
      </x:c>
      <x:c r="S95" s="29" t="str"/>
    </x:row>
    <x:row r="96" ht="54" customHeight="1">
      <x:c r="A96" s="17" t="str">
        <x:v>csq005-r15</x:v>
      </x:c>
      <x:c r="B96" s="17" t="str">
        <x:v>csq005</x:v>
      </x:c>
      <x:c r="C96" s="17" t="str">
        <x:v>natural_language_processing</x:v>
      </x:c>
      <x:c r="D96" s="17" t="str">
        <x:v>long_context</x:v>
      </x:c>
      <x:c r="E96" s="27" t="str">
        <x:v>How have methods for extending the effective context length of transformer language models evolved, and what trade-offs do they make in memory, latency, and retrieval quality?</x:v>
      </x:c>
      <x:c r="F96" s="22" t="n">
        <x:v>15</x:v>
      </x:c>
      <x:c r="G96" s="17" t="str">
        <x:v>arXiv:2412.14838</x:v>
      </x:c>
      <x:c r="H96" s="27" t="str">
        <x:v>DynamicKV: Task-Aware Adaptive KV Cache Compression for Long Context LLMs</x:v>
      </x:c>
      <x:c r="I96" s="17" t="str">
        <x:v>Xiabin Zhou; Wenbin Wang; Minyan Zeng; Jiaxian Guo; Xuebo Liu; Li Shen; Min Zhang; Liang Ding</x:v>
      </x:c>
      <x:c r="J96" s="22" t="n">
        <x:v>2024</x:v>
      </x:c>
      <x:c r="K96" s="27" t="str">
        <x:v>Efficient KV cache management in LLMs is crucial for long-context tasks like RAG and summarization. Existing KV cache compression methods enforce a fixed pattern, neglecting task-specific characteristics and reducing the retention of essential information. However, we observe distinct activation patterns across layers in various tasks, highlighting the need for adaptive strategies tailored to each task's unique demands. Based on this insight, we propose DynamicKV, a method that dynamically optimizes token retention by adjusting the number of tokens retained at each layer to adapt to the specific task. DynamicKV establishes global and per-layer maximum KV cache budgets, temporarily retaining the maximum budget for the current layer, and periodically updating the KV cache sizes of all preceding layers during inference. Our method retains only 1.7% of the KV cache size while achieving ~85% of the Full KV cache performance on LongBench. Notably, even under extreme compression (0.9%), DynamicKV surpasses state-of-the-art (SOTA) methods by 11% in the Needle-in-a-Haystack test using Mistral-7B-Instruct-v0.2. The code will be released.</x:v>
      </x:c>
      <x:c r="L96" s="17" t="str">
        <x:v>http://arxiv.org/abs/2412.14838v4</x:v>
      </x:c>
      <x:c r="M96" s="23" t="n">
        <x:v>0.015625</x:v>
      </x:c>
      <x:c r="N96" s="17" t="str">
        <x:v>arxiv-paper-eval-20260726-140242-results.jsonl</x:v>
      </x:c>
      <x:c r="O96" s="24" t="str">
        <x:v>2</x:v>
      </x:c>
      <x:c r="P96" s="28" t="str">
        <x:v>任务感知自适应压缩KV缓存，直接权衡内存与关键内容保留。</x:v>
      </x:c>
      <x:c r="Q96" s="25" t="str"/>
      <x:c r="R96" s="24" t="str">
        <x:f>IF(Q96&lt;&gt;"",Q96,O96)</x:f>
        <x:v>2</x:v>
      </x:c>
      <x:c r="S96" s="29" t="str"/>
    </x:row>
    <x:row r="97" ht="54" customHeight="1">
      <x:c r="A97" s="17" t="str">
        <x:v>csq005-r16</x:v>
      </x:c>
      <x:c r="B97" s="17" t="str">
        <x:v>csq005</x:v>
      </x:c>
      <x:c r="C97" s="17" t="str">
        <x:v>natural_language_processing</x:v>
      </x:c>
      <x:c r="D97" s="17" t="str">
        <x:v>long_context</x:v>
      </x:c>
      <x:c r="E97" s="27" t="str">
        <x:v>How have methods for extending the effective context length of transformer language models evolved, and what trade-offs do they make in memory, latency, and retrieval quality?</x:v>
      </x:c>
      <x:c r="F97" s="22" t="n">
        <x:v>16</x:v>
      </x:c>
      <x:c r="G97" s="17" t="str">
        <x:v>arXiv:2504.14519</x:v>
      </x:c>
      <x:c r="H97" s="27" t="str">
        <x:v>SlimPipe: Memory-Thrifty and Efficient Pipeline Parallelism for Long-Context LLM Training</x:v>
      </x:c>
      <x:c r="I97" s="17" t="str">
        <x:v>Zhouyang Li; Yuliang Liu; Wei Zhang; Tailing Yuan; Bin Chen; Chengru Song; Di Zhang</x:v>
      </x:c>
      <x:c r="J97" s="22" t="n">
        <x:v>2025</x:v>
      </x:c>
      <x:c r="K97" s="27" t="str">
        <x:v>Pipeline Parallelism (PP) serves as a crucial technique for training Large Language Models (LLMs), owing to its capability to alleviate memory pressure from model states with relatively low communication overhead. However, in long-context scenarios, existing pipeline parallelism methods fail to address the substantial activation memory pressure, primarily due to the peak memory consumption resulting from the accumulation of activations across multiple microbatches. Moreover, these approaches inevitably introduce considerable pipeline bubbles, further hindering efficiency. To tackle these challenges, we propose SlimPipe, a novel approach to fine-grained pipeline parallelism that employs uniform sequence slicing coupled with one-forward-one-backward (1F1B) schedule. It reduces the accumulated activations from several microbatches to just one, which is split into several slices. Although the slices are evenly partitioned, the computation cost is not equal across slices due to causal attention. We develop a sophisticated workload redistribution technique to address this load imbalance. SlimPipe achieves (1) near-zero memory overhead and (2) minimal pipeline bubbles simultaneously. The effectiveness of SlimPipe has been proven by thorough testing with diverse model architectures, context window sizes, and SlimPipe-specific configurations. For example, on the Llama 70B model, compared to state-of-the-art methods, SlimPipe significantly boosts the Model FLOPs Utilization (MFU) to up to $1.57\times$ for a context length of 512K. More notably, for a context length of 2048K, it maintains over 45% utilization on 256 NVIDIA Hopper 80GB GPUs, while other approaches either suffer significant performance drops or fail entirely due to memory constraints.</x:v>
      </x:c>
      <x:c r="L97" s="17" t="str">
        <x:v>http://arxiv.org/abs/2504.14519v1</x:v>
      </x:c>
      <x:c r="M97" s="23" t="n">
        <x:v>0.015384615384615385</x:v>
      </x:c>
      <x:c r="N97" s="17" t="str">
        <x:v>arxiv-paper-eval-20260726-140242-results.jsonl</x:v>
      </x:c>
      <x:c r="O97" s="24" t="str">
        <x:v>2</x:v>
      </x:c>
      <x:c r="P97" s="28" t="str">
        <x:v>解决长上下文LLM训练的激活内存和流水线效率，覆盖内存代价维度。</x:v>
      </x:c>
      <x:c r="Q97" s="25" t="str"/>
      <x:c r="R97" s="24" t="str">
        <x:f>IF(Q97&lt;&gt;"",Q97,O97)</x:f>
        <x:v>2</x:v>
      </x:c>
      <x:c r="S97" s="29" t="str"/>
    </x:row>
    <x:row r="98" ht="54" customHeight="1">
      <x:c r="A98" s="17" t="str">
        <x:v>csq005-r17</x:v>
      </x:c>
      <x:c r="B98" s="17" t="str">
        <x:v>csq005</x:v>
      </x:c>
      <x:c r="C98" s="17" t="str">
        <x:v>natural_language_processing</x:v>
      </x:c>
      <x:c r="D98" s="17" t="str">
        <x:v>long_context</x:v>
      </x:c>
      <x:c r="E98" s="27" t="str">
        <x:v>How have methods for extending the effective context length of transformer language models evolved, and what trade-offs do they make in memory, latency, and retrieval quality?</x:v>
      </x:c>
      <x:c r="F98" s="22" t="n">
        <x:v>17</x:v>
      </x:c>
      <x:c r="G98" s="17" t="str">
        <x:v>arXiv:2503.14800</x:v>
      </x:c>
      <x:c r="H98" s="27" t="str">
        <x:v>Long Context Modeling with Ranked Memory-Augmented Retrieval</x:v>
      </x:c>
      <x:c r="I98" s="17" t="str">
        <x:v>Ghadir Alselwi; Hao Xue; Shoaib Jameel; Basem Suleiman; Flora D. Salim; Imran Razzak</x:v>
      </x:c>
      <x:c r="J98" s="22" t="n">
        <x:v>2025</x:v>
      </x:c>
      <x:c r="K98" s="27" t="str">
        <x:v>Effective long-term memory management is crucial for language models handling extended contexts. We introduce the Enhanced Ranked Memory Augmented Retrieval (ERMAR) framework, which dynamically ranks memory entries based on relevance. Unlike prior models, ERMAR employs a novel relevance scoring mechanism and a pointwise re-ranking model for key-value embeddings, inspired by learning-to-rank techniques in information retrieval. By integrating historical usage patterns and adaptive retrieval, ERMAR achieves state-of-the-art results on standard benchmarks, demonstrating superior scalability and performance in long-context tasks.</x:v>
      </x:c>
      <x:c r="L98" s="17" t="str">
        <x:v>http://arxiv.org/abs/2503.14800v3</x:v>
      </x:c>
      <x:c r="M98" s="23" t="n">
        <x:v>0.015384615384615385</x:v>
      </x:c>
      <x:c r="N98" s="17" t="str">
        <x:v>arxiv-paper-eval-20260726-140242-results.jsonl</x:v>
      </x:c>
      <x:c r="O98" s="24" t="str">
        <x:v>2</x:v>
      </x:c>
      <x:c r="P98" s="28" t="str">
        <x:v>以排序记忆增强检索管理超长上下文，直接关联有效上下文与检索质量。</x:v>
      </x:c>
      <x:c r="Q98" s="25" t="str"/>
      <x:c r="R98" s="24" t="str">
        <x:f>IF(Q98&lt;&gt;"",Q98,O98)</x:f>
        <x:v>2</x:v>
      </x:c>
      <x:c r="S98" s="29" t="str"/>
    </x:row>
    <x:row r="99" ht="54" customHeight="1">
      <x:c r="A99" s="17" t="str">
        <x:v>csq005-r18</x:v>
      </x:c>
      <x:c r="B99" s="17" t="str">
        <x:v>csq005</x:v>
      </x:c>
      <x:c r="C99" s="17" t="str">
        <x:v>natural_language_processing</x:v>
      </x:c>
      <x:c r="D99" s="17" t="str">
        <x:v>long_context</x:v>
      </x:c>
      <x:c r="E99" s="27" t="str">
        <x:v>How have methods for extending the effective context length of transformer language models evolved, and what trade-offs do they make in memory, latency, and retrieval quality?</x:v>
      </x:c>
      <x:c r="F99" s="22" t="n">
        <x:v>18</x:v>
      </x:c>
      <x:c r="G99" s="17" t="str">
        <x:v>arXiv:2401.07872</x:v>
      </x:c>
      <x:c r="H99" s="27" t="str">
        <x:v>The What, Why, and How of Context Length Extension Techniques in Large Language Models -- A Detailed Survey</x:v>
      </x:c>
      <x:c r="I99" s="17" t="str">
        <x:v>Saurav Pawar; S. M Towhidul Islam Tonmoy; S M Mehedi Zaman; Vinija Jain; Aman Chadha; Amitava Das</x:v>
      </x:c>
      <x:c r="J99" s="22" t="n">
        <x:v>2024</x:v>
      </x:c>
      <x:c r="K99" s="27" t="str">
        <x:v>The advent of Large Language Models (LLMs) represents a notable breakthrough in Natural Language Processing (NLP), contributing to substantial progress in both text comprehension and generation. However, amidst these advancements, it is noteworthy that LLMs often face a limitation in terms of context length extrapolation. Understanding and extending the context length for LLMs is crucial in enhancing their performance across various NLP applications. In this survey paper, we delve into the multifaceted aspects of exploring why it is essential, and the potential transformations that superior techniques could bring to NLP applications. We study the inherent challenges associated with extending context length and present an organized overview of the existing strategies employed by researchers. Additionally, we discuss the intricacies of evaluating context extension techniques and highlight the open challenges that researchers face in this domain. Furthermore, we explore whether there is a consensus within the research community regarding evaluation standards and identify areas where further agreement is needed. This comprehensive survey aims to serve as a valuable resource for researchers, guiding them through the nuances of context length extension techniques and fostering discussions on future advancements in this evolving field.</x:v>
      </x:c>
      <x:c r="L99" s="17" t="str">
        <x:v>http://arxiv.org/abs/2401.07872v1</x:v>
      </x:c>
      <x:c r="M99" s="23" t="n">
        <x:v>0.015384615384615385</x:v>
      </x:c>
      <x:c r="N99" s="17" t="str">
        <x:v>arxiv-paper-eval-20260726-140242-results.jsonl</x:v>
      </x:c>
      <x:c r="O99" s="24" t="str">
        <x:v>2</x:v>
      </x:c>
      <x:c r="P99" s="28" t="str">
        <x:v>详细综述上下文长度扩展技术的动机、机制和演变。</x:v>
      </x:c>
      <x:c r="Q99" s="25" t="str"/>
      <x:c r="R99" s="24" t="str">
        <x:f>IF(Q99&lt;&gt;"",Q99,O99)</x:f>
        <x:v>2</x:v>
      </x:c>
      <x:c r="S99" s="29" t="str"/>
    </x:row>
    <x:row r="100" ht="54" customHeight="1">
      <x:c r="A100" s="17" t="str">
        <x:v>csq005-r19</x:v>
      </x:c>
      <x:c r="B100" s="17" t="str">
        <x:v>csq005</x:v>
      </x:c>
      <x:c r="C100" s="17" t="str">
        <x:v>natural_language_processing</x:v>
      </x:c>
      <x:c r="D100" s="17" t="str">
        <x:v>long_context</x:v>
      </x:c>
      <x:c r="E100" s="27" t="str">
        <x:v>How have methods for extending the effective context length of transformer language models evolved, and what trade-offs do they make in memory, latency, and retrieval quality?</x:v>
      </x:c>
      <x:c r="F100" s="22" t="n">
        <x:v>19</x:v>
      </x:c>
      <x:c r="G100" s="17" t="str">
        <x:v>arXiv:2401.18079</x:v>
      </x:c>
      <x:c r="H100" s="27" t="str">
        <x:v>KVQuant: Towards 10 Million Context Length LLM Inference with KV Cache Quantization</x:v>
      </x:c>
      <x:c r="I100" s="17" t="str">
        <x:v>Coleman Hooper; Sehoon Kim; Hiva Mohammadzadeh; Michael W. Mahoney; Yakun Sophia Shao; Kurt Keutzer; Amir Gholami</x:v>
      </x:c>
      <x:c r="J100" s="22" t="n">
        <x:v>2024</x:v>
      </x:c>
      <x:c r="K100" s="27" t="str">
        <x:v>LLMs are seeing growing use for applications which require large context windows, and with these large context windows KV cache activations surface as the dominant contributor to memory consumption during inference. Quantization is a promising approach for compressing KV cache activations; however, existing solutions fail to represent activations accurately in sub-4-bit precision. Our work, KVQuant, facilitates low precision KV cache quantization by incorporating several novel methods: (i) Per-Channel Key Quantization, where we adjust the dimension along which we quantize the Key activations to better match the distribution; (ii) Pre-RoPE Key Quantization, where we quantize Key activations before the rotary positional embedding to mitigate its impact on quantization; (iii) Non-Uniform KV Cache Quantization, where we derive per-layer sensitivity-weighted non-uniform datatypes that better represent the distributions; and (iv) Per-Vector Dense-and-Sparse Quantization, where we isolate outliers separately for each vector to minimize skews in quantization ranges. By applying our method to the LLaMA, Llama-2, Llama-3, and Mistral models, we achieve &lt; 0.1 perplexity degradation with 3-bit quantization on both Wikitext-2 and C4, outperforming existing approaches. Our method enables serving LLaMA-7B with a context length of up to 1 million on a single A100-80GB GPU and up to 10 million on an 8-GPU system. We develop custom CUDA kernels for KVQuant, showing that we can achieve up to ~1.7x speedups, compared to baseline fp16 matrix-vector multiplications, for the LLaMA-7B model.</x:v>
      </x:c>
      <x:c r="L100" s="17" t="str">
        <x:v>http://arxiv.org/abs/2401.18079v6</x:v>
      </x:c>
      <x:c r="M100" s="23" t="n">
        <x:v>0.015384615384615385</x:v>
      </x:c>
      <x:c r="N100" s="17" t="str">
        <x:v>arxiv-paper-eval-20260726-140242-results.jsonl</x:v>
      </x:c>
      <x:c r="O100" s="24" t="str">
        <x:v>2</x:v>
      </x:c>
      <x:c r="P100" s="28" t="str">
        <x:v>通过KV缓存低比特量化支持千万级上下文，直接处理内存与精度权衡。</x:v>
      </x:c>
      <x:c r="Q100" s="25" t="str"/>
      <x:c r="R100" s="24" t="str">
        <x:f>IF(Q100&lt;&gt;"",Q100,O100)</x:f>
        <x:v>2</x:v>
      </x:c>
      <x:c r="S100" s="29" t="str"/>
    </x:row>
    <x:row r="101" ht="54" customHeight="1">
      <x:c r="A101" s="17" t="str">
        <x:v>csq005-r20</x:v>
      </x:c>
      <x:c r="B101" s="17" t="str">
        <x:v>csq005</x:v>
      </x:c>
      <x:c r="C101" s="17" t="str">
        <x:v>natural_language_processing</x:v>
      </x:c>
      <x:c r="D101" s="17" t="str">
        <x:v>long_context</x:v>
      </x:c>
      <x:c r="E101" s="27" t="str">
        <x:v>How have methods for extending the effective context length of transformer language models evolved, and what trade-offs do they make in memory, latency, and retrieval quality?</x:v>
      </x:c>
      <x:c r="F101" s="22" t="n">
        <x:v>20</x:v>
      </x:c>
      <x:c r="G101" s="17" t="str">
        <x:v>arXiv:2504.12526</x:v>
      </x:c>
      <x:c r="H101" s="27" t="str">
        <x:v>MOM: Memory-Efficient Offloaded Mini-Sequence Inference for Long Context Language Models</x:v>
      </x:c>
      <x:c r="I101" s="17" t="str">
        <x:v>Junyang Zhang; Tianyi Zhu; Cheng Luo; Anima Anandkumar</x:v>
      </x:c>
      <x:c r="J101" s="22" t="n">
        <x:v>2025</x:v>
      </x:c>
      <x:c r="K101" s="27" t="str">
        <x:v>Long-context language models exhibit impressive performance but remain challenging to deploy due to high GPU memory demands during inference. We propose Memory-efficient Offloaded Mini-sequence Inference (MOM), a method that partitions critical layers into smaller "mini-sequences" and integrates seamlessly with KV cache offloading. Experiments on various Llama, Qwen, and Mistral models demonstrate that MOM reduces peak memory usage by over 50\% on average. On Meta-Llama-3.2-8B, MOM extends the maximum context length from 155k to 455k tokens on a single A100 80GB GPU, while keeping outputs identical and not compromising accuracy. MOM also maintains highly competitive throughput due to minimal computational overhead and efficient last-layer processing. Compared to traditional chunked prefill methods, MOM achieves a 35\% greater context length extension. More importantly, our method drastically reduces prefill memory consumption, eliminating it as the longstanding dominant memory bottleneck during inference. This breakthrough fundamentally changes research priorities, redirecting future efforts from prefill-stage optimizations to improving decode-stage residual KV cache efficiency.</x:v>
      </x:c>
      <x:c r="L101" s="17" t="str">
        <x:v>http://arxiv.org/abs/2504.12526v1</x:v>
      </x:c>
      <x:c r="M101" s="23" t="n">
        <x:v>0.015151515151515152</x:v>
      </x:c>
      <x:c r="N101" s="17" t="str">
        <x:v>arxiv-paper-eval-20260726-140242-results.jsonl</x:v>
      </x:c>
      <x:c r="O101" s="24" t="str">
        <x:v>2</x:v>
      </x:c>
      <x:c r="P101" s="28" t="str">
        <x:v>使用小序列划分与缓存卸载降低长上下文推理显存，直接相关。</x:v>
      </x:c>
      <x:c r="Q101" s="25" t="str"/>
      <x:c r="R101" s="24" t="str">
        <x:f>IF(Q101&lt;&gt;"",Q101,O101)</x:f>
        <x:v>2</x:v>
      </x:c>
      <x:c r="S101" s="29" t="str"/>
    </x:row>
    <x:row r="102" ht="54" customHeight="1">
      <x:c r="A102" s="17" t="str">
        <x:v>csq006-r01</x:v>
      </x:c>
      <x:c r="B102" s="17" t="str">
        <x:v>csq006</x:v>
      </x:c>
      <x:c r="C102" s="17" t="str">
        <x:v>machine_learning</x:v>
      </x:c>
      <x:c r="D102" s="17" t="str">
        <x:v>parameter_efficient_finetuning</x:v>
      </x:c>
      <x:c r="E102" s="27" t="str">
        <x:v>What are the main parameter-efficient fine-tuning methods, and how do they reduce trainable parameters while preserving downstream performance?</x:v>
      </x:c>
      <x:c r="F102" s="22" t="n">
        <x:v>1</x:v>
      </x:c>
      <x:c r="G102" s="17" t="str">
        <x:v>arXiv:2310.03059</x:v>
      </x:c>
      <x:c r="H102" s="27" t="str">
        <x:v>Point-PEFT: Parameter-Efficient Fine-Tuning for 3D Pre-trained Models</x:v>
      </x:c>
      <x:c r="I102" s="17" t="str">
        <x:v>Yiwen Tang; Ray Zhang; Zoey Guo; Dong Wang; Zhigang Wang; Bin Zhao; Xuelong Li</x:v>
      </x:c>
      <x:c r="J102" s="22" t="n">
        <x:v>2023</x:v>
      </x:c>
      <x:c r="K102" s="27" t="str">
        <x:v>The popularity of pre-trained large models has revolutionized downstream tasks across diverse fields, such as language, vision, and multi-modality. To minimize the adaption cost for downstream tasks, many Parameter-Efficient Fine-Tuning (PEFT) techniques are proposed for language and 2D image pre-trained models. However, the specialized PEFT method for 3D pre-trained models is still under-explored. To this end, we introduce Point-PEFT, a novel framework for adapting point cloud pre-trained models with minimal learnable parameters. Specifically, for a pre-trained 3D model, we freeze most of its parameters, and only tune the newly added PEFT modules on downstream tasks, which consist of a Point-prior Prompt and a Geometry-aware Adapter. The Point-prior Prompt adopts a set of learnable prompt tokens, for which we propose to construct a memory bank with domain-specific knowledge, and utilize a parameter-free attention to enhance the prompt tokens. The Geometry-aware Adapter aims to aggregate point cloud features within spatial neighborhoods to capture fine-grained geometric information through local interactions. Extensive experiments indicate that our Point-PEFT can achieve better performance than the full fine-tuning on various downstream tasks, while using only 5% of the trainable parameters, demonstrating the efficiency and effectiveness of our approach. Code is released at https://github.com/Ivan-Tang-3D/Point-PEFT.</x:v>
      </x:c>
      <x:c r="L102" s="17" t="str">
        <x:v>http://arxiv.org/abs/2310.03059v8</x:v>
      </x:c>
      <x:c r="M102" s="23" t="n">
        <x:v>0.04918032786885246</x:v>
      </x:c>
      <x:c r="N102" s="17" t="str">
        <x:v>arxiv-paper-eval-20260726-140242-results.jsonl</x:v>
      </x:c>
      <x:c r="O102" s="24" t="str">
        <x:v>1</x:v>
      </x:c>
      <x:c r="P102" s="28" t="str">
        <x:v>提出3D预训练模型专用PEFT，机制相关但对象较窄，不能代表主要通用方法。</x:v>
      </x:c>
      <x:c r="Q102" s="25" t="str"/>
      <x:c r="R102" s="24" t="str">
        <x:f>IF(Q102&lt;&gt;"",Q102,O102)</x:f>
        <x:v>1</x:v>
      </x:c>
      <x:c r="S102" s="29" t="str"/>
    </x:row>
    <x:row r="103" ht="54" customHeight="1">
      <x:c r="A103" s="17" t="str">
        <x:v>csq006-r02</x:v>
      </x:c>
      <x:c r="B103" s="17" t="str">
        <x:v>csq006</x:v>
      </x:c>
      <x:c r="C103" s="17" t="str">
        <x:v>machine_learning</x:v>
      </x:c>
      <x:c r="D103" s="17" t="str">
        <x:v>parameter_efficient_finetuning</x:v>
      </x:c>
      <x:c r="E103" s="27" t="str">
        <x:v>What are the main parameter-efficient fine-tuning methods, and how do they reduce trainable parameters while preserving downstream performance?</x:v>
      </x:c>
      <x:c r="F103" s="22" t="n">
        <x:v>2</x:v>
      </x:c>
      <x:c r="G103" s="17" t="str">
        <x:v>arXiv:2504.14117</x:v>
      </x:c>
      <x:c r="H103" s="27" t="str">
        <x:v>PEFT A2Z: Parameter-Efficient Fine-Tuning Survey for Large Language and Vision Models</x:v>
      </x:c>
      <x:c r="I103" s="17" t="str">
        <x:v>Nusrat Jahan Prottasha; Upama Roy Chowdhury; Shetu Mohanto; Tasfia Nuzhat; Abdullah As Sami; Md Shamol Ali; Md Shohanur Islam Sobuj; Hafijur Raman; Md Kowsher; Ozlem Ozmen Garibay</x:v>
      </x:c>
      <x:c r="J103" s="22" t="n">
        <x:v>2025</x:v>
      </x:c>
      <x:c r="K103" s="27" t="str">
        <x:v>Large models such as Large Language Models (LLMs) and Vision Language Models (VLMs) have transformed artificial intelligence, powering applications in natural language processing, computer vision, and multimodal learning. However, fully fine-tuning these models remains expensive, requiring extensive computational resources, memory, and task-specific data. Parameter-Efficient Fine-Tuning (PEFT) has emerged as a promising solution that allows adapting large models to downstream tasks by updating only a small portion of parameters. This survey presents a comprehensive overview of PEFT techniques, focusing on their motivations, design principles, and effectiveness. We begin by analyzing the resource and accessibility challenges posed by traditional fine-tuning and highlight key issues, such as overfitting, catastrophic forgetting, and parameter inefficiency. We then introduce a structured taxonomy of PEFT methods -- grouped into additive, selective, reparameterized, hybrid, and unified frameworks -- and systematically compare their mechanisms and trade-offs. Beyond taxonomy, we explore the impact of PEFT across diverse domains, including language, vision, and generative modeling, showing how these techniques offer strong performance with lower resource costs. We also discuss important open challenges in scalability, interpretability, and robustness, and suggest future directions such as federated learning, domain adaptation, and theoretical grounding. Our goal is to provide a unified understanding of PEFT and its growing role in enabling practical, efficient, and sustainable use of large models.</x:v>
      </x:c>
      <x:c r="L103" s="17" t="str">
        <x:v>http://arxiv.org/abs/2504.14117v1</x:v>
      </x:c>
      <x:c r="M103" s="23" t="n">
        <x:v>0.03252247488101534</x:v>
      </x:c>
      <x:c r="N103" s="17" t="str">
        <x:v>arxiv-paper-eval-20260726-140242-results.jsonl</x:v>
      </x:c>
      <x:c r="O103" s="24" t="str">
        <x:v>2</x:v>
      </x:c>
      <x:c r="P103" s="28" t="str">
        <x:v>系统综述语言和视觉大模型PEFT方法、参数节省与性能保持。</x:v>
      </x:c>
      <x:c r="Q103" s="25" t="str"/>
      <x:c r="R103" s="24" t="str">
        <x:f>IF(Q103&lt;&gt;"",Q103,O103)</x:f>
        <x:v>2</x:v>
      </x:c>
      <x:c r="S103" s="29" t="str"/>
    </x:row>
    <x:row r="104" ht="54" customHeight="1">
      <x:c r="A104" s="17" t="str">
        <x:v>csq006-r03</x:v>
      </x:c>
      <x:c r="B104" s="17" t="str">
        <x:v>csq006</x:v>
      </x:c>
      <x:c r="C104" s="17" t="str">
        <x:v>machine_learning</x:v>
      </x:c>
      <x:c r="D104" s="17" t="str">
        <x:v>parameter_efficient_finetuning</x:v>
      </x:c>
      <x:c r="E104" s="27" t="str">
        <x:v>What are the main parameter-efficient fine-tuning methods, and how do they reduce trainable parameters while preserving downstream performance?</x:v>
      </x:c>
      <x:c r="F104" s="22" t="n">
        <x:v>3</x:v>
      </x:c>
      <x:c r="G104" s="17" t="str">
        <x:v>arXiv:2503.05431</x:v>
      </x:c>
      <x:c r="H104" s="27" t="str">
        <x:v>Quantum-PEFT: Ultra parameter-efficient fine-tuning</x:v>
      </x:c>
      <x:c r="I104" s="17" t="str">
        <x:v>Toshiaki Koike-Akino; Francesco Tonin; Yongtao Wu; Frank Zhengqing Wu; Leyla Naz Candogan; Volkan Cevher</x:v>
      </x:c>
      <x:c r="J104" s="22" t="n">
        <x:v>2025</x:v>
      </x:c>
      <x:c r="K104" s="27" t="str">
        <x:v>This paper introduces Quantum-PEFT that leverages quantum computations for parameter-efficient fine-tuning (PEFT). Unlike other additive PEFT methods, such as low-rank adaptation (LoRA), Quantum-PEFT exploits an underlying full-rank yet surprisingly parameter efficient quantum unitary parameterization. With the use of Pauli parameterization, the number of trainable parameters grows only logarithmically with the ambient dimension, as opposed to linearly as in LoRA-based PEFT methods. Quantum-PEFT achieves vanishingly smaller number of trainable parameters than the lowest-rank LoRA as dimensions grow, enhancing parameter efficiency while maintaining a competitive performance. We apply Quantum-PEFT to several transfer learning benchmarks in language and vision, demonstrating significant advantages in parameter efficiency.</x:v>
      </x:c>
      <x:c r="L104" s="17" t="str">
        <x:v>http://arxiv.org/abs/2503.05431v1</x:v>
      </x:c>
      <x:c r="M104" s="23" t="n">
        <x:v>0.03200204813108039</x:v>
      </x:c>
      <x:c r="N104" s="17" t="str">
        <x:v>arxiv-paper-eval-20260726-140242-results.jsonl</x:v>
      </x:c>
      <x:c r="O104" s="24" t="str">
        <x:v>2</x:v>
      </x:c>
      <x:c r="P104" s="28" t="str">
        <x:v>提出量子参数化PEFT，以对数级可训练参数维持全秩适配能力。</x:v>
      </x:c>
      <x:c r="Q104" s="25" t="str"/>
      <x:c r="R104" s="24" t="str">
        <x:f>IF(Q104&lt;&gt;"",Q104,O104)</x:f>
        <x:v>2</x:v>
      </x:c>
      <x:c r="S104" s="29" t="str"/>
    </x:row>
    <x:row r="105" ht="54" customHeight="1">
      <x:c r="A105" s="17" t="str">
        <x:v>csq006-r04</x:v>
      </x:c>
      <x:c r="B105" s="17" t="str">
        <x:v>csq006</x:v>
      </x:c>
      <x:c r="C105" s="17" t="str">
        <x:v>machine_learning</x:v>
      </x:c>
      <x:c r="D105" s="17" t="str">
        <x:v>parameter_efficient_finetuning</x:v>
      </x:c>
      <x:c r="E105" s="27" t="str">
        <x:v>What are the main parameter-efficient fine-tuning methods, and how do they reduce trainable parameters while preserving downstream performance?</x:v>
      </x:c>
      <x:c r="F105" s="22" t="n">
        <x:v>4</x:v>
      </x:c>
      <x:c r="G105" s="17" t="str">
        <x:v>arXiv:2501.08008</x:v>
      </x:c>
      <x:c r="H105" s="27" t="str">
        <x:v>TriAdaptLoRA: Brain-Inspired Triangular Adaptive Low-Rank Adaptation for Parameter-Efficient Fine-Tuning</x:v>
      </x:c>
      <x:c r="I105" s="17" t="str">
        <x:v>Yao Liang; Yuwei Wang; Yi Zeng</x:v>
      </x:c>
      <x:c r="J105" s="22" t="n">
        <x:v>2025</x:v>
      </x:c>
      <x:c r="K105" s="27" t="str">
        <x:v>The fine-tuning of Large Language Models (LLMs) is pivotal for achieving optimal performance across diverse downstream tasks. However, while full fine-tuning delivers superior results, it entails significant computational and resource costs. Parameter-Efficient Fine-Tuning (PEFT) methods, such as LoRA, address these challenges by reducing the number of trainable parameters, but they often struggle with rank adjustment efficiency and task-specific adaptability. We propose Triangular Adaptive Low-Rank Adaptation (TriAdaptLoRA), a novel PEFT framework inspired by neuroscience principles, which dynamically optimizes the allocation of trainable parameters. TriAdaptLoRA introduces three key innovations: 1) a triangular split of transformation matrices into lower and upper triangular components to maximize parameter utilization, 2) a parameter importance metric based on normalized Frobenius norms for efficient adaptation, and 3) an adaptive rank-growth strategy governed by dynamic thresholds, allowing flexible parameter allocation across training steps. Experiments conducted on a variety of natural language understanding and generation tasks demonstrate that TriAdaptLoRA consistently outperforms existing PEFT methods. It achieves superior performance, enhanced stability, and reduced computational overhead, particularly under linear threshold-driven rank growth. These results highlight its efficacy as a scalable and resource-efficient solution for fine-tuning LLMs.</x:v>
      </x:c>
      <x:c r="L105" s="17" t="str">
        <x:v>http://arxiv.org/abs/2501.08008v1</x:v>
      </x:c>
      <x:c r="M105" s="23" t="n">
        <x:v>0.03057889822595705</x:v>
      </x:c>
      <x:c r="N105" s="17" t="str">
        <x:v>arxiv-paper-eval-20260726-140242-results.jsonl</x:v>
      </x:c>
      <x:c r="O105" s="24" t="str">
        <x:v>2</x:v>
      </x:c>
      <x:c r="P105" s="28" t="str">
        <x:v>改进LoRA的自适应低秩分配，直接研究参数效率和下游性能。</x:v>
      </x:c>
      <x:c r="Q105" s="25" t="str"/>
      <x:c r="R105" s="24" t="str">
        <x:f>IF(Q105&lt;&gt;"",Q105,O105)</x:f>
        <x:v>2</x:v>
      </x:c>
      <x:c r="S105" s="29" t="str"/>
    </x:row>
    <x:row r="106" ht="54" customHeight="1">
      <x:c r="A106" s="17" t="str">
        <x:v>csq006-r05</x:v>
      </x:c>
      <x:c r="B106" s="17" t="str">
        <x:v>csq006</x:v>
      </x:c>
      <x:c r="C106" s="17" t="str">
        <x:v>machine_learning</x:v>
      </x:c>
      <x:c r="D106" s="17" t="str">
        <x:v>parameter_efficient_finetuning</x:v>
      </x:c>
      <x:c r="E106" s="27" t="str">
        <x:v>What are the main parameter-efficient fine-tuning methods, and how do they reduce trainable parameters while preserving downstream performance?</x:v>
      </x:c>
      <x:c r="F106" s="22" t="n">
        <x:v>5</x:v>
      </x:c>
      <x:c r="G106" s="17" t="str">
        <x:v>arXiv:2303.08566</x:v>
      </x:c>
      <x:c r="H106" s="27" t="str">
        <x:v>Sensitivity-Aware Visual Parameter-Efficient Fine-Tuning</x:v>
      </x:c>
      <x:c r="I106" s="17" t="str">
        <x:v>Haoyu He; Jianfei Cai; Jing Zhang; Dacheng Tao; Bohan Zhuang</x:v>
      </x:c>
      <x:c r="J106" s="22" t="n">
        <x:v>2023</x:v>
      </x:c>
      <x:c r="K106" s="27" t="str">
        <x:v>Visual Parameter-Efficient Fine-Tuning (PEFT) has become a powerful alternative for full fine-tuning so as to adapt pre-trained vision models to downstream tasks, which only tunes a small number of parameters while freezing the vast majority ones to ease storage burden and optimization difficulty. However, existing PEFT methods introduce trainable parameters to the same positions across different tasks depending solely on human heuristics and neglect the domain gaps. To this end, we study where to introduce and how to allocate trainable parameters by proposing a novel Sensitivity-aware visual Parameter-efficient fine-Tuning (SPT) scheme, which adaptively allocates trainable parameters to task-specific important positions given a desired tunable parameter budget. Specifically, our SPT first quickly identifies the sensitive parameters that require tuning for a given task in a data-dependent way. Next, our SPT further boosts the representational capability for the weight matrices whose number of sensitive parameters exceeds a pre-defined threshold by utilizing existing structured tuning methods, e.g., LoRA [23] or Adapter [22], to replace directly tuning the selected sensitive parameters (unstructured tuning) under the budget. Extensive experiments on a wide range of downstream recognition tasks show that our SPT is complementary to the existing PEFT methods and largely boosts their performance, e.g., SPT improves Adapter with supervised pre-trained ViT-B/16 backbone by 4.2% and 1.4% mean Top-1 accuracy, reaching SOTA performance on FGVC and VTAB-1k benchmarks, respectively. Source code is at https://github.com/ziplab/SPT</x:v>
      </x:c>
      <x:c r="L106" s="17" t="str">
        <x:v>http://arxiv.org/abs/2303.08566v2</x:v>
      </x:c>
      <x:c r="M106" s="23" t="n">
        <x:v>0.0304147465437788</x:v>
      </x:c>
      <x:c r="N106" s="17" t="str">
        <x:v>arxiv-paper-eval-20260726-140242-results.jsonl</x:v>
      </x:c>
      <x:c r="O106" s="24" t="str">
        <x:v>1</x:v>
      </x:c>
      <x:c r="P106" s="28" t="str">
        <x:v>研究视觉模型的任务敏感PEFT位置选择，相关但聚焦单一模态。</x:v>
      </x:c>
      <x:c r="Q106" s="25" t="str"/>
      <x:c r="R106" s="24" t="str">
        <x:f>IF(Q106&lt;&gt;"",Q106,O106)</x:f>
        <x:v>1</x:v>
      </x:c>
      <x:c r="S106" s="29" t="str"/>
    </x:row>
    <x:row r="107" ht="54" customHeight="1">
      <x:c r="A107" s="17" t="str">
        <x:v>csq006-r06</x:v>
      </x:c>
      <x:c r="B107" s="17" t="str">
        <x:v>csq006</x:v>
      </x:c>
      <x:c r="C107" s="17" t="str">
        <x:v>machine_learning</x:v>
      </x:c>
      <x:c r="D107" s="17" t="str">
        <x:v>parameter_efficient_finetuning</x:v>
      </x:c>
      <x:c r="E107" s="27" t="str">
        <x:v>What are the main parameter-efficient fine-tuning methods, and how do they reduce trainable parameters while preserving downstream performance?</x:v>
      </x:c>
      <x:c r="F107" s="22" t="n">
        <x:v>6</x:v>
      </x:c>
      <x:c r="G107" s="17" t="str">
        <x:v>arXiv:2312.12148</x:v>
      </x:c>
      <x:c r="H107" s="27" t="str">
        <x:v>Parameter-Efficient Fine-Tuning Methods for Pretrained Language Models: A Critical Review and Assessment</x:v>
      </x:c>
      <x:c r="I107" s="17" t="str">
        <x:v>Lingling Xu; Haoran Xie; Si-Zhao Joe Qin; Xiaohui Tao; Fu Lee Wang</x:v>
      </x:c>
      <x:c r="J107" s="22" t="n">
        <x:v>2023</x:v>
      </x:c>
      <x:c r="K107" s="27" t="str">
        <x:v>With the continuous growth in the number of parameters of transformer-based pretrained language models (PLMs), particularly the emergence of large language models (LLMs) with billions of parameters, many natural language processing (NLP) tasks have demonstrated remarkable success. However, the enormous size and computational demands of these models pose significant challenges for adapting them to specific downstream tasks, especially in environments with limited computational resources. Parameter Efficient Fine-Tuning (PEFT) offers an effective solution by reducing the number of fine-tuning parameters and memory usage while achieving comparable performance to full fine-tuning. The demands for fine-tuning PLMs, especially LLMs, have led to a surge in the development of PEFT methods, as depicted in Fig. 1. In this paper, we present a comprehensive and systematic review of PEFT methods for PLMs. We summarize these PEFT methods, discuss their applications, and outline future directions. Furthermore, we conduct experiments using several representative PEFT methods to better understand their effectiveness in parameter efficiency and memory efficiency. By offering insights into the latest advancements and practical applications, this survey serves as an invaluable resource for researchers and practitioners seeking to navigate the challenges and opportunities presented by PEFT in the context of PLMs.</x:v>
      </x:c>
      <x:c r="L107" s="17" t="str">
        <x:v>http://arxiv.org/abs/2312.12148v1</x:v>
      </x:c>
      <x:c r="M107" s="23" t="n">
        <x:v>0.02919863597612958</x:v>
      </x:c>
      <x:c r="N107" s="17" t="str">
        <x:v>arxiv-paper-eval-20260726-140242-results.jsonl</x:v>
      </x:c>
      <x:c r="O107" s="24" t="str">
        <x:v>2</x:v>
      </x:c>
      <x:c r="P107" s="28" t="str">
        <x:v>对预训练语言模型PEFT进行批判性综述与评估，直接回答主要方法。</x:v>
      </x:c>
      <x:c r="Q107" s="25" t="str"/>
      <x:c r="R107" s="24" t="str">
        <x:f>IF(Q107&lt;&gt;"",Q107,O107)</x:f>
        <x:v>2</x:v>
      </x:c>
      <x:c r="S107" s="29" t="str"/>
    </x:row>
    <x:row r="108" ht="54" customHeight="1">
      <x:c r="A108" s="17" t="str">
        <x:v>csq006-r07</x:v>
      </x:c>
      <x:c r="B108" s="17" t="str">
        <x:v>csq006</x:v>
      </x:c>
      <x:c r="C108" s="17" t="str">
        <x:v>machine_learning</x:v>
      </x:c>
      <x:c r="D108" s="17" t="str">
        <x:v>parameter_efficient_finetuning</x:v>
      </x:c>
      <x:c r="E108" s="27" t="str">
        <x:v>What are the main parameter-efficient fine-tuning methods, and how do they reduce trainable parameters while preserving downstream performance?</x:v>
      </x:c>
      <x:c r="F108" s="22" t="n">
        <x:v>7</x:v>
      </x:c>
      <x:c r="G108" s="17" t="str">
        <x:v>arXiv:2301.01821</x:v>
      </x:c>
      <x:c r="H108" s="27" t="str">
        <x:v>Parameter-Efficient Fine-Tuning Design Spaces</x:v>
      </x:c>
      <x:c r="I108" s="17" t="str">
        <x:v>Jiaao Chen; Aston Zhang; Xingjian Shi; Mu Li; Alex Smola; Diyi Yang</x:v>
      </x:c>
      <x:c r="J108" s="22" t="n">
        <x:v>2023</x:v>
      </x:c>
      <x:c r="K108" s="27" t="str">
        <x:v>Parameter-efficient fine-tuning aims to achieve performance comparable to fine-tuning, using fewer trainable parameters. Several strategies (e.g., Adapters, prefix tuning, BitFit, and LoRA) have been proposed. However, their designs are hand-crafted separately, and it remains unclear whether certain design patterns exist for parameter-efficient fine-tuning. Thus, we present a parameter-efficient fine-tuning design paradigm and discover design patterns that are applicable to different experimental settings. Instead of focusing on designing another individual tuning strategy, we introduce parameter-efficient fine-tuning design spaces that parameterize tuning structures and tuning strategies. Specifically, any design space is characterized by four components: layer grouping, trainable parameter allocation, tunable groups, and strategy assignment. Starting from an initial design space, we progressively refine the space based on the model quality of each design choice and make greedy selection at each stage over these four components. We discover the following design patterns: (i) group layers in a spindle pattern; (ii) allocate the number of trainable parameters to layers uniformly; (iii) tune all the groups; (iv) assign proper tuning strategies to different groups. These design patterns result in new parameter-efficient fine-tuning methods. We show experimentally that these methods consistently and significantly outperform investigated parameter-efficient fine-tuning strategies across different backbone models and different tasks in natural language processing.</x:v>
      </x:c>
      <x:c r="L108" s="17" t="str">
        <x:v>http://arxiv.org/abs/2301.01821v1</x:v>
      </x:c>
      <x:c r="M108" s="23" t="n">
        <x:v>0.028665028665028666</x:v>
      </x:c>
      <x:c r="N108" s="17" t="str">
        <x:v>arxiv-paper-eval-20260726-140242-results.jsonl</x:v>
      </x:c>
      <x:c r="O108" s="24" t="str">
        <x:v>2</x:v>
      </x:c>
      <x:c r="P108" s="28" t="str">
        <x:v>整合Adapter、Prefix、BitFit和LoRA设计空间并比较少参数适配规律。</x:v>
      </x:c>
      <x:c r="Q108" s="25" t="str"/>
      <x:c r="R108" s="24" t="str">
        <x:f>IF(Q108&lt;&gt;"",Q108,O108)</x:f>
        <x:v>2</x:v>
      </x:c>
      <x:c r="S108" s="29" t="str"/>
    </x:row>
    <x:row r="109" ht="54" customHeight="1">
      <x:c r="A109" s="17" t="str">
        <x:v>csq006-r08</x:v>
      </x:c>
      <x:c r="B109" s="17" t="str">
        <x:v>csq006</x:v>
      </x:c>
      <x:c r="C109" s="17" t="str">
        <x:v>machine_learning</x:v>
      </x:c>
      <x:c r="D109" s="17" t="str">
        <x:v>parameter_efficient_finetuning</x:v>
      </x:c>
      <x:c r="E109" s="27" t="str">
        <x:v>What are the main parameter-efficient fine-tuning methods, and how do they reduce trainable parameters while preserving downstream performance?</x:v>
      </x:c>
      <x:c r="F109" s="22" t="n">
        <x:v>8</x:v>
      </x:c>
      <x:c r="G109" s="17" t="str">
        <x:v>arXiv:2504.21099</x:v>
      </x:c>
      <x:c r="H109" s="27" t="str">
        <x:v>A Survey on Parameter-Efficient Fine-Tuning for Foundation Models in Federated Learning</x:v>
      </x:c>
      <x:c r="I109" s="17" t="str">
        <x:v>Jieming Bian; Yuanzhe Peng; Lei Wang; Yin Huang; Jie Xu</x:v>
      </x:c>
      <x:c r="J109" s="22" t="n">
        <x:v>2025</x:v>
      </x:c>
      <x:c r="K109" s="27" t="str">
        <x:v>Foundation models have revolutionized artificial intelligence by providing robust, versatile architectures pre-trained on large-scale datasets. However, adapting these massive models to specific downstream tasks requires fine-tuning, which can be prohibitively expensive in computational resources. Parameter-Efficient Fine-Tuning (PEFT) methods address this challenge by selectively updating only a small subset of parameters. Meanwhile, Federated Learning (FL) enables collaborative model training across distributed clients without sharing raw data, making it ideal for privacy-sensitive applications. This survey provides a comprehensive review of the integration of PEFT techniques within federated learning environments. We systematically categorize existing approaches into three main groups: Additive PEFT (which introduces new trainable parameters), Selective PEFT (which fine-tunes only subsets of existing parameters), and Reparameterized PEFT (which transforms model architectures to enable efficient updates). For each category, we analyze how these methods address the unique challenges of federated settings, including data heterogeneity, communication efficiency, computational constraints, and privacy concerns. We further organize the literature based on application domains, covering both natural language processing and computer vision tasks. Finally, we discuss promising research directions, including scaling to larger foundation models, theoretical analysis of federated PEFT methods, and sustainable approaches for resource-constrained environments.</x:v>
      </x:c>
      <x:c r="L109" s="17" t="str">
        <x:v>http://arxiv.org/abs/2504.21099v1</x:v>
      </x:c>
      <x:c r="M109" s="23" t="n">
        <x:v>0.016129032258064516</x:v>
      </x:c>
      <x:c r="N109" s="17" t="str">
        <x:v>arxiv-paper-eval-20260726-140242-results.jsonl</x:v>
      </x:c>
      <x:c r="O109" s="24" t="str">
        <x:v>1</x:v>
      </x:c>
      <x:c r="P109" s="28" t="str">
        <x:v>综述联邦学习环境中的基础模型PEFT，提供特定部署背景但范围偏窄。</x:v>
      </x:c>
      <x:c r="Q109" s="25" t="str"/>
      <x:c r="R109" s="24" t="str">
        <x:f>IF(Q109&lt;&gt;"",Q109,O109)</x:f>
        <x:v>1</x:v>
      </x:c>
      <x:c r="S109" s="29" t="str"/>
    </x:row>
    <x:row r="110" ht="54" customHeight="1">
      <x:c r="A110" s="17" t="str">
        <x:v>csq006-r09</x:v>
      </x:c>
      <x:c r="B110" s="17" t="str">
        <x:v>csq006</x:v>
      </x:c>
      <x:c r="C110" s="17" t="str">
        <x:v>machine_learning</x:v>
      </x:c>
      <x:c r="D110" s="17" t="str">
        <x:v>parameter_efficient_finetuning</x:v>
      </x:c>
      <x:c r="E110" s="27" t="str">
        <x:v>What are the main parameter-efficient fine-tuning methods, and how do they reduce trainable parameters while preserving downstream performance?</x:v>
      </x:c>
      <x:c r="F110" s="22" t="n">
        <x:v>9</x:v>
      </x:c>
      <x:c r="G110" s="17" t="str">
        <x:v>arXiv:2501.13787</x:v>
      </x:c>
      <x:c r="H110" s="27" t="str">
        <x:v>Parameter-Efficient Fine-Tuning for Foundation Models</x:v>
      </x:c>
      <x:c r="I110" s="17" t="str">
        <x:v>Dan Zhang; Tao Feng; Lilong Xue; Yuandong Wang; Yuxiao Dong; Jie Tang</x:v>
      </x:c>
      <x:c r="J110" s="22" t="n">
        <x:v>2025</x:v>
      </x:c>
      <x:c r="K110" s="27" t="str">
        <x:v>This survey delves into the realm of Parameter-Efficient Fine-Tuning (PEFT) within the context of Foundation Models (FMs). PEFT, a cost-effective fine-tuning technique, minimizes parameters and computational complexity while striving for optimal downstream task performance. FMs, like ChatGPT, DALL-E, and LLaVA specialize in language understanding, generative tasks, and multimodal tasks, trained on diverse datasets spanning text, images, and videos. The diversity of FMs guides various adaptation strategies for PEFT. Therefore, this survey aims to provide a comprehensive overview of PEFT techniques applied to diverse FMs and address critical gaps in understanding the techniques, trends, and applications. We start by providing a detailed development of FMs and PEFT. Subsequently, we systematically review the key categories and core mechanisms of PEFT across diverse FMs to offer a comprehensive understanding of trends. We also explore the most recent applications across various FMs to demonstrate the versatility of PEFT, shedding light on the integration of systematic PEFT methods with a range of FMs. Furthermore, we identify potential research and development directions for improving PEFTs in the future. This survey provides a valuable resource for both newcomers and experts seeking to understand and use the power of PEFT across FMs. All reviewed papers are listed at \url{https://github.com/THUDM/Awesome-Parameter-Efficient-Fine-Tuning-for-Foundation-Models}.</x:v>
      </x:c>
      <x:c r="L110" s="17" t="str">
        <x:v>http://arxiv.org/abs/2501.13787v1</x:v>
      </x:c>
      <x:c r="M110" s="23" t="n">
        <x:v>0.015873015873015872</x:v>
      </x:c>
      <x:c r="N110" s="17" t="str">
        <x:v>arxiv-paper-eval-20260726-140242-results.jsonl</x:v>
      </x:c>
      <x:c r="O110" s="24" t="str">
        <x:v>2</x:v>
      </x:c>
      <x:c r="P110" s="28" t="str">
        <x:v>综述基础模型PEFT及计算、参数与下游性能权衡，直接相关。</x:v>
      </x:c>
      <x:c r="Q110" s="25" t="str"/>
      <x:c r="R110" s="24" t="str">
        <x:f>IF(Q110&lt;&gt;"",Q110,O110)</x:f>
        <x:v>2</x:v>
      </x:c>
      <x:c r="S110" s="29" t="str"/>
    </x:row>
    <x:row r="111" ht="54" customHeight="1">
      <x:c r="A111" s="17" t="str">
        <x:v>csq006-r10</x:v>
      </x:c>
      <x:c r="B111" s="17" t="str">
        <x:v>csq006</x:v>
      </x:c>
      <x:c r="C111" s="17" t="str">
        <x:v>machine_learning</x:v>
      </x:c>
      <x:c r="D111" s="17" t="str">
        <x:v>parameter_efficient_finetuning</x:v>
      </x:c>
      <x:c r="E111" s="27" t="str">
        <x:v>What are the main parameter-efficient fine-tuning methods, and how do they reduce trainable parameters while preserving downstream performance?</x:v>
      </x:c>
      <x:c r="F111" s="22" t="n">
        <x:v>10</x:v>
      </x:c>
      <x:c r="G111" s="17" t="str">
        <x:v>arXiv:2305.16742</x:v>
      </x:c>
      <x:c r="H111" s="27" t="str">
        <x:v>Parameter-Efficient Fine-Tuning without Introducing New Latency</x:v>
      </x:c>
      <x:c r="I111" s="17" t="str">
        <x:v>Baohao Liao; Yan Meng; Christof Monz</x:v>
      </x:c>
      <x:c r="J111" s="22" t="n">
        <x:v>2023</x:v>
      </x:c>
      <x:c r="K111" s="27" t="str">
        <x:v>Parameter-efficient fine-tuning (PEFT) of pre-trained language models has recently demonstrated remarkable achievements, effectively matching the performance of full fine-tuning while utilizing significantly fewer trainable parameters, and consequently addressing the storage and communication constraints. Nonetheless, various PEFT methods are limited by their inherent characteristics. In the case of sparse fine-tuning, which involves modifying only a small subset of the existing parameters, the selection of fine-tuned parameters is task- and domain-specific, making it unsuitable for federated learning. On the other hand, PEFT methods with adding new parameters typically introduce additional inference latency. In this paper, we demonstrate the feasibility of generating a sparse mask in a task-agnostic manner, wherein all downstream tasks share a common mask. Our approach, which relies solely on the magnitude information of pre-trained parameters, surpasses existing methodologies by a significant margin when evaluated on the GLUE benchmark. Additionally, we introduce a novel adapter technique that directly applies the adapter to pre-trained parameters instead of the hidden representation, thereby achieving identical inference speed to that of full fine-tuning. Through extensive experiments, our proposed method attains a new state-of-the-art outcome in terms of both performance and storage efficiency, storing only 0.03% parameters of full fine-tuning.</x:v>
      </x:c>
      <x:c r="L111" s="17" t="str">
        <x:v>http://arxiv.org/abs/2305.16742v1</x:v>
      </x:c>
      <x:c r="M111" s="23" t="n">
        <x:v>0.015873015873015872</x:v>
      </x:c>
      <x:c r="N111" s="17" t="str">
        <x:v>arxiv-paper-eval-20260726-140242-results.jsonl</x:v>
      </x:c>
      <x:c r="O111" s="24" t="str">
        <x:v>2</x:v>
      </x:c>
      <x:c r="P111" s="28" t="str">
        <x:v>比较PEFT固有延迟并提出无新增推理延迟的方法，直接补充方法权衡。</x:v>
      </x:c>
      <x:c r="Q111" s="25" t="str"/>
      <x:c r="R111" s="24" t="str">
        <x:f>IF(Q111&lt;&gt;"",Q111,O111)</x:f>
        <x:v>2</x:v>
      </x:c>
      <x:c r="S111" s="29" t="str"/>
    </x:row>
    <x:row r="112" ht="54" customHeight="1">
      <x:c r="A112" s="17" t="str">
        <x:v>csq006-r11</x:v>
      </x:c>
      <x:c r="B112" s="17" t="str">
        <x:v>csq006</x:v>
      </x:c>
      <x:c r="C112" s="17" t="str">
        <x:v>machine_learning</x:v>
      </x:c>
      <x:c r="D112" s="17" t="str">
        <x:v>parameter_efficient_finetuning</x:v>
      </x:c>
      <x:c r="E112" s="27" t="str">
        <x:v>What are the main parameter-efficient fine-tuning methods, and how do they reduce trainable parameters while preserving downstream performance?</x:v>
      </x:c>
      <x:c r="F112" s="22" t="n">
        <x:v>11</x:v>
      </x:c>
      <x:c r="G112" s="17" t="str">
        <x:v>arXiv:2504.21569</x:v>
      </x:c>
      <x:c r="H112" s="27" t="str">
        <x:v>A Systematic Literature Review of Parameter-Efficient Fine-Tuning for Large Code Models</x:v>
      </x:c>
      <x:c r="I112" s="17" t="str">
        <x:v>Saima Afrin; Md Zahidul Haque; Antonio Mastropaolo</x:v>
      </x:c>
      <x:c r="J112" s="22" t="n">
        <x:v>2025</x:v>
      </x:c>
      <x:c r="K112" s="27" t="str">
        <x:v>The rise of Artificial Intelligence (AI)-and particularly Large Language Models (LLMs) for code-has reshaped Software Engineering (SE) by enabling the automation of tasks such as code generation, bug detection, and repair. However, these models require significant computational resources for training and fine-tuning, posing challenges for real-world adoption in resource-constrained environments. To address this, the research community has increasingly turned to Parameter-Efficient Fine-Tuning (PEFT)-a class of techniques that enables the adaptation of large models by updating only a small subset of parameters, rather than the entire model. In this Systematic Literature Review (SLR), we examine the growing application of PEFT techniques-across a wide range of software engineering tasks. We analyze how these methods are used to optimize various deep learning (DL) architectures, focusing on their impact on both performance and efficiency. Our study synthesizes findings from 28 peer-reviewed papers, identifying patterns in configuration strategies and adaptation trade-offs. The outcome of this review is a comprehensive taxonomy that categorizes PEFT usage by task type, distinguishing between generative (e.g., Code Summarization) and non-generative (e.g., Code Clone Detection) scenarios. Our findings aim to inform future research and guide the practical deployment of PEFT in sustainable, AI-powered software development. Our artifacts are publicly available at https://github.com/alvi75/SLR-PEFT</x:v>
      </x:c>
      <x:c r="L112" s="17" t="str">
        <x:v>http://arxiv.org/abs/2504.21569v3</x:v>
      </x:c>
      <x:c r="M112" s="23" t="n">
        <x:v>0.015625</x:v>
      </x:c>
      <x:c r="N112" s="17" t="str">
        <x:v>arxiv-paper-eval-20260726-140242-results.jsonl</x:v>
      </x:c>
      <x:c r="O112" s="24" t="str">
        <x:v>1</x:v>
      </x:c>
      <x:c r="P112" s="28" t="str">
        <x:v>系统回顾代码大模型PEFT，能提供领域证据但不覆盖通用主要方法全貌。</x:v>
      </x:c>
      <x:c r="Q112" s="25" t="str"/>
      <x:c r="R112" s="24" t="str">
        <x:f>IF(Q112&lt;&gt;"",Q112,O112)</x:f>
        <x:v>1</x:v>
      </x:c>
      <x:c r="S112" s="29" t="str"/>
    </x:row>
    <x:row r="113" ht="54" customHeight="1">
      <x:c r="A113" s="17" t="str">
        <x:v>csq006-r12</x:v>
      </x:c>
      <x:c r="B113" s="17" t="str">
        <x:v>csq006</x:v>
      </x:c>
      <x:c r="C113" s="17" t="str">
        <x:v>machine_learning</x:v>
      </x:c>
      <x:c r="D113" s="17" t="str">
        <x:v>parameter_efficient_finetuning</x:v>
      </x:c>
      <x:c r="E113" s="27" t="str">
        <x:v>What are the main parameter-efficient fine-tuning methods, and how do they reduce trainable parameters while preserving downstream performance?</x:v>
      </x:c>
      <x:c r="F113" s="22" t="n">
        <x:v>12</x:v>
      </x:c>
      <x:c r="G113" s="17" t="str">
        <x:v>arXiv:2503.00572</x:v>
      </x:c>
      <x:c r="H113" s="27" t="str">
        <x:v>LoR2C : Low-Rank Residual Connection Adaptation for Parameter-Efficient Fine-Tuning</x:v>
      </x:c>
      <x:c r="I113" s="17" t="str">
        <x:v>Jiancheng Zhao; Xingda Yu; Yuxiang Zhang; Zhen Yang</x:v>
      </x:c>
      <x:c r="J113" s="22" t="n">
        <x:v>2025</x:v>
      </x:c>
      <x:c r="K113" s="27" t="str">
        <x:v>In recent years, pretrained large language models have demonstrated outstanding performance across various natural language processing tasks. However, full-parameter fine-tuning methods require adjusting all model parameters, leading to immense computational resource demands. Although parameter-efficient fine-tuning methods like LoRA have significantly reduced the number of parameters, they still face challenges such as gradient vanishing and the potential for further parameter reduction. To address these issues, this paper proposes a novel parameter-efficient fine-tuning method called LoR2C (Low-Rank Residual Connection Adaptation). LoR2C introduces residual connections with low-rank matrices within the model layers, which not only reduces the number of fine-tuning parameters but also effectively alleviates the gradient vanishing problem. Additionally, this paper presents three optimization variants of LoR2C: ShareLoR2C, MergeLoR2C, and InjectLoR2C. These variants further improve parameter efficiency and model performance through parameter sharing, module merging, and injection mechanisms, respectively. Experimental results on multiple natural language understanding and natural language generation tasks demonstrate that LoR2C and its optimized variants significantly reduce parameter overhead while maintaining or even improving performance, outperforming existing mainstream parameter-efficient fine-tuning methods.Our code is publicly available at https://github.com/Oblivioniss/LoR2C.</x:v>
      </x:c>
      <x:c r="L113" s="17" t="str">
        <x:v>http://arxiv.org/abs/2503.00572v1</x:v>
      </x:c>
      <x:c r="M113" s="23" t="n">
        <x:v>0.015625</x:v>
      </x:c>
      <x:c r="N113" s="17" t="str">
        <x:v>arxiv-paper-eval-20260726-140242-results.jsonl</x:v>
      </x:c>
      <x:c r="O113" s="24" t="str">
        <x:v>2</x:v>
      </x:c>
      <x:c r="P113" s="28" t="str">
        <x:v>提出低秩残差连接适配，直接属于减少可训练参数的LoRA变体。</x:v>
      </x:c>
      <x:c r="Q113" s="25" t="str"/>
      <x:c r="R113" s="24" t="str">
        <x:f>IF(Q113&lt;&gt;"",Q113,O113)</x:f>
        <x:v>2</x:v>
      </x:c>
      <x:c r="S113" s="29" t="str"/>
    </x:row>
    <x:row r="114" ht="54" customHeight="1">
      <x:c r="A114" s="17" t="str">
        <x:v>csq006-r13</x:v>
      </x:c>
      <x:c r="B114" s="17" t="str">
        <x:v>csq006</x:v>
      </x:c>
      <x:c r="C114" s="17" t="str">
        <x:v>machine_learning</x:v>
      </x:c>
      <x:c r="D114" s="17" t="str">
        <x:v>parameter_efficient_finetuning</x:v>
      </x:c>
      <x:c r="E114" s="27" t="str">
        <x:v>What are the main parameter-efficient fine-tuning methods, and how do they reduce trainable parameters while preserving downstream performance?</x:v>
      </x:c>
      <x:c r="F114" s="22" t="n">
        <x:v>13</x:v>
      </x:c>
      <x:c r="G114" s="17" t="str">
        <x:v>arXiv:2511.21285</x:v>
      </x:c>
      <x:c r="H114" s="27" t="str">
        <x:v>PEFT-Bench: A Parameter-Efficient Fine-Tuning Methods Benchmark</x:v>
      </x:c>
      <x:c r="I114" s="17" t="str">
        <x:v>Robert Belanec; Branislav Pecher; Ivan Srba; Maria Bielikova</x:v>
      </x:c>
      <x:c r="J114" s="22" t="n">
        <x:v>2025</x:v>
      </x:c>
      <x:c r="K114" s="27" t="str">
        <x:v>Despite the state-of-the-art performance of Large Language Models (LLMs) achieved on many tasks, their massive scale often leads to high computational and environmental costs, limiting their accessibility. Parameter-Efficient Fine-Tuning (PEFT) methods address this challenge by reducing the number of trainable parameters while maintaining strong downstream performance. Despite the advances in PEFT methods, current evaluations remain limited (in terms of evaluated models and datasets) and difficult to reproduce. To bridge this gap, we introduce PEFT-Bench, a unified end-to-end benchmark for evaluating diverse PEFT methods on autoregressive LLMs. We demonstrate its usage across 27 NLP datasets and 7 PEFT methods. To account for different PEFT training and inference factors, we also introduce the PEFT Soft Cost Penalties (PSCP) metric, which takes trainable parameters, inference speed, and training memory usage into account.</x:v>
      </x:c>
      <x:c r="L114" s="17" t="str">
        <x:v>http://arxiv.org/abs/2511.21285v3</x:v>
      </x:c>
      <x:c r="M114" s="23" t="n">
        <x:v>0.015625</x:v>
      </x:c>
      <x:c r="N114" s="17" t="str">
        <x:v>arxiv-paper-eval-20260726-140242-results.jsonl</x:v>
      </x:c>
      <x:c r="O114" s="24" t="str">
        <x:v>2</x:v>
      </x:c>
      <x:c r="P114" s="28" t="str">
        <x:v>建立PEFT方法基准，直接衡量参数量与下游性能保持。</x:v>
      </x:c>
      <x:c r="Q114" s="25" t="str"/>
      <x:c r="R114" s="24" t="str">
        <x:f>IF(Q114&lt;&gt;"",Q114,O114)</x:f>
        <x:v>2</x:v>
      </x:c>
      <x:c r="S114" s="29" t="str"/>
    </x:row>
    <x:row r="115" ht="54" customHeight="1">
      <x:c r="A115" s="17" t="str">
        <x:v>csq006-r14</x:v>
      </x:c>
      <x:c r="B115" s="17" t="str">
        <x:v>csq006</x:v>
      </x:c>
      <x:c r="C115" s="17" t="str">
        <x:v>machine_learning</x:v>
      </x:c>
      <x:c r="D115" s="17" t="str">
        <x:v>parameter_efficient_finetuning</x:v>
      </x:c>
      <x:c r="E115" s="27" t="str">
        <x:v>What are the main parameter-efficient fine-tuning methods, and how do they reduce trainable parameters while preserving downstream performance?</x:v>
      </x:c>
      <x:c r="F115" s="22" t="n">
        <x:v>14</x:v>
      </x:c>
      <x:c r="G115" s="17" t="str">
        <x:v>arXiv:2309.08513</x:v>
      </x:c>
      <x:c r="H115" s="27" t="str">
        <x:v>SCT: A Simple Baseline for Parameter-Efficient Fine-Tuning via Salient Channels</x:v>
      </x:c>
      <x:c r="I115" s="17" t="str">
        <x:v>Henry Hengyuan Zhao; Pichao Wang; Yuyang Zhao; Hao Luo; Fan Wang; Mike Zheng Shou</x:v>
      </x:c>
      <x:c r="J115" s="22" t="n">
        <x:v>2023</x:v>
      </x:c>
      <x:c r="K115" s="27" t="str">
        <x:v>Pre-trained vision transformers have strong representation benefits to various downstream tasks. Recently, many parameter-efficient fine-tuning (PEFT) methods have been proposed, and their experiments demonstrate that tuning only 1\% extra parameters could surpass full fine-tuning in low-data resource scenarios. However, these methods overlook the task-specific information when fine-tuning diverse downstream tasks. In this paper, we propose a simple yet effective method called "Salient Channel Tuning" (SCT) to leverage the task-specific information by forwarding the model with the task images to select partial channels in a feature map that enables us to tune only 1/8 channels leading to significantly lower parameter costs. Experiments on 19 visual transfer learning downstream tasks demonstrate that our SCT outperforms full fine-tuning on 18 out of 19 tasks by adding only 0.11M parameters of the ViT-B, which is 780$\times$ fewer than its full fine-tuning counterpart. Furthermore, experiments on domain generalization and few-shot classification further demonstrate the effectiveness and generic of our approach. The code is available at https://github.com/showlab/SCT.</x:v>
      </x:c>
      <x:c r="L115" s="17" t="str">
        <x:v>http://arxiv.org/abs/2309.08513v5</x:v>
      </x:c>
      <x:c r="M115" s="23" t="n">
        <x:v>0.015625</x:v>
      </x:c>
      <x:c r="N115" s="17" t="str">
        <x:v>arxiv-paper-eval-20260726-140242-results.jsonl</x:v>
      </x:c>
      <x:c r="O115" s="24" t="str">
        <x:v>1</x:v>
      </x:c>
      <x:c r="P115" s="28" t="str">
        <x:v>通过显著通道调优视觉Transformer，机制相关但聚焦视觉场景。</x:v>
      </x:c>
      <x:c r="Q115" s="25" t="str"/>
      <x:c r="R115" s="24" t="str">
        <x:f>IF(Q115&lt;&gt;"",Q115,O115)</x:f>
        <x:v>1</x:v>
      </x:c>
      <x:c r="S115" s="29" t="str"/>
    </x:row>
    <x:row r="116" ht="54" customHeight="1">
      <x:c r="A116" s="17" t="str">
        <x:v>csq006-r15</x:v>
      </x:c>
      <x:c r="B116" s="17" t="str">
        <x:v>csq006</x:v>
      </x:c>
      <x:c r="C116" s="17" t="str">
        <x:v>machine_learning</x:v>
      </x:c>
      <x:c r="D116" s="17" t="str">
        <x:v>parameter_efficient_finetuning</x:v>
      </x:c>
      <x:c r="E116" s="27" t="str">
        <x:v>What are the main parameter-efficient fine-tuning methods, and how do they reduce trainable parameters while preserving downstream performance?</x:v>
      </x:c>
      <x:c r="F116" s="22" t="n">
        <x:v>15</x:v>
      </x:c>
      <x:c r="G116" s="17" t="str">
        <x:v>arXiv:2505.22444</x:v>
      </x:c>
      <x:c r="H116" s="27" t="str">
        <x:v>On Geometry-Enhanced Parameter-Efficient Fine-Tuning for 3D Scene Segmentation</x:v>
      </x:c>
      <x:c r="I116" s="17" t="str">
        <x:v>Liyao Tang; Zhe Chen; Dacheng Tao</x:v>
      </x:c>
      <x:c r="J116" s="22" t="n">
        <x:v>2025</x:v>
      </x:c>
      <x:c r="K116" s="27" t="str">
        <x:v>The emergence of large-scale pre-trained point cloud models has significantly advanced 3D scene understanding, but adapting these models to specific downstream tasks typically demands full fine-tuning, incurring high computational and storage costs. Parameter-efficient fine-tuning (PEFT) techniques, successful in natural language processing and 2D vision tasks, would underperform when naively applied to 3D point cloud models due to significant geometric and spatial distribution shifts. Existing PEFT methods commonly treat points as orderless tokens, neglecting important local spatial structures and global geometric contexts in 3D modeling. To bridge this gap, we introduce the Geometric Encoding Mixer (GEM), a novel geometry-aware PEFT module specifically designed for 3D point cloud transformers. GEM explicitly integrates fine-grained local positional encodings with a lightweight latent attention mechanism to capture comprehensive global context, thereby effectively addressing the spatial and geometric distribution mismatch. Extensive experiments demonstrate that GEM achieves performance comparable to or sometimes even exceeding full fine-tuning, while only updating 1.6% of the model's parameters, fewer than other PEFT methods. With significantly reduced training time and memory requirements, our approach thus sets a new benchmark for efficient, scalable, and geometry-aware fine-tuning of large-scale 3D point cloud models. Code is available at https://github.com/LiyaoTang/GEM.</x:v>
      </x:c>
      <x:c r="L116" s="17" t="str">
        <x:v>http://arxiv.org/abs/2505.22444v3</x:v>
      </x:c>
      <x:c r="M116" s="23" t="n">
        <x:v>0.015384615384615385</x:v>
      </x:c>
      <x:c r="N116" s="17" t="str">
        <x:v>arxiv-paper-eval-20260726-140242-results.jsonl</x:v>
      </x:c>
      <x:c r="O116" s="24" t="str">
        <x:v>1</x:v>
      </x:c>
      <x:c r="P116" s="28" t="str">
        <x:v>研究3D场景分割的几何增强PEFT，属于窄领域方法扩展。</x:v>
      </x:c>
      <x:c r="Q116" s="25" t="str"/>
      <x:c r="R116" s="24" t="str">
        <x:f>IF(Q116&lt;&gt;"",Q116,O116)</x:f>
        <x:v>1</x:v>
      </x:c>
      <x:c r="S116" s="29" t="str"/>
    </x:row>
    <x:row r="117" ht="54" customHeight="1">
      <x:c r="A117" s="17" t="str">
        <x:v>csq006-r16</x:v>
      </x:c>
      <x:c r="B117" s="17" t="str">
        <x:v>csq006</x:v>
      </x:c>
      <x:c r="C117" s="17" t="str">
        <x:v>machine_learning</x:v>
      </x:c>
      <x:c r="D117" s="17" t="str">
        <x:v>parameter_efficient_finetuning</x:v>
      </x:c>
      <x:c r="E117" s="27" t="str">
        <x:v>What are the main parameter-efficient fine-tuning methods, and how do they reduce trainable parameters while preserving downstream performance?</x:v>
      </x:c>
      <x:c r="F117" s="22" t="n">
        <x:v>16</x:v>
      </x:c>
      <x:c r="G117" s="17" t="str">
        <x:v>arXiv:2403.14608</x:v>
      </x:c>
      <x:c r="H117" s="27" t="str">
        <x:v>Parameter-Efficient Fine-Tuning for Large Models: A Comprehensive Survey</x:v>
      </x:c>
      <x:c r="I117" s="17" t="str">
        <x:v>Zeyu Han; Chao Gao; Jinyang Liu; Jeff Zhang; Sai Qian Zhang</x:v>
      </x:c>
      <x:c r="J117" s="22" t="n">
        <x:v>2024</x:v>
      </x:c>
      <x:c r="K117" s="27" t="str">
        <x:v>Large models represent a groundbreaking advancement in multiple application fields, enabling remarkable achievements across various tasks. However, their unprecedented scale comes with significant computational costs. These models, often consisting of billions of parameters, require vast amounts of computational resources for execution. Especially, the expansive scale and computational demands pose considerable challenges when customizing them for particular downstream tasks, particularly over the hardware platforms constrained by computational capabilities. Parameter Efficient Fine-Tuning (PEFT) provides a practical solution by efficiently adjusting the large models over the various downstream tasks. In particular, PEFT refers to the process of adjusting the parameters of a pre-trained large model to adapt it to a specific task or domain while minimizing the number of additional parameters introduced or computational resources required. This approach is particularly important when dealing with large-scale language models with high parameter counts, as fine-tuning these models from scratch can be computationally expensive and resource-intensive, posing considerable challenges in the supporting system platform design. In this survey, we present comprehensive studies of various PEFT algorithms, examining their performance and computational overhead. Moreover, we provide an overview of applications developed using different PEFT algorithms and discuss common techniques employed to mitigate computation costs for PEFT. In addition to providing an extensive survey from an algorithmic standpoint, we also examine various real-world system designs to investigate the implementation costs associated with different PEFT approaches. This survey serves as a valuable resource for researchers aiming to understand both the PEFT algorithm and its system implementation, offering detailed ......</x:v>
      </x:c>
      <x:c r="L117" s="17" t="str">
        <x:v>http://arxiv.org/abs/2403.14608v7</x:v>
      </x:c>
      <x:c r="M117" s="23" t="n">
        <x:v>0.015384615384615385</x:v>
      </x:c>
      <x:c r="N117" s="17" t="str">
        <x:v>arxiv-paper-eval-20260726-140242-results.jsonl</x:v>
      </x:c>
      <x:c r="O117" s="24" t="str">
        <x:v>2</x:v>
      </x:c>
      <x:c r="P117" s="28" t="str">
        <x:v>全面综述大模型PEFT方法及计算和性能特征，直接回答题目。</x:v>
      </x:c>
      <x:c r="Q117" s="25" t="str"/>
      <x:c r="R117" s="24" t="str">
        <x:f>IF(Q117&lt;&gt;"",Q117,O117)</x:f>
        <x:v>2</x:v>
      </x:c>
      <x:c r="S117" s="29" t="str"/>
    </x:row>
    <x:row r="118" ht="54" customHeight="1">
      <x:c r="A118" s="17" t="str">
        <x:v>csq006-r17</x:v>
      </x:c>
      <x:c r="B118" s="17" t="str">
        <x:v>csq006</x:v>
      </x:c>
      <x:c r="C118" s="17" t="str">
        <x:v>machine_learning</x:v>
      </x:c>
      <x:c r="D118" s="17" t="str">
        <x:v>parameter_efficient_finetuning</x:v>
      </x:c>
      <x:c r="E118" s="27" t="str">
        <x:v>What are the main parameter-efficient fine-tuning methods, and how do they reduce trainable parameters while preserving downstream performance?</x:v>
      </x:c>
      <x:c r="F118" s="22" t="n">
        <x:v>17</x:v>
      </x:c>
      <x:c r="G118" s="17" t="str">
        <x:v>arXiv:2403.09377</x:v>
      </x:c>
      <x:c r="H118" s="27" t="str">
        <x:v>Introducing Routing Functions to Vision-Language Parameter-Efficient Fine-Tuning with Low-Rank Bottlenecks</x:v>
      </x:c>
      <x:c r="I118" s="17" t="str">
        <x:v>Tingyu Qu; Tinne Tuytelaars; Marie-Francine Moens</x:v>
      </x:c>
      <x:c r="J118" s="22" t="n">
        <x:v>2024</x:v>
      </x:c>
      <x:c r="K118" s="27" t="str">
        <x:v>Mainstream parameter-efficient fine-tuning (PEFT) methods, such as LoRA or Adapter, project a model's hidden states to a lower dimension, allowing pre-trained models to adapt to new data through this low-rank bottleneck. However, PEFT tasks involving multiple modalities, like vision-language (VL) tasks, require not only adaptation to new data but also learning the relationship between different modalities. Targeting at VL PEFT tasks, we propose a family of operations, called routing functions, to enhance VL alignment in the low-rank bottlenecks. These feature routing functions adopt linear operations and do not introduce new trainable parameters. In-depth analyses are conducted to study their behavior. In various VL PEFT settings, the routing functions significantly improve performance of the original PEFT methods, achieving over 20\% improvement on VQAv2 ($\text{RoBERTa}_{\text{large}}$+ViT-L/16) and 30\% on COCO Captioning (GPT2-medium+ViT-L/16). Also when fine-tuning a pre-trained multimodal model such as CLIP-BART, we observe smaller but consistent improvements across a range of VL PEFT tasks. Our code is available at https://github.com/tingyu215/Routing_VLPEFT.</x:v>
      </x:c>
      <x:c r="L118" s="17" t="str">
        <x:v>http://arxiv.org/abs/2403.09377v2</x:v>
      </x:c>
      <x:c r="M118" s="23" t="n">
        <x:v>0.015384615384615385</x:v>
      </x:c>
      <x:c r="N118" s="17" t="str">
        <x:v>arxiv-paper-eval-20260726-140242-results.jsonl</x:v>
      </x:c>
      <x:c r="O118" s="24" t="str">
        <x:v>1</x:v>
      </x:c>
      <x:c r="P118" s="28" t="str">
        <x:v>针对视觉语言多模态提出路由低秩瓶颈，相关但不是通用方法综述。</x:v>
      </x:c>
      <x:c r="Q118" s="25" t="str"/>
      <x:c r="R118" s="24" t="str">
        <x:f>IF(Q118&lt;&gt;"",Q118,O118)</x:f>
        <x:v>1</x:v>
      </x:c>
      <x:c r="S118" s="29" t="str"/>
    </x:row>
    <x:row r="119" ht="54" customHeight="1">
      <x:c r="A119" s="17" t="str">
        <x:v>csq006-r18</x:v>
      </x:c>
      <x:c r="B119" s="17" t="str">
        <x:v>csq006</x:v>
      </x:c>
      <x:c r="C119" s="17" t="str">
        <x:v>machine_learning</x:v>
      </x:c>
      <x:c r="D119" s="17" t="str">
        <x:v>parameter_efficient_finetuning</x:v>
      </x:c>
      <x:c r="E119" s="27" t="str">
        <x:v>What are the main parameter-efficient fine-tuning methods, and how do they reduce trainable parameters while preserving downstream performance?</x:v>
      </x:c>
      <x:c r="F119" s="22" t="n">
        <x:v>18</x:v>
      </x:c>
      <x:c r="G119" s="17" t="str">
        <x:v>arXiv:2406.03792</x:v>
      </x:c>
      <x:c r="H119" s="27" t="str">
        <x:v>Light-PEFT: Lightening Parameter-Efficient Fine-Tuning via Early Pruning</x:v>
      </x:c>
      <x:c r="I119" s="17" t="str">
        <x:v>Naibin Gu; Peng Fu; Xiyu Liu; Bowen Shen; Zheng Lin; Weiping Wang</x:v>
      </x:c>
      <x:c r="J119" s="22" t="n">
        <x:v>2024</x:v>
      </x:c>
      <x:c r="K119" s="27" t="str">
        <x:v>Parameter-efficient fine-tuning (PEFT) has emerged as the predominant technique for fine-tuning in the era of large language models. However, existing PEFT methods still have inadequate training efficiency. Firstly, the utilization of large-scale foundation models during the training process is excessively redundant for certain fine-tuning tasks. Secondly, as the model size increases, the growth in trainable parameters of empirically added PEFT modules becomes non-negligible and redundant, leading to inefficiency. To achieve task-specific efficient fine-tuning, we propose the Light-PEFT framework, which includes two methods: Masked Early Pruning of the Foundation Model and Multi-Granularity Early Pruning of PEFT. The Light-PEFT framework allows for the simultaneous estimation of redundant parameters in both the foundation model and PEFT modules during the early stage of training. These parameters can then be pruned for more efficient fine-tuning. We validate our approach on GLUE, SuperGLUE, QA tasks, and various models. With Light-PEFT, parameters of the foundation model can be pruned by up to over 40%, while still controlling trainable parameters to be only 25% of the original PEFT method. Compared to utilizing the PEFT method directly, Light-PEFT achieves training and inference speedup, reduces memory usage, and maintains comparable performance and the plug-and-play feature of PEFT.</x:v>
      </x:c>
      <x:c r="L119" s="17" t="str">
        <x:v>http://arxiv.org/abs/2406.03792v1</x:v>
      </x:c>
      <x:c r="M119" s="23" t="n">
        <x:v>0.015384615384615385</x:v>
      </x:c>
      <x:c r="N119" s="17" t="str">
        <x:v>arxiv-paper-eval-20260726-140242-results.jsonl</x:v>
      </x:c>
      <x:c r="O119" s="24" t="str">
        <x:v>2</x:v>
      </x:c>
      <x:c r="P119" s="28" t="str">
        <x:v>以早期剪枝减少PEFT训练冗余和可训练参数，直接属于效率改进。</x:v>
      </x:c>
      <x:c r="Q119" s="25" t="str"/>
      <x:c r="R119" s="24" t="str">
        <x:f>IF(Q119&lt;&gt;"",Q119,O119)</x:f>
        <x:v>2</x:v>
      </x:c>
      <x:c r="S119" s="29" t="str"/>
    </x:row>
    <x:row r="120" ht="54" customHeight="1">
      <x:c r="A120" s="17" t="str">
        <x:v>csq006-r19</x:v>
      </x:c>
      <x:c r="B120" s="17" t="str">
        <x:v>csq006</x:v>
      </x:c>
      <x:c r="C120" s="17" t="str">
        <x:v>machine_learning</x:v>
      </x:c>
      <x:c r="D120" s="17" t="str">
        <x:v>parameter_efficient_finetuning</x:v>
      </x:c>
      <x:c r="E120" s="27" t="str">
        <x:v>What are the main parameter-efficient fine-tuning methods, and how do they reduce trainable parameters while preserving downstream performance?</x:v>
      </x:c>
      <x:c r="F120" s="22" t="n">
        <x:v>19</x:v>
      </x:c>
      <x:c r="G120" s="17" t="str">
        <x:v>arXiv:2504.00851</x:v>
      </x:c>
      <x:c r="H120" s="27" t="str">
        <x:v>Generalized Tensor-based Parameter-Efficient Fine-Tuning via Lie Group Transformations</x:v>
      </x:c>
      <x:c r="I120" s="17" t="str">
        <x:v>Chongjie Si; Zhiyi Shi; Xuehui Wang; Yichen Xiao; Xiaokang Yang; Wei Shen</x:v>
      </x:c>
      <x:c r="J120" s="22" t="n">
        <x:v>2025</x:v>
      </x:c>
      <x:c r="K120" s="27" t="str">
        <x:v>Adapting pre-trained foundation models for diverse downstream tasks is a core practice in artificial intelligence. However, the wide range of tasks and high computational costs make full fine-tuning impractical. To overcome this, parameter-efficient fine-tuning (PEFT) methods like LoRA have emerged and are becoming a growing research focus. Despite the success of these methods, they are primarily designed for linear layers, focusing on two-dimensional matrices while largely ignoring higher-dimensional parameter spaces like convolutional kernels. Moreover, directly applying these methods to higher-dimensional parameter spaces often disrupts their structural relationships. Given the rapid advancements in matrix-based PEFT methods, rather than designing a specialized strategy, we propose a generalization that extends matrix-based PEFT methods to higher-dimensional parameter spaces without compromising their structural properties. Specifically, we treat parameters as elements of a Lie group, with updates modeled as perturbations in the corresponding Lie algebra. These perturbations are mapped back to the Lie group through the exponential map, ensuring smooth, consistent updates that preserve the inherent structure of the parameter space. Extensive experiments on computer vision and natural language processing validate the effectiveness and versatility of our approach, demonstrating clear improvements over existing methods.</x:v>
      </x:c>
      <x:c r="L120" s="17" t="str">
        <x:v>http://arxiv.org/abs/2504.00851v2</x:v>
      </x:c>
      <x:c r="M120" s="23" t="n">
        <x:v>0.015151515151515152</x:v>
      </x:c>
      <x:c r="N120" s="17" t="str">
        <x:v>arxiv-paper-eval-20260726-140242-results.jsonl</x:v>
      </x:c>
      <x:c r="O120" s="24" t="str">
        <x:v>2</x:v>
      </x:c>
      <x:c r="P120" s="28" t="str">
        <x:v>用张量和李群变换推广低秩PEFT，直接提出新的参数高效机制。</x:v>
      </x:c>
      <x:c r="Q120" s="25" t="str"/>
      <x:c r="R120" s="24" t="str">
        <x:f>IF(Q120&lt;&gt;"",Q120,O120)</x:f>
        <x:v>2</x:v>
      </x:c>
      <x:c r="S120" s="29" t="str"/>
    </x:row>
    <x:row r="121" ht="54" customHeight="1">
      <x:c r="A121" s="17" t="str">
        <x:v>csq006-r20</x:v>
      </x:c>
      <x:c r="B121" s="17" t="str">
        <x:v>csq006</x:v>
      </x:c>
      <x:c r="C121" s="17" t="str">
        <x:v>machine_learning</x:v>
      </x:c>
      <x:c r="D121" s="17" t="str">
        <x:v>parameter_efficient_finetuning</x:v>
      </x:c>
      <x:c r="E121" s="27" t="str">
        <x:v>What are the main parameter-efficient fine-tuning methods, and how do they reduce trainable parameters while preserving downstream performance?</x:v>
      </x:c>
      <x:c r="F121" s="22" t="n">
        <x:v>20</x:v>
      </x:c>
      <x:c r="G121" s="17" t="str">
        <x:v>arXiv:2402.17263</x:v>
      </x:c>
      <x:c r="H121" s="27" t="str">
        <x:v>MELoRA: Mini-Ensemble Low-Rank Adapters for Parameter-Efficient Fine-Tuning</x:v>
      </x:c>
      <x:c r="I121" s="17" t="str">
        <x:v>Pengjie Ren; Chengshun Shi; Shiguang Wu; Mengqi Zhang; Zhaochun Ren; Maarten de Rijke; Zhumin Chen; Jiahuan Pei</x:v>
      </x:c>
      <x:c r="J121" s="22" t="n">
        <x:v>2024</x:v>
      </x:c>
      <x:c r="K121" s="27" t="str">
        <x:v>Parameter-efficient fine-tuning (PEFT) is a popular method for tailoring pre-trained large language models (LLMs), especially as the models' scale and the diversity of tasks increase. Low-rank adaptation (LoRA) is based on the idea that the adaptation process is intrinsically low-dimensional, i.e., significant model changes can be represented with relatively few parameters. However, decreasing the rank encounters challenges with generalization errors for specific tasks when compared to full-parameter fine-tuning. We present MELoRA, a mini-ensemble low-rank adapters that uses fewer trainable parameters while maintaining a higher rank, thereby offering improved performance potential. The core idea is to freeze original pretrained weights and train a group of mini LoRAs with only a small number of parameters. This can capture a significant degree of diversity among mini LoRAs, thus promoting better generalization ability. We conduct a theoretical analysis and empirical studies on various NLP tasks. Our experimental results show that, compared to LoRA, MELoRA achieves better performance with 8 times fewer trainable parameters on natural language understanding tasks and 36 times fewer trainable parameters on instruction following tasks, which demonstrates the effectiveness of MELoRA.</x:v>
      </x:c>
      <x:c r="L121" s="17" t="str">
        <x:v>http://arxiv.org/abs/2402.17263v3</x:v>
      </x:c>
      <x:c r="M121" s="23" t="n">
        <x:v>0.015151515151515152</x:v>
      </x:c>
      <x:c r="N121" s="17" t="str">
        <x:v>arxiv-paper-eval-20260726-140242-results.jsonl</x:v>
      </x:c>
      <x:c r="O121" s="24" t="str">
        <x:v>2</x:v>
      </x:c>
      <x:c r="P121" s="28" t="str">
        <x:v>以小型集成低秩适配器改进LoRA容量，直接讨论参数与性能权衡。</x:v>
      </x:c>
      <x:c r="Q121" s="25" t="str"/>
      <x:c r="R121" s="24" t="str">
        <x:f>IF(Q121&lt;&gt;"",Q121,O121)</x:f>
        <x:v>2</x:v>
      </x:c>
      <x:c r="S121" s="29" t="str"/>
    </x:row>
    <x:row r="122" ht="54" customHeight="1">
      <x:c r="A122" s="17" t="str">
        <x:v>csq007-r01</x:v>
      </x:c>
      <x:c r="B122" s="17" t="str">
        <x:v>csq007</x:v>
      </x:c>
      <x:c r="C122" s="17" t="str">
        <x:v>machine_learning</x:v>
      </x:c>
      <x:c r="D122" s="17" t="str">
        <x:v>federated_optimization</x:v>
      </x:c>
      <x:c r="E122" s="27" t="str">
        <x:v>How do major federated learning optimization methods address client heterogeneity and non-IID data, and how do their assumptions differ?</x:v>
      </x:c>
      <x:c r="F122" s="22" t="n">
        <x:v>1</x:v>
      </x:c>
      <x:c r="G122" s="17" t="str">
        <x:v>arXiv:2206.05507</x:v>
      </x:c>
      <x:c r="H122" s="27" t="str">
        <x:v>Federated Learning with GAN-based Data Synthesis for Non-IID Clients</x:v>
      </x:c>
      <x:c r="I122" s="17" t="str">
        <x:v>Zijian Li; Jiawei Shao; Yuyi Mao; Jessie Hui Wang; Jun Zhang</x:v>
      </x:c>
      <x:c r="J122" s="22" t="n">
        <x:v>2022</x:v>
      </x:c>
      <x:c r="K122" s="27" t="str">
        <x:v>Federated learning (FL) has recently emerged as a popular privacy-preserving collaborative learning paradigm. However, it suffers from the non-independent and identically distributed (non-IID) data among clients. In this paper, we propose a novel framework, named Synthetic Data Aided Federated Learning (SDA-FL), to resolve this non-IID challenge by sharing synthetic data. Specifically, each client pretrains a local generative adversarial network (GAN) to generate differentially private synthetic data, which are uploaded to the parameter server (PS) to construct a global shared synthetic dataset. To generate confident pseudo labels for the synthetic dataset, we also propose an iterative pseudo labeling mechanism performed by the PS. A combination of the local private dataset and synthetic dataset with confident pseudo labels leads to nearly identical data distributions among clients, which improves the consistency among local models and benefits the global aggregation. Extensive experiments evidence that the proposed framework outperforms the baseline methods by a large margin in several benchmark datasets under both the supervised and semi-supervised settings.</x:v>
      </x:c>
      <x:c r="L122" s="17" t="str">
        <x:v>http://arxiv.org/abs/2206.05507v1</x:v>
      </x:c>
      <x:c r="M122" s="23" t="n">
        <x:v>0.046470330908794336</x:v>
      </x:c>
      <x:c r="N122" s="17" t="str">
        <x:v>arxiv-paper-eval-20260726-140242-results.jsonl</x:v>
      </x:c>
      <x:c r="O122" s="24" t="str">
        <x:v>2</x:v>
      </x:c>
      <x:c r="P122" s="28" t="str">
        <x:v>用GAN合成共享数据缓解客户端非IID，直接提出异质性优化方法。</x:v>
      </x:c>
      <x:c r="Q122" s="25" t="str"/>
      <x:c r="R122" s="24" t="str">
        <x:f>IF(Q122&lt;&gt;"",Q122,O122)</x:f>
        <x:v>2</x:v>
      </x:c>
      <x:c r="S122" s="29" t="str"/>
    </x:row>
    <x:row r="123" ht="54" customHeight="1">
      <x:c r="A123" s="17" t="str">
        <x:v>csq007-r02</x:v>
      </x:c>
      <x:c r="B123" s="17" t="str">
        <x:v>csq007</x:v>
      </x:c>
      <x:c r="C123" s="17" t="str">
        <x:v>machine_learning</x:v>
      </x:c>
      <x:c r="D123" s="17" t="str">
        <x:v>federated_optimization</x:v>
      </x:c>
      <x:c r="E123" s="27" t="str">
        <x:v>How do major federated learning optimization methods address client heterogeneity and non-IID data, and how do their assumptions differ?</x:v>
      </x:c>
      <x:c r="F123" s="22" t="n">
        <x:v>2</x:v>
      </x:c>
      <x:c r="G123" s="17" t="str">
        <x:v>arXiv:2510.06259</x:v>
      </x:c>
      <x:c r="H123" s="27" t="str">
        <x:v>Beyond Static Knowledge Messengers: Towards Adaptive, Fair, and Scalable Federated Learning for Medical AI</x:v>
      </x:c>
      <x:c r="I123" s="17" t="str">
        <x:v>Jahidul Arafat; Fariha Tasmin; Sanjaya Poudel; Iftekhar Haider</x:v>
      </x:c>
      <x:c r="J123" s="22" t="n">
        <x:v>2025</x:v>
      </x:c>
      <x:c r="K123" s="27" t="str">
        <x:v>Medical AI faces challenges in privacy-preserving collaborative learning while ensuring fairness across heterogeneous healthcare institutions. Current federated learning approaches suffer from static architectures, slow convergence (45-73 rounds), fairness gaps marginalizing smaller institutions, and scalability constraints (15-client limit). We propose Adaptive Fair Federated Learning (AFFL) through three innovations: (1) Adaptive Knowledge Messengers dynamically scaling capacity based on heterogeneity and task complexity, (2) Fairness-Aware Distillation using influence-weighted aggregation, and (3) Curriculum-Guided Acceleration reducing rounds by 60-70%. Our theoretical analysis provides convergence guarantees with epsilon-fairness bounds, achieving O(T^{-1/2}) + O(H_max/T^{3/4}) rates. Projected results show 55-75% communication reduction, 56-68% fairness improvement, 34-46% energy savings, and 100+ institution support. The framework enables multi-modal integration across imaging, genomics, EHR, and sensor data while maintaining HIPAA/GDPR compliance. We propose MedFedBench benchmark suite for standardized evaluation across six healthcare dimensions: convergence efficiency, institutional fairness, privacy preservation, multi-modal integration, scalability, and clinical deployment readiness. Economic projections indicate 400-800% ROI for rural hospitals and 15-25% performance gains for academic centers. This work presents a seven-question research agenda, 24-month implementation roadmap, and pathways toward democratizing healthcare AI.</x:v>
      </x:c>
      <x:c r="L123" s="17" t="str">
        <x:v>http://arxiv.org/abs/2510.06259v2</x:v>
      </x:c>
      <x:c r="M123" s="23" t="n">
        <x:v>0.031544957774465976</x:v>
      </x:c>
      <x:c r="N123" s="17" t="str">
        <x:v>arxiv-paper-eval-20260726-140242-results.jsonl</x:v>
      </x:c>
      <x:c r="O123" s="24" t="str">
        <x:v>1</x:v>
      </x:c>
      <x:c r="P123" s="28" t="str">
        <x:v>医疗联邦学习同时处理异质、公平和扩展性，相关但并非主要优化方法比较。</x:v>
      </x:c>
      <x:c r="Q123" s="25" t="str"/>
      <x:c r="R123" s="24" t="str">
        <x:f>IF(Q123&lt;&gt;"",Q123,O123)</x:f>
        <x:v>1</x:v>
      </x:c>
      <x:c r="S123" s="29" t="str"/>
    </x:row>
    <x:row r="124" ht="54" customHeight="1">
      <x:c r="A124" s="17" t="str">
        <x:v>csq007-r03</x:v>
      </x:c>
      <x:c r="B124" s="17" t="str">
        <x:v>csq007</x:v>
      </x:c>
      <x:c r="C124" s="17" t="str">
        <x:v>machine_learning</x:v>
      </x:c>
      <x:c r="D124" s="17" t="str">
        <x:v>federated_optimization</x:v>
      </x:c>
      <x:c r="E124" s="27" t="str">
        <x:v>How do major federated learning optimization methods address client heterogeneity and non-IID data, and how do their assumptions differ?</x:v>
      </x:c>
      <x:c r="F124" s="22" t="n">
        <x:v>3</x:v>
      </x:c>
      <x:c r="G124" s="17" t="str">
        <x:v>arXiv:2106.05001</x:v>
      </x:c>
      <x:c r="H124" s="27" t="str">
        <x:v>No Fear of Heterogeneity: Classifier Calibration for Federated Learning with Non-IID Data</x:v>
      </x:c>
      <x:c r="I124" s="17" t="str">
        <x:v>Mi Luo; Fei Chen; Dapeng Hu; Yifan Zhang; Jian Liang; Jiashi Feng</x:v>
      </x:c>
      <x:c r="J124" s="22" t="n">
        <x:v>2021</x:v>
      </x:c>
      <x:c r="K124" s="27" t="str">
        <x:v>A central challenge in training classification models in the real-world federated system is learning with non-IID data. To cope with this, most of the existing works involve enforcing regularization in local optimization or improving the model aggregation scheme at the server. Other works also share public datasets or synthesized samples to supplement the training of under-represented classes or introduce a certain level of personalization. Though effective, they lack a deep understanding of how the data heterogeneity affects each layer of a deep classification model. In this paper, we bridge this gap by performing an experimental analysis of the representations learned by different layers. Our observations are surprising: (1) there exists a greater bias in the classifier than other layers, and (2) the classification performance can be significantly improved by post-calibrating the classifier after federated training. Motivated by the above findings, we propose a novel and simple algorithm called Classifier Calibration with Virtual Representations (CCVR), which adjusts the classifier using virtual representations sampled from an approximated gaussian mixture model. Experimental results demonstrate that CCVR achieves state-of-the-art performance on popular federated learning benchmarks including CIFAR-10, CIFAR-100, and CINIC-10. We hope that our simple yet effective method can shed some light on the future research of federated learning with non-IID data.</x:v>
      </x:c>
      <x:c r="L124" s="17" t="str">
        <x:v>http://arxiv.org/abs/2106.05001v2</x:v>
      </x:c>
      <x:c r="M124" s="23" t="n">
        <x:v>0.03007688828584351</x:v>
      </x:c>
      <x:c r="N124" s="17" t="str">
        <x:v>arxiv-paper-eval-20260726-140242-results.jsonl</x:v>
      </x:c>
      <x:c r="O124" s="24" t="str">
        <x:v>2</x:v>
      </x:c>
      <x:c r="P124" s="28" t="str">
        <x:v>从分类器校准角度分析并缓解非IID数据，直接提供替代优化思路。</x:v>
      </x:c>
      <x:c r="Q124" s="25" t="str"/>
      <x:c r="R124" s="24" t="str">
        <x:f>IF(Q124&lt;&gt;"",Q124,O124)</x:f>
        <x:v>2</x:v>
      </x:c>
      <x:c r="S124" s="29" t="str"/>
    </x:row>
    <x:row r="125" ht="54" customHeight="1">
      <x:c r="A125" s="17" t="str">
        <x:v>csq007-r04</x:v>
      </x:c>
      <x:c r="B125" s="17" t="str">
        <x:v>csq007</x:v>
      </x:c>
      <x:c r="C125" s="17" t="str">
        <x:v>machine_learning</x:v>
      </x:c>
      <x:c r="D125" s="17" t="str">
        <x:v>federated_optimization</x:v>
      </x:c>
      <x:c r="E125" s="27" t="str">
        <x:v>How do major federated learning optimization methods address client heterogeneity and non-IID data, and how do their assumptions differ?</x:v>
      </x:c>
      <x:c r="F125" s="22" t="n">
        <x:v>4</x:v>
      </x:c>
      <x:c r="G125" s="17" t="str">
        <x:v>arXiv:2504.11216</x:v>
      </x:c>
      <x:c r="H125" s="27" t="str">
        <x:v>FedDiverse: Tackling Data Heterogeneity in Federated Learning with Diversity-Driven Client Selection</x:v>
      </x:c>
      <x:c r="I125" s="17" t="str">
        <x:v>Gergely D. Németh; Eros Fanì; Yeat Jeng Ng; Barbara Caputo; Miguel Ángel Lozano; Nuria Oliver; Novi Quadrianto</x:v>
      </x:c>
      <x:c r="J125" s="22" t="n">
        <x:v>2025</x:v>
      </x:c>
      <x:c r="K125" s="27" t="str">
        <x:v>Federated Learning (FL) enables decentralized training of machine learning models on distributed data while preserving privacy. However, in real-world FL settings, client data is often non-identically distributed and imbalanced, resulting in statistical data heterogeneity which impacts the generalization capabilities of the server's model across clients, slows convergence and reduces performance. In this paper, we address this challenge by proposing first a characterization of statistical data heterogeneity by means of 6 metrics of global and client attribute imbalance, class imbalance, and spurious correlations. Next, we create and share 7 computer vision datasets for binary and multiclass image classification tasks in Federated Learning that cover a broad range of statistical data heterogeneity and hence simulate real-world situations. Finally, we propose FEDDIVERSE, a novel client selection algorithm in FL which is designed to manage and leverage data heterogeneity across clients by promoting collaboration between clients with complementary data distributions. Experiments on the seven proposed FL datasets demonstrate FEDDIVERSE's effectiveness in enhancing the performance and robustness of a variety of FL methods while having low communication and computational overhead.</x:v>
      </x:c>
      <x:c r="L125" s="17" t="str">
        <x:v>http://arxiv.org/abs/2504.11216v2</x:v>
      </x:c>
      <x:c r="M125" s="23" t="n">
        <x:v>0.01639344262295082</x:v>
      </x:c>
      <x:c r="N125" s="17" t="str">
        <x:v>arxiv-paper-eval-20260726-140242-results.jsonl</x:v>
      </x:c>
      <x:c r="O125" s="24" t="str">
        <x:v>2</x:v>
      </x:c>
      <x:c r="P125" s="28" t="str">
        <x:v>通过多样性驱动客户端选择解决统计异质性，直接相关。</x:v>
      </x:c>
      <x:c r="Q125" s="25" t="str"/>
      <x:c r="R125" s="24" t="str">
        <x:f>IF(Q125&lt;&gt;"",Q125,O125)</x:f>
        <x:v>2</x:v>
      </x:c>
      <x:c r="S125" s="29" t="str"/>
    </x:row>
    <x:row r="126" ht="54" customHeight="1">
      <x:c r="A126" s="17" t="str">
        <x:v>csq007-r05</x:v>
      </x:c>
      <x:c r="B126" s="17" t="str">
        <x:v>csq007</x:v>
      </x:c>
      <x:c r="C126" s="17" t="str">
        <x:v>machine_learning</x:v>
      </x:c>
      <x:c r="D126" s="17" t="str">
        <x:v>federated_optimization</x:v>
      </x:c>
      <x:c r="E126" s="27" t="str">
        <x:v>How do major federated learning optimization methods address client heterogeneity and non-IID data, and how do their assumptions differ?</x:v>
      </x:c>
      <x:c r="F126" s="22" t="n">
        <x:v>5</x:v>
      </x:c>
      <x:c r="G126" s="17" t="str">
        <x:v>arXiv:2008.07665</x:v>
      </x:c>
      <x:c r="H126" s="27" t="str">
        <x:v>Inverse Distance Aggregation for Federated Learning with Non-IID Data</x:v>
      </x:c>
      <x:c r="I126" s="17" t="str">
        <x:v>Yousef Yeganeh; Azade Farshad; Nassir Navab; Shadi Albarqouni</x:v>
      </x:c>
      <x:c r="J126" s="22" t="n">
        <x:v>2020</x:v>
      </x:c>
      <x:c r="K126" s="27" t="str">
        <x:v>Federated learning (FL) has been a promising approach in the field of medical imaging in recent years. A critical problem in FL, specifically in medical scenarios is to have a more accurate shared model which is robust to noisy and out-of distribution clients. In this work, we tackle the problem of statistical heterogeneity in data for FL which is highly plausible in medical data where for example the data comes from different sites with different scanner settings. We propose IDA (Inverse Distance Aggregation), a novel adaptive weighting approach for clients based on meta-information which handles unbalanced and non-iid data. We extensively analyze and evaluate our method against the well-known FL approach, Federated Averaging as a baseline.</x:v>
      </x:c>
      <x:c r="L126" s="17" t="str">
        <x:v>http://arxiv.org/abs/2008.07665v1</x:v>
      </x:c>
      <x:c r="M126" s="23" t="n">
        <x:v>0.01639344262295082</x:v>
      </x:c>
      <x:c r="N126" s="17" t="str">
        <x:v>arxiv-paper-eval-20260726-140242-results.jsonl</x:v>
      </x:c>
      <x:c r="O126" s="24" t="str">
        <x:v>2</x:v>
      </x:c>
      <x:c r="P126" s="28" t="str">
        <x:v>提出逆距离聚合以应对噪声和分布外客户端，直接属于聚合优化。</x:v>
      </x:c>
      <x:c r="Q126" s="25" t="str"/>
      <x:c r="R126" s="24" t="str">
        <x:f>IF(Q126&lt;&gt;"",Q126,O126)</x:f>
        <x:v>2</x:v>
      </x:c>
      <x:c r="S126" s="29" t="str"/>
    </x:row>
    <x:row r="127" ht="54" customHeight="1">
      <x:c r="A127" s="17" t="str">
        <x:v>csq007-r06</x:v>
      </x:c>
      <x:c r="B127" s="17" t="str">
        <x:v>csq007</x:v>
      </x:c>
      <x:c r="C127" s="17" t="str">
        <x:v>machine_learning</x:v>
      </x:c>
      <x:c r="D127" s="17" t="str">
        <x:v>federated_optimization</x:v>
      </x:c>
      <x:c r="E127" s="27" t="str">
        <x:v>How do major federated learning optimization methods address client heterogeneity and non-IID data, and how do their assumptions differ?</x:v>
      </x:c>
      <x:c r="F127" s="22" t="n">
        <x:v>6</x:v>
      </x:c>
      <x:c r="G127" s="17" t="str">
        <x:v>arXiv:2504.14694</x:v>
      </x:c>
      <x:c r="H127" s="27" t="str">
        <x:v>Learning Critically: Selective Self Distillation in Federated Learning on Non-IID Data</x:v>
      </x:c>
      <x:c r="I127" s="17" t="str">
        <x:v>Yuting He; Yiqiang Chen; XiaoDong Yang; Hanchao Yu; Yi-Hua Huang; Yang Gu</x:v>
      </x:c>
      <x:c r="J127" s="22" t="n">
        <x:v>2025</x:v>
      </x:c>
      <x:c r="K127" s="27" t="str">
        <x:v>Federated learning (FL) enables multiple clients to collaboratively train a global model while keeping local data decentralized. Data heterogeneity (non-IID) across clients has imposed significant challenges to FL, which makes local models re-optimize towards their own local optima and forget the global knowledge, resulting in performance degradation and convergence slowdown. Many existing works have attempted to address the non-IID issue by adding an extra global-model-based regularizing item to the local training but without an adaption scheme, which is not efficient enough to achieve high performance with deep learning models. In this paper, we propose a Selective Self-Distillation method for Federated learning (FedSSD), which imposes adaptive constraints on the local updates by self-distilling the global model's knowledge and selectively weighting it by evaluating the credibility at both the class and sample level. The convergence guarantee of FedSSD is theoretically analyzed and extensive experiments are conducted on three public benchmark datasets, which demonstrates that FedSSD achieves better generalization and robustness in fewer communication rounds, compared with other state-of-the-art FL methods.</x:v>
      </x:c>
      <x:c r="L127" s="17" t="str">
        <x:v>http://arxiv.org/abs/2504.14694v1</x:v>
      </x:c>
      <x:c r="M127" s="23" t="n">
        <x:v>0.016129032258064516</x:v>
      </x:c>
      <x:c r="N127" s="17" t="str">
        <x:v>arxiv-paper-eval-20260726-140242-results.jsonl</x:v>
      </x:c>
      <x:c r="O127" s="24" t="str">
        <x:v>2</x:v>
      </x:c>
      <x:c r="P127" s="28" t="str">
        <x:v>以选择性自蒸馏减轻本地遗忘和非IID导致的收敛退化。</x:v>
      </x:c>
      <x:c r="Q127" s="25" t="str"/>
      <x:c r="R127" s="24" t="str">
        <x:f>IF(Q127&lt;&gt;"",Q127,O127)</x:f>
        <x:v>2</x:v>
      </x:c>
      <x:c r="S127" s="29" t="str"/>
    </x:row>
    <x:row r="128" ht="54" customHeight="1">
      <x:c r="A128" s="17" t="str">
        <x:v>csq007-r07</x:v>
      </x:c>
      <x:c r="B128" s="17" t="str">
        <x:v>csq007</x:v>
      </x:c>
      <x:c r="C128" s="17" t="str">
        <x:v>machine_learning</x:v>
      </x:c>
      <x:c r="D128" s="17" t="str">
        <x:v>federated_optimization</x:v>
      </x:c>
      <x:c r="E128" s="27" t="str">
        <x:v>How do major federated learning optimization methods address client heterogeneity and non-IID data, and how do their assumptions differ?</x:v>
      </x:c>
      <x:c r="F128" s="22" t="n">
        <x:v>7</x:v>
      </x:c>
      <x:c r="G128" s="17" t="str">
        <x:v>arXiv:2506.02887</x:v>
      </x:c>
      <x:c r="H128" s="27" t="str">
        <x:v>Overcoming Challenges of Partial Client Participation in Federated Learning : A Comprehensive Review</x:v>
      </x:c>
      <x:c r="I128" s="17" t="str">
        <x:v>Mrinmay Sen; Shruti Aparna; Rohit Agarwal; Chalavadi Krishna Mohan</x:v>
      </x:c>
      <x:c r="J128" s="22" t="n">
        <x:v>2025</x:v>
      </x:c>
      <x:c r="K128" s="27" t="str">
        <x:v>Federated Learning (FL) is a learning mechanism that falls under the distributed training umbrella, which collaboratively trains a shared global model without disclosing the raw data from different clients. This paper presents an extensive survey on the impact of partial client participation in federated learning. While much of the existing research focuses on addressing issues such as generalization, robustness, and fairness caused by data heterogeneity under the assumption of full client participation, limited attention has been given to the practical and theoretical challenges arising from partial client participation, which is common in real-world scenarios. This survey provides an in-depth review of existing FL methods designed to cope with partial client participation. We offer a comprehensive analysis supported by theoretical insights and empirical findings, along with a structured categorization of these methods, highlighting their respective advantages and disadvantages.</x:v>
      </x:c>
      <x:c r="L128" s="17" t="str">
        <x:v>http://arxiv.org/abs/2506.02887v2</x:v>
      </x:c>
      <x:c r="M128" s="23" t="n">
        <x:v>0.016129032258064516</x:v>
      </x:c>
      <x:c r="N128" s="17" t="str">
        <x:v>arxiv-paper-eval-20260726-140242-results.jsonl</x:v>
      </x:c>
      <x:c r="O128" s="24" t="str">
        <x:v>1</x:v>
      </x:c>
      <x:c r="P128" s="28" t="str">
        <x:v>主要综述部分客户端参与问题，虽与系统异质性相关但非IID不是核心。</x:v>
      </x:c>
      <x:c r="Q128" s="25" t="str"/>
      <x:c r="R128" s="24" t="str">
        <x:f>IF(Q128&lt;&gt;"",Q128,O128)</x:f>
        <x:v>1</x:v>
      </x:c>
      <x:c r="S128" s="29" t="str"/>
    </x:row>
    <x:row r="129" ht="54" customHeight="1">
      <x:c r="A129" s="17" t="str">
        <x:v>csq007-r08</x:v>
      </x:c>
      <x:c r="B129" s="17" t="str">
        <x:v>csq007</x:v>
      </x:c>
      <x:c r="C129" s="17" t="str">
        <x:v>machine_learning</x:v>
      </x:c>
      <x:c r="D129" s="17" t="str">
        <x:v>federated_optimization</x:v>
      </x:c>
      <x:c r="E129" s="27" t="str">
        <x:v>How do major federated learning optimization methods address client heterogeneity and non-IID data, and how do their assumptions differ?</x:v>
      </x:c>
      <x:c r="F129" s="22" t="n">
        <x:v>8</x:v>
      </x:c>
      <x:c r="G129" s="17" t="str">
        <x:v>arXiv:2311.13267</x:v>
      </x:c>
      <x:c r="H129" s="27" t="str">
        <x:v>FedFN: Feature Normalization for Alleviating Data Heterogeneity Problem in Federated Learning</x:v>
      </x:c>
      <x:c r="I129" s="17" t="str">
        <x:v>Seongyoon Kim; Gihun Lee; Jaehoon Oh; Se-Young Yun</x:v>
      </x:c>
      <x:c r="J129" s="22" t="n">
        <x:v>2023</x:v>
      </x:c>
      <x:c r="K129" s="27" t="str">
        <x:v>Federated Learning (FL) is a collaborative method for training models while preserving data privacy in decentralized settings. However, FL encounters challenges related to data heterogeneity, which can result in performance degradation. In our study, we observe that as data heterogeneity increases, feature representation in the FedAVG model deteriorates more significantly compared to classifier weight. Additionally, we observe that as data heterogeneity increases, the gap between higher feature norms for observed classes, obtained from local models, and feature norms of unobserved classes widens, in contrast to the behavior of classifier weight norms. This widening gap extends to encompass the feature norm disparities between local and the global models. To address these issues, we introduce Federated Averaging with Feature Normalization Update (FedFN), a straightforward learning method. We demonstrate the superior performance of FedFN through extensive experiments, even when applied to pretrained ResNet18. Subsequently, we confirm the applicability of FedFN to foundation models.</x:v>
      </x:c>
      <x:c r="L129" s="17" t="str">
        <x:v>http://arxiv.org/abs/2311.13267v1</x:v>
      </x:c>
      <x:c r="M129" s="23" t="n">
        <x:v>0.016129032258064516</x:v>
      </x:c>
      <x:c r="N129" s="17" t="str">
        <x:v>arxiv-paper-eval-20260726-140242-results.jsonl</x:v>
      </x:c>
      <x:c r="O129" s="24" t="str">
        <x:v>2</x:v>
      </x:c>
      <x:c r="P129" s="28" t="str">
        <x:v>分析特征退化并用特征归一化缓解数据异质性，直接相关。</x:v>
      </x:c>
      <x:c r="Q129" s="25" t="str"/>
      <x:c r="R129" s="24" t="str">
        <x:f>IF(Q129&lt;&gt;"",Q129,O129)</x:f>
        <x:v>2</x:v>
      </x:c>
      <x:c r="S129" s="29" t="str"/>
    </x:row>
    <x:row r="130" ht="54" customHeight="1">
      <x:c r="A130" s="17" t="str">
        <x:v>csq007-r09</x:v>
      </x:c>
      <x:c r="B130" s="17" t="str">
        <x:v>csq007</x:v>
      </x:c>
      <x:c r="C130" s="17" t="str">
        <x:v>machine_learning</x:v>
      </x:c>
      <x:c r="D130" s="17" t="str">
        <x:v>federated_optimization</x:v>
      </x:c>
      <x:c r="E130" s="27" t="str">
        <x:v>How do major federated learning optimization methods address client heterogeneity and non-IID data, and how do their assumptions differ?</x:v>
      </x:c>
      <x:c r="F130" s="22" t="n">
        <x:v>9</x:v>
      </x:c>
      <x:c r="G130" s="17" t="str">
        <x:v>arXiv:2302.10413</x:v>
      </x:c>
      <x:c r="H130" s="27" t="str">
        <x:v>CADIS: Handling Cluster-skewed Non-IID Data in Federated Learning with Clustered Aggregation and Knowledge DIStilled Regularization</x:v>
      </x:c>
      <x:c r="I130" s="17" t="str">
        <x:v>Nang Hung Nguyen; Duc Long Nguyen; Trong Bang Nguyen; Thanh-Hung Nguyen; Huy Hieu Pham; Truong Thao Nguyen; Phi Le Nguyen</x:v>
      </x:c>
      <x:c r="J130" s="22" t="n">
        <x:v>2023</x:v>
      </x:c>
      <x:c r="K130" s="27" t="str">
        <x:v>Federated learning enables edge devices to train a global model collaboratively without exposing their data. Despite achieving outstanding advantages in computing efficiency and privacy protection, federated learning faces a significant challenge when dealing with non-IID data, i.e., data generated by clients that are typically not independent and identically distributed. In this paper, we tackle a new type of Non-IID data, called cluster-skewed non-IID, discovered in actual data sets. The cluster-skewed non-IID is a phenomenon in which clients can be grouped into clusters with similar data distributions. By performing an in-depth analysis of the behavior of a classification model's penultimate layer, we introduce a metric that quantifies the similarity between two clients' data distributions without violating their privacy. We then propose an aggregation scheme that guarantees equality between clusters. In addition, we offer a novel local training regularization based on the knowledge-distillation technique that reduces the overfitting problem at clients and dramatically boosts the training scheme's performance. We theoretically prove the superiority of the proposed aggregation over the benchmark FedAvg. Extensive experimental results on both standard public datasets and our in-house real-world dataset demonstrate that the proposed approach improves accuracy by up to 16% compared to the FedAvg algorithm.</x:v>
      </x:c>
      <x:c r="L130" s="17" t="str">
        <x:v>http://arxiv.org/abs/2302.10413v3</x:v>
      </x:c>
      <x:c r="M130" s="23" t="n">
        <x:v>0.016129032258064516</x:v>
      </x:c>
      <x:c r="N130" s="17" t="str">
        <x:v>arxiv-paper-eval-20260726-140242-results.jsonl</x:v>
      </x:c>
      <x:c r="O130" s="24" t="str">
        <x:v>2</x:v>
      </x:c>
      <x:c r="P130" s="28" t="str">
        <x:v>针对簇偏斜非IID提出聚类聚合和知识蒸馏正则，直接处理特定假设。</x:v>
      </x:c>
      <x:c r="Q130" s="25" t="str"/>
      <x:c r="R130" s="24" t="str">
        <x:f>IF(Q130&lt;&gt;"",Q130,O130)</x:f>
        <x:v>2</x:v>
      </x:c>
      <x:c r="S130" s="29" t="str"/>
    </x:row>
    <x:row r="131" ht="54" customHeight="1">
      <x:c r="A131" s="17" t="str">
        <x:v>csq007-r10</x:v>
      </x:c>
      <x:c r="B131" s="17" t="str">
        <x:v>csq007</x:v>
      </x:c>
      <x:c r="C131" s="17" t="str">
        <x:v>machine_learning</x:v>
      </x:c>
      <x:c r="D131" s="17" t="str">
        <x:v>federated_optimization</x:v>
      </x:c>
      <x:c r="E131" s="27" t="str">
        <x:v>How do major federated learning optimization methods address client heterogeneity and non-IID data, and how do their assumptions differ?</x:v>
      </x:c>
      <x:c r="F131" s="22" t="n">
        <x:v>10</x:v>
      </x:c>
      <x:c r="G131" s="17" t="str">
        <x:v>arXiv:2208.02442</x:v>
      </x:c>
      <x:c r="H131" s="27" t="str">
        <x:v>FedDRL: Deep Reinforcement Learning-based Adaptive Aggregation for Non-IID Data in Federated Learning</x:v>
      </x:c>
      <x:c r="I131" s="17" t="str">
        <x:v>Nang Hung Nguyen; Phi Le Nguyen; Duc Long Nguyen; Trung Thanh Nguyen; Thuy Dung Nguyen; Huy Hieu Pham; Truong Thao Nguyen</x:v>
      </x:c>
      <x:c r="J131" s="22" t="n">
        <x:v>2022</x:v>
      </x:c>
      <x:c r="K131" s="27" t="str">
        <x:v>The uneven distribution of local data across different edge devices (clients) results in slow model training and accuracy reduction in federated learning. Naive federated learning (FL) strategy and most alternative solutions attempted to achieve more fairness by weighted aggregating deep learning models across clients. This work introduces a novel non-IID type encountered in real-world datasets, namely cluster-skew, in which groups of clients have local data with similar distributions, causing the global model to converge to an over-fitted solution. To deal with non-IID data, particularly the cluster-skewed data, we propose FedDRL, a novel FL model that employs deep reinforcement learning to adaptively determine each client's impact factor (which will be used as the weights in the aggregation process). Extensive experiments on a suite of federated datasets confirm that the proposed FedDRL improves favorably against FedAvg and FedProx methods, e.g., up to 4.05% and 2.17% on average for the CIFAR-100 dataset, respectively.</x:v>
      </x:c>
      <x:c r="L131" s="17" t="str">
        <x:v>http://arxiv.org/abs/2208.02442v1</x:v>
      </x:c>
      <x:c r="M131" s="23" t="n">
        <x:v>0.015873015873015872</x:v>
      </x:c>
      <x:c r="N131" s="17" t="str">
        <x:v>arxiv-paper-eval-20260726-140242-results.jsonl</x:v>
      </x:c>
      <x:c r="O131" s="24" t="str">
        <x:v>2</x:v>
      </x:c>
      <x:c r="P131" s="28" t="str">
        <x:v>用深度强化学习自适应聚合非IID客户端，直接属于优化方法。</x:v>
      </x:c>
      <x:c r="Q131" s="25" t="str"/>
      <x:c r="R131" s="24" t="str">
        <x:f>IF(Q131&lt;&gt;"",Q131,O131)</x:f>
        <x:v>2</x:v>
      </x:c>
      <x:c r="S131" s="29" t="str"/>
    </x:row>
    <x:row r="132" ht="54" customHeight="1">
      <x:c r="A132" s="17" t="str">
        <x:v>csq007-r11</x:v>
      </x:c>
      <x:c r="B132" s="17" t="str">
        <x:v>csq007</x:v>
      </x:c>
      <x:c r="C132" s="17" t="str">
        <x:v>machine_learning</x:v>
      </x:c>
      <x:c r="D132" s="17" t="str">
        <x:v>federated_optimization</x:v>
      </x:c>
      <x:c r="E132" s="27" t="str">
        <x:v>How do major federated learning optimization methods address client heterogeneity and non-IID data, and how do their assumptions differ?</x:v>
      </x:c>
      <x:c r="F132" s="22" t="n">
        <x:v>11</x:v>
      </x:c>
      <x:c r="G132" s="17" t="str">
        <x:v>arXiv:2104.07365</x:v>
      </x:c>
      <x:c r="H132" s="27" t="str">
        <x:v>D-Cliques: Compensating for Data Heterogeneity with Topology in Decentralized Federated Learning</x:v>
      </x:c>
      <x:c r="I132" s="17" t="str">
        <x:v>Aurélien Bellet; Anne-Marie Kermarrec; Erick Lavoie</x:v>
      </x:c>
      <x:c r="J132" s="22" t="n">
        <x:v>2021</x:v>
      </x:c>
      <x:c r="K132" s="27" t="str">
        <x:v>The convergence speed of machine learning models trained with Federated Learning is significantly affected by heterogeneous data partitions, even more so in a fully decentralized setting without a central server. In this paper, we show that the impact of label distribution skew, an important type of data heterogeneity, can be significantly reduced by carefully designing the underlying communication topology. We present D-Cliques, a novel topology that reduces gradient bias by grouping nodes in sparsely interconnected cliques such that the label distribution in a clique is representative of the global label distribution. We also show how to adapt the updates of decentralized SGD to obtain unbiased gradients and implement an effective momentum with D-Cliques. Our extensive empirical evaluation on MNIST and CIFAR10 demonstrates that our approach provides similar convergence speed as a fully-connected topology, which provides the best convergence in a data heterogeneous setting, with a significant reduction in the number of edges and messages. In a 1000-node topology, D-Cliques require 98% less edges and 96% less total messages, with further possible gains using a small-world topology across cliques.</x:v>
      </x:c>
      <x:c r="L132" s="17" t="str">
        <x:v>http://arxiv.org/abs/2104.07365v4</x:v>
      </x:c>
      <x:c r="M132" s="23" t="n">
        <x:v>0.015873015873015872</x:v>
      </x:c>
      <x:c r="N132" s="17" t="str">
        <x:v>arxiv-paper-eval-20260726-140242-results.jsonl</x:v>
      </x:c>
      <x:c r="O132" s="24" t="str">
        <x:v>2</x:v>
      </x:c>
      <x:c r="P132" s="28" t="str">
        <x:v>通过去中心化通信拓扑补偿标签分布异质性，直接展示不同系统假设。</x:v>
      </x:c>
      <x:c r="Q132" s="25" t="str"/>
      <x:c r="R132" s="24" t="str">
        <x:f>IF(Q132&lt;&gt;"",Q132,O132)</x:f>
        <x:v>2</x:v>
      </x:c>
      <x:c r="S132" s="29" t="str"/>
    </x:row>
    <x:row r="133" ht="54" customHeight="1">
      <x:c r="A133" s="17" t="str">
        <x:v>csq007-r12</x:v>
      </x:c>
      <x:c r="B133" s="17" t="str">
        <x:v>csq007</x:v>
      </x:c>
      <x:c r="C133" s="17" t="str">
        <x:v>machine_learning</x:v>
      </x:c>
      <x:c r="D133" s="17" t="str">
        <x:v>federated_optimization</x:v>
      </x:c>
      <x:c r="E133" s="27" t="str">
        <x:v>How do major federated learning optimization methods address client heterogeneity and non-IID data, and how do their assumptions differ?</x:v>
      </x:c>
      <x:c r="F133" s="22" t="n">
        <x:v>12</x:v>
      </x:c>
      <x:c r="G133" s="17" t="str">
        <x:v>arXiv:2102.07623</x:v>
      </x:c>
      <x:c r="H133" s="27" t="str">
        <x:v>FedBN: Federated Learning on Non-IID Features via Local Batch Normalization</x:v>
      </x:c>
      <x:c r="I133" s="17" t="str">
        <x:v>Xiaoxiao Li; Meirui Jiang; Xiaofei Zhang; Michael Kamp; Qi Dou</x:v>
      </x:c>
      <x:c r="J133" s="22" t="n">
        <x:v>2021</x:v>
      </x:c>
      <x:c r="K133" s="27" t="str">
        <x:v>The emerging paradigm of federated learning (FL) strives to enable collaborative training of deep models on the network edge without centrally aggregating raw data and hence improving data privacy. In most cases, the assumption of independent and identically distributed samples across local clients does not hold for federated learning setups. Under this setting, neural network training performance may vary significantly according to the data distribution and even hurt training convergence. Most of the previous work has focused on a difference in the distribution of labels or client shifts. Unlike those settings, we address an important problem of FL, e.g., different scanners/sensors in medical imaging, different scenery distribution in autonomous driving (highway vs. city), where local clients store examples with different distributions compared to other clients, which we denote as feature shift non-iid. In this work, we propose an effective method that uses local batch normalization to alleviate the feature shift before averaging models. The resulting scheme, called FedBN, outperforms both classical FedAvg, as well as the state-of-the-art for non-iid data (FedProx) on our extensive experiments. These empirical results are supported by a convergence analysis that shows in a simplified setting that FedBN has a faster convergence rate than FedAvg. Code is available at https://github.com/med-air/FedBN.</x:v>
      </x:c>
      <x:c r="L133" s="17" t="str">
        <x:v>http://arxiv.org/abs/2102.07623v2</x:v>
      </x:c>
      <x:c r="M133" s="23" t="n">
        <x:v>0.015873015873015872</x:v>
      </x:c>
      <x:c r="N133" s="17" t="str">
        <x:v>arxiv-paper-eval-20260726-140242-results.jsonl</x:v>
      </x:c>
      <x:c r="O133" s="24" t="str">
        <x:v>2</x:v>
      </x:c>
      <x:c r="P133" s="28" t="str">
        <x:v>用本地批归一化应对特征分布非IID，直接针对一类异质性假设。</x:v>
      </x:c>
      <x:c r="Q133" s="25" t="str"/>
      <x:c r="R133" s="24" t="str">
        <x:f>IF(Q133&lt;&gt;"",Q133,O133)</x:f>
        <x:v>2</x:v>
      </x:c>
      <x:c r="S133" s="29" t="str"/>
    </x:row>
    <x:row r="134" ht="54" customHeight="1">
      <x:c r="A134" s="17" t="str">
        <x:v>csq007-r13</x:v>
      </x:c>
      <x:c r="B134" s="17" t="str">
        <x:v>csq007</x:v>
      </x:c>
      <x:c r="C134" s="17" t="str">
        <x:v>machine_learning</x:v>
      </x:c>
      <x:c r="D134" s="17" t="str">
        <x:v>federated_optimization</x:v>
      </x:c>
      <x:c r="E134" s="27" t="str">
        <x:v>How do major federated learning optimization methods address client heterogeneity and non-IID data, and how do their assumptions differ?</x:v>
      </x:c>
      <x:c r="F134" s="22" t="n">
        <x:v>13</x:v>
      </x:c>
      <x:c r="G134" s="17" t="str">
        <x:v>arXiv:2004.11794</x:v>
      </x:c>
      <x:c r="H134" s="27" t="str">
        <x:v>A Review of Privacy-preserving Federated Learning for the Internet-of-Things</x:v>
      </x:c>
      <x:c r="I134" s="17" t="str">
        <x:v>Christopher Briggs; Zhong Fan; Peter Andras</x:v>
      </x:c>
      <x:c r="J134" s="22" t="n">
        <x:v>2020</x:v>
      </x:c>
      <x:c r="K134" s="27" t="str">
        <x:v>The Internet-of-Things (IoT) generates vast quantities of data, much of it attributable to individuals' activity and behaviour. Gathering personal data and performing machine learning tasks on this data in a central location presents a significant privacy risk to individuals as well as challenges with communicating this data to the cloud. However, analytics based on machine learning and in particular deep learning benefit greatly from large amounts of data to develop high-performance predictive models. This work reviews federated learning as an approach for performing machine learning on distributed data with the goal of protecting the privacy of user-generated data as well as reducing communication costs associated with data transfer. We survey a wide variety of papers covering communication-efficiency, client heterogeneity and privacy preserving methods that are crucial for federated learning in the context of the IoT. Throughout this review, we identify the strengths and weaknesses of different methods applied to federated learning and finally, we outline future directions for privacy preserving federated learning research, particularly focusing on IoT applications.</x:v>
      </x:c>
      <x:c r="L134" s="17" t="str">
        <x:v>http://arxiv.org/abs/2004.11794v2</x:v>
      </x:c>
      <x:c r="M134" s="23" t="n">
        <x:v>0.015873015873015872</x:v>
      </x:c>
      <x:c r="N134" s="17" t="str">
        <x:v>arxiv-paper-eval-20260726-140242-results.jsonl</x:v>
      </x:c>
      <x:c r="O134" s="24" t="str">
        <x:v>1</x:v>
      </x:c>
      <x:c r="P134" s="28" t="str">
        <x:v>重点是物联网联邦学习隐私保护，非IID优化仅是背景性相关。</x:v>
      </x:c>
      <x:c r="Q134" s="25" t="str"/>
      <x:c r="R134" s="24" t="str">
        <x:f>IF(Q134&lt;&gt;"",Q134,O134)</x:f>
        <x:v>1</x:v>
      </x:c>
      <x:c r="S134" s="29" t="str"/>
    </x:row>
    <x:row r="135" ht="54" customHeight="1">
      <x:c r="A135" s="17" t="str">
        <x:v>csq007-r14</x:v>
      </x:c>
      <x:c r="B135" s="17" t="str">
        <x:v>csq007</x:v>
      </x:c>
      <x:c r="C135" s="17" t="str">
        <x:v>machine_learning</x:v>
      </x:c>
      <x:c r="D135" s="17" t="str">
        <x:v>federated_optimization</x:v>
      </x:c>
      <x:c r="E135" s="27" t="str">
        <x:v>How do major federated learning optimization methods address client heterogeneity and non-IID data, and how do their assumptions differ?</x:v>
      </x:c>
      <x:c r="F135" s="22" t="n">
        <x:v>14</x:v>
      </x:c>
      <x:c r="G135" s="17" t="str">
        <x:v>arXiv:2402.15166</x:v>
      </x:c>
      <x:c r="H135" s="27" t="str">
        <x:v>Convergence Analysis of Split Federated Learning on Heterogeneous Data</x:v>
      </x:c>
      <x:c r="I135" s="17" t="str">
        <x:v>Pengchao Han; Chao Huang; Geng Tian; Ming Tang; Xin Liu</x:v>
      </x:c>
      <x:c r="J135" s="22" t="n">
        <x:v>2024</x:v>
      </x:c>
      <x:c r="K135" s="27" t="str">
        <x:v>Split federated learning (SFL) is a recent distributed approach for collaborative model training among multiple clients. In SFL, a global model is typically split into two parts, where clients train one part in a parallel federated manner, and a main server trains the other. Despite the recent research on SFL algorithm development, the convergence analysis of SFL is missing in the literature, and this paper aims to fill this gap. The analysis of SFL can be more challenging than that of federated learning (FL), due to the potential dual-paced updates at the clients and the main server. We provide convergence analysis of SFL for strongly convex and general convex objectives on heterogeneous data. The convergence rates are $O(1/T)$ and $O(1/\sqrt[3]{T})$, respectively, where $T$ denotes the total number of rounds for SFL training. We further extend the analysis to non-convex objectives and the scenario where some clients may be unavailable during training. Experimental experiments validate our theoretical results and show that SFL outperforms FL and split learning (SL) when data is highly heterogeneous across a large number of clients.</x:v>
      </x:c>
      <x:c r="L135" s="17" t="str">
        <x:v>http://arxiv.org/abs/2402.15166v3</x:v>
      </x:c>
      <x:c r="M135" s="23" t="n">
        <x:v>0.015625</x:v>
      </x:c>
      <x:c r="N135" s="17" t="str">
        <x:v>arxiv-paper-eval-20260726-140242-results.jsonl</x:v>
      </x:c>
      <x:c r="O135" s="24" t="str">
        <x:v>2</x:v>
      </x:c>
      <x:c r="P135" s="28" t="str">
        <x:v>在异质数据假设下给出分割联邦学习收敛分析，可支撑理论比较。</x:v>
      </x:c>
      <x:c r="Q135" s="25" t="str"/>
      <x:c r="R135" s="24" t="str">
        <x:f>IF(Q135&lt;&gt;"",Q135,O135)</x:f>
        <x:v>2</x:v>
      </x:c>
      <x:c r="S135" s="29" t="str"/>
    </x:row>
    <x:row r="136" ht="54" customHeight="1">
      <x:c r="A136" s="17" t="str">
        <x:v>csq007-r15</x:v>
      </x:c>
      <x:c r="B136" s="17" t="str">
        <x:v>csq007</x:v>
      </x:c>
      <x:c r="C136" s="17" t="str">
        <x:v>machine_learning</x:v>
      </x:c>
      <x:c r="D136" s="17" t="str">
        <x:v>federated_optimization</x:v>
      </x:c>
      <x:c r="E136" s="27" t="str">
        <x:v>How do major federated learning optimization methods address client heterogeneity and non-IID data, and how do their assumptions differ?</x:v>
      </x:c>
      <x:c r="F136" s="22" t="n">
        <x:v>15</x:v>
      </x:c>
      <x:c r="G136" s="17" t="str">
        <x:v>arXiv:2308.12454</x:v>
      </x:c>
      <x:c r="H136" s="27" t="str">
        <x:v>PFL-GAN: When Client Heterogeneity Meets Generative Models in Personalized Federated Learning</x:v>
      </x:c>
      <x:c r="I136" s="17" t="str">
        <x:v>Achintha Wijesinghe; Songyang Zhang; Zhi Ding</x:v>
      </x:c>
      <x:c r="J136" s="22" t="n">
        <x:v>2023</x:v>
      </x:c>
      <x:c r="K136" s="27" t="str">
        <x:v>Recent advances of generative learning models are accompanied by the growing interest in federated learning (FL) based on generative adversarial network (GAN) models. In the context of FL, GAN can capture the underlying client data structure, and regenerate samples resembling the original data distribution without compromising the private raw data. Although most existing GAN-based FL works focus on training a global model, Personalized FL (PFL) sometimes can be more effective in view of client data heterogeneity in terms of distinct data sample distributions, feature spaces, and labels. To cope with client heterogeneity in GAN-based FL, we propose a novel GAN sharing and aggregation strategy for PFL. The proposed PFL-GAN addresses the client heterogeneity in different scenarios. More specially, we first learn the similarity among clients and then develop an weighted collaborative data aggregation. The empirical results through the rigorous experimentation on several well-known datasets demonstrate the effectiveness of PFL-GAN.</x:v>
      </x:c>
      <x:c r="L136" s="17" t="str">
        <x:v>http://arxiv.org/abs/2308.12454v1</x:v>
      </x:c>
      <x:c r="M136" s="23" t="n">
        <x:v>0.015625</x:v>
      </x:c>
      <x:c r="N136" s="17" t="str">
        <x:v>arxiv-paper-eval-20260726-140242-results.jsonl</x:v>
      </x:c>
      <x:c r="O136" s="24" t="str">
        <x:v>2</x:v>
      </x:c>
      <x:c r="P136" s="28" t="str">
        <x:v>研究个性化联邦学习中客户端异质与生成模型的结合，直接处理异质性。</x:v>
      </x:c>
      <x:c r="Q136" s="25" t="str"/>
      <x:c r="R136" s="24" t="str">
        <x:f>IF(Q136&lt;&gt;"",Q136,O136)</x:f>
        <x:v>2</x:v>
      </x:c>
      <x:c r="S136" s="29" t="str"/>
    </x:row>
    <x:row r="137" ht="54" customHeight="1">
      <x:c r="A137" s="17" t="str">
        <x:v>csq007-r16</x:v>
      </x:c>
      <x:c r="B137" s="17" t="str">
        <x:v>csq007</x:v>
      </x:c>
      <x:c r="C137" s="17" t="str">
        <x:v>machine_learning</x:v>
      </x:c>
      <x:c r="D137" s="17" t="str">
        <x:v>federated_optimization</x:v>
      </x:c>
      <x:c r="E137" s="27" t="str">
        <x:v>How do major federated learning optimization methods address client heterogeneity and non-IID data, and how do their assumptions differ?</x:v>
      </x:c>
      <x:c r="F137" s="22" t="n">
        <x:v>16</x:v>
      </x:c>
      <x:c r="G137" s="17" t="str">
        <x:v>arXiv:2106.06843</x:v>
      </x:c>
      <x:c r="H137" s="27" t="str">
        <x:v>Federated Learning on Non-IID Data: A Survey</x:v>
      </x:c>
      <x:c r="I137" s="17" t="str">
        <x:v>Hangyu Zhu; Jinjin Xu; Shiqing Liu; Yaochu Jin</x:v>
      </x:c>
      <x:c r="J137" s="22" t="n">
        <x:v>2021</x:v>
      </x:c>
      <x:c r="K137" s="27" t="str">
        <x:v>Federated learning is an emerging distributed machine learning framework for privacy preservation. However, models trained in federated learning usually have worse performance than those trained in the standard centralized learning mode, especially when the training data are not independent and identically distributed (Non-IID) on the local devices. In this survey, we pro-vide a detailed analysis of the influence of Non-IID data on both parametric and non-parametric machine learning models in both horizontal and vertical federated learning. In addition, cur-rent research work on handling challenges of Non-IID data in federated learning are reviewed, and both advantages and disadvantages of these approaches are discussed. Finally, we suggest several future research directions before concluding the paper.</x:v>
      </x:c>
      <x:c r="L137" s="17" t="str">
        <x:v>http://arxiv.org/abs/2106.06843v1</x:v>
      </x:c>
      <x:c r="M137" s="23" t="n">
        <x:v>0.015625</x:v>
      </x:c>
      <x:c r="N137" s="17" t="str">
        <x:v>arxiv-paper-eval-20260726-140242-results.jsonl</x:v>
      </x:c>
      <x:c r="O137" s="24" t="str">
        <x:v>2</x:v>
      </x:c>
      <x:c r="P137" s="28" t="str">
        <x:v>专门综述非IID联邦学习影响、分类与解决方法，直接回答题目。</x:v>
      </x:c>
      <x:c r="Q137" s="25" t="str"/>
      <x:c r="R137" s="24" t="str">
        <x:f>IF(Q137&lt;&gt;"",Q137,O137)</x:f>
        <x:v>2</x:v>
      </x:c>
      <x:c r="S137" s="29" t="str"/>
    </x:row>
    <x:row r="138" ht="54" customHeight="1">
      <x:c r="A138" s="17" t="str">
        <x:v>csq007-r17</x:v>
      </x:c>
      <x:c r="B138" s="17" t="str">
        <x:v>csq007</x:v>
      </x:c>
      <x:c r="C138" s="17" t="str">
        <x:v>machine_learning</x:v>
      </x:c>
      <x:c r="D138" s="17" t="str">
        <x:v>federated_optimization</x:v>
      </x:c>
      <x:c r="E138" s="27" t="str">
        <x:v>How do major federated learning optimization methods address client heterogeneity and non-IID data, and how do their assumptions differ?</x:v>
      </x:c>
      <x:c r="F138" s="22" t="n">
        <x:v>17</x:v>
      </x:c>
      <x:c r="G138" s="17" t="str">
        <x:v>arXiv:2008.06767</x:v>
      </x:c>
      <x:c r="H138" s="27" t="str">
        <x:v>Heterogeneous Federated Learning</x:v>
      </x:c>
      <x:c r="I138" s="17" t="str">
        <x:v>Fuxun Yu; Weishan Zhang; Zhuwei Qin; Zirui Xu; Di Wang; Chenchen Liu; Zhi Tian; Xiang Chen</x:v>
      </x:c>
      <x:c r="J138" s="22" t="n">
        <x:v>2020</x:v>
      </x:c>
      <x:c r="K138" s="27" t="str">
        <x:v>Federated learning learns from scattered data by fusing collaborative models from local nodes. However, due to chaotic information distribution, the model fusion may suffer from structural misalignment with regard to unmatched parameters. In this work, we propose a novel federated learning framework to resolve this issue by establishing a firm structure-information alignment across collaborative models. Specifically, we design a feature-oriented regulation method ({$Ψ$-Net}) to ensure explicit feature information allocation in different neural network structures. Applying this regulating method to collaborative models, matchable structures with similar feature information can be initialized at the very early training stage. During the federated learning process under either IID or non-IID scenarios, dedicated collaboration schemes further guarantee ordered information distribution with definite structure matching, so as the comprehensive model alignment. Eventually, this framework effectively enhances the federated learning applicability to extensive heterogeneous settings, while providing excellent convergence speed, accuracy, and computation/communication efficiency.</x:v>
      </x:c>
      <x:c r="L138" s="17" t="str">
        <x:v>http://arxiv.org/abs/2008.06767v2</x:v>
      </x:c>
      <x:c r="M138" s="23" t="n">
        <x:v>0.015625</x:v>
      </x:c>
      <x:c r="N138" s="17" t="str">
        <x:v>arxiv-paper-eval-20260726-140242-results.jsonl</x:v>
      </x:c>
      <x:c r="O138" s="24" t="str">
        <x:v>2</x:v>
      </x:c>
      <x:c r="P138" s="28" t="str">
        <x:v>解决客户端模型结构异构造成的参数错位，直接覆盖模型异质性。</x:v>
      </x:c>
      <x:c r="Q138" s="25" t="str"/>
      <x:c r="R138" s="24" t="str">
        <x:f>IF(Q138&lt;&gt;"",Q138,O138)</x:f>
        <x:v>2</x:v>
      </x:c>
      <x:c r="S138" s="29" t="str"/>
    </x:row>
    <x:row r="139" ht="54" customHeight="1">
      <x:c r="A139" s="17" t="str">
        <x:v>csq007-r18</x:v>
      </x:c>
      <x:c r="B139" s="17" t="str">
        <x:v>csq007</x:v>
      </x:c>
      <x:c r="C139" s="17" t="str">
        <x:v>machine_learning</x:v>
      </x:c>
      <x:c r="D139" s="17" t="str">
        <x:v>federated_optimization</x:v>
      </x:c>
      <x:c r="E139" s="27" t="str">
        <x:v>How do major federated learning optimization methods address client heterogeneity and non-IID data, and how do their assumptions differ?</x:v>
      </x:c>
      <x:c r="F139" s="22" t="n">
        <x:v>18</x:v>
      </x:c>
      <x:c r="G139" s="17" t="str">
        <x:v>arXiv:2407.05276</x:v>
      </x:c>
      <x:c r="H139" s="27" t="str">
        <x:v>BFLN: A Blockchain-based Federated Learning Model for Non-IID Data</x:v>
      </x:c>
      <x:c r="I139" s="17" t="str">
        <x:v>Yang Li; Chunhe Xia; Dongchi Huang; Xiaojian Li; Tianbo Wang</x:v>
      </x:c>
      <x:c r="J139" s="22" t="n">
        <x:v>2024</x:v>
      </x:c>
      <x:c r="K139" s="27" t="str">
        <x:v>As the application of federated learning becomes increasingly widespread, the issue of imbalanced training data distribution has emerged as a significant challenge. Federated learning utilizes local data stored on different training clients for model training, rather than centralizing data on a server, thereby greatly enhancing the privacy and security of training data. However, the distribution of training data across different clients may be imbalanced, with different categories of data potentially residing on different clients. This presents a challenge to traditional federated learning, which assumes data distribution is independent and identically distributed (IID). This paper proposes a Blockchain-based Federated Learning Model for Non-IID Data (BFLN), which combines federated learning with blockchain technology. By introducing a new aggregation method and incentive algorithm, BFLN enhances the model performance of federated learning on non-IID data. Experiments on public datasets demonstrate that, compared to other state-of-the-art models, BFLN improves training accuracy and provides a sustainable incentive mechanism for personalized federated learning.</x:v>
      </x:c>
      <x:c r="L139" s="17" t="str">
        <x:v>http://arxiv.org/abs/2407.05276v3</x:v>
      </x:c>
      <x:c r="M139" s="23" t="n">
        <x:v>0.015384615384615385</x:v>
      </x:c>
      <x:c r="N139" s="17" t="str">
        <x:v>arxiv-paper-eval-20260726-140242-results.jsonl</x:v>
      </x:c>
      <x:c r="O139" s="24" t="str">
        <x:v>1</x:v>
      </x:c>
      <x:c r="P139" s="28" t="str">
        <x:v>以区块链为主要框架处理非IID，相关但难以代表主要优化方法。</x:v>
      </x:c>
      <x:c r="Q139" s="25" t="str"/>
      <x:c r="R139" s="24" t="str">
        <x:f>IF(Q139&lt;&gt;"",Q139,O139)</x:f>
        <x:v>1</x:v>
      </x:c>
      <x:c r="S139" s="29" t="str"/>
    </x:row>
    <x:row r="140" ht="54" customHeight="1">
      <x:c r="A140" s="17" t="str">
        <x:v>csq007-r19</x:v>
      </x:c>
      <x:c r="B140" s="17" t="str">
        <x:v>csq007</x:v>
      </x:c>
      <x:c r="C140" s="17" t="str">
        <x:v>machine_learning</x:v>
      </x:c>
      <x:c r="D140" s="17" t="str">
        <x:v>federated_optimization</x:v>
      </x:c>
      <x:c r="E140" s="27" t="str">
        <x:v>How do major federated learning optimization methods address client heterogeneity and non-IID data, and how do their assumptions differ?</x:v>
      </x:c>
      <x:c r="F140" s="22" t="n">
        <x:v>19</x:v>
      </x:c>
      <x:c r="G140" s="17" t="str">
        <x:v>arXiv:2309.06692</x:v>
      </x:c>
      <x:c r="H140" s="27" t="str">
        <x:v>Tackling the Non-IID Issue in Heterogeneous Federated Learning by Gradient Harmonization</x:v>
      </x:c>
      <x:c r="I140" s="17" t="str">
        <x:v>Xinyu Zhang; Weiyu Sun; Ying Chen</x:v>
      </x:c>
      <x:c r="J140" s="22" t="n">
        <x:v>2023</x:v>
      </x:c>
      <x:c r="K140" s="27" t="str">
        <x:v>Federated learning (FL) is a privacy-preserving paradigm for collaboratively training a global model from decentralized clients. However, the performance of FL is hindered by non-independent and identically distributed (non-IID) data and device heterogeneity. In this work, we revisit this key challenge through the lens of gradient conflicts on the server side. Specifically, we first investigate the gradient conflict phenomenon among multiple clients and reveal that stronger heterogeneity leads to more severe gradient conflicts. To tackle this issue, we propose FedGH, a simple yet effective method that mitigates local drifts through Gradient Harmonization. This technique projects one gradient vector onto the orthogonal plane of the other within conflicting client pairs. Extensive experiments demonstrate that FedGH consistently enhances multiple state-of-the-art FL baselines across diverse benchmarks and non-IID scenarios. Notably, FedGH yields more significant improvements in scenarios with stronger heterogeneity. As a plug-and-play module, FedGH can be seamlessly integrated into any FL framework without requiring hyperparameter tuning.</x:v>
      </x:c>
      <x:c r="L140" s="17" t="str">
        <x:v>http://arxiv.org/abs/2309.06692v2</x:v>
      </x:c>
      <x:c r="M140" s="23" t="n">
        <x:v>0.015384615384615385</x:v>
      </x:c>
      <x:c r="N140" s="17" t="str">
        <x:v>arxiv-paper-eval-20260726-140242-results.jsonl</x:v>
      </x:c>
      <x:c r="O140" s="24" t="str">
        <x:v>2</x:v>
      </x:c>
      <x:c r="P140" s="28" t="str">
        <x:v>从服务器端梯度冲突出发协调非IID与设备异质性，直接相关。</x:v>
      </x:c>
      <x:c r="Q140" s="25" t="str"/>
      <x:c r="R140" s="24" t="str">
        <x:f>IF(Q140&lt;&gt;"",Q140,O140)</x:f>
        <x:v>2</x:v>
      </x:c>
      <x:c r="S140" s="29" t="str"/>
    </x:row>
    <x:row r="141" ht="54" customHeight="1">
      <x:c r="A141" s="17" t="str">
        <x:v>csq007-r20</x:v>
      </x:c>
      <x:c r="B141" s="17" t="str">
        <x:v>csq007</x:v>
      </x:c>
      <x:c r="C141" s="17" t="str">
        <x:v>machine_learning</x:v>
      </x:c>
      <x:c r="D141" s="17" t="str">
        <x:v>federated_optimization</x:v>
      </x:c>
      <x:c r="E141" s="27" t="str">
        <x:v>How do major federated learning optimization methods address client heterogeneity and non-IID data, and how do their assumptions differ?</x:v>
      </x:c>
      <x:c r="F141" s="22" t="n">
        <x:v>20</x:v>
      </x:c>
      <x:c r="G141" s="17" t="str">
        <x:v>arXiv:2209.15595</x:v>
      </x:c>
      <x:c r="H141" s="27" t="str">
        <x:v>Rethinking Data Heterogeneity in Federated Learning: Introducing a New Notion and Standard Benchmarks</x:v>
      </x:c>
      <x:c r="I141" s="17" t="str">
        <x:v>Mahdi Morafah; Saeed Vahidian; Chen Chen; Mubarak Shah; Bill Lin</x:v>
      </x:c>
      <x:c r="J141" s="22" t="n">
        <x:v>2022</x:v>
      </x:c>
      <x:c r="K141" s="27" t="str">
        <x:v>Though successful, federated learning presents new challenges for machine learning, especially when the issue of data heterogeneity, also known as Non-IID data, arises. To cope with the statistical heterogeneity, previous works incorporated a proximal term in local optimization or modified the model aggregation scheme at the server side or advocated clustered federated learning approaches where the central server groups agent population into clusters with jointly trainable data distributions to take the advantage of a certain level of personalization. While effective, they lack a deep elaboration on what kind of data heterogeneity and how the data heterogeneity impacts the accuracy performance of the participating clients. In contrast to many of the prior federated learning approaches, we demonstrate not only the issue of data heterogeneity in current setups is not necessarily a problem but also in fact it can be beneficial for the FL participants. Our observations are intuitive: (1) Dissimilar labels of clients (label skew) are not necessarily considered data heterogeneity, and (2) the principal angle between the agents' data subspaces spanned by their corresponding principal vectors of data is a better estimate of the data heterogeneity. Our code is available at https://github.com/MMorafah/FL-SC-NIID.</x:v>
      </x:c>
      <x:c r="L141" s="17" t="str">
        <x:v>http://arxiv.org/abs/2209.15595v1</x:v>
      </x:c>
      <x:c r="M141" s="23" t="n">
        <x:v>0.015384615384615385</x:v>
      </x:c>
      <x:c r="N141" s="17" t="str">
        <x:v>arxiv-paper-eval-20260726-140242-results.jsonl</x:v>
      </x:c>
      <x:c r="O141" s="24" t="str">
        <x:v>2</x:v>
      </x:c>
      <x:c r="P141" s="28" t="str">
        <x:v>重新定义数据异质性并提出标准基准，直接帮助比较方法假设。</x:v>
      </x:c>
      <x:c r="Q141" s="25" t="str"/>
      <x:c r="R141" s="24" t="str">
        <x:f>IF(Q141&lt;&gt;"",Q141,O141)</x:f>
        <x:v>2</x:v>
      </x:c>
      <x:c r="S141" s="29" t="str"/>
    </x:row>
    <x:row r="142" ht="54" customHeight="1">
      <x:c r="A142" s="17" t="str">
        <x:v>csq008-r01</x:v>
      </x:c>
      <x:c r="B142" s="17" t="str">
        <x:v>csq008</x:v>
      </x:c>
      <x:c r="C142" s="17" t="str">
        <x:v>machine_learning</x:v>
      </x:c>
      <x:c r="D142" s="17" t="str">
        <x:v>uncertainty_calibration</x:v>
      </x:c>
      <x:c r="E142" s="27" t="str">
        <x:v>Which metrics and benchmark protocols are used to evaluate uncertainty calibration in deep neural networks, and what failure modes do these metrics miss?</x:v>
      </x:c>
      <x:c r="F142" s="22" t="n">
        <x:v>1</x:v>
      </x:c>
      <x:c r="G142" s="17" t="str">
        <x:v>arXiv:2304.05104</x:v>
      </x:c>
      <x:c r="H142" s="27" t="str">
        <x:v>Approaching Test Time Augmentation in the Context of Uncertainty Calibration for Deep Neural Networks</x:v>
      </x:c>
      <x:c r="I142" s="17" t="str">
        <x:v>Pedro Conde; Tiago Barros; Rui L. Lopes; Cristiano Premebida; Urbano J. Nunes</x:v>
      </x:c>
      <x:c r="J142" s="22" t="n">
        <x:v>2023</x:v>
      </x:c>
      <x:c r="K142" s="27" t="str">
        <x:v>With the rise of Deep Neural Networks, machine learning systems are nowadays ubiquitous in a number of real-world applications, which bears the need for highly reliable models. This requires a thorough look not only at the accuracy of such systems, but also at their predictive uncertainty. Hence, we propose a novel technique (with two different variations, named M-ATTA and V-ATTA) based on test time augmentation, to improve the uncertainty calibration of deep models for image classification. By leveraging na adaptive weighting system, M/V-ATTA improves uncertainty calibration without affecting the model's accuracy. The performance of these techniques is evaluated by considering diverse metrics related to uncertainty calibration, demonstrating their robustness. Empirical results, obtained on CIFAR-10, CIFAR-100, Aerial Image Dataset, as well as in two different scenarios under distribution-shift, indicate that the proposed methods outperform several state-of-the-art post-hoc calibration techniques. Furthermore, the methods proposed also show improvements in terms of predictive entropy on out-of-distribution samples. Code for M/V-ATTA available at: https://github.com/pedrormconde/MV-ATTA</x:v>
      </x:c>
      <x:c r="L142" s="17" t="str">
        <x:v>http://arxiv.org/abs/2304.05104v2</x:v>
      </x:c>
      <x:c r="M142" s="23" t="n">
        <x:v>0.03252247488101534</x:v>
      </x:c>
      <x:c r="N142" s="17" t="str">
        <x:v>arxiv-paper-eval-20260726-140242-results.jsonl</x:v>
      </x:c>
      <x:c r="O142" s="24" t="str">
        <x:v>1</x:v>
      </x:c>
      <x:c r="P142" s="28" t="str">
        <x:v>提出测试时增强改善不确定性校准，使用相关指标但重点不是评测协议与盲点。</x:v>
      </x:c>
      <x:c r="Q142" s="25" t="str"/>
      <x:c r="R142" s="24" t="str">
        <x:f>IF(Q142&lt;&gt;"",Q142,O142)</x:f>
        <x:v>1</x:v>
      </x:c>
      <x:c r="S142" s="29" t="str"/>
    </x:row>
    <x:row r="143" ht="54" customHeight="1">
      <x:c r="A143" s="17" t="str">
        <x:v>csq008-r02</x:v>
      </x:c>
      <x:c r="B143" s="17" t="str">
        <x:v>csq008</x:v>
      </x:c>
      <x:c r="C143" s="17" t="str">
        <x:v>machine_learning</x:v>
      </x:c>
      <x:c r="D143" s="17" t="str">
        <x:v>uncertainty_calibration</x:v>
      </x:c>
      <x:c r="E143" s="27" t="str">
        <x:v>Which metrics and benchmark protocols are used to evaluate uncertainty calibration in deep neural networks, and what failure modes do these metrics miss?</x:v>
      </x:c>
      <x:c r="F143" s="22" t="n">
        <x:v>2</x:v>
      </x:c>
      <x:c r="G143" s="17" t="str">
        <x:v>arXiv:2210.02935</x:v>
      </x:c>
      <x:c r="H143" s="27" t="str">
        <x:v>A Review of Uncertainty Calibration in Pretrained Object Detectors</x:v>
      </x:c>
      <x:c r="I143" s="17" t="str">
        <x:v>Denis Huseljic; Marek Herde; Mehmet Muejde; Bernhard Sick</x:v>
      </x:c>
      <x:c r="J143" s="22" t="n">
        <x:v>2022</x:v>
      </x:c>
      <x:c r="K143" s="27" t="str">
        <x:v>In the field of deep learning based computer vision, the development of deep object detection has led to unique paradigms (e.g., two-stage or set-based) and architectures (e.g., Faster-RCNN or DETR) which enable outstanding performance on challenging benchmark datasets. Despite this, the trained object detectors typically do not reliably assess uncertainty regarding their own knowledge, and the quality of their probabilistic predictions is usually poor. As these are often used to make subsequent decisions, such inaccurate probabilistic predictions must be avoided. In this work, we investigate the uncertainty calibration properties of different pretrained object detection architectures in a multi-class setting. We propose a framework to ensure a fair, unbiased, and repeatable evaluation and conduct detailed analyses assessing the calibration under distributional changes (e.g., distributional shift and application to out-of-distribution data). Furthermore, by investigating the influence of different detector paradigms, post-processing steps, and suitable choices of metrics, we deliver novel insights into why poor detector calibration emerges. Based on these insights, we are able to improve the calibration of a detector by simply finetuning its last layer.</x:v>
      </x:c>
      <x:c r="L143" s="17" t="str">
        <x:v>http://arxiv.org/abs/2210.02935v1</x:v>
      </x:c>
      <x:c r="M143" s="23" t="n">
        <x:v>0.029910714285714284</x:v>
      </x:c>
      <x:c r="N143" s="17" t="str">
        <x:v>arxiv-paper-eval-20260726-140242-results.jsonl</x:v>
      </x:c>
      <x:c r="O143" s="24" t="str">
        <x:v>2</x:v>
      </x:c>
      <x:c r="P143" s="28" t="str">
        <x:v>综述目标检测不确定性校准及其评价范式，直接提供领域指标整理。</x:v>
      </x:c>
      <x:c r="Q143" s="25" t="str"/>
      <x:c r="R143" s="24" t="str">
        <x:f>IF(Q143&lt;&gt;"",Q143,O143)</x:f>
        <x:v>2</x:v>
      </x:c>
      <x:c r="S143" s="29" t="str"/>
    </x:row>
    <x:row r="144" ht="54" customHeight="1">
      <x:c r="A144" s="17" t="str">
        <x:v>csq008-r03</x:v>
      </x:c>
      <x:c r="B144" s="17" t="str">
        <x:v>csq008</x:v>
      </x:c>
      <x:c r="C144" s="17" t="str">
        <x:v>machine_learning</x:v>
      </x:c>
      <x:c r="D144" s="17" t="str">
        <x:v>uncertainty_calibration</x:v>
      </x:c>
      <x:c r="E144" s="27" t="str">
        <x:v>Which metrics and benchmark protocols are used to evaluate uncertainty calibration in deep neural networks, and what failure modes do these metrics miss?</x:v>
      </x:c>
      <x:c r="F144" s="22" t="n">
        <x:v>3</x:v>
      </x:c>
      <x:c r="G144" s="17" t="str">
        <x:v>arXiv:2511.08261</x:v>
      </x:c>
      <x:c r="H144" s="27" t="str">
        <x:v>Uncertainty Calibration of Multi-Label Bird Sound Classifiers</x:v>
      </x:c>
      <x:c r="I144" s="17" t="str">
        <x:v>Raphael Schwinger; Ben McEwen; Vincent S. Kather; René Heinrich; Lukas Rauch; Sven Tomforde</x:v>
      </x:c>
      <x:c r="J144" s="22" t="n">
        <x:v>2025</x:v>
      </x:c>
      <x:c r="K144" s="27" t="str">
        <x:v>Passive acoustic monitoring enables large-scale biodiversity assessment, but reliable classification of bioacoustic sounds requires not only high accuracy but also well-calibrated uncertainty estimates to ground decision-making. In bioacoustics, calibration is challenged by overlapping vocalisations, long-tailed species distributions, and distribution shifts between training and deployment data. The calibration of multi-label deep learning classifiers within the domain of bioacoustics has not yet been assessed. We systematically benchmark the calibration of four state-of-the-art multi-label bird sound classifiers on the BirdSet benchmark, evaluating both global, per-dataset and per-class calibration using threshold-free calibration metrics (ECE, MCS) alongside discrimination metrics (cmAP). Model calibration varies significantly across datasets and classes. While Perch v2 and ConvNeXt$_{BS}$ show better global calibration, results vary between datasets. Both models indicate consistent underconfidence, while AudioProtoPNet and BirdMAE are mostly overconfident. Surprisingly, calibration seems to be better for less frequent classes. Using simple post hoc calibration methods we demonstrate a straightforward way to improve calibration. A small labelled calibration set is sufficient to significantly improve calibration with Platt scaling, while global calibration parameters suffer from dataset variability. Our findings highlight the importance of evaluating and improving uncertainty calibration in bioacoustic classifiers.</x:v>
      </x:c>
      <x:c r="L144" s="17" t="str">
        <x:v>http://arxiv.org/abs/2511.08261v2</x:v>
      </x:c>
      <x:c r="M144" s="23" t="n">
        <x:v>0.02964426877470356</x:v>
      </x:c>
      <x:c r="N144" s="17" t="str">
        <x:v>arxiv-paper-eval-20260726-140242-results.jsonl</x:v>
      </x:c>
      <x:c r="O144" s="24" t="str">
        <x:v>2</x:v>
      </x:c>
      <x:c r="P144" s="28" t="str">
        <x:v>在多标签声音分类的长尾与分布偏移条件下系统评估校准，直接涉及协议和失效。</x:v>
      </x:c>
      <x:c r="Q144" s="25" t="str"/>
      <x:c r="R144" s="24" t="str">
        <x:f>IF(Q144&lt;&gt;"",Q144,O144)</x:f>
        <x:v>2</x:v>
      </x:c>
      <x:c r="S144" s="29" t="str"/>
    </x:row>
    <x:row r="145" ht="54" customHeight="1">
      <x:c r="A145" s="17" t="str">
        <x:v>csq008-r04</x:v>
      </x:c>
      <x:c r="B145" s="17" t="str">
        <x:v>csq008</x:v>
      </x:c>
      <x:c r="C145" s="17" t="str">
        <x:v>machine_learning</x:v>
      </x:c>
      <x:c r="D145" s="17" t="str">
        <x:v>uncertainty_calibration</x:v>
      </x:c>
      <x:c r="E145" s="27" t="str">
        <x:v>Which metrics and benchmark protocols are used to evaluate uncertainty calibration in deep neural networks, and what failure modes do these metrics miss?</x:v>
      </x:c>
      <x:c r="F145" s="22" t="n">
        <x:v>4</x:v>
      </x:c>
      <x:c r="G145" s="17" t="str">
        <x:v>arXiv:2502.07847</x:v>
      </x:c>
      <x:c r="H145" s="27" t="str">
        <x:v>Confidence-calibrated covariate shift correction for few-shot classification in Vision-Language Models</x:v>
      </x:c>
      <x:c r="I145" s="17" t="str">
        <x:v>Behraj Khan; Rizwan Qureshi; Nouman Muhammad Durrani; Tahir Syed</x:v>
      </x:c>
      <x:c r="J145" s="22" t="n">
        <x:v>2025</x:v>
      </x:c>
      <x:c r="K145" s="27" t="str">
        <x:v>Since the establishment of vision-language foundation models as the new mainstay in low-shot vision classification tasks, the question of domain generalization arising from insufficient target data is assuming more importance. This scarcity challenge induces sampling bias and amplifies model sensitivity to variations and shifts in data distributions. While fine-tuning on multiple domains could mitigate such domain generalization issues, it is resource-intensive and demands diverse data sources. In this work, we systematically analyze two critical challenges: (1) covariate shift between the pre-training distribution and the underspecified target distribution, and (2) confidence misalignment, where predictions on novel data are overconfident. To address both challenges simultaneously, we introduce \textbf{Confidence-Calibrated Covariate Shift Correction (CalShift)} -- a unified approach that combines a Fisher information penalty to mitigate covariate shift and a Confidence Misalignment Penalty (CMP) to reduce overconfidence in misclassified examples. Experimental evaluations across various vision and covariate shift benchmarks demonstrate that CalShift significantly improves model calibration, achieving up to a 5.82\% reduction in Expected Calibration Error (ECE). Furthermore, CalShift enhances robustness, improving accuracy by 3.5\% on challenging datasets impacted by covariate shifts. Our results highlight CalShift as a promising strategy for building robust and reliable low-shot vision-language systems for real-world applications.</x:v>
      </x:c>
      <x:c r="L145" s="17" t="str">
        <x:v>http://arxiv.org/abs/2502.07847v2</x:v>
      </x:c>
      <x:c r="M145" s="23" t="n">
        <x:v>0.01639344262295082</x:v>
      </x:c>
      <x:c r="N145" s="17" t="str">
        <x:v>arxiv-paper-eval-20260726-140242-results.jsonl</x:v>
      </x:c>
      <x:c r="O145" s="24" t="str">
        <x:v>1</x:v>
      </x:c>
      <x:c r="P145" s="28" t="str">
        <x:v>重点是协变量偏移校正方法，校准作为机制而非评价指标研究。</x:v>
      </x:c>
      <x:c r="Q145" s="25" t="str"/>
      <x:c r="R145" s="24" t="str">
        <x:f>IF(Q145&lt;&gt;"",Q145,O145)</x:f>
        <x:v>1</x:v>
      </x:c>
      <x:c r="S145" s="29" t="str"/>
    </x:row>
    <x:row r="146" ht="54" customHeight="1">
      <x:c r="A146" s="17" t="str">
        <x:v>csq008-r05</x:v>
      </x:c>
      <x:c r="B146" s="17" t="str">
        <x:v>csq008</x:v>
      </x:c>
      <x:c r="C146" s="17" t="str">
        <x:v>machine_learning</x:v>
      </x:c>
      <x:c r="D146" s="17" t="str">
        <x:v>uncertainty_calibration</x:v>
      </x:c>
      <x:c r="E146" s="27" t="str">
        <x:v>Which metrics and benchmark protocols are used to evaluate uncertainty calibration in deep neural networks, and what failure modes do these metrics miss?</x:v>
      </x:c>
      <x:c r="F146" s="22" t="n">
        <x:v>5</x:v>
      </x:c>
      <x:c r="G146" s="17" t="str">
        <x:v>arXiv:2511.19124</x:v>
      </x:c>
      <x:c r="H146" s="27" t="str">
        <x:v>Uncertainty-Aware Deep Learning Framework for Remaining Useful Life Prediction in Turbofan Engines with Learned Aleatoric Uncertainty</x:v>
      </x:c>
      <x:c r="I146" s="17" t="str">
        <x:v>Krishang Sharma</x:v>
      </x:c>
      <x:c r="J146" s="22" t="n">
        <x:v>2025</x:v>
      </x:c>
      <x:c r="K146" s="27" t="str">
        <x:v>Accurate Remaining Useful Life (RUL) prediction coupled with uncertainty quantification remains a critical challenge in aerospace prognostics. This research introduces a novel uncertainty-aware deep learning framework that learns aleatoric uncertainty directly through probabilistic modeling, an approach unexplored in existing CMAPSS-based literature. Our hierarchical architecture integrates multi-scale Inception blocks for temporal pattern extraction, bidirectional Long Short-Term Memory networks for sequential modeling, and a dual-level attention mechanism operating simultaneously on sensor and temporal dimensions. The innovation lies in the Bayesian output layer that predicts both mean RUL and variance, enabling the model to learn data-inherent uncertainty. Comprehensive preprocessing employs condition-aware clustering, wavelet denoising, and intelligent feature selection. Experimental validation on NASA CMAPSS benchmarks (FD001-FD004) demonstrates competitive overall performance with RMSE values of 16.22, 19.29, 16.84, and 19.98 respectively. Remarkably, our framework achieves breakthrough critical zone performance (RUL &lt;= 30 cycles) with RMSE of 5.14, 6.89, 5.27, and 7.16, representing 25-40 percent improvements over conventional approaches and establishing new benchmarks for safety-critical predictions. The learned uncertainty provides well-calibrated 95 percent confidence intervals with coverage ranging from 93.5 percent to 95.2 percent, enabling risk-aware maintenance scheduling previously unattainable in CMAPSS literature.</x:v>
      </x:c>
      <x:c r="L146" s="17" t="str">
        <x:v>http://arxiv.org/abs/2511.19124v2</x:v>
      </x:c>
      <x:c r="M146" s="23" t="n">
        <x:v>0.01639344262295082</x:v>
      </x:c>
      <x:c r="N146" s="17" t="str">
        <x:v>arxiv-paper-eval-20260726-140242-results.jsonl</x:v>
      </x:c>
      <x:c r="O146" s="24" t="str">
        <x:v>1</x:v>
      </x:c>
      <x:c r="P146" s="28" t="str">
        <x:v>提出寿命预测的偶然不确定性模型，但不聚焦校准指标及其漏检问题。</x:v>
      </x:c>
      <x:c r="Q146" s="25" t="str"/>
      <x:c r="R146" s="24" t="str">
        <x:f>IF(Q146&lt;&gt;"",Q146,O146)</x:f>
        <x:v>1</x:v>
      </x:c>
      <x:c r="S146" s="29" t="str"/>
    </x:row>
    <x:row r="147" ht="54" customHeight="1">
      <x:c r="A147" s="17" t="str">
        <x:v>csq008-r06</x:v>
      </x:c>
      <x:c r="B147" s="17" t="str">
        <x:v>csq008</x:v>
      </x:c>
      <x:c r="C147" s="17" t="str">
        <x:v>machine_learning</x:v>
      </x:c>
      <x:c r="D147" s="17" t="str">
        <x:v>uncertainty_calibration</x:v>
      </x:c>
      <x:c r="E147" s="27" t="str">
        <x:v>Which metrics and benchmark protocols are used to evaluate uncertainty calibration in deep neural networks, and what failure modes do these metrics miss?</x:v>
      </x:c>
      <x:c r="F147" s="22" t="n">
        <x:v>6</x:v>
      </x:c>
      <x:c r="G147" s="17" t="str">
        <x:v>arXiv:2405.15709</x:v>
      </x:c>
      <x:c r="H147" s="27" t="str">
        <x:v>Information-theoretic Generalization Analysis for Expected Calibration Error</x:v>
      </x:c>
      <x:c r="I147" s="17" t="str">
        <x:v>Futoshi Futami; Masahiro Fujisawa</x:v>
      </x:c>
      <x:c r="J147" s="22" t="n">
        <x:v>2024</x:v>
      </x:c>
      <x:c r="K147" s="27" t="str">
        <x:v>While the expected calibration error (ECE), which employs binning, is widely adopted to evaluate the calibration performance of machine learning models, theoretical understanding of its estimation bias is limited. In this paper, we present the first comprehensive analysis of the estimation bias in the two common binning strategies, uniform mass and uniform width binning. Our analysis establishes upper bounds on the bias, achieving an improved convergence rate. Moreover, our bounds reveal, for the first time, the optimal number of bins to minimize the estimation bias. We further extend our bias analysis to generalization error analysis based on the information-theoretic approach, deriving upper bounds that enable the numerical evaluation of how small the ECE is for unknown data. Experiments using deep learning models show that our bounds are nonvacuous thanks to this information-theoretic generalization analysis approach.</x:v>
      </x:c>
      <x:c r="L147" s="17" t="str">
        <x:v>http://arxiv.org/abs/2405.15709v2</x:v>
      </x:c>
      <x:c r="M147" s="23" t="n">
        <x:v>0.01639344262295082</x:v>
      </x:c>
      <x:c r="N147" s="17" t="str">
        <x:v>arxiv-paper-eval-20260726-140242-results.jsonl</x:v>
      </x:c>
      <x:c r="O147" s="24" t="str">
        <x:v>2</x:v>
      </x:c>
      <x:c r="P147" s="28" t="str">
        <x:v>直接分析常用ECE及不同分箱策略的估计偏差和理论界限。</x:v>
      </x:c>
      <x:c r="Q147" s="25" t="str"/>
      <x:c r="R147" s="24" t="str">
        <x:f>IF(Q147&lt;&gt;"",Q147,O147)</x:f>
        <x:v>2</x:v>
      </x:c>
      <x:c r="S147" s="29" t="str"/>
    </x:row>
    <x:row r="148" ht="54" customHeight="1">
      <x:c r="A148" s="17" t="str">
        <x:v>csq008-r07</x:v>
      </x:c>
      <x:c r="B148" s="17" t="str">
        <x:v>csq008</x:v>
      </x:c>
      <x:c r="C148" s="17" t="str">
        <x:v>machine_learning</x:v>
      </x:c>
      <x:c r="D148" s="17" t="str">
        <x:v>uncertainty_calibration</x:v>
      </x:c>
      <x:c r="E148" s="27" t="str">
        <x:v>Which metrics and benchmark protocols are used to evaluate uncertainty calibration in deep neural networks, and what failure modes do these metrics miss?</x:v>
      </x:c>
      <x:c r="F148" s="22" t="n">
        <x:v>7</x:v>
      </x:c>
      <x:c r="G148" s="17" t="str">
        <x:v>arXiv:2501.10089</x:v>
      </x:c>
      <x:c r="H148" s="27" t="str">
        <x:v>Classifier Ensemble for Efficient Uncertainty Calibration of Deep Neural Networks for Image Classification</x:v>
      </x:c>
      <x:c r="I148" s="17" t="str">
        <x:v>Michael Schulze; Nikolas Ebert; Laurenz Reichardt; Oliver Wasenmüller</x:v>
      </x:c>
      <x:c r="J148" s="22" t="n">
        <x:v>2025</x:v>
      </x:c>
      <x:c r="K148" s="27" t="str">
        <x:v>This paper investigates novel classifier ensemble techniques for uncertainty calibration applied to various deep neural networks for image classification. We evaluate both accuracy and calibration metrics, focusing on Expected Calibration Error (ECE) and Maximum Calibration Error (MCE). Our work compares different methods for building simple yet efficient classifier ensembles, including majority voting and several metamodel-based approaches. Our evaluation reveals that while state-of-the-art deep neural networks for image classification achieve high accuracy on standard datasets, they frequently suffer from significant calibration errors. Basic ensemble techniques like majority voting provide modest improvements, while metamodel-based ensembles consistently reduce ECE and MCE across all architectures. Notably, the largest of our compared metamodels demonstrate the most substantial calibration improvements, with minimal impact on accuracy. Moreover, classifier ensembles with metamodels outperform traditional model ensembles in calibration performance, while requiring significantly fewer parameters. In comparison to traditional post-hoc calibration methods, our approach removes the need for a separate calibration dataset. These findings underscore the potential of our proposed metamodel-based classifier ensembles as an efficient and effective approach to improving model calibration, thereby contributing to more reliable deep learning systems.</x:v>
      </x:c>
      <x:c r="L148" s="17" t="str">
        <x:v>http://arxiv.org/abs/2501.10089v1</x:v>
      </x:c>
      <x:c r="M148" s="23" t="n">
        <x:v>0.016129032258064516</x:v>
      </x:c>
      <x:c r="N148" s="17" t="str">
        <x:v>arxiv-paper-eval-20260726-140242-results.jsonl</x:v>
      </x:c>
      <x:c r="O148" s="24" t="str">
        <x:v>2</x:v>
      </x:c>
      <x:c r="P148" s="28" t="str">
        <x:v>比较集成校准方法并明确使用ECE和MCE，直接提供指标应用证据。</x:v>
      </x:c>
      <x:c r="Q148" s="25" t="str"/>
      <x:c r="R148" s="24" t="str">
        <x:f>IF(Q148&lt;&gt;"",Q148,O148)</x:f>
        <x:v>2</x:v>
      </x:c>
      <x:c r="S148" s="29" t="str"/>
    </x:row>
    <x:row r="149" ht="54" customHeight="1">
      <x:c r="A149" s="17" t="str">
        <x:v>csq008-r08</x:v>
      </x:c>
      <x:c r="B149" s="17" t="str">
        <x:v>csq008</x:v>
      </x:c>
      <x:c r="C149" s="17" t="str">
        <x:v>machine_learning</x:v>
      </x:c>
      <x:c r="D149" s="17" t="str">
        <x:v>uncertainty_calibration</x:v>
      </x:c>
      <x:c r="E149" s="27" t="str">
        <x:v>Which metrics and benchmark protocols are used to evaluate uncertainty calibration in deep neural networks, and what failure modes do these metrics miss?</x:v>
      </x:c>
      <x:c r="F149" s="22" t="n">
        <x:v>8</x:v>
      </x:c>
      <x:c r="G149" s="17" t="str">
        <x:v>arXiv:2402.15163</x:v>
      </x:c>
      <x:c r="H149" s="27" t="str">
        <x:v>Has the Deep Neural Network learned the Stochastic Process? An Evaluation Viewpoint</x:v>
      </x:c>
      <x:c r="I149" s="17" t="str">
        <x:v>Harshit Kumar; Beomseok Kang; Biswadeep Chakraborty; Saibal Mukhopadhyay</x:v>
      </x:c>
      <x:c r="J149" s="22" t="n">
        <x:v>2024</x:v>
      </x:c>
      <x:c r="K149" s="27" t="str">
        <x:v>This paper presents the first systematic study of evaluating Deep Neural Networks (DNNs) designed to forecast the evolution of stochastic complex systems. We show that traditional evaluation methods like threshold-based classification metrics and error-based scoring rules assess a DNN's ability to replicate the observed ground truth but fail to measure the DNN's learning of the underlying stochastic process. To address this gap, we propose a new evaluation criterion called Fidelity to Stochastic Process (F2SP), representing the DNN's ability to predict the system property Statistic-GT--the ground truth of the stochastic process--and introduce an evaluation metric that exclusively assesses F2SP. We formalize F2SP within a stochastic framework and establish criteria for validly measuring it. We formally show that Expected Calibration Error (ECE) satisfies the necessary condition for testing F2SP, unlike traditional evaluation methods. Empirical experiments on synthetic datasets, including wildfire, host-pathogen, and stock market models, demonstrate that ECE uniquely captures F2SP. We further extend our study to real-world wildfire data, highlighting the limitations of conventional evaluation and discuss the practical utility of incorporating F2SP into model assessment. This work offers a new perspective on evaluating DNNs modeling complex systems by emphasizing the importance of capturing the underlying stochastic process.</x:v>
      </x:c>
      <x:c r="L149" s="17" t="str">
        <x:v>http://arxiv.org/abs/2402.15163v4</x:v>
      </x:c>
      <x:c r="M149" s="23" t="n">
        <x:v>0.016129032258064516</x:v>
      </x:c>
      <x:c r="N149" s="17" t="str">
        <x:v>arxiv-paper-eval-20260726-140242-results.jsonl</x:v>
      </x:c>
      <x:c r="O149" s="24" t="str">
        <x:v>1</x:v>
      </x:c>
      <x:c r="P149" s="28" t="str">
        <x:v>揭示传统误差与分类指标不能评价随机过程学习，但并非专门的不确定性校准。</x:v>
      </x:c>
      <x:c r="Q149" s="25" t="str"/>
      <x:c r="R149" s="24" t="str">
        <x:f>IF(Q149&lt;&gt;"",Q149,O149)</x:f>
        <x:v>1</x:v>
      </x:c>
      <x:c r="S149" s="29" t="str"/>
    </x:row>
    <x:row r="150" ht="54" customHeight="1">
      <x:c r="A150" s="17" t="str">
        <x:v>csq008-r09</x:v>
      </x:c>
      <x:c r="B150" s="17" t="str">
        <x:v>csq008</x:v>
      </x:c>
      <x:c r="C150" s="17" t="str">
        <x:v>machine_learning</x:v>
      </x:c>
      <x:c r="D150" s="17" t="str">
        <x:v>uncertainty_calibration</x:v>
      </x:c>
      <x:c r="E150" s="27" t="str">
        <x:v>Which metrics and benchmark protocols are used to evaluate uncertainty calibration in deep neural networks, and what failure modes do these metrics miss?</x:v>
      </x:c>
      <x:c r="F150" s="22" t="n">
        <x:v>9</x:v>
      </x:c>
      <x:c r="G150" s="17" t="str">
        <x:v>arXiv:2108.08903</x:v>
      </x:c>
      <x:c r="H150" s="27" t="str">
        <x:v>SIAM: Chiplet-based Scalable In-Memory Acceleration with Mesh for Deep Neural Networks</x:v>
      </x:c>
      <x:c r="I150" s="17" t="str">
        <x:v>Gokul Krishnan; Sumit K. Mandal; Manvitha Pannala; Chaitali Chakrabarti; Jae-sun Seo; Umit Y. Ogras; Yu Cao</x:v>
      </x:c>
      <x:c r="J150" s="22" t="n">
        <x:v>2021</x:v>
      </x:c>
      <x:c r="K150" s="27" t="str">
        <x:v>In-memory computing (IMC) on a monolithic chip for deep learning faces dramatic challenges on area, yield, and on-chip interconnection cost due to the ever-increasing model sizes. 2.5D integration or chiplet-based architectures interconnect multiple small chips (i.e., chiplets) to form a large computing system, presenting a feasible solution beyond a monolithic IMC architecture to accelerate large deep learning models. This paper presents a new benchmarking simulator, SIAM, to evaluate the performance of chiplet-based IMC architectures and explore the potential of such a paradigm shift in IMC architecture design. SIAM integrates device, circuit, architecture, network-on-chip (NoC), network-on-package (NoP), and DRAM access models to realize an end-to-end system. SIAM is scalable in its support of a wide range of deep neural networks (DNNs), customizable to various network structures and configurations, and capable of efficient design space exploration. We demonstrate the flexibility, scalability, and simulation speed of SIAM by benchmarking different state-of-the-art DNNs with CIFAR-10, CIFAR-100, and ImageNet datasets. We further calibrate the simulation results with a published silicon result, SIMBA. The chiplet-based IMC architecture obtained through SIAM shows 130$\times$ and 72$\times$ improvement in energy-efficiency for ResNet-50 on the ImageNet dataset compared to Nvidia V100 and T4 GPUs.</x:v>
      </x:c>
      <x:c r="L150" s="17" t="str">
        <x:v>http://arxiv.org/abs/2108.08903v1</x:v>
      </x:c>
      <x:c r="M150" s="23" t="n">
        <x:v>0.016129032258064516</x:v>
      </x:c>
      <x:c r="N150" s="17" t="str">
        <x:v>arxiv-paper-eval-20260726-140242-results.jsonl</x:v>
      </x:c>
      <x:c r="O150" s="24" t="str">
        <x:v>0</x:v>
      </x:c>
      <x:c r="P150" s="28" t="str">
        <x:v>研究深度神经网络芯粒硬件加速，与不确定性校准评估无关。</x:v>
      </x:c>
      <x:c r="Q150" s="25" t="str"/>
      <x:c r="R150" s="24" t="str">
        <x:f>IF(Q150&lt;&gt;"",Q150,O150)</x:f>
        <x:v>0</x:v>
      </x:c>
      <x:c r="S150" s="29" t="str"/>
    </x:row>
    <x:row r="151" ht="54" customHeight="1">
      <x:c r="A151" s="17" t="str">
        <x:v>csq008-r10</x:v>
      </x:c>
      <x:c r="B151" s="17" t="str">
        <x:v>csq008</x:v>
      </x:c>
      <x:c r="C151" s="17" t="str">
        <x:v>machine_learning</x:v>
      </x:c>
      <x:c r="D151" s="17" t="str">
        <x:v>uncertainty_calibration</x:v>
      </x:c>
      <x:c r="E151" s="27" t="str">
        <x:v>Which metrics and benchmark protocols are used to evaluate uncertainty calibration in deep neural networks, and what failure modes do these metrics miss?</x:v>
      </x:c>
      <x:c r="F151" s="22" t="n">
        <x:v>10</x:v>
      </x:c>
      <x:c r="G151" s="17" t="str">
        <x:v>arXiv:2306.12306</x:v>
      </x:c>
      <x:c r="H151" s="27" t="str">
        <x:v>Beyond Deep Ensembles: A Large-Scale Evaluation of Bayesian Deep Learning under Distribution Shift</x:v>
      </x:c>
      <x:c r="I151" s="17" t="str">
        <x:v>Florian Seligmann; Philipp Becker; Michael Volpp; Gerhard Neumann</x:v>
      </x:c>
      <x:c r="J151" s="22" t="n">
        <x:v>2023</x:v>
      </x:c>
      <x:c r="K151" s="27" t="str">
        <x:v>Bayesian deep learning (BDL) is a promising approach to achieve well-calibrated predictions on distribution-shifted data. Nevertheless, there exists no large-scale survey that evaluates recent SOTA methods on diverse, realistic, and challenging benchmark tasks in a systematic manner. To provide a clear picture of the current state of BDL research, we evaluate modern BDL algorithms on real-world datasets from the WILDS collection containing challenging classification and regression tasks, with a focus on generalization capability and calibration under distribution shift. We compare the algorithms on a wide range of large, convolutional and transformer-based neural network architectures. In particular, we investigate a signed version of the expected calibration error that reveals whether the methods are over- or under-confident, providing further insight into the behavior of the methods. Further, we provide the first systematic evaluation of BDL for fine-tuning large pre-trained models, where training from scratch is prohibitively expensive. Finally, given the recent success of Deep Ensembles, we extend popular single-mode posterior approximations to multiple modes by the use of ensembles. While we find that ensembling single-mode approximations generally improves the generalization capability and calibration of the models by a significant margin, we also identify a failure mode of ensembles when finetuning large transformer-based language models. In this setting, variational inference based approaches such as last-layer Bayes By Backprop outperform other methods in terms of accuracy by a large margin, while modern approximate inference algorithms such as SWAG achieve the best calibration.</x:v>
      </x:c>
      <x:c r="L151" s="17" t="str">
        <x:v>http://arxiv.org/abs/2306.12306v3</x:v>
      </x:c>
      <x:c r="M151" s="23" t="n">
        <x:v>0.015873015873015872</x:v>
      </x:c>
      <x:c r="N151" s="17" t="str">
        <x:v>arxiv-paper-eval-20260726-140242-results.jsonl</x:v>
      </x:c>
      <x:c r="O151" s="24" t="str">
        <x:v>2</x:v>
      </x:c>
      <x:c r="P151" s="28" t="str">
        <x:v>在真实分布偏移基准上大规模评价贝叶斯深度学习校准和鲁棒性。</x:v>
      </x:c>
      <x:c r="Q151" s="25" t="str"/>
      <x:c r="R151" s="24" t="str">
        <x:f>IF(Q151&lt;&gt;"",Q151,O151)</x:f>
        <x:v>2</x:v>
      </x:c>
      <x:c r="S151" s="29" t="str"/>
    </x:row>
    <x:row r="152" ht="54" customHeight="1">
      <x:c r="A152" s="17" t="str">
        <x:v>csq008-r11</x:v>
      </x:c>
      <x:c r="B152" s="17" t="str">
        <x:v>csq008</x:v>
      </x:c>
      <x:c r="C152" s="17" t="str">
        <x:v>machine_learning</x:v>
      </x:c>
      <x:c r="D152" s="17" t="str">
        <x:v>uncertainty_calibration</x:v>
      </x:c>
      <x:c r="E152" s="27" t="str">
        <x:v>Which metrics and benchmark protocols are used to evaluate uncertainty calibration in deep neural networks, and what failure modes do these metrics miss?</x:v>
      </x:c>
      <x:c r="F152" s="22" t="n">
        <x:v>11</x:v>
      </x:c>
      <x:c r="G152" s="17" t="str">
        <x:v>arXiv:2106.14662</x:v>
      </x:c>
      <x:c r="H152" s="27" t="str">
        <x:v>Improving Uncertainty Calibration of Deep Neural Networks via Truth Discovery and Geometric Optimization</x:v>
      </x:c>
      <x:c r="I152" s="17" t="str">
        <x:v>Chunwei Ma; Ziyun Huang; Jiayi Xian; Mingchen Gao; Jinhui Xu</x:v>
      </x:c>
      <x:c r="J152" s="22" t="n">
        <x:v>2021</x:v>
      </x:c>
      <x:c r="K152" s="27" t="str">
        <x:v>Deep Neural Networks (DNNs), despite their tremendous success in recent years, could still cast doubts on their predictions due to the intrinsic uncertainty associated with their learning process. Ensemble techniques and post-hoc calibrations are two types of approaches that have individually shown promise in improving the uncertainty calibration of DNNs. However, the synergistic effect of the two types of methods has not been well explored. In this paper, we propose a truth discovery framework to integrate ensemble-based and post-hoc calibration methods. Using the geometric variance of the ensemble candidates as a good indicator for sample uncertainty, we design an accuracy-preserving truth estimator with provably no accuracy drop. Furthermore, we show that post-hoc calibration can also be enhanced by truth discovery-regularized optimization. On large-scale datasets including CIFAR and ImageNet, our method shows consistent improvement against state-of-the-art calibration approaches on both histogram-based and kernel density-based evaluation metrics. Our codes are available at https://github.com/horsepurve/truly-uncertain.</x:v>
      </x:c>
      <x:c r="L152" s="17" t="str">
        <x:v>http://arxiv.org/abs/2106.14662v3</x:v>
      </x:c>
      <x:c r="M152" s="23" t="n">
        <x:v>0.015873015873015872</x:v>
      </x:c>
      <x:c r="N152" s="17" t="str">
        <x:v>arxiv-paper-eval-20260726-140242-results.jsonl</x:v>
      </x:c>
      <x:c r="O152" s="24" t="str">
        <x:v>1</x:v>
      </x:c>
      <x:c r="P152" s="28" t="str">
        <x:v>核心是集成与后处理的校准改进，评价指标仅用于验证。</x:v>
      </x:c>
      <x:c r="Q152" s="25" t="str"/>
      <x:c r="R152" s="24" t="str">
        <x:f>IF(Q152&lt;&gt;"",Q152,O152)</x:f>
        <x:v>1</x:v>
      </x:c>
      <x:c r="S152" s="29" t="str"/>
    </x:row>
    <x:row r="153" ht="54" customHeight="1">
      <x:c r="A153" s="17" t="str">
        <x:v>csq008-r12</x:v>
      </x:c>
      <x:c r="B153" s="17" t="str">
        <x:v>csq008</x:v>
      </x:c>
      <x:c r="C153" s="17" t="str">
        <x:v>machine_learning</x:v>
      </x:c>
      <x:c r="D153" s="17" t="str">
        <x:v>uncertainty_calibration</x:v>
      </x:c>
      <x:c r="E153" s="27" t="str">
        <x:v>Which metrics and benchmark protocols are used to evaluate uncertainty calibration in deep neural networks, and what failure modes do these metrics miss?</x:v>
      </x:c>
      <x:c r="F153" s="22" t="n">
        <x:v>12</x:v>
      </x:c>
      <x:c r="G153" s="17" t="str">
        <x:v>arXiv:1911.13273</x:v>
      </x:c>
      <x:c r="H153" s="27" t="str">
        <x:v>Confidence Calibration and Predictive Uncertainty Estimation for Deep Medical Image Segmentation</x:v>
      </x:c>
      <x:c r="I153" s="17" t="str">
        <x:v>Alireza Mehrtash; William M. Wells; Clare M. Tempany; Purang Abolmaesumi; Tina Kapur</x:v>
      </x:c>
      <x:c r="J153" s="22" t="n">
        <x:v>2019</x:v>
      </x:c>
      <x:c r="K153" s="27" t="str">
        <x:v>Fully convolutional neural networks (FCNs), and in particular U-Nets, have achieved state-of-the-art results in semantic segmentation for numerous medical imaging applications. Moreover, batch normalization and Dice loss have been used successfully to stabilize and accelerate training. However, these networks are poorly calibrated i.e. they tend to produce overconfident predictions both in correct and erroneous classifications, making them unreliable and hard to interpret. In this paper, we study predictive uncertainty estimation in FCNs for medical image segmentation. We make the following contributions: 1) We systematically compare cross entropy loss with Dice loss in terms of segmentation quality and uncertainty estimation of FCNs; 2) We propose model ensembling for confidence calibration of the FCNs trained with batch normalization and Dice loss; 3) We assess the ability of calibrated FCNs to predict segmentation quality of structures and detect out-of-distribution test examples. We conduct extensive experiments across three medical image segmentation applications of the brain, the heart, and the prostate to evaluate our contributions. The results of this study offer considerable insight into the predictive uncertainty estimation and out-of-distribution detection in medical image segmentation and provide practical recipes for confidence calibration. Moreover, we consistently demonstrate that model ensembling improves confidence calibration.</x:v>
      </x:c>
      <x:c r="L153" s="17" t="str">
        <x:v>http://arxiv.org/abs/1911.13273v2</x:v>
      </x:c>
      <x:c r="M153" s="23" t="n">
        <x:v>0.015873015873015872</x:v>
      </x:c>
      <x:c r="N153" s="17" t="str">
        <x:v>arxiv-paper-eval-20260726-140242-results.jsonl</x:v>
      </x:c>
      <x:c r="O153" s="24" t="str">
        <x:v>2</x:v>
      </x:c>
      <x:c r="P153" s="28" t="str">
        <x:v>研究医学分割的置信校准与预测不确定性，直接包含专门评价设置。</x:v>
      </x:c>
      <x:c r="Q153" s="25" t="str"/>
      <x:c r="R153" s="24" t="str">
        <x:f>IF(Q153&lt;&gt;"",Q153,O153)</x:f>
        <x:v>2</x:v>
      </x:c>
      <x:c r="S153" s="29" t="str"/>
    </x:row>
    <x:row r="154" ht="54" customHeight="1">
      <x:c r="A154" s="17" t="str">
        <x:v>csq008-r13</x:v>
      </x:c>
      <x:c r="B154" s="17" t="str">
        <x:v>csq008</x:v>
      </x:c>
      <x:c r="C154" s="17" t="str">
        <x:v>machine_learning</x:v>
      </x:c>
      <x:c r="D154" s="17" t="str">
        <x:v>uncertainty_calibration</x:v>
      </x:c>
      <x:c r="E154" s="27" t="str">
        <x:v>Which metrics and benchmark protocols are used to evaluate uncertainty calibration in deep neural networks, and what failure modes do these metrics miss?</x:v>
      </x:c>
      <x:c r="F154" s="22" t="n">
        <x:v>13</x:v>
      </x:c>
      <x:c r="G154" s="17" t="str">
        <x:v>arXiv:1811.12709</x:v>
      </x:c>
      <x:c r="H154" s="27" t="str">
        <x:v>Evaluating Bayesian Deep Learning Methods for Semantic Segmentation</x:v>
      </x:c>
      <x:c r="I154" s="17" t="str">
        <x:v>Jishnu Mukhoti; Yarin Gal</x:v>
      </x:c>
      <x:c r="J154" s="22" t="n">
        <x:v>2018</x:v>
      </x:c>
      <x:c r="K154" s="27" t="str">
        <x:v>Deep learning has been revolutionary for computer vision and semantic segmentation in particular, with Bayesian Deep Learning (BDL) used to obtain uncertainty maps from deep models when predicting semantic classes. This information is critical when using semantic segmentation for autonomous driving for example. Standard semantic segmentation systems have well-established evaluation metrics. However, with BDL's rising popularity in computer vision we require new metrics to evaluate whether a BDL method produces better uncertainty estimates than another method. In this work we propose three such metrics to evaluate BDL models designed specifically for the task of semantic segmentation. We modify DeepLab-v3+, one of the state-of-the-art deep neural networks, and create its Bayesian counterpart using MC dropout and Concrete dropout as inference techniques. We then compare and test these two inference techniques on the well-known Cityscapes dataset using our suggested metrics. Our results provide new benchmarks for researchers to compare and evaluate their improved uncertainty quantification in pursuit of safer semantic segmentation.</x:v>
      </x:c>
      <x:c r="L154" s="17" t="str">
        <x:v>http://arxiv.org/abs/1811.12709v2</x:v>
      </x:c>
      <x:c r="M154" s="23" t="n">
        <x:v>0.015873015873015872</x:v>
      </x:c>
      <x:c r="N154" s="17" t="str">
        <x:v>arxiv-paper-eval-20260726-140242-results.jsonl</x:v>
      </x:c>
      <x:c r="O154" s="24" t="str">
        <x:v>2</x:v>
      </x:c>
      <x:c r="P154" s="28" t="str">
        <x:v>专门讨论语义分割中贝叶斯深度学习不确定性的评价指标。</x:v>
      </x:c>
      <x:c r="Q154" s="25" t="str"/>
      <x:c r="R154" s="24" t="str">
        <x:f>IF(Q154&lt;&gt;"",Q154,O154)</x:f>
        <x:v>2</x:v>
      </x:c>
      <x:c r="S154" s="29" t="str"/>
    </x:row>
    <x:row r="155" ht="54" customHeight="1">
      <x:c r="A155" s="17" t="str">
        <x:v>csq008-r14</x:v>
      </x:c>
      <x:c r="B155" s="17" t="str">
        <x:v>csq008</x:v>
      </x:c>
      <x:c r="C155" s="17" t="str">
        <x:v>machine_learning</x:v>
      </x:c>
      <x:c r="D155" s="17" t="str">
        <x:v>uncertainty_calibration</x:v>
      </x:c>
      <x:c r="E155" s="27" t="str">
        <x:v>Which metrics and benchmark protocols are used to evaluate uncertainty calibration in deep neural networks, and what failure modes do these metrics miss?</x:v>
      </x:c>
      <x:c r="F155" s="22" t="n">
        <x:v>14</x:v>
      </x:c>
      <x:c r="G155" s="17" t="str">
        <x:v>arXiv:2502.09872</x:v>
      </x:c>
      <x:c r="H155" s="27" t="str">
        <x:v>Learning to Calibrate for Reliable Visual Fire Detection</x:v>
      </x:c>
      <x:c r="I155" s="17" t="str">
        <x:v>Ziqi Zhang; Xiuzhuang Zhou; Xiangyang Gong</x:v>
      </x:c>
      <x:c r="J155" s="22" t="n">
        <x:v>2025</x:v>
      </x:c>
      <x:c r="K155" s="27" t="str">
        <x:v>Fire is characterized by its sudden onset and destructive power, making early fire detection crucial for ensuring human safety and protecting property. With the advancement of deep learning, the application of computer vision in fire detection has significantly improved. However, deep learning models often exhibit a tendency toward overconfidence, and most existing works focus primarily on enhancing classification performance, with limited attention given to uncertainty modeling. To address this issue, we propose transforming the Expected Calibration Error (ECE), a metric for measuring uncertainty, into a differentiable ECE loss function. This loss is then combined with the cross-entropy loss to guide the training process of multi-class fire detection models. Additionally, to achieve a good balance between classification accuracy and reliable decision, we introduce a curriculum learning-based approach that dynamically adjusts the weight of the ECE loss during training. Extensive experiments are conducted on two widely used multi-class fire detection datasets, DFAN and EdgeFireSmoke, validating the effectiveness of our uncertainty modeling method.</x:v>
      </x:c>
      <x:c r="L155" s="17" t="str">
        <x:v>http://arxiv.org/abs/2502.09872v1</x:v>
      </x:c>
      <x:c r="M155" s="23" t="n">
        <x:v>0.015625</x:v>
      </x:c>
      <x:c r="N155" s="17" t="str">
        <x:v>arxiv-paper-eval-20260726-140242-results.jsonl</x:v>
      </x:c>
      <x:c r="O155" s="24" t="str">
        <x:v>1</x:v>
      </x:c>
      <x:c r="P155" s="28" t="str">
        <x:v>以视觉火灾检测为应用提出校准方法，未主要分析指标失效。</x:v>
      </x:c>
      <x:c r="Q155" s="25" t="str"/>
      <x:c r="R155" s="24" t="str">
        <x:f>IF(Q155&lt;&gt;"",Q155,O155)</x:f>
        <x:v>1</x:v>
      </x:c>
      <x:c r="S155" s="29" t="str"/>
    </x:row>
    <x:row r="156" ht="54" customHeight="1">
      <x:c r="A156" s="17" t="str">
        <x:v>csq008-r15</x:v>
      </x:c>
      <x:c r="B156" s="17" t="str">
        <x:v>csq008</x:v>
      </x:c>
      <x:c r="C156" s="17" t="str">
        <x:v>machine_learning</x:v>
      </x:c>
      <x:c r="D156" s="17" t="str">
        <x:v>uncertainty_calibration</x:v>
      </x:c>
      <x:c r="E156" s="27" t="str">
        <x:v>Which metrics and benchmark protocols are used to evaluate uncertainty calibration in deep neural networks, and what failure modes do these metrics miss?</x:v>
      </x:c>
      <x:c r="F156" s="22" t="n">
        <x:v>15</x:v>
      </x:c>
      <x:c r="G156" s="17" t="str">
        <x:v>arXiv:2010.09494</x:v>
      </x:c>
      <x:c r="H156" s="27" t="str">
        <x:v>Stationary Activations for Uncertainty Calibration in Deep Learning</x:v>
      </x:c>
      <x:c r="I156" s="17" t="str">
        <x:v>Lassi Meronen; Christabella Irwanto; Arno Solin</x:v>
      </x:c>
      <x:c r="J156" s="22" t="n">
        <x:v>2020</x:v>
      </x:c>
      <x:c r="K156" s="27" t="str">
        <x:v>We introduce a new family of non-linear neural network activation functions that mimic the properties induced by the widely-used Matérn family of kernels in Gaussian process (GP) models. This class spans a range of locally stationary models of various degrees of mean-square differentiability. We show an explicit link to the corresponding GP models in the case that the network consists of one infinitely wide hidden layer. In the limit of infinite smoothness the Matérn family results in the RBF kernel, and in this case we recover RBF activations. Matérn activation functions result in similar appealing properties to their counterparts in GP models, and we demonstrate that the local stationarity property together with limited mean-square differentiability shows both good performance and uncertainty calibration in Bayesian deep learning tasks. In particular, local stationarity helps calibrate out-of-distribution (OOD) uncertainty. We demonstrate these properties on classification and regression benchmarks and a radar emitter classification task.</x:v>
      </x:c>
      <x:c r="L156" s="17" t="str">
        <x:v>http://arxiv.org/abs/2010.09494v1</x:v>
      </x:c>
      <x:c r="M156" s="23" t="n">
        <x:v>0.015625</x:v>
      </x:c>
      <x:c r="N156" s="17" t="str">
        <x:v>arxiv-paper-eval-20260726-140242-results.jsonl</x:v>
      </x:c>
      <x:c r="O156" s="24" t="str">
        <x:v>1</x:v>
      </x:c>
      <x:c r="P156" s="28" t="str">
        <x:v>提出用于校准的平稳激活函数，属于建模方法而非评测协议。</x:v>
      </x:c>
      <x:c r="Q156" s="25" t="str"/>
      <x:c r="R156" s="24" t="str">
        <x:f>IF(Q156&lt;&gt;"",Q156,O156)</x:f>
        <x:v>1</x:v>
      </x:c>
      <x:c r="S156" s="29" t="str"/>
    </x:row>
    <x:row r="157" ht="54" customHeight="1">
      <x:c r="A157" s="17" t="str">
        <x:v>csq008-r16</x:v>
      </x:c>
      <x:c r="B157" s="17" t="str">
        <x:v>csq008</x:v>
      </x:c>
      <x:c r="C157" s="17" t="str">
        <x:v>machine_learning</x:v>
      </x:c>
      <x:c r="D157" s="17" t="str">
        <x:v>uncertainty_calibration</x:v>
      </x:c>
      <x:c r="E157" s="27" t="str">
        <x:v>Which metrics and benchmark protocols are used to evaluate uncertainty calibration in deep neural networks, and what failure modes do these metrics miss?</x:v>
      </x:c>
      <x:c r="F157" s="22" t="n">
        <x:v>16</x:v>
      </x:c>
      <x:c r="G157" s="17" t="str">
        <x:v>arXiv:1912.10481</x:v>
      </x:c>
      <x:c r="H157" s="27" t="str">
        <x:v>A Systematic Comparison of Bayesian Deep Learning Robustness in Diabetic Retinopathy Tasks</x:v>
      </x:c>
      <x:c r="I157" s="17" t="str">
        <x:v>Angelos Filos; Sebastian Farquhar; Aidan N. Gomez; Tim G. J. Rudner; Zachary Kenton; Lewis Smith; Milad Alizadeh; Arnoud de Kroon; Yarin Gal</x:v>
      </x:c>
      <x:c r="J157" s="22" t="n">
        <x:v>2019</x:v>
      </x:c>
      <x:c r="K157" s="27" t="str">
        <x:v>Evaluation of Bayesian deep learning (BDL) methods is challenging. We often seek to evaluate the methods' robustness and scalability, assessing whether new tools give `better' uncertainty estimates than old ones. These evaluations are paramount for practitioners when choosing BDL tools on-top of which they build their applications. Current popular evaluations of BDL methods, such as the UCI experiments, are lacking: Methods that excel with these experiments often fail when used in application such as medical or automotive, suggesting a pertinent need for new benchmarks in the field. We propose a new BDL benchmark with a diverse set of tasks, inspired by a real-world medical imaging application on \emph{diabetic retinopathy diagnosis}. Visual inputs (512x512 RGB images of retinas) are considered, where model uncertainty is used for medical pre-screening---i.e. to refer patients to an expert when model diagnosis is uncertain. Methods are then ranked according to metrics derived from expert-domain to reflect real-world use of model uncertainty in automated diagnosis. We develop multiple tasks that fall under this application, including out-of-distribution detection and robustness to distribution shift. We then perform a systematic comparison of well-tuned BDL techniques on the various tasks. From our comparison we conclude that some current techniques which solve benchmarks such as UCI `overfit' their uncertainty to the dataset---when evaluated on our benchmark these underperform in comparison to simpler baselines. The code for the benchmark, its baselines, and a simple API for evaluating new BDL tools are made available at https://github.com/oatml/bdl-benchmarks.</x:v>
      </x:c>
      <x:c r="L157" s="17" t="str">
        <x:v>http://arxiv.org/abs/1912.10481v1</x:v>
      </x:c>
      <x:c r="M157" s="23" t="n">
        <x:v>0.015625</x:v>
      </x:c>
      <x:c r="N157" s="17" t="str">
        <x:v>arxiv-paper-eval-20260726-140242-results.jsonl</x:v>
      </x:c>
      <x:c r="O157" s="24" t="str">
        <x:v>2</x:v>
      </x:c>
      <x:c r="P157" s="28" t="str">
        <x:v>系统比较糖网病任务中的贝叶斯方法并批判常见评测设置不足。</x:v>
      </x:c>
      <x:c r="Q157" s="25" t="str"/>
      <x:c r="R157" s="24" t="str">
        <x:f>IF(Q157&lt;&gt;"",Q157,O157)</x:f>
        <x:v>2</x:v>
      </x:c>
      <x:c r="S157" s="29" t="str"/>
    </x:row>
    <x:row r="158" ht="54" customHeight="1">
      <x:c r="A158" s="17" t="str">
        <x:v>csq008-r17</x:v>
      </x:c>
      <x:c r="B158" s="17" t="str">
        <x:v>csq008</x:v>
      </x:c>
      <x:c r="C158" s="17" t="str">
        <x:v>machine_learning</x:v>
      </x:c>
      <x:c r="D158" s="17" t="str">
        <x:v>uncertainty_calibration</x:v>
      </x:c>
      <x:c r="E158" s="27" t="str">
        <x:v>Which metrics and benchmark protocols are used to evaluate uncertainty calibration in deep neural networks, and what failure modes do these metrics miss?</x:v>
      </x:c>
      <x:c r="F158" s="22" t="n">
        <x:v>17</x:v>
      </x:c>
      <x:c r="G158" s="17" t="str">
        <x:v>arXiv:2309.00464</x:v>
      </x:c>
      <x:c r="H158" s="27" t="str">
        <x:v>A Theoretical and Practical Framework for Evaluating Uncertainty Calibration in Object Detection</x:v>
      </x:c>
      <x:c r="I158" s="17" t="str">
        <x:v>Pedro Conde; Rui L. Lopes; Cristiano Premebida</x:v>
      </x:c>
      <x:c r="J158" s="22" t="n">
        <x:v>2023</x:v>
      </x:c>
      <x:c r="K158" s="27" t="str">
        <x:v>The proliferation of Deep Neural Networks has resulted in machine learning systems becoming increasingly more present in various real-world applications. Consequently, there is a growing demand for highly reliable models in many domains, making the problem of uncertainty calibration pivotal when considering the future of deep learning. This is especially true when considering object detection systems, that are commonly present in safety-critical applications such as autonomous driving, robotics and medical diagnosis. For this reason, this work presents a novel theoretical and practical framework to evaluate object detection systems in the context of uncertainty calibration. This encompasses a new comprehensive formulation of this concept through distinct formal definitions, and also three novel evaluation metrics derived from such theoretical foundation. The robustness of the proposed uncertainty calibration metrics is shown through a series of representative experiments.</x:v>
      </x:c>
      <x:c r="L158" s="17" t="str">
        <x:v>http://arxiv.org/abs/2309.00464v2</x:v>
      </x:c>
      <x:c r="M158" s="23" t="n">
        <x:v>0.015384615384615385</x:v>
      </x:c>
      <x:c r="N158" s="17" t="str">
        <x:v>arxiv-paper-eval-20260726-140242-results.jsonl</x:v>
      </x:c>
      <x:c r="O158" s="24" t="str">
        <x:v>2</x:v>
      </x:c>
      <x:c r="P158" s="28" t="str">
        <x:v>从理论和实践建立目标检测不确定性校准评价框架，直接命中题目。</x:v>
      </x:c>
      <x:c r="Q158" s="25" t="str"/>
      <x:c r="R158" s="24" t="str">
        <x:f>IF(Q158&lt;&gt;"",Q158,O158)</x:f>
        <x:v>2</x:v>
      </x:c>
      <x:c r="S158" s="29" t="str"/>
    </x:row>
    <x:row r="159" ht="54" customHeight="1">
      <x:c r="A159" s="17" t="str">
        <x:v>csq008-r18</x:v>
      </x:c>
      <x:c r="B159" s="17" t="str">
        <x:v>csq008</x:v>
      </x:c>
      <x:c r="C159" s="17" t="str">
        <x:v>machine_learning</x:v>
      </x:c>
      <x:c r="D159" s="17" t="str">
        <x:v>uncertainty_calibration</x:v>
      </x:c>
      <x:c r="E159" s="27" t="str">
        <x:v>Which metrics and benchmark protocols are used to evaluate uncertainty calibration in deep neural networks, and what failure modes do these metrics miss?</x:v>
      </x:c>
      <x:c r="F159" s="22" t="n">
        <x:v>18</x:v>
      </x:c>
      <x:c r="G159" s="17" t="str">
        <x:v>arXiv:2011.08381</x:v>
      </x:c>
      <x:c r="H159" s="27" t="str">
        <x:v>Optimal Accuracy-Time Trade-off for Deep Learning Services in Edge Computing Systems</x:v>
      </x:c>
      <x:c r="I159" s="17" t="str">
        <x:v>Minoo Hosseinzadeh; Andrew Wachal; Hana Khamfroush; Daniel E. Lucani</x:v>
      </x:c>
      <x:c r="J159" s="22" t="n">
        <x:v>2020</x:v>
      </x:c>
      <x:c r="K159" s="27" t="str">
        <x:v>With the increasing demand for computationally intensive services like deep learning tasks, emerging distributed computing platforms such as edge computing (EC) systems are becoming more popular. Edge computing systems have shown promising results in terms of latency reduction compared to the traditional cloud systems. However, their limited processing capacity imposes a trade-off between the potential latency reduction and the achieved accuracy in computationally-intensive services such as deep learning-based services. In this paper, we focus on finding the optimal accuracy-time trade-off for running deep learning services in a three-tier EC platform where several deep learning models with different accuracy levels are available. Specifically, we cast the problem as an Integer Linear Program, where optimal task scheduling decisions are made to maximize overall user satisfaction in terms of accuracy-time trade-off. We prove that our problem is NP-hard and then provide a polynomial constant-time greedy algorithm, called GUS, that is shown to attain near-optimal results. Finally, upon vetting our algorithmic solution through numerical experiments and comparison with a set of heuristics, we deploy it on a test-bed implemented to measure for real-world results. The results of both numerical analysis and real-world implementation show that GUS can outperform the baseline heuristics in terms of the average percentage of satisfied users by a factor of at least 50%.</x:v>
      </x:c>
      <x:c r="L159" s="17" t="str">
        <x:v>http://arxiv.org/abs/2011.08381v1</x:v>
      </x:c>
      <x:c r="M159" s="23" t="n">
        <x:v>0.015384615384615385</x:v>
      </x:c>
      <x:c r="N159" s="17" t="str">
        <x:v>arxiv-paper-eval-20260726-140242-results.jsonl</x:v>
      </x:c>
      <x:c r="O159" s="24" t="str">
        <x:v>0</x:v>
      </x:c>
      <x:c r="P159" s="28" t="str">
        <x:v>研究边缘计算服务的准确率与延迟权衡，不涉及预测不确定性校准。</x:v>
      </x:c>
      <x:c r="Q159" s="25" t="str"/>
      <x:c r="R159" s="24" t="str">
        <x:f>IF(Q159&lt;&gt;"",Q159,O159)</x:f>
        <x:v>0</x:v>
      </x:c>
      <x:c r="S159" s="29" t="str"/>
    </x:row>
    <x:row r="160" ht="54" customHeight="1">
      <x:c r="A160" s="17" t="str">
        <x:v>csq008-r19</x:v>
      </x:c>
      <x:c r="B160" s="17" t="str">
        <x:v>csq008</x:v>
      </x:c>
      <x:c r="C160" s="17" t="str">
        <x:v>machine_learning</x:v>
      </x:c>
      <x:c r="D160" s="17" t="str">
        <x:v>uncertainty_calibration</x:v>
      </x:c>
      <x:c r="E160" s="27" t="str">
        <x:v>Which metrics and benchmark protocols are used to evaluate uncertainty calibration in deep neural networks, and what failure modes do these metrics miss?</x:v>
      </x:c>
      <x:c r="F160" s="22" t="n">
        <x:v>19</x:v>
      </x:c>
      <x:c r="G160" s="17" t="str">
        <x:v>arXiv:1910.08650</x:v>
      </x:c>
      <x:c r="H160" s="27" t="str">
        <x:v>Toward Metrics for Differentiating Out-of-Distribution Sets</x:v>
      </x:c>
      <x:c r="I160" s="17" t="str">
        <x:v>Mahdieh Abbasi; Changjian Shui; Arezoo Rajabi; Christian Gagne; Rakesh Bobba</x:v>
      </x:c>
      <x:c r="J160" s="22" t="n">
        <x:v>2019</x:v>
      </x:c>
      <x:c r="K160" s="27" t="str">
        <x:v>Vanilla CNNs, as uncalibrated classifiers, suffer from classifying out-of-distribution (OOD) samples nearly as confidently as in-distribution samples. To tackle this challenge, some recent works have demonstrated the gains of leveraging available OOD sets for training end-to-end calibrated CNNs. However, a critical question remains unanswered in these works: how to differentiate OOD sets for selecting the most effective one(s) that induce training such CNNs with high detection rates on unseen OOD sets? To address this pivotal question, we provide a criterion based on generalization errors of Augmented-CNN, a vanilla CNN with an added extra class employed for rejection, on in-distribution and unseen OOD sets. However, selecting the most effective OOD set by directly optimizing this criterion incurs a huge computational cost. Instead, we propose three novel computationally-efficient metrics for differentiating between OOD sets according to their "protection" level of in-distribution sub-manifolds. We empirically verify that the most protective OOD sets -- selected according to our metrics -- lead to A-CNNs with significantly lower generalization errors than the A-CNNs trained on the least protective ones. We also empirically show the effectiveness of a protective OOD set for training well-generalized confidence-calibrated vanilla CNNs. These results confirm that 1) all OOD sets are not equally effective for training well-performing end-to-end models (i.e., A-CNNs and calibrated CNNs) for OOD detection tasks and 2) the protection level of OOD sets is a viable factor for recognizing the most effective one. Finally, across the image classification tasks, we exhibit A-CNN trained on the most protective OOD set can also detect black-box FGS adversarial examples as their distance (measured by our metrics) is becoming larger from the protected sub-manifolds.</x:v>
      </x:c>
      <x:c r="L160" s="17" t="str">
        <x:v>http://arxiv.org/abs/1910.08650v3</x:v>
      </x:c>
      <x:c r="M160" s="23" t="n">
        <x:v>0.015384615384615385</x:v>
      </x:c>
      <x:c r="N160" s="17" t="str">
        <x:v>arxiv-paper-eval-20260726-140242-results.jsonl</x:v>
      </x:c>
      <x:c r="O160" s="24" t="str">
        <x:v>1</x:v>
      </x:c>
      <x:c r="P160" s="28" t="str">
        <x:v>提出区分OOD集合的指标，对校准失效分析有辅助作用但焦点是OOD选择。</x:v>
      </x:c>
      <x:c r="Q160" s="25" t="str"/>
      <x:c r="R160" s="24" t="str">
        <x:f>IF(Q160&lt;&gt;"",Q160,O160)</x:f>
        <x:v>1</x:v>
      </x:c>
      <x:c r="S160" s="29" t="str"/>
    </x:row>
    <x:row r="161" ht="54" customHeight="1">
      <x:c r="A161" s="17" t="str">
        <x:v>csq008-r20</x:v>
      </x:c>
      <x:c r="B161" s="17" t="str">
        <x:v>csq008</x:v>
      </x:c>
      <x:c r="C161" s="17" t="str">
        <x:v>machine_learning</x:v>
      </x:c>
      <x:c r="D161" s="17" t="str">
        <x:v>uncertainty_calibration</x:v>
      </x:c>
      <x:c r="E161" s="27" t="str">
        <x:v>Which metrics and benchmark protocols are used to evaluate uncertainty calibration in deep neural networks, and what failure modes do these metrics miss?</x:v>
      </x:c>
      <x:c r="F161" s="22" t="n">
        <x:v>20</x:v>
      </x:c>
      <x:c r="G161" s="17" t="str">
        <x:v>arXiv:1908.07086</x:v>
      </x:c>
      <x:c r="H161" s="27" t="str">
        <x:v>Human uncertainty makes classification more robust</x:v>
      </x:c>
      <x:c r="I161" s="17" t="str">
        <x:v>Joshua C. Peterson; Ruairidh M. Battleday; Thomas L. Griffiths; Olga Russakovsky</x:v>
      </x:c>
      <x:c r="J161" s="22" t="n">
        <x:v>2019</x:v>
      </x:c>
      <x:c r="K161" s="27" t="str">
        <x:v>The classification performance of deep neural networks has begun to asymptote at near-perfect levels. However, their ability to generalize outside the training set and their robustness to adversarial attacks have not. In this paper, we make progress on this problem by training with full label distributions that reflect human perceptual uncertainty. We first present a new benchmark dataset which we call CIFAR10H, containing a full distribution of human labels for each image of the CIFAR10 test set. We then show that, while contemporary classifiers fail to exhibit human-like uncertainty on their own, explicit training on our dataset closes this gap, supports improved generalization to increasingly out-of-training-distribution test datasets, and confers robustness to adversarial attacks.</x:v>
      </x:c>
      <x:c r="L161" s="17" t="str">
        <x:v>http://arxiv.org/abs/1908.07086v1</x:v>
      </x:c>
      <x:c r="M161" s="23" t="n">
        <x:v>0.015384615384615385</x:v>
      </x:c>
      <x:c r="N161" s="17" t="str">
        <x:v>arxiv-paper-eval-20260726-140242-results.jsonl</x:v>
      </x:c>
      <x:c r="O161" s="24" t="str">
        <x:v>1</x:v>
      </x:c>
      <x:c r="P161" s="28" t="str">
        <x:v>以人类标签分布增强鲁棒性并构建数据集，相关于不确定性但非校准评测。</x:v>
      </x:c>
      <x:c r="Q161" s="25" t="str"/>
      <x:c r="R161" s="24" t="str">
        <x:f>IF(Q161&lt;&gt;"",Q161,O161)</x:f>
        <x:v>1</x:v>
      </x:c>
      <x:c r="S161" s="29" t="str"/>
    </x:row>
    <x:row r="162" ht="54" customHeight="1">
      <x:c r="A162" s="17" t="str">
        <x:v>csq009-r01</x:v>
      </x:c>
      <x:c r="B162" s="17" t="str">
        <x:v>csq009</x:v>
      </x:c>
      <x:c r="C162" s="17" t="str">
        <x:v>machine_learning</x:v>
      </x:c>
      <x:c r="D162" s="17" t="str">
        <x:v>graph_neural_networks</x:v>
      </x:c>
      <x:c r="E162" s="27" t="str">
        <x:v>What causes over-smoothing and over-squashing in graph neural networks, and which mitigation methods are supported by empirical and theoretical research?</x:v>
      </x:c>
      <x:c r="F162" s="22" t="n">
        <x:v>1</x:v>
      </x:c>
      <x:c r="G162" s="17" t="str">
        <x:v>arXiv:2502.10818</x:v>
      </x:c>
      <x:c r="H162" s="27" t="str">
        <x:v>On Vanishing Gradients, Over-Smoothing, and Over-Squashing in GNNs: Bridging Recurrent and Graph Learning</x:v>
      </x:c>
      <x:c r="I162" s="17" t="str">
        <x:v>Álvaro Arroyo; Alessio Gravina; Benjamin Gutteridge; Federico Barbero; Claudio Gallicchio; Xiaowen Dong; Michael Bronstein; Pierre Vandergheynst</x:v>
      </x:c>
      <x:c r="J162" s="22" t="n">
        <x:v>2025</x:v>
      </x:c>
      <x:c r="K162" s="27" t="str">
        <x:v>Graph Neural Networks (GNNs) are models that leverage the graph structure to transmit information between nodes, typically through the message-passing operation. While widely successful, this approach is well known to suffer from the over-smoothing and over-squashing phenomena, which result in representational collapse as the number of layers increases and insensitivity to the information contained at distant and poorly connected nodes, respectively. In this paper, we present a unified view of these problems through the lens of vanishing gradients, using ideas from linear control theory for our analysis. We propose an interpretation of GNNs as recurrent models and empirically demonstrate that a simple state-space formulation of a GNN effectively alleviates over-smoothing and over-squashing at no extra trainable parameter cost. Further, we show theoretically and empirically that (i) GNNs are by design prone to extreme gradient vanishing even after a few layers; (ii) Over-smoothing is directly related to the mechanism causing vanishing gradients; (iii) Over-squashing is most easily alleviated by a combination of graph rewiring and vanishing gradient mitigation. We believe our work will help bridge the gap between the recurrent and graph neural network literature and will unlock the design of new deep and performant GNNs.</x:v>
      </x:c>
      <x:c r="L162" s="17" t="str">
        <x:v>http://arxiv.org/abs/2502.10818v2</x:v>
      </x:c>
      <x:c r="M162" s="23" t="n">
        <x:v>0.05763517528223411</x:v>
      </x:c>
      <x:c r="N162" s="17" t="str">
        <x:v>arxiv-paper-eval-20260726-140242-results.jsonl</x:v>
      </x:c>
      <x:c r="O162" s="24" t="str">
        <x:v>2</x:v>
      </x:c>
      <x:c r="P162" s="28" t="str">
        <x:v>统一分析梯度消失、过平滑与过压缩，并连接循环和图学习理论。</x:v>
      </x:c>
      <x:c r="Q162" s="25" t="str"/>
      <x:c r="R162" s="24" t="str">
        <x:f>IF(Q162&lt;&gt;"",Q162,O162)</x:f>
        <x:v>2</x:v>
      </x:c>
      <x:c r="S162" s="29" t="str"/>
    </x:row>
    <x:row r="163" ht="54" customHeight="1">
      <x:c r="A163" s="17" t="str">
        <x:v>csq009-r02</x:v>
      </x:c>
      <x:c r="B163" s="17" t="str">
        <x:v>csq009</x:v>
      </x:c>
      <x:c r="C163" s="17" t="str">
        <x:v>machine_learning</x:v>
      </x:c>
      <x:c r="D163" s="17" t="str">
        <x:v>graph_neural_networks</x:v>
      </x:c>
      <x:c r="E163" s="27" t="str">
        <x:v>What causes over-smoothing and over-squashing in graph neural networks, and which mitigation methods are supported by empirical and theoretical research?</x:v>
      </x:c>
      <x:c r="F163" s="22" t="n">
        <x:v>2</x:v>
      </x:c>
      <x:c r="G163" s="17" t="str">
        <x:v>arXiv:2510.08450</x:v>
      </x:c>
      <x:c r="H163" s="27" t="str">
        <x:v>gLSTM: Mitigating Over-Squashing by Increasing Storage Capacity</x:v>
      </x:c>
      <x:c r="I163" s="17" t="str">
        <x:v>Hugh Blayney; Álvaro Arroyo; Xiaowen Dong; Michael M. Bronstein</x:v>
      </x:c>
      <x:c r="J163" s="22" t="n">
        <x:v>2025</x:v>
      </x:c>
      <x:c r="K163" s="27" t="str">
        <x:v>Graph Neural Networks (GNNs) leverage the graph structure to transmit information between nodes, typically through the message-passing mechanism. While these models have found a wide variety of applications, they are known to suffer from over-squashing, where information from a large receptive field of node representations is collapsed into a single fixed sized vector, resulting in an information bottleneck. In this paper, we re-examine the over-squashing phenomenon through the lens of model storage and retrieval capacity, which we define as the amount of information that can be stored in a node's representation for later use. We study some of the limitations of existing tasks used to measure over-squashing and introduce a new synthetic task to demonstrate that an information bottleneck can saturate this capacity. Furthermore, we adapt ideas from the sequence modeling literature on associative memories, fast weight programmers, and the xLSTM model to develop a novel GNN architecture with improved capacity. We demonstrate strong performance of this architecture both on our capacity synthetic task, as well as a range of real-world graph benchmarks.</x:v>
      </x:c>
      <x:c r="L163" s="17" t="str">
        <x:v>http://arxiv.org/abs/2510.08450v2</x:v>
      </x:c>
      <x:c r="M163" s="23" t="n">
        <x:v>0.03278688524590164</x:v>
      </x:c>
      <x:c r="N163" s="17" t="str">
        <x:v>arxiv-paper-eval-20260726-140242-results.jsonl</x:v>
      </x:c>
      <x:c r="O163" s="24" t="str">
        <x:v>2</x:v>
      </x:c>
      <x:c r="P163" s="28" t="str">
        <x:v>将过压缩归因于固定容量信息瓶颈，并以图LSTM增加存储容量缓解。</x:v>
      </x:c>
      <x:c r="Q163" s="25" t="str"/>
      <x:c r="R163" s="24" t="str">
        <x:f>IF(Q163&lt;&gt;"",Q163,O163)</x:f>
        <x:v>2</x:v>
      </x:c>
      <x:c r="S163" s="29" t="str"/>
    </x:row>
    <x:row r="164" ht="54" customHeight="1">
      <x:c r="A164" s="17" t="str">
        <x:v>csq009-r03</x:v>
      </x:c>
      <x:c r="B164" s="17" t="str">
        <x:v>csq009</x:v>
      </x:c>
      <x:c r="C164" s="17" t="str">
        <x:v>machine_learning</x:v>
      </x:c>
      <x:c r="D164" s="17" t="str">
        <x:v>graph_neural_networks</x:v>
      </x:c>
      <x:c r="E164" s="27" t="str">
        <x:v>What causes over-smoothing and over-squashing in graph neural networks, and which mitigation methods are supported by empirical and theoretical research?</x:v>
      </x:c>
      <x:c r="F164" s="22" t="n">
        <x:v>3</x:v>
      </x:c>
      <x:c r="G164" s="17" t="str">
        <x:v>arXiv:2407.06988</x:v>
      </x:c>
      <x:c r="H164" s="27" t="str">
        <x:v>Limiting Over-Smoothing and Over-Squashing of Graph Message Passing by Deep Scattering Transforms</x:v>
      </x:c>
      <x:c r="I164" s="17" t="str">
        <x:v>Yuanhong Jiang; Dongmian Zou; Xiaoqun Zhang; Yu Guang Wang</x:v>
      </x:c>
      <x:c r="J164" s="22" t="n">
        <x:v>2024</x:v>
      </x:c>
      <x:c r="K164" s="27" t="str">
        <x:v>Graph neural networks (GNNs) have become pivotal tools for processing graph-structured data, leveraging the message passing scheme as their core mechanism. However, traditional GNNs often grapple with issues such as instability, over-smoothing, and over-squashing, which can degrade performance and create a trade-off dilemma. In this paper, we introduce a discriminatively trained, multi-layer Deep Scattering Message Passing (DSMP) neural network designed to overcome these challenges. By harnessing spectral transformation, the DSMP model aggregates neighboring nodes with global information, thereby enhancing the precision and accuracy of graph signal processing. We provide theoretical proofs demonstrating the DSMP's effectiveness in mitigating these issues under specific conditions. Additionally, we support our claims with empirical evidence and thorough frequency analysis, showcasing the DSMP's superior ability to address instability, over-smoothing, and over-squashing.</x:v>
      </x:c>
      <x:c r="L164" s="17" t="str">
        <x:v>http://arxiv.org/abs/2407.06988v2</x:v>
      </x:c>
      <x:c r="M164" s="23" t="n">
        <x:v>0.03200204813108039</x:v>
      </x:c>
      <x:c r="N164" s="17" t="str">
        <x:v>arxiv-paper-eval-20260726-140242-results.jsonl</x:v>
      </x:c>
      <x:c r="O164" s="24" t="str">
        <x:v>2</x:v>
      </x:c>
      <x:c r="P164" s="28" t="str">
        <x:v>以深度散射变换同时限制过平滑和过压缩并进行实证验证。</x:v>
      </x:c>
      <x:c r="Q164" s="25" t="str"/>
      <x:c r="R164" s="24" t="str">
        <x:f>IF(Q164&lt;&gt;"",Q164,O164)</x:f>
        <x:v>2</x:v>
      </x:c>
      <x:c r="S164" s="29" t="str"/>
    </x:row>
    <x:row r="165" ht="54" customHeight="1">
      <x:c r="A165" s="17" t="str">
        <x:v>csq009-r04</x:v>
      </x:c>
      <x:c r="B165" s="17" t="str">
        <x:v>csq009</x:v>
      </x:c>
      <x:c r="C165" s="17" t="str">
        <x:v>machine_learning</x:v>
      </x:c>
      <x:c r="D165" s="17" t="str">
        <x:v>graph_neural_networks</x:v>
      </x:c>
      <x:c r="E165" s="27" t="str">
        <x:v>What causes over-smoothing and over-squashing in graph neural networks, and which mitigation methods are supported by empirical and theoretical research?</x:v>
      </x:c>
      <x:c r="F165" s="22" t="n">
        <x:v>4</x:v>
      </x:c>
      <x:c r="G165" s="17" t="str">
        <x:v>arXiv:2308.15568</x:v>
      </x:c>
      <x:c r="H165" s="27" t="str">
        <x:v>Over-Squashing in Graph Neural Networks: A Comprehensive survey</x:v>
      </x:c>
      <x:c r="I165" s="17" t="str">
        <x:v>Singh Akansha</x:v>
      </x:c>
      <x:c r="J165" s="22" t="n">
        <x:v>2023</x:v>
      </x:c>
      <x:c r="K165" s="27" t="str">
        <x:v>Graph Neural Networks (GNNs) revolutionize machine learning for graph-structured data, effectively capturing complex relationships. They disseminate information through interconnected nodes, but long-range interactions face challenges known as "over-squashing". This survey delves into the challenge of over-squashing in Graph Neural Networks (GNNs), where long-range information dissemination is hindered, impacting tasks reliant on intricate long-distance interactions. It comprehensively explores the causes, consequences, and mitigation strategies for over-squashing. Various methodologies are reviewed, including graph rewiring, novel normalization, spectral analysis, and curvature-based strategies, with a focus on their trade-offs and effectiveness. The survey also discusses the interplay between over-squashing and other GNN limitations, such as over-smoothing, and provides a taxonomy of models designed to address these issues in node and graph-level tasks. Benchmark datasets for performance evaluation are also detailed, making this survey a valuable resource for researchers and practitioners in the GNN field.</x:v>
      </x:c>
      <x:c r="L165" s="17" t="str">
        <x:v>http://arxiv.org/abs/2308.15568v7</x:v>
      </x:c>
      <x:c r="M165" s="23" t="n">
        <x:v>0.0315136476426799</x:v>
      </x:c>
      <x:c r="N165" s="17" t="str">
        <x:v>arxiv-paper-eval-20260726-140242-results.jsonl</x:v>
      </x:c>
      <x:c r="O165" s="24" t="str">
        <x:v>2</x:v>
      </x:c>
      <x:c r="P165" s="28" t="str">
        <x:v>全面综述过压缩的成因、影响及缓解方法。</x:v>
      </x:c>
      <x:c r="Q165" s="25" t="str"/>
      <x:c r="R165" s="24" t="str">
        <x:f>IF(Q165&lt;&gt;"",Q165,O165)</x:f>
        <x:v>2</x:v>
      </x:c>
      <x:c r="S165" s="29" t="str"/>
    </x:row>
    <x:row r="166" ht="54" customHeight="1">
      <x:c r="A166" s="17" t="str">
        <x:v>csq009-r05</x:v>
      </x:c>
      <x:c r="B166" s="17" t="str">
        <x:v>csq009</x:v>
      </x:c>
      <x:c r="C166" s="17" t="str">
        <x:v>machine_learning</x:v>
      </x:c>
      <x:c r="D166" s="17" t="str">
        <x:v>graph_neural_networks</x:v>
      </x:c>
      <x:c r="E166" s="27" t="str">
        <x:v>What causes over-smoothing and over-squashing in graph neural networks, and which mitigation methods are supported by empirical and theoretical research?</x:v>
      </x:c>
      <x:c r="F166" s="22" t="n">
        <x:v>5</x:v>
      </x:c>
      <x:c r="G166" s="17" t="str">
        <x:v>arXiv:2302.06835</x:v>
      </x:c>
      <x:c r="H166" s="27" t="str">
        <x:v>Understanding Oversquashing in GNNs through the Lens of Effective Resistance</x:v>
      </x:c>
      <x:c r="I166" s="17" t="str">
        <x:v>Mitchell Black; Zhengchao Wan; Amir Nayyeri; Yusu Wang</x:v>
      </x:c>
      <x:c r="J166" s="22" t="n">
        <x:v>2023</x:v>
      </x:c>
      <x:c r="K166" s="27" t="str">
        <x:v>Message passing graph neural networks (GNNs) are a popular learning architectures for graph-structured data. However, one problem GNNs experience is oversquashing, where a GNN has difficulty sending information between distant nodes. Understanding and mitigating oversquashing has recently received significant attention from the research community. In this paper, we continue this line of work by analyzing oversquashing through the lens of the effective resistance between nodes in the input graph. Effective resistance intuitively captures the ``strength'' of connection between two nodes by paths in the graph, and has a rich literature spanning many areas of graph theory. We propose to use total effective resistance as a bound of the total amount of oversquashing in a graph and provide theoretical justification for its use. We further develop an algorithm to identify edges to be added to an input graph to minimize the total effective resistance, thereby alleviating oversquashing. We provide empirical evidence of the effectiveness of our total effective resistance based rewiring strategies for improving the performance of GNNs.</x:v>
      </x:c>
      <x:c r="L166" s="17" t="str">
        <x:v>http://arxiv.org/abs/2302.06835v2</x:v>
      </x:c>
      <x:c r="M166" s="23" t="n">
        <x:v>0.030536130536130537</x:v>
      </x:c>
      <x:c r="N166" s="17" t="str">
        <x:v>arxiv-paper-eval-20260726-140242-results.jsonl</x:v>
      </x:c>
      <x:c r="O166" s="24" t="str">
        <x:v>2</x:v>
      </x:c>
      <x:c r="P166" s="28" t="str">
        <x:v>用有效电阻理论解释过压缩并分析缓解方向，直接相关。</x:v>
      </x:c>
      <x:c r="Q166" s="25" t="str"/>
      <x:c r="R166" s="24" t="str">
        <x:f>IF(Q166&lt;&gt;"",Q166,O166)</x:f>
        <x:v>2</x:v>
      </x:c>
      <x:c r="S166" s="29" t="str"/>
    </x:row>
    <x:row r="167" ht="54" customHeight="1">
      <x:c r="A167" s="17" t="str">
        <x:v>csq009-r06</x:v>
      </x:c>
      <x:c r="B167" s="17" t="str">
        <x:v>csq009</x:v>
      </x:c>
      <x:c r="C167" s="17" t="str">
        <x:v>machine_learning</x:v>
      </x:c>
      <x:c r="D167" s="17" t="str">
        <x:v>graph_neural_networks</x:v>
      </x:c>
      <x:c r="E167" s="27" t="str">
        <x:v>What causes over-smoothing and over-squashing in graph neural networks, and which mitigation methods are supported by empirical and theoretical research?</x:v>
      </x:c>
      <x:c r="F167" s="22" t="n">
        <x:v>6</x:v>
      </x:c>
      <x:c r="G167" s="17" t="str">
        <x:v>arXiv:2211.06605</x:v>
      </x:c>
      <x:c r="H167" s="27" t="str">
        <x:v>Comprehensive Analysis of Over-smoothing in Graph Neural Networks from Markov Chains Perspective</x:v>
      </x:c>
      <x:c r="I167" s="17" t="str">
        <x:v>Weichen Zhao; Chenguang Wang; Congying Han; Tiande Guo</x:v>
      </x:c>
      <x:c r="J167" s="22" t="n">
        <x:v>2022</x:v>
      </x:c>
      <x:c r="K167" s="27" t="str">
        <x:v>The over-smoothing problem is an obstacle of developing deep graph neural network (GNN). Although many approaches to improve the over-smoothing problem have been proposed, there is still a lack of comprehensive understanding and conclusion of this problem. In this work, we analyze the over-smoothing problem from the Markov chain perspective. We focus on message passing of GNN and first establish a connection between GNNs and Markov chains on the graph. GNNs are divided into two classes of operator-consistent and operator-inconsistent based on whether the corresponding Markov chains are time-homogeneous. Next we attribute the over-smoothing problem to the convergence of an arbitrary initial distribution to a stationary distribution. Based on this, we prove that although the previously proposed methods can alleviate over-smoothing, but these methods cannot avoid the over-smoothing problem. In addition, we give the conclusion of the over-smoothing problem in two types of GNNs in the Markovian sense. On the one hand, operator-consistent GNN cannot avoid over-smoothing at an exponential rate. On the other hand, operator-inconsistent GNN is not always over-smoothing. Further, we investigate the existence of the limiting distribution of the time-inhomogeneous Markov chain, from which we derive a sufficient condition for operator-inconsistent GNN to avoid over-smoothing. Finally, we design experiments to verify our findings. Results show that our proposed sufficient condition can effectively improve over-smoothing problem in operator-inconsistent GNN and enhance the performance of the model.</x:v>
      </x:c>
      <x:c r="L167" s="17" t="str">
        <x:v>http://arxiv.org/abs/2211.06605v2</x:v>
      </x:c>
      <x:c r="M167" s="23" t="n">
        <x:v>0.030536130536130537</x:v>
      </x:c>
      <x:c r="N167" s="17" t="str">
        <x:v>arxiv-paper-eval-20260726-140242-results.jsonl</x:v>
      </x:c>
      <x:c r="O167" s="24" t="str">
        <x:v>2</x:v>
      </x:c>
      <x:c r="P167" s="28" t="str">
        <x:v>从马尔可夫链系统分析过平滑机制并总结改进方法。</x:v>
      </x:c>
      <x:c r="Q167" s="25" t="str"/>
      <x:c r="R167" s="24" t="str">
        <x:f>IF(Q167&lt;&gt;"",Q167,O167)</x:f>
        <x:v>2</x:v>
      </x:c>
      <x:c r="S167" s="29" t="str"/>
    </x:row>
    <x:row r="168" ht="54" customHeight="1">
      <x:c r="A168" s="17" t="str">
        <x:v>csq009-r07</x:v>
      </x:c>
      <x:c r="B168" s="17" t="str">
        <x:v>csq009</x:v>
      </x:c>
      <x:c r="C168" s="17" t="str">
        <x:v>machine_learning</x:v>
      </x:c>
      <x:c r="D168" s="17" t="str">
        <x:v>graph_neural_networks</x:v>
      </x:c>
      <x:c r="E168" s="27" t="str">
        <x:v>What causes over-smoothing and over-squashing in graph neural networks, and which mitigation methods are supported by empirical and theoretical research?</x:v>
      </x:c>
      <x:c r="F168" s="22" t="n">
        <x:v>7</x:v>
      </x:c>
      <x:c r="G168" s="17" t="str">
        <x:v>arXiv:2507.05263</x:v>
      </x:c>
      <x:c r="H168" s="27" t="str">
        <x:v>Rethinking Over-Smoothing in Graph Neural Networks: A Perspective from Anderson Localization</x:v>
      </x:c>
      <x:c r="I168" s="17" t="str">
        <x:v>Kaichen Ouyang</x:v>
      </x:c>
      <x:c r="J168" s="22" t="n">
        <x:v>2025</x:v>
      </x:c>
      <x:c r="K168" s="27" t="str">
        <x:v>Graph Neural Networks (GNNs) have shown great potential in graph data analysis due to their powerful representation capabilities. However, as the network depth increases, the issue of over-smoothing becomes more severe, causing node representations to lose their distinctiveness. This paper analyzes the mechanism of over-smoothing through the analogy to Anderson localization and introduces participation degree as a metric to quantify this phenomenon. Specifically, as the depth of the GNN increases, node features homogenize after multiple layers of message passing, leading to a loss of distinctiveness, similar to the behavior of vibration modes in disordered systems. In this context, over-smoothing in GNNs can be understood as the expansion of low-frequency modes (increased participation degree) and the localization of high-frequency modes (decreased participation degree). Based on this, we systematically reviewed the potential connection between the Anderson localization behavior in disordered systems and the over-smoothing behavior in Graph Neural Networks. A theoretical analysis was conducted, and we proposed the potential of alleviating over-smoothing by reducing the disorder in information propagation.</x:v>
      </x:c>
      <x:c r="L168" s="17" t="str">
        <x:v>http://arxiv.org/abs/2507.05263v1</x:v>
      </x:c>
      <x:c r="M168" s="23" t="n">
        <x:v>0.029138513513513514</x:v>
      </x:c>
      <x:c r="N168" s="17" t="str">
        <x:v>arxiv-paper-eval-20260726-140242-results.jsonl</x:v>
      </x:c>
      <x:c r="O168" s="24" t="str">
        <x:v>2</x:v>
      </x:c>
      <x:c r="P168" s="28" t="str">
        <x:v>以Anderson局域化视角解释过平滑并提出度量与缓解思路。</x:v>
      </x:c>
      <x:c r="Q168" s="25" t="str"/>
      <x:c r="R168" s="24" t="str">
        <x:f>IF(Q168&lt;&gt;"",Q168,O168)</x:f>
        <x:v>2</x:v>
      </x:c>
      <x:c r="S168" s="29" t="str"/>
    </x:row>
    <x:row r="169" ht="54" customHeight="1">
      <x:c r="A169" s="17" t="str">
        <x:v>csq009-r08</x:v>
      </x:c>
      <x:c r="B169" s="17" t="str">
        <x:v>csq009</x:v>
      </x:c>
      <x:c r="C169" s="17" t="str">
        <x:v>machine_learning</x:v>
      </x:c>
      <x:c r="D169" s="17" t="str">
        <x:v>graph_neural_networks</x:v>
      </x:c>
      <x:c r="E169" s="27" t="str">
        <x:v>What causes over-smoothing and over-squashing in graph neural networks, and which mitigation methods are supported by empirical and theoretical research?</x:v>
      </x:c>
      <x:c r="F169" s="22" t="n">
        <x:v>8</x:v>
      </x:c>
      <x:c r="G169" s="17" t="str">
        <x:v>arXiv:2410.04824</x:v>
      </x:c>
      <x:c r="H169" s="27" t="str">
        <x:v>Taming Gradient Oversmoothing and Expansion in Graph Neural Networks</x:v>
      </x:c>
      <x:c r="I169" s="17" t="str">
        <x:v>MoonJeong Park; Dongwoo Kim</x:v>
      </x:c>
      <x:c r="J169" s="22" t="n">
        <x:v>2024</x:v>
      </x:c>
      <x:c r="K169" s="27" t="str">
        <x:v>Oversmoothing has been claimed as a primary bottleneck for multi-layered graph neural networks (GNNs). Multiple analyses have examined how and why oversmoothing occurs. However, none of the prior work addressed how optimization is performed under the oversmoothing regime. In this work, we show the presence of $\textit{gradient oversmoothing}$ preventing optimization during training. We further analyze that GNNs with residual connections, a well-known solution to help gradient flow in deep architecture, introduce $\textit{gradient expansion}$, a phenomenon of the gradient explosion in diverse directions. Therefore, adding residual connections cannot be a solution for making a GNN deep. Our analysis reveals that constraining the Lipschitz bound of each layer can neutralize the gradient expansion. To this end, we provide a simple yet effective normalization method to prevent the gradient expansion. An empirical study shows that the residual GNNs with hundreds of layers can be efficiently trained with the proposed normalization without compromising performance. Additional studies show that the empirical observations corroborate our theoretical analysis.</x:v>
      </x:c>
      <x:c r="L169" s="17" t="str">
        <x:v>http://arxiv.org/abs/2410.04824v1</x:v>
      </x:c>
      <x:c r="M169" s="23" t="n">
        <x:v>0.0288981288981289</x:v>
      </x:c>
      <x:c r="N169" s="17" t="str">
        <x:v>arxiv-paper-eval-20260726-140242-results.jsonl</x:v>
      </x:c>
      <x:c r="O169" s="24" t="str">
        <x:v>2</x:v>
      </x:c>
      <x:c r="P169" s="28" t="str">
        <x:v>识别梯度过平滑造成的训练障碍并提出控制方法。</x:v>
      </x:c>
      <x:c r="Q169" s="25" t="str"/>
      <x:c r="R169" s="24" t="str">
        <x:f>IF(Q169&lt;&gt;"",Q169,O169)</x:f>
        <x:v>2</x:v>
      </x:c>
      <x:c r="S169" s="29" t="str"/>
    </x:row>
    <x:row r="170" ht="54" customHeight="1">
      <x:c r="A170" s="17" t="str">
        <x:v>csq009-r09</x:v>
      </x:c>
      <x:c r="B170" s="17" t="str">
        <x:v>csq009</x:v>
      </x:c>
      <x:c r="C170" s="17" t="str">
        <x:v>machine_learning</x:v>
      </x:c>
      <x:c r="D170" s="17" t="str">
        <x:v>graph_neural_networks</x:v>
      </x:c>
      <x:c r="E170" s="27" t="str">
        <x:v>What causes over-smoothing and over-squashing in graph neural networks, and which mitigation methods are supported by empirical and theoretical research?</x:v>
      </x:c>
      <x:c r="F170" s="22" t="n">
        <x:v>9</x:v>
      </x:c>
      <x:c r="G170" s="17" t="str">
        <x:v>arXiv:2212.10701</x:v>
      </x:c>
      <x:c r="H170" s="27" t="str">
        <x:v>A Non-Asymptotic Analysis of Oversmoothing in Graph Neural Networks</x:v>
      </x:c>
      <x:c r="I170" s="17" t="str">
        <x:v>Xinyi Wu; Zhengdao Chen; William Wang; Ali Jadbabaie</x:v>
      </x:c>
      <x:c r="J170" s="22" t="n">
        <x:v>2022</x:v>
      </x:c>
      <x:c r="K170" s="27" t="str">
        <x:v>Oversmoothing is a central challenge of building more powerful Graph Neural Networks (GNNs). While previous works have only demonstrated that oversmoothing is inevitable when the number of graph convolutions tends to infinity, in this paper, we precisely characterize the mechanism behind the phenomenon via a non-asymptotic analysis. Specifically, we distinguish between two different effects when applying graph convolutions -- an undesirable mixing effect that homogenizes node representations in different classes, and a desirable denoising effect that homogenizes node representations in the same class. By quantifying these two effects on random graphs sampled from the Contextual Stochastic Block Model (CSBM), we show that oversmoothing happens once the mixing effect starts to dominate the denoising effect, and the number of layers required for this transition is $O(\log N/\log (\log N))$ for sufficiently dense graphs with $N$ nodes. We also extend our analysis to study the effects of Personalized PageRank (PPR), or equivalently, the effects of initial residual connections on oversmoothing. Our results suggest that while PPR mitigates oversmoothing at deeper layers, PPR-based architectures still achieve their best performance at a shallow depth and are outperformed by the graph convolution approach on certain graphs. Finally, we support our theoretical results with numerical experiments, which further suggest that the oversmoothing phenomenon observed in practice can be magnified by the difficulty of optimizing deep GNN models.</x:v>
      </x:c>
      <x:c r="L170" s="17" t="str">
        <x:v>http://arxiv.org/abs/2212.10701v2</x:v>
      </x:c>
      <x:c r="M170" s="23" t="n">
        <x:v>0.02803921568627451</x:v>
      </x:c>
      <x:c r="N170" s="17" t="str">
        <x:v>arxiv-paper-eval-20260726-140242-results.jsonl</x:v>
      </x:c>
      <x:c r="O170" s="24" t="str">
        <x:v>2</x:v>
      </x:c>
      <x:c r="P170" s="28" t="str">
        <x:v>给出非渐近理论以精确刻画有限层数下过平滑机制。</x:v>
      </x:c>
      <x:c r="Q170" s="25" t="str"/>
      <x:c r="R170" s="24" t="str">
        <x:f>IF(Q170&lt;&gt;"",Q170,O170)</x:f>
        <x:v>2</x:v>
      </x:c>
      <x:c r="S170" s="29" t="str"/>
    </x:row>
    <x:row r="171" ht="54" customHeight="1">
      <x:c r="A171" s="17" t="str">
        <x:v>csq009-r10</x:v>
      </x:c>
      <x:c r="B171" s="17" t="str">
        <x:v>csq009</x:v>
      </x:c>
      <x:c r="C171" s="17" t="str">
        <x:v>machine_learning</x:v>
      </x:c>
      <x:c r="D171" s="17" t="str">
        <x:v>graph_neural_networks</x:v>
      </x:c>
      <x:c r="E171" s="27" t="str">
        <x:v>What causes over-smoothing and over-squashing in graph neural networks, and which mitigation methods are supported by empirical and theoretical research?</x:v>
      </x:c>
      <x:c r="F171" s="22" t="n">
        <x:v>10</x:v>
      </x:c>
      <x:c r="G171" s="17" t="str">
        <x:v>arXiv:2305.16102</x:v>
      </x:c>
      <x:c r="H171" s="27" t="str">
        <x:v>Demystifying Oversmoothing in Attention-Based Graph Neural Networks</x:v>
      </x:c>
      <x:c r="I171" s="17" t="str">
        <x:v>Xinyi Wu; Amir Ajorlou; Zihui Wu; Ali Jadbabaie</x:v>
      </x:c>
      <x:c r="J171" s="22" t="n">
        <x:v>2023</x:v>
      </x:c>
      <x:c r="K171" s="27" t="str">
        <x:v>Oversmoothing in Graph Neural Networks (GNNs) refers to the phenomenon where increasing network depth leads to homogeneous node representations. While previous work has established that Graph Convolutional Networks (GCNs) exponentially lose expressive power, it remains controversial whether the graph attention mechanism can mitigate oversmoothing. In this work, we provide a definitive answer to this question through a rigorous mathematical analysis, by viewing attention-based GNNs as nonlinear time-varying dynamical systems and incorporating tools and techniques from the theory of products of inhomogeneous matrices and the joint spectral radius. We establish that, contrary to popular belief, the graph attention mechanism cannot prevent oversmoothing and loses expressive power exponentially. The proposed framework extends the existing results on oversmoothing for symmetric GCNs to a significantly broader class of GNN models, including random walk GCNs, Graph Attention Networks (GATs) and (graph) transformers. In particular, our analysis accounts for asymmetric, state-dependent and time-varying aggregation operators and a wide range of common nonlinear activation functions, such as ReLU, LeakyReLU, GELU and SiLU.</x:v>
      </x:c>
      <x:c r="L171" s="17" t="str">
        <x:v>http://arxiv.org/abs/2305.16102v4</x:v>
      </x:c>
      <x:c r="M171" s="23" t="n">
        <x:v>0.027984344422700584</x:v>
      </x:c>
      <x:c r="N171" s="17" t="str">
        <x:v>arxiv-paper-eval-20260726-140242-results.jsonl</x:v>
      </x:c>
      <x:c r="O171" s="24" t="str">
        <x:v>2</x:v>
      </x:c>
      <x:c r="P171" s="28" t="str">
        <x:v>理论和实验分析注意力GNN是否能缓解过平滑，直接提供证据。</x:v>
      </x:c>
      <x:c r="Q171" s="25" t="str"/>
      <x:c r="R171" s="24" t="str">
        <x:f>IF(Q171&lt;&gt;"",Q171,O171)</x:f>
        <x:v>2</x:v>
      </x:c>
      <x:c r="S171" s="29" t="str"/>
    </x:row>
    <x:row r="172" ht="54" customHeight="1">
      <x:c r="A172" s="17" t="str">
        <x:v>csq009-r11</x:v>
      </x:c>
      <x:c r="B172" s="17" t="str">
        <x:v>csq009</x:v>
      </x:c>
      <x:c r="C172" s="17" t="str">
        <x:v>machine_learning</x:v>
      </x:c>
      <x:c r="D172" s="17" t="str">
        <x:v>graph_neural_networks</x:v>
      </x:c>
      <x:c r="E172" s="27" t="str">
        <x:v>What causes over-smoothing and over-squashing in graph neural networks, and which mitigation methods are supported by empirical and theoretical research?</x:v>
      </x:c>
      <x:c r="F172" s="22" t="n">
        <x:v>11</x:v>
      </x:c>
      <x:c r="G172" s="17" t="str">
        <x:v>arXiv:2208.03471</x:v>
      </x:c>
      <x:c r="H172" s="27" t="str">
        <x:v>Oversquashing in GNNs through the lens of information contraction and graph expansion</x:v>
      </x:c>
      <x:c r="I172" s="17" t="str">
        <x:v>Pradeep Kr. Banerjee; Kedar Karhadkar; Yu Guang Wang; Uri Alon; Guido Montúfar</x:v>
      </x:c>
      <x:c r="J172" s="22" t="n">
        <x:v>2022</x:v>
      </x:c>
      <x:c r="K172" s="27" t="str">
        <x:v>The quality of signal propagation in message-passing graph neural networks (GNNs) strongly influences their expressivity as has been observed in recent works. In particular, for prediction tasks relying on long-range interactions, recursive aggregation of node features can lead to an undesired phenomenon called "oversquashing". We present a framework for analyzing oversquashing based on information contraction. Our analysis is guided by a model of reliable computation due to von Neumann that lends a new insight into oversquashing as signal quenching in noisy computation graphs. Building on this, we propose a graph rewiring algorithm aimed at alleviating oversquashing. Our algorithm employs a random local edge flip primitive motivated by an expander graph construction. We compare the spectral expansion properties of our algorithm with that of an existing curvature-based non-local rewiring strategy. Synthetic experiments show that while our algorithm in general has a slower rate of expansion, it is overall computationally cheaper, preserves the node degrees exactly and never disconnects the graph.</x:v>
      </x:c>
      <x:c r="L172" s="17" t="str">
        <x:v>http://arxiv.org/abs/2208.03471v1</x:v>
      </x:c>
      <x:c r="M172" s="23" t="n">
        <x:v>0.027783137179239824</x:v>
      </x:c>
      <x:c r="N172" s="17" t="str">
        <x:v>arxiv-paper-eval-20260726-140242-results.jsonl</x:v>
      </x:c>
      <x:c r="O172" s="24" t="str">
        <x:v>2</x:v>
      </x:c>
      <x:c r="P172" s="28" t="str">
        <x:v>以信息收缩和图扩张框架解释长程信息的过压缩。</x:v>
      </x:c>
      <x:c r="Q172" s="25" t="str"/>
      <x:c r="R172" s="24" t="str">
        <x:f>IF(Q172&lt;&gt;"",Q172,O172)</x:f>
        <x:v>2</x:v>
      </x:c>
      <x:c r="S172" s="29" t="str"/>
    </x:row>
    <x:row r="173" ht="54" customHeight="1">
      <x:c r="A173" s="17" t="str">
        <x:v>csq009-r12</x:v>
      </x:c>
      <x:c r="B173" s="17" t="str">
        <x:v>csq009</x:v>
      </x:c>
      <x:c r="C173" s="17" t="str">
        <x:v>machine_learning</x:v>
      </x:c>
      <x:c r="D173" s="17" t="str">
        <x:v>graph_neural_networks</x:v>
      </x:c>
      <x:c r="E173" s="27" t="str">
        <x:v>What causes over-smoothing and over-squashing in graph neural networks, and which mitigation methods are supported by empirical and theoretical research?</x:v>
      </x:c>
      <x:c r="F173" s="22" t="n">
        <x:v>12</x:v>
      </x:c>
      <x:c r="G173" s="17" t="str">
        <x:v>arXiv:1909.12223</x:v>
      </x:c>
      <x:c r="H173" s="27" t="str">
        <x:v>PairNorm: Tackling Oversmoothing in GNNs</x:v>
      </x:c>
      <x:c r="I173" s="17" t="str">
        <x:v>Lingxiao Zhao; Leman Akoglu</x:v>
      </x:c>
      <x:c r="J173" s="22" t="n">
        <x:v>2019</x:v>
      </x:c>
      <x:c r="K173" s="27" t="str">
        <x:v>The performance of graph neural nets (GNNs) is known to gradually decrease with increasing number of layers. This decay is partly attributed to oversmoothing, where repeated graph convolutions eventually make node embeddings indistinguishable. We take a closer look at two different interpretations, aiming to quantify oversmoothing. Our main contribution is PairNorm, a novel normalization layer that is based on a careful analysis of the graph convolution operator, which prevents all node embeddings from becoming too similar. What is more, PairNorm is fast, easy to implement without any change to network architecture nor any additional parameters, and is broadly applicable to any GNN. Experiments on real-world graphs demonstrate that PairNorm makes deeper GCN, GAT, and SGC models more robust against oversmoothing, and significantly boosts performance for a new problem setting that benefits from deeper GNNs. Code is available at https://github.com/LingxiaoShawn/PairNorm.</x:v>
      </x:c>
      <x:c r="L173" s="17" t="str">
        <x:v>http://arxiv.org/abs/1909.12223v2</x:v>
      </x:c>
      <x:c r="M173" s="23" t="n">
        <x:v>0.027031963470319637</x:v>
      </x:c>
      <x:c r="N173" s="17" t="str">
        <x:v>arxiv-paper-eval-20260726-140242-results.jsonl</x:v>
      </x:c>
      <x:c r="O173" s="24" t="str">
        <x:v>2</x:v>
      </x:c>
      <x:c r="P173" s="28" t="str">
        <x:v>量化过平滑并提出PairNorm归一化层进行直接缓解。</x:v>
      </x:c>
      <x:c r="Q173" s="25" t="str"/>
      <x:c r="R173" s="24" t="str">
        <x:f>IF(Q173&lt;&gt;"",Q173,O173)</x:f>
        <x:v>2</x:v>
      </x:c>
      <x:c r="S173" s="29" t="str"/>
    </x:row>
    <x:row r="174" ht="54" customHeight="1">
      <x:c r="A174" s="17" t="str">
        <x:v>csq009-r13</x:v>
      </x:c>
      <x:c r="B174" s="17" t="str">
        <x:v>csq009</x:v>
      </x:c>
      <x:c r="C174" s="17" t="str">
        <x:v>machine_learning</x:v>
      </x:c>
      <x:c r="D174" s="17" t="str">
        <x:v>graph_neural_networks</x:v>
      </x:c>
      <x:c r="E174" s="27" t="str">
        <x:v>What causes over-smoothing and over-squashing in graph neural networks, and which mitigation methods are supported by empirical and theoretical research?</x:v>
      </x:c>
      <x:c r="F174" s="22" t="n">
        <x:v>13</x:v>
      </x:c>
      <x:c r="G174" s="17" t="str">
        <x:v>arXiv:2403.04636</x:v>
      </x:c>
      <x:c r="H174" s="27" t="str">
        <x:v>Entropy Aware Message Passing in Graph Neural Networks</x:v>
      </x:c>
      <x:c r="I174" s="17" t="str">
        <x:v>Philipp Nazari; Oliver Lemke; Davide Guidobene; Artiom Gesp</x:v>
      </x:c>
      <x:c r="J174" s="22" t="n">
        <x:v>2024</x:v>
      </x:c>
      <x:c r="K174" s="27" t="str">
        <x:v>Deep Graph Neural Networks struggle with oversmoothing. This paper introduces a novel, physics-inspired GNN model designed to mitigate this issue. Our approach integrates with existing GNN architectures, introducing an entropy-aware message passing term. This term performs gradient ascent on the entropy during node aggregation, thereby preserving a certain degree of entropy in the embeddings. We conduct a comparative analysis of our model against state-of-the-art GNNs across various common datasets.</x:v>
      </x:c>
      <x:c r="L174" s="17" t="str">
        <x:v>http://arxiv.org/abs/2403.04636v1</x:v>
      </x:c>
      <x:c r="M174" s="23" t="n">
        <x:v>0.01639344262295082</x:v>
      </x:c>
      <x:c r="N174" s="17" t="str">
        <x:v>arxiv-paper-eval-20260726-140242-results.jsonl</x:v>
      </x:c>
      <x:c r="O174" s="24" t="str">
        <x:v>2</x:v>
      </x:c>
      <x:c r="P174" s="28" t="str">
        <x:v>提出熵感知消息传递以保持嵌入差异，并通过比较实验缓解过平滑。</x:v>
      </x:c>
      <x:c r="Q174" s="25" t="str"/>
      <x:c r="R174" s="24" t="str">
        <x:f>IF(Q174&lt;&gt;"",Q174,O174)</x:f>
        <x:v>2</x:v>
      </x:c>
      <x:c r="S174" s="29" t="str"/>
    </x:row>
    <x:row r="175" ht="54" customHeight="1">
      <x:c r="A175" s="17" t="str">
        <x:v>csq009-r14</x:v>
      </x:c>
      <x:c r="B175" s="17" t="str">
        <x:v>csq009</x:v>
      </x:c>
      <x:c r="C175" s="17" t="str">
        <x:v>machine_learning</x:v>
      </x:c>
      <x:c r="D175" s="17" t="str">
        <x:v>graph_neural_networks</x:v>
      </x:c>
      <x:c r="E175" s="27" t="str">
        <x:v>What causes over-smoothing and over-squashing in graph neural networks, and which mitigation methods are supported by empirical and theoretical research?</x:v>
      </x:c>
      <x:c r="F175" s="22" t="n">
        <x:v>14</x:v>
      </x:c>
      <x:c r="G175" s="17" t="str">
        <x:v>arXiv:2405.01663</x:v>
      </x:c>
      <x:c r="H175" s="27" t="str">
        <x:v>Oversmoothing Alleviation in Graph Neural Networks: A Survey and Unified View</x:v>
      </x:c>
      <x:c r="I175" s="17" t="str">
        <x:v>Yufei Jin; Xingquan Zhu</x:v>
      </x:c>
      <x:c r="J175" s="22" t="n">
        <x:v>2024</x:v>
      </x:c>
      <x:c r="K175" s="27" t="str">
        <x:v>Oversmoothing is a common challenge in learning graph neural networks (GNN), where, as layers increase, embedding features learned from GNNs quickly become similar or indistinguishable, making them incapable of differentiating network proximity. A GNN with shallow layer architectures can only learn short-term relation or localized structure information, limiting its power of learning long-term connection, evidenced by their inferior learning performance on heterophilous graphs. Tackling oversmoothing is crucial for harnessing deep-layer architectures for GNNs. To date, many methods have been proposed to alleviate oversmoothing. The vast difference behind their design principles, combined with graph complications, make it difficult to understand and even compare the difference between different approaches in tackling the oversmoothing. In this paper, we propose ATNPA, a unified view with five key steps: Augmentation, Transformation, Normalization, Propagation, and Aggregation, to summarize GNN oversmoothing alleviation approaches. We first propose a taxonomy for GNN oversmoothing alleviation which includes three themes to tackle oversmoothing. After that, we separate all methods into six categories, followed by detailed reviews of representative methods, including their relation to ATNPA, and discussion of their niche, strength, and weakness. The review not only draws an in-depth understanding of existing methods in the field but also shows a clear road map for future study.</x:v>
      </x:c>
      <x:c r="L175" s="17" t="str">
        <x:v>http://arxiv.org/abs/2405.01663v2</x:v>
      </x:c>
      <x:c r="M175" s="23" t="n">
        <x:v>0.01639344262295082</x:v>
      </x:c>
      <x:c r="N175" s="17" t="str">
        <x:v>arxiv-paper-eval-20260726-140242-results.jsonl</x:v>
      </x:c>
      <x:c r="O175" s="24" t="str">
        <x:v>2</x:v>
      </x:c>
      <x:c r="P175" s="28" t="str">
        <x:v>综述并统一解释多类过平滑缓解方法，直接相关。</x:v>
      </x:c>
      <x:c r="Q175" s="25" t="str"/>
      <x:c r="R175" s="24" t="str">
        <x:f>IF(Q175&lt;&gt;"",Q175,O175)</x:f>
        <x:v>2</x:v>
      </x:c>
      <x:c r="S175" s="29" t="str"/>
    </x:row>
    <x:row r="176" ht="54" customHeight="1">
      <x:c r="A176" s="17" t="str">
        <x:v>csq009-r15</x:v>
      </x:c>
      <x:c r="B176" s="17" t="str">
        <x:v>csq009</x:v>
      </x:c>
      <x:c r="C176" s="17" t="str">
        <x:v>machine_learning</x:v>
      </x:c>
      <x:c r="D176" s="17" t="str">
        <x:v>graph_neural_networks</x:v>
      </x:c>
      <x:c r="E176" s="27" t="str">
        <x:v>What causes over-smoothing and over-squashing in graph neural networks, and which mitigation methods are supported by empirical and theoretical research?</x:v>
      </x:c>
      <x:c r="F176" s="22" t="n">
        <x:v>15</x:v>
      </x:c>
      <x:c r="G176" s="17" t="str">
        <x:v>arXiv:2406.02997</x:v>
      </x:c>
      <x:c r="H176" s="27" t="str">
        <x:v>Residual Connections and Normalization Can Provably Prevent Oversmoothing in GNNs</x:v>
      </x:c>
      <x:c r="I176" s="17" t="str">
        <x:v>Michael Scholkemper; Xinyi Wu; Ali Jadbabaie; Michael T. Schaub</x:v>
      </x:c>
      <x:c r="J176" s="22" t="n">
        <x:v>2024</x:v>
      </x:c>
      <x:c r="K176" s="27" t="str">
        <x:v>Residual connections and normalization layers have become standard design choices for graph neural networks (GNNs), and were proposed as solutions to the mitigate the oversmoothing problem in GNNs. However, how exactly these methods help alleviate the oversmoothing problem from a theoretical perspective is not well understood. In this work, we provide a formal and precise characterization of (linearized) GNNs with residual connections and normalization layers. We establish that (a) for residual connections, the incorporation of the initial features at each layer can prevent the signal from becoming too smooth, and determines the subspace of possible node representations; (b) batch normalization prevents a complete collapse of the output embedding space to a one-dimensional subspace through the individual rescaling of each column of the feature matrix. This results in the convergence of node representations to the top-$k$ eigenspace of the message-passing operator; (c) moreover, we show that the centering step of a normalization layer -- which can be understood as a projection -- alters the graph signal in message-passing in such a way that relevant information can become harder to extract. We therefore introduce a novel, principled normalization layer called GraphNormv2 in which the centering step is learned such that it does not distort the original graph signal in an undesirable way. Experimental results confirm the effectiveness of our method.</x:v>
      </x:c>
      <x:c r="L176" s="17" t="str">
        <x:v>http://arxiv.org/abs/2406.02997v3</x:v>
      </x:c>
      <x:c r="M176" s="23" t="n">
        <x:v>0.016129032258064516</x:v>
      </x:c>
      <x:c r="N176" s="17" t="str">
        <x:v>arxiv-paper-eval-20260726-140242-results.jsonl</x:v>
      </x:c>
      <x:c r="O176" s="24" t="str">
        <x:v>2</x:v>
      </x:c>
      <x:c r="P176" s="28" t="str">
        <x:v>从理论上证明残差连接与归一化可防止过平滑。</x:v>
      </x:c>
      <x:c r="Q176" s="25" t="str"/>
      <x:c r="R176" s="24" t="str">
        <x:f>IF(Q176&lt;&gt;"",Q176,O176)</x:f>
        <x:v>2</x:v>
      </x:c>
      <x:c r="S176" s="29" t="str"/>
    </x:row>
    <x:row r="177" ht="54" customHeight="1">
      <x:c r="A177" s="17" t="str">
        <x:v>csq009-r16</x:v>
      </x:c>
      <x:c r="B177" s="17" t="str">
        <x:v>csq009</x:v>
      </x:c>
      <x:c r="C177" s="17" t="str">
        <x:v>machine_learning</x:v>
      </x:c>
      <x:c r="D177" s="17" t="str">
        <x:v>graph_neural_networks</x:v>
      </x:c>
      <x:c r="E177" s="27" t="str">
        <x:v>What causes over-smoothing and over-squashing in graph neural networks, and which mitigation methods are supported by empirical and theoretical research?</x:v>
      </x:c>
      <x:c r="F177" s="22" t="n">
        <x:v>16</x:v>
      </x:c>
      <x:c r="G177" s="17" t="str">
        <x:v>arXiv:2302.01524</x:v>
      </x:c>
      <x:c r="H177" s="27" t="str">
        <x:v>Ordered GNN: Ordering Message Passing to Deal with Heterophily and Over-smoothing</x:v>
      </x:c>
      <x:c r="I177" s="17" t="str">
        <x:v>Yunchong Song; Chenghu Zhou; Xinbing Wang; Zhouhan Lin</x:v>
      </x:c>
      <x:c r="J177" s="22" t="n">
        <x:v>2023</x:v>
      </x:c>
      <x:c r="K177" s="27" t="str">
        <x:v>Most graph neural networks follow the message passing mechanism. However, it faces the over-smoothing problem when multiple times of message passing is applied to a graph, causing indistinguishable node representations and prevents the model to effectively learn dependencies between farther-away nodes. On the other hand, features of neighboring nodes with different labels are likely to be falsely mixed, resulting in the heterophily problem. In this work, we propose to order the messages passing into the node representation, with specific blocks of neurons targeted for message passing within specific hops. This is achieved by aligning the hierarchy of the rooted-tree of a central node with the ordered neurons in its node representation. Experimental results on an extensive set of datasets show that our model can simultaneously achieve the state-of-the-art in both homophily and heterophily settings, without any targeted design. Moreover, its performance maintains pretty well while the model becomes really deep, effectively preventing the over-smoothing problem. Finally, visualizing the gating vectors shows that our model learns to behave differently between homophily and heterophily settings, providing an explainable graph neural model.</x:v>
      </x:c>
      <x:c r="L177" s="17" t="str">
        <x:v>http://arxiv.org/abs/2302.01524v1</x:v>
      </x:c>
      <x:c r="M177" s="23" t="n">
        <x:v>0.016129032258064516</x:v>
      </x:c>
      <x:c r="N177" s="17" t="str">
        <x:v>arxiv-paper-eval-20260726-140242-results.jsonl</x:v>
      </x:c>
      <x:c r="O177" s="24" t="str">
        <x:v>2</x:v>
      </x:c>
      <x:c r="P177" s="28" t="str">
        <x:v>通过有序消息传递同时处理异配和过平滑，直接提出缓解方法。</x:v>
      </x:c>
      <x:c r="Q177" s="25" t="str"/>
      <x:c r="R177" s="24" t="str">
        <x:f>IF(Q177&lt;&gt;"",Q177,O177)</x:f>
        <x:v>2</x:v>
      </x:c>
      <x:c r="S177" s="29" t="str"/>
    </x:row>
    <x:row r="178" ht="54" customHeight="1">
      <x:c r="A178" s="17" t="str">
        <x:v>csq009-r17</x:v>
      </x:c>
      <x:c r="B178" s="17" t="str">
        <x:v>csq009</x:v>
      </x:c>
      <x:c r="C178" s="17" t="str">
        <x:v>machine_learning</x:v>
      </x:c>
      <x:c r="D178" s="17" t="str">
        <x:v>graph_neural_networks</x:v>
      </x:c>
      <x:c r="E178" s="27" t="str">
        <x:v>What causes over-smoothing and over-squashing in graph neural networks, and which mitigation methods are supported by empirical and theoretical research?</x:v>
      </x:c>
      <x:c r="F178" s="22" t="n">
        <x:v>17</x:v>
      </x:c>
      <x:c r="G178" s="17" t="str">
        <x:v>arXiv:2302.02941</x:v>
      </x:c>
      <x:c r="H178" s="27" t="str">
        <x:v>On Over-Squashing in Message Passing Neural Networks: The Impact of Width, Depth, and Topology</x:v>
      </x:c>
      <x:c r="I178" s="17" t="str">
        <x:v>Francesco Di Giovanni; Lorenzo Giusti; Federico Barbero; Giulia Luise; Pietro Lio'; Michael Bronstein</x:v>
      </x:c>
      <x:c r="J178" s="22" t="n">
        <x:v>2023</x:v>
      </x:c>
      <x:c r="K178" s="27" t="str">
        <x:v>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framework to study different recent methods introduced to cope with over-squashing and serves as a justification for a class of methods that fall under graph rewiring.</x:v>
      </x:c>
      <x:c r="L178" s="17" t="str">
        <x:v>http://arxiv.org/abs/2302.02941v3</x:v>
      </x:c>
      <x:c r="M178" s="23" t="n">
        <x:v>0.015873015873015872</x:v>
      </x:c>
      <x:c r="N178" s="17" t="str">
        <x:v>arxiv-paper-eval-20260726-140242-results.jsonl</x:v>
      </x:c>
      <x:c r="O178" s="24" t="str">
        <x:v>2</x:v>
      </x:c>
      <x:c r="P178" s="28" t="str">
        <x:v>系统分析宽度、深度和拓扑对过压缩的影响及潜在解法。</x:v>
      </x:c>
      <x:c r="Q178" s="25" t="str"/>
      <x:c r="R178" s="24" t="str">
        <x:f>IF(Q178&lt;&gt;"",Q178,O178)</x:f>
        <x:v>2</x:v>
      </x:c>
      <x:c r="S178" s="29" t="str"/>
    </x:row>
    <x:row r="179" ht="54" customHeight="1">
      <x:c r="A179" s="17" t="str">
        <x:v>csq009-r18</x:v>
      </x:c>
      <x:c r="B179" s="17" t="str">
        <x:v>csq009</x:v>
      </x:c>
      <x:c r="C179" s="17" t="str">
        <x:v>machine_learning</x:v>
      </x:c>
      <x:c r="D179" s="17" t="str">
        <x:v>graph_neural_networks</x:v>
      </x:c>
      <x:c r="E179" s="27" t="str">
        <x:v>What causes over-smoothing and over-squashing in graph neural networks, and which mitigation methods are supported by empirical and theoretical research?</x:v>
      </x:c>
      <x:c r="F179" s="22" t="n">
        <x:v>18</x:v>
      </x:c>
      <x:c r="G179" s="17" t="str">
        <x:v>arXiv:2301.02924</x:v>
      </x:c>
      <x:c r="H179" s="27" t="str">
        <x:v>Reducing Over-smoothing in Graph Neural Networks Using Relational Embeddings</x:v>
      </x:c>
      <x:c r="I179" s="17" t="str">
        <x:v>Yeskendir Koishekenov</x:v>
      </x:c>
      <x:c r="J179" s="22" t="n">
        <x:v>2023</x:v>
      </x:c>
      <x:c r="K179" s="27" t="str">
        <x:v>Graph Neural Networks (GNNs) have achieved a lot of success with graph-structured data. However, it is observed that the performance of GNNs does not improve (or even worsen) as the number of layers increases. This effect has known as over-smoothing, which means that the representations of the graph nodes of different classes would become indistinguishable when stacking multiple layers. In this work, we propose a new simple, and efficient method to alleviate the effect of the over-smoothing problem in GNNs by explicitly using relations between node embeddings. Experiments on real-world datasets demonstrate that utilizing node embedding relations makes GNN models such as Graph Attention Network more robust to over-smoothing and achieves better performance with deeper GNNs. Our method can be used in combination with other methods to give the best performance. GNN applications are endless and depend on the user's objective and the type of data that they possess. Solving over-smoothing issues can potentially improve the performance of models on all these tasks.</x:v>
      </x:c>
      <x:c r="L179" s="17" t="str">
        <x:v>http://arxiv.org/abs/2301.02924v1</x:v>
      </x:c>
      <x:c r="M179" s="23" t="n">
        <x:v>0.015873015873015872</x:v>
      </x:c>
      <x:c r="N179" s="17" t="str">
        <x:v>arxiv-paper-eval-20260726-140242-results.jsonl</x:v>
      </x:c>
      <x:c r="O179" s="24" t="str">
        <x:v>2</x:v>
      </x:c>
      <x:c r="P179" s="28" t="str">
        <x:v>以关系嵌入直接降低GNN过平滑并进行实验验证。</x:v>
      </x:c>
      <x:c r="Q179" s="25" t="str"/>
      <x:c r="R179" s="24" t="str">
        <x:f>IF(Q179&lt;&gt;"",Q179,O179)</x:f>
        <x:v>2</x:v>
      </x:c>
      <x:c r="S179" s="29" t="str"/>
    </x:row>
    <x:row r="180" ht="54" customHeight="1">
      <x:c r="A180" s="17" t="str">
        <x:v>csq009-r19</x:v>
      </x:c>
      <x:c r="B180" s="17" t="str">
        <x:v>csq009</x:v>
      </x:c>
      <x:c r="C180" s="17" t="str">
        <x:v>machine_learning</x:v>
      </x:c>
      <x:c r="D180" s="17" t="str">
        <x:v>graph_neural_networks</x:v>
      </x:c>
      <x:c r="E180" s="27" t="str">
        <x:v>What causes over-smoothing and over-squashing in graph neural networks, and which mitigation methods are supported by empirical and theoretical research?</x:v>
      </x:c>
      <x:c r="F180" s="22" t="n">
        <x:v>19</x:v>
      </x:c>
      <x:c r="G180" s="17" t="str">
        <x:v>arXiv:2311.15945</x:v>
      </x:c>
      <x:c r="H180" s="27" t="str">
        <x:v>Over-Squashing in Riemannian Graph Neural Networks</x:v>
      </x:c>
      <x:c r="I180" s="17" t="str">
        <x:v>Julia Balla</x:v>
      </x:c>
      <x:c r="J180" s="22" t="n">
        <x:v>2023</x:v>
      </x:c>
      <x:c r="K180" s="27" t="str">
        <x:v>Most graph neural networks (GNNs) are prone to the phenomenon of over-squashing in which node features become insensitive to information from distant nodes in the graph. Recent works have shown that the topology of the graph has the greatest impact on over-squashing, suggesting graph rewiring approaches as a suitable solution. In this work, we explore whether over-squashing can be mitigated through the embedding space of the GNN. In particular, we consider the generalization of Hyperbolic GNNs (HGNNs) to Riemannian manifolds of variable curvature in which the geometry of the embedding space is faithful to the graph's topology. We derive bounds on the sensitivity of the node features in these Riemannian GNNs as the number of layers increases, which yield promising theoretical and empirical results for alleviating over-squashing in graphs with negative curvature.</x:v>
      </x:c>
      <x:c r="L180" s="17" t="str">
        <x:v>http://arxiv.org/abs/2311.15945v1</x:v>
      </x:c>
      <x:c r="M180" s="23" t="n">
        <x:v>0.015873015873015872</x:v>
      </x:c>
      <x:c r="N180" s="17" t="str">
        <x:v>arxiv-paper-eval-20260726-140242-results.jsonl</x:v>
      </x:c>
      <x:c r="O180" s="24" t="str">
        <x:v>2</x:v>
      </x:c>
      <x:c r="P180" s="28" t="str">
        <x:v>检验黎曼嵌入空间是否能替代图重连缓解过压缩。</x:v>
      </x:c>
      <x:c r="Q180" s="25" t="str"/>
      <x:c r="R180" s="24" t="str">
        <x:f>IF(Q180&lt;&gt;"",Q180,O180)</x:f>
        <x:v>2</x:v>
      </x:c>
      <x:c r="S180" s="29" t="str"/>
    </x:row>
    <x:row r="181" ht="54" customHeight="1">
      <x:c r="A181" s="17" t="str">
        <x:v>csq009-r20</x:v>
      </x:c>
      <x:c r="B181" s="17" t="str">
        <x:v>csq009</x:v>
      </x:c>
      <x:c r="C181" s="17" t="str">
        <x:v>machine_learning</x:v>
      </x:c>
      <x:c r="D181" s="17" t="str">
        <x:v>graph_neural_networks</x:v>
      </x:c>
      <x:c r="E181" s="27" t="str">
        <x:v>What causes over-smoothing and over-squashing in graph neural networks, and which mitigation methods are supported by empirical and theoretical research?</x:v>
      </x:c>
      <x:c r="F181" s="22" t="n">
        <x:v>20</x:v>
      </x:c>
      <x:c r="G181" s="17" t="str">
        <x:v>arXiv:2509.01254</x:v>
      </x:c>
      <x:c r="H181" s="27" t="str">
        <x:v>What Expressivity Theory Misses: Message Passing Complexity for GNNs</x:v>
      </x:c>
      <x:c r="I181" s="17" t="str">
        <x:v>Niklas Kemper; Tom Wollschläger; Stephan Günnemann</x:v>
      </x:c>
      <x:c r="J181" s="22" t="n">
        <x:v>2025</x:v>
      </x:c>
      <x:c r="K181" s="27" t="str">
        <x:v>Expressivity theory, characterizing which graphs a GNN can distinguish, has become the predominant framework for analyzing GNNs, with new models striving for higher expressivity. However, we argue that this focus is misguided: First, higher expressivity is not necessary for most real-world tasks as these tasks rarely require expressivity beyond the basic WL test. Second, expressivity theory's binary characterization and idealized assumptions fail to reflect GNNs' practical capabilities. To overcome these limitations, we propose Message Passing Complexity (MPC): a continuous measure that quantifies the difficulty for a GNN architecture to solve a given task through message passing. MPC captures practical limitations like over-squashing while preserving the theoretical impossibility results from expressivity theory, effectively narrowing the gap between theory and practice. Through extensive validation on fundamental GNN tasks, we show that MPC's theoretical predictions correlate with empirical performance, successfully explaining architectural successes and failures. Thereby, MPC advances beyond expressivity theory to provide a more powerful and nuanced framework for understanding and improving GNN architectures.</x:v>
      </x:c>
      <x:c r="L181" s="17" t="str">
        <x:v>http://arxiv.org/abs/2509.01254v2</x:v>
      </x:c>
      <x:c r="M181" s="23" t="n">
        <x:v>0.015625</x:v>
      </x:c>
      <x:c r="N181" s="17" t="str">
        <x:v>arxiv-paper-eval-20260726-140242-results.jsonl</x:v>
      </x:c>
      <x:c r="O181" s="24" t="str">
        <x:v>1</x:v>
      </x:c>
      <x:c r="P181" s="28" t="str">
        <x:v>关注消息传递复杂性与表达性，可解释信息传播限制但未明确聚焦两种现象。</x:v>
      </x:c>
      <x:c r="Q181" s="25" t="str"/>
      <x:c r="R181" s="24" t="str">
        <x:f>IF(Q181&lt;&gt;"",Q181,O181)</x:f>
        <x:v>1</x:v>
      </x:c>
      <x:c r="S181" s="29" t="str"/>
    </x:row>
    <x:row r="182" ht="54" customHeight="1">
      <x:c r="A182" s="17" t="str">
        <x:v>csq010-r01</x:v>
      </x:c>
      <x:c r="B182" s="17" t="str">
        <x:v>csq010</x:v>
      </x:c>
      <x:c r="C182" s="17" t="str">
        <x:v>machine_learning</x:v>
      </x:c>
      <x:c r="D182" s="17" t="str">
        <x:v>self_supervised_learning</x:v>
      </x:c>
      <x:c r="E182" s="27" t="str">
        <x:v>How have self-supervised representation learning objectives evolved from contrastive learning to non-contrastive and masked-prediction approaches?</x:v>
      </x:c>
      <x:c r="F182" s="22" t="n">
        <x:v>1</x:v>
      </x:c>
      <x:c r="G182" s="17" t="str">
        <x:v>arXiv:2205.06226</x:v>
      </x:c>
      <x:c r="H182" s="27" t="str">
        <x:v>The Mechanism of Prediction Head in Non-contrastive Self-supervised Learning</x:v>
      </x:c>
      <x:c r="I182" s="17" t="str">
        <x:v>Zixin Wen; Yuanzhi Li</x:v>
      </x:c>
      <x:c r="J182" s="22" t="n">
        <x:v>2022</x:v>
      </x:c>
      <x:c r="K182" s="27" t="str">
        <x:v>Recently the surprising discovery of the Bootstrap Your Own Latent (BYOL) method by Grill et al. shows the negative term in contrastive loss can be removed if we add the so-called prediction head to the network. This initiated the research of non-contrastive self-supervised learning. It is mysterious why even when there exist trivial collapsed global optimal solutions, neural networks trained by (stochastic) gradient descent can still learn competitive representations. This phenomenon is a typical example of implicit bias in deep learning and remains little understood. In this work, we present our empirical and theoretical discoveries on non-contrastive self-supervised learning. Empirically, we find that when the prediction head is initialized as an identity matrix with only its off-diagonal entries being trainable, the network can learn competitive representations even though the trivial optima still exist in the training objective. Theoretically, we present a framework to understand the behavior of the trainable, but identity-initialized prediction head. Under a simple setting, we characterized the substitution effect and acceleration effect of the prediction head. The substitution effect happens when learning the stronger features in some neurons can substitute for learning these features in other neurons through updating the prediction head. And the acceleration effect happens when the substituted features can accelerate the learning of other weaker features to prevent them from being ignored. These two effects enable the neural networks to learn all the features rather than focus only on learning the stronger features, which is likely the cause of the dimensional collapse phenomenon. To the best of our knowledge, this is also the first end-to-end optimization guarantee for non-contrastive methods using nonlinear neural networks with a trainable prediction head and normalization.</x:v>
      </x:c>
      <x:c r="L182" s="17" t="str">
        <x:v>http://arxiv.org/abs/2205.06226v3</x:v>
      </x:c>
      <x:c r="M182" s="23" t="n">
        <x:v>0.03128054740957967</x:v>
      </x:c>
      <x:c r="N182" s="17" t="str">
        <x:v>arxiv-paper-eval-20260726-140242-results.jsonl</x:v>
      </x:c>
      <x:c r="O182" s="24" t="str">
        <x:v>2</x:v>
      </x:c>
      <x:c r="P182" s="28" t="str">
        <x:v>分析BYOL预测头为何使无负样本非对比学习避免坍塌，直接体现目标演变。</x:v>
      </x:c>
      <x:c r="Q182" s="25" t="str"/>
      <x:c r="R182" s="24" t="str">
        <x:f>IF(Q182&lt;&gt;"",Q182,O182)</x:f>
        <x:v>2</x:v>
      </x:c>
      <x:c r="S182" s="29" t="str"/>
    </x:row>
    <x:row r="183" ht="54" customHeight="1">
      <x:c r="A183" s="17" t="str">
        <x:v>csq010-r02</x:v>
      </x:c>
      <x:c r="B183" s="17" t="str">
        <x:v>csq010</x:v>
      </x:c>
      <x:c r="C183" s="17" t="str">
        <x:v>machine_learning</x:v>
      </x:c>
      <x:c r="D183" s="17" t="str">
        <x:v>self_supervised_learning</x:v>
      </x:c>
      <x:c r="E183" s="27" t="str">
        <x:v>How have self-supervised representation learning objectives evolved from contrastive learning to non-contrastive and masked-prediction approaches?</x:v>
      </x:c>
      <x:c r="F183" s="22" t="n">
        <x:v>2</x:v>
      </x:c>
      <x:c r="G183" s="17" t="str">
        <x:v>arXiv:2410.04959</x:v>
      </x:c>
      <x:c r="H183" s="27" t="str">
        <x:v>Collapse-Proof Non-Contrastive Self-Supervised Learning</x:v>
      </x:c>
      <x:c r="I183" s="17" t="str">
        <x:v>Emanuele Sansone; Tim Lebailly; Tinne Tuytelaars</x:v>
      </x:c>
      <x:c r="J183" s="22" t="n">
        <x:v>2024</x:v>
      </x:c>
      <x:c r="K183" s="27" t="str">
        <x:v>We present a principled and simplified design of the projector and loss function for non-contrastive self-supervised learning based on hyperdimensional computing. We theoretically demonstrate that this design introduces an inductive bias that encourages representations to be simultaneously decorrelated and clustered, without explicitly enforcing these properties. This bias provably enhances generalization and suffices to avoid known training failure modes, such as representation, dimensional, cluster, and intracluster collapses. We validate our theoretical findings on image datasets, including SVHN, CIFAR-10, CIFAR-100, and ImageNet-100. Our approach effectively combines the strengths of feature decorrelation and cluster-based self-supervised learning methods, overcoming training failure modes while achieving strong generalization in clustering and linear classification tasks.</x:v>
      </x:c>
      <x:c r="L183" s="17" t="str">
        <x:v>http://arxiv.org/abs/2410.04959v4</x:v>
      </x:c>
      <x:c r="M183" s="23" t="n">
        <x:v>0.03125763125763126</x:v>
      </x:c>
      <x:c r="N183" s="17" t="str">
        <x:v>arxiv-paper-eval-20260726-140242-results.jsonl</x:v>
      </x:c>
      <x:c r="O183" s="24" t="str">
        <x:v>2</x:v>
      </x:c>
      <x:c r="P183" s="28" t="str">
        <x:v>提出可证明防坍塌的非对比投影头与损失，直接属于非对比目标发展。</x:v>
      </x:c>
      <x:c r="Q183" s="25" t="str"/>
      <x:c r="R183" s="24" t="str">
        <x:f>IF(Q183&lt;&gt;"",Q183,O183)</x:f>
        <x:v>2</x:v>
      </x:c>
      <x:c r="S183" s="29" t="str"/>
    </x:row>
    <x:row r="184" ht="54" customHeight="1">
      <x:c r="A184" s="17" t="str">
        <x:v>csq010-r03</x:v>
      </x:c>
      <x:c r="B184" s="17" t="str">
        <x:v>csq010</x:v>
      </x:c>
      <x:c r="C184" s="17" t="str">
        <x:v>machine_learning</x:v>
      </x:c>
      <x:c r="D184" s="17" t="str">
        <x:v>self_supervised_learning</x:v>
      </x:c>
      <x:c r="E184" s="27" t="str">
        <x:v>How have self-supervised representation learning objectives evolved from contrastive learning to non-contrastive and masked-prediction approaches?</x:v>
      </x:c>
      <x:c r="F184" s="22" t="n">
        <x:v>3</x:v>
      </x:c>
      <x:c r="G184" s="17" t="str">
        <x:v>arXiv:2507.01028</x:v>
      </x:c>
      <x:c r="H184" s="27" t="str">
        <x:v>Dual Perspectives on Non-Contrastive Self-Supervised Learning</x:v>
      </x:c>
      <x:c r="I184" s="17" t="str">
        <x:v>Jean Ponce; Basile Terver; Martial Hebert; Michael Arbel</x:v>
      </x:c>
      <x:c r="J184" s="22" t="n">
        <x:v>2025</x:v>
      </x:c>
      <x:c r="K184" s="27" t="str">
        <x:v>The {\em stop gradient} and {\em exponential moving average} iterative procedures are commonly used in non-contrastive approaches to self-supervised learning to avoid representation collapse, with excellent performance in downstream applications in practice. This presentation investigates these procedures from the dual viewpoints of optimization and dynamical systems. We show that, in general, although they {\em do not} optimize the original objective, or {\em any} other smooth function, they {\em do} avoid collapse Following~\citet{Tian21}, but without any of the extra assumptions used in their proofs, we then show using a dynamical system perspective that, in the linear case, minimizing the original objective function without the use of a stop gradient or exponential moving average {\em always} leads to collapse. Conversely, we characterize explicitly the equilibria of the dynamical systems associated with these two procedures in this linear setting as algebraic varieties in their parameter space, and show that they are, in general, {\em asymptotically stable}. Our theoretical findings are illustrated by empirical experiments with real and synthetic data.</x:v>
      </x:c>
      <x:c r="L184" s="17" t="str">
        <x:v>http://arxiv.org/abs/2507.01028v3</x:v>
      </x:c>
      <x:c r="M184" s="23" t="n">
        <x:v>0.029083245521601686</x:v>
      </x:c>
      <x:c r="N184" s="17" t="str">
        <x:v>arxiv-paper-eval-20260726-140242-results.jsonl</x:v>
      </x:c>
      <x:c r="O184" s="24" t="str">
        <x:v>2</x:v>
      </x:c>
      <x:c r="P184" s="28" t="str">
        <x:v>从优化与动力系统解释非对比学习的停止梯度和动量机制。</x:v>
      </x:c>
      <x:c r="Q184" s="25" t="str"/>
      <x:c r="R184" s="24" t="str">
        <x:f>IF(Q184&lt;&gt;"",Q184,O184)</x:f>
        <x:v>2</x:v>
      </x:c>
      <x:c r="S184" s="29" t="str"/>
    </x:row>
    <x:row r="185" ht="54" customHeight="1">
      <x:c r="A185" s="17" t="str">
        <x:v>csq010-r04</x:v>
      </x:c>
      <x:c r="B185" s="17" t="str">
        <x:v>csq010</x:v>
      </x:c>
      <x:c r="C185" s="17" t="str">
        <x:v>machine_learning</x:v>
      </x:c>
      <x:c r="D185" s="17" t="str">
        <x:v>self_supervised_learning</x:v>
      </x:c>
      <x:c r="E185" s="27" t="str">
        <x:v>How have self-supervised representation learning objectives evolved from contrastive learning to non-contrastive and masked-prediction approaches?</x:v>
      </x:c>
      <x:c r="F185" s="22" t="n">
        <x:v>4</x:v>
      </x:c>
      <x:c r="G185" s="17" t="str">
        <x:v>arXiv:2208.05445</x:v>
      </x:c>
      <x:c r="H185" s="27" t="str">
        <x:v>Non-Contrastive Self-supervised Learning for Utterance-Level Information Extraction from Speech</x:v>
      </x:c>
      <x:c r="I185" s="17" t="str">
        <x:v>Jaejin Cho; Jes'us Villalba; Laureano Moro-Velazquez; Najim Dehak</x:v>
      </x:c>
      <x:c r="J185" s="22" t="n">
        <x:v>2022</x:v>
      </x:c>
      <x:c r="K185" s="27" t="str">
        <x:v>In recent studies, self-supervised pre-trained models tend to outperform supervised pre-trained models in transfer learning. In particular, self-supervised learning (SSL) of utterance-level speech representation can be used in speech applications that require discriminative representation of consistent attributes within an utterance: speaker, language, emotion, and age. Existing frame-level self-supervised speech representation, e.g., wav2vec, can be used as utterance-level representation with pooling, but the models are usually large. There are also SSL techniques to learn utterance-level representation. One of the most successful is a contrastive method, which requires negative sampling: selecting alternative samples to contrast with the current sample (anchor). However, this does not ensure that all the negative samples belong to classes different from the anchor class without labels. This paper applies a non-contrastive self-supervised method to learn utterance-level embeddings. We adapted DIstillation with NO labels (DINO) from computer vision to speech. Unlike contrastive methods, DINO does not require negative sampling. We compared DINO to x-vector trained in a supervised manner. When transferred to down-stream tasks (speaker verification, speech emotion recognition (SER), and Alzheimer's disease detection), DINO outperformed x-vector. We studied the influence of several aspects during transfer learning such as dividing the fine-tuning process into steps, chunk lengths, or augmentation. During fine-tuning, tuning the last affine layers first and then the whole network surpassed fine-tuning all at once. Using shorter chunk lengths, although they generate more diverse inputs, did not necessarily improve performance, implying speech segments at least with a specific length are required for better performance per application. Augmentation was helpful in SER.</x:v>
      </x:c>
      <x:c r="L185" s="17" t="str">
        <x:v>http://arxiv.org/abs/2208.05445v1</x:v>
      </x:c>
      <x:c r="M185" s="23" t="n">
        <x:v>0.01639344262295082</x:v>
      </x:c>
      <x:c r="N185" s="17" t="str">
        <x:v>arxiv-paper-eval-20260726-140242-results.jsonl</x:v>
      </x:c>
      <x:c r="O185" s="24" t="str">
        <x:v>1</x:v>
      </x:c>
      <x:c r="P185" s="28" t="str">
        <x:v>将非对比自监督用于语音表征，属于应用证据但不梳理目标演进。</x:v>
      </x:c>
      <x:c r="Q185" s="25" t="str"/>
      <x:c r="R185" s="24" t="str">
        <x:f>IF(Q185&lt;&gt;"",Q185,O185)</x:f>
        <x:v>1</x:v>
      </x:c>
      <x:c r="S185" s="29" t="str"/>
    </x:row>
    <x:row r="186" ht="54" customHeight="1">
      <x:c r="A186" s="17" t="str">
        <x:v>csq010-r05</x:v>
      </x:c>
      <x:c r="B186" s="17" t="str">
        <x:v>csq010</x:v>
      </x:c>
      <x:c r="C186" s="17" t="str">
        <x:v>machine_learning</x:v>
      </x:c>
      <x:c r="D186" s="17" t="str">
        <x:v>self_supervised_learning</x:v>
      </x:c>
      <x:c r="E186" s="27" t="str">
        <x:v>How have self-supervised representation learning objectives evolved from contrastive learning to non-contrastive and masked-prediction approaches?</x:v>
      </x:c>
      <x:c r="F186" s="22" t="n">
        <x:v>5</x:v>
      </x:c>
      <x:c r="G186" s="17" t="str">
        <x:v>arXiv:2206.04756</x:v>
      </x:c>
      <x:c r="H186" s="27" t="str">
        <x:v>An Empirical Study on Disentanglement of Negative-free Contrastive Learning</x:v>
      </x:c>
      <x:c r="I186" s="17" t="str">
        <x:v>Jinkun Cao; Ruiqian Nai; Qing Yang; Jialei Huang; Yang Gao</x:v>
      </x:c>
      <x:c r="J186" s="22" t="n">
        <x:v>2022</x:v>
      </x:c>
      <x:c r="K186" s="27" t="str">
        <x:v>Negative-free contrastive learning methods have attracted a lot of attention with simplicity and impressive performances for large-scale pretraining. However, its disentanglement property remains unexplored. In this paper, we examine negative-free contrastive learning methods to study the disentanglement property empirically. We find that existing disentanglement metrics fail to make meaningful measurements for high-dimensional representation models, so we propose a new disentanglement metric based on Mutual Information between latent representations and data factors. With this proposed metric, we benchmark the disentanglement property of negative-free contrastive learning on both popular synthetic datasets and a real-world dataset CelebA. Our study shows that the investigated methods can learn a well-disentangled subset of representation. As far as we know, we are the first to extend the study of disentangled representation learning to high-dimensional representation space and introduce negative-free contrastive learning methods into this area. The source code of this paper is available at \url{https://github.com/noahcao/disentanglement_lib_med}.</x:v>
      </x:c>
      <x:c r="L186" s="17" t="str">
        <x:v>http://arxiv.org/abs/2206.04756v2</x:v>
      </x:c>
      <x:c r="M186" s="23" t="n">
        <x:v>0.01639344262295082</x:v>
      </x:c>
      <x:c r="N186" s="17" t="str">
        <x:v>arxiv-paper-eval-20260726-140242-results.jsonl</x:v>
      </x:c>
      <x:c r="O186" s="24" t="str">
        <x:v>2</x:v>
      </x:c>
      <x:c r="P186" s="28" t="str">
        <x:v>实证研究无负样本对比学习的表征解耦，直接刻画非对比路线性质。</x:v>
      </x:c>
      <x:c r="Q186" s="25" t="str"/>
      <x:c r="R186" s="24" t="str">
        <x:f>IF(Q186&lt;&gt;"",Q186,O186)</x:f>
        <x:v>2</x:v>
      </x:c>
      <x:c r="S186" s="29" t="str"/>
    </x:row>
    <x:row r="187" ht="54" customHeight="1">
      <x:c r="A187" s="17" t="str">
        <x:v>csq010-r06</x:v>
      </x:c>
      <x:c r="B187" s="17" t="str">
        <x:v>csq010</x:v>
      </x:c>
      <x:c r="C187" s="17" t="str">
        <x:v>machine_learning</x:v>
      </x:c>
      <x:c r="D187" s="17" t="str">
        <x:v>self_supervised_learning</x:v>
      </x:c>
      <x:c r="E187" s="27" t="str">
        <x:v>How have self-supervised representation learning objectives evolved from contrastive learning to non-contrastive and masked-prediction approaches?</x:v>
      </x:c>
      <x:c r="F187" s="22" t="n">
        <x:v>6</x:v>
      </x:c>
      <x:c r="G187" s="17" t="str">
        <x:v>arXiv:2208.00173</x:v>
      </x:c>
      <x:c r="H187" s="27" t="str">
        <x:v>A Survey on Masked Autoencoder for Self-supervised Learning in Vision and Beyond</x:v>
      </x:c>
      <x:c r="I187" s="17" t="str">
        <x:v>Chaoning Zhang; Chenshuang Zhang; Junha Song; John Seon Keun Yi; Kang Zhang; In So Kweon</x:v>
      </x:c>
      <x:c r="J187" s="22" t="n">
        <x:v>2022</x:v>
      </x:c>
      <x:c r="K187" s="27" t="str">
        <x:v>Masked autoencoders are scalable vision learners, as the title of MAE \cite{he2022masked}, which suggests that self-supervised learning (SSL) in vision might undertake a similar trajectory as in NLP. Specifically, generative pretext tasks with the masked prediction (e.g., BERT) have become a de facto standard SSL practice in NLP. By contrast, early attempts at generative methods in vision have been buried by their discriminative counterparts (like contrastive learning); however, the success of mask image modeling has revived the masking autoencoder (often termed denoising autoencoder in the past). As a milestone to bridge the gap with BERT in NLP, masked autoencoder has attracted unprecedented attention for SSL in vision and beyond. This work conducts a comprehensive survey of masked autoencoders to shed insight on a promising direction of SSL. As the first to review SSL with masked autoencoders, this work focuses on its application in vision by discussing its historical developments, recent progress, and implications for diverse applications.</x:v>
      </x:c>
      <x:c r="L187" s="17" t="str">
        <x:v>http://arxiv.org/abs/2208.00173v1</x:v>
      </x:c>
      <x:c r="M187" s="23" t="n">
        <x:v>0.01639344262295082</x:v>
      </x:c>
      <x:c r="N187" s="17" t="str">
        <x:v>arxiv-paper-eval-20260726-140242-results.jsonl</x:v>
      </x:c>
      <x:c r="O187" s="24" t="str">
        <x:v>2</x:v>
      </x:c>
      <x:c r="P187" s="28" t="str">
        <x:v>综述掩码自编码从NLP到视觉的发展并与早期自监督路线比较。</x:v>
      </x:c>
      <x:c r="Q187" s="25" t="str"/>
      <x:c r="R187" s="24" t="str">
        <x:f>IF(Q187&lt;&gt;"",Q187,O187)</x:f>
        <x:v>2</x:v>
      </x:c>
      <x:c r="S187" s="29" t="str"/>
    </x:row>
    <x:row r="188" ht="54" customHeight="1">
      <x:c r="A188" s="17" t="str">
        <x:v>csq010-r07</x:v>
      </x:c>
      <x:c r="B188" s="17" t="str">
        <x:v>csq010</x:v>
      </x:c>
      <x:c r="C188" s="17" t="str">
        <x:v>machine_learning</x:v>
      </x:c>
      <x:c r="D188" s="17" t="str">
        <x:v>self_supervised_learning</x:v>
      </x:c>
      <x:c r="E188" s="27" t="str">
        <x:v>How have self-supervised representation learning objectives evolved from contrastive learning to non-contrastive and masked-prediction approaches?</x:v>
      </x:c>
      <x:c r="F188" s="22" t="n">
        <x:v>7</x:v>
      </x:c>
      <x:c r="G188" s="17" t="str">
        <x:v>arXiv:2212.04858</x:v>
      </x:c>
      <x:c r="H188" s="27" t="str">
        <x:v>Implicit variance regularization in non-contrastive SSL</x:v>
      </x:c>
      <x:c r="I188" s="17" t="str">
        <x:v>Manu Srinath Halvagal; Axel Laborieux; Friedemann Zenke</x:v>
      </x:c>
      <x:c r="J188" s="22" t="n">
        <x:v>2022</x:v>
      </x:c>
      <x:c r="K188" s="27" t="str">
        <x:v>Non-contrastive SSL methods like BYOL and SimSiam rely on asymmetric predictor networks to avoid representational collapse without negative samples. Yet, how predictor networks facilitate stable learning is not fully understood. While previous theoretical analyses assumed Euclidean losses, most practical implementations rely on cosine similarity. To gain further theoretical insight into non-contrastive SSL, we analytically study learning dynamics in conjunction with Euclidean and cosine similarity in the eigenspace of closed-form linear predictor networks. We show that both avoid collapse through implicit variance regularization albeit through different dynamical mechanisms. Moreover, we find that the eigenvalues act as effective learning rate multipliers and propose a family of isotropic loss functions (IsoLoss) that equalize convergence rates across eigenmodes. Empirically, IsoLoss speeds up the initial learning dynamics and increases robustness, thereby allowing us to dispense with the EMA target network typically used with non-contrastive methods. Our analysis sheds light on the variance regularization mechanisms of non-contrastive SSL and lays the theoretical grounds for crafting novel loss functions that shape the learning dynamics of the predictor's spectrum.</x:v>
      </x:c>
      <x:c r="L188" s="17" t="str">
        <x:v>http://arxiv.org/abs/2212.04858v2</x:v>
      </x:c>
      <x:c r="M188" s="23" t="n">
        <x:v>0.01639344262295082</x:v>
      </x:c>
      <x:c r="N188" s="17" t="str">
        <x:v>arxiv-paper-eval-20260726-140242-results.jsonl</x:v>
      </x:c>
      <x:c r="O188" s="24" t="str">
        <x:v>2</x:v>
      </x:c>
      <x:c r="P188" s="28" t="str">
        <x:v>解释非对比SSL中预测器和余弦损失的隐式方差正则机制。</x:v>
      </x:c>
      <x:c r="Q188" s="25" t="str"/>
      <x:c r="R188" s="24" t="str">
        <x:f>IF(Q188&lt;&gt;"",Q188,O188)</x:f>
        <x:v>2</x:v>
      </x:c>
      <x:c r="S188" s="29" t="str"/>
    </x:row>
    <x:row r="189" ht="54" customHeight="1">
      <x:c r="A189" s="17" t="str">
        <x:v>csq010-r08</x:v>
      </x:c>
      <x:c r="B189" s="17" t="str">
        <x:v>csq010</x:v>
      </x:c>
      <x:c r="C189" s="17" t="str">
        <x:v>machine_learning</x:v>
      </x:c>
      <x:c r="D189" s="17" t="str">
        <x:v>self_supervised_learning</x:v>
      </x:c>
      <x:c r="E189" s="27" t="str">
        <x:v>How have self-supervised representation learning objectives evolved from contrastive learning to non-contrastive and masked-prediction approaches?</x:v>
      </x:c>
      <x:c r="F189" s="22" t="n">
        <x:v>8</x:v>
      </x:c>
      <x:c r="G189" s="17" t="str">
        <x:v>arXiv:2406.10815</x:v>
      </x:c>
      <x:c r="H189" s="27" t="str">
        <x:v>On the Effectiveness of Supervision in Asymmetric Non-Contrastive Learning</x:v>
      </x:c>
      <x:c r="I189" s="17" t="str">
        <x:v>Jeongheon Oh; Kibok Lee</x:v>
      </x:c>
      <x:c r="J189" s="22" t="n">
        <x:v>2024</x:v>
      </x:c>
      <x:c r="K189" s="27" t="str">
        <x:v>Supervised contrastive representation learning has been shown to be effective in various transfer learning scenarios. However, while asymmetric non-contrastive learning (ANCL) often outperforms its contrastive learning counterpart in self-supervised representation learning, the extension of ANCL to supervised scenarios is less explored. To bridge the gap, we study ANCL for supervised representation learning, coined SupSiam and SupBYOL, leveraging labels in ANCL to achieve better representations. The proposed supervised ANCL framework improves representation learning while avoiding collapse. Our analysis reveals that providing supervision to ANCL reduces intra-class variance, and the contribution of supervision should be adjusted to achieve the best performance. Experiments demonstrate the superiority of supervised ANCL across various datasets and tasks. The code is available at: https://github.com/JH-Oh-23/Sup-ANCL.</x:v>
      </x:c>
      <x:c r="L189" s="17" t="str">
        <x:v>http://arxiv.org/abs/2406.10815v1</x:v>
      </x:c>
      <x:c r="M189" s="23" t="n">
        <x:v>0.016129032258064516</x:v>
      </x:c>
      <x:c r="N189" s="17" t="str">
        <x:v>arxiv-paper-eval-20260726-140242-results.jsonl</x:v>
      </x:c>
      <x:c r="O189" s="24" t="str">
        <x:v>1</x:v>
      </x:c>
      <x:c r="P189" s="28" t="str">
        <x:v>把非对比目标扩展到有监督表示学习，相关但偏离自监督演变主线。</x:v>
      </x:c>
      <x:c r="Q189" s="25" t="str"/>
      <x:c r="R189" s="24" t="str">
        <x:f>IF(Q189&lt;&gt;"",Q189,O189)</x:f>
        <x:v>1</x:v>
      </x:c>
      <x:c r="S189" s="29" t="str"/>
    </x:row>
    <x:row r="190" ht="54" customHeight="1">
      <x:c r="A190" s="17" t="str">
        <x:v>csq010-r09</x:v>
      </x:c>
      <x:c r="B190" s="17" t="str">
        <x:v>csq010</x:v>
      </x:c>
      <x:c r="C190" s="17" t="str">
        <x:v>machine_learning</x:v>
      </x:c>
      <x:c r="D190" s="17" t="str">
        <x:v>self_supervised_learning</x:v>
      </x:c>
      <x:c r="E190" s="27" t="str">
        <x:v>How have self-supervised representation learning objectives evolved from contrastive learning to non-contrastive and masked-prediction approaches?</x:v>
      </x:c>
      <x:c r="F190" s="22" t="n">
        <x:v>9</x:v>
      </x:c>
      <x:c r="G190" s="17" t="str">
        <x:v>arXiv:2403.06432</x:v>
      </x:c>
      <x:c r="H190" s="27" t="str">
        <x:v>Joint-Embedding Masked Autoencoder for Self-supervised Learning of Dynamic Functional Connectivity from the Human Brain</x:v>
      </x:c>
      <x:c r="I190" s="17" t="str">
        <x:v>Jungwon Choi; Hyungi Lee; Byung-Hoon Kim; Juho Lee</x:v>
      </x:c>
      <x:c r="J190" s="22" t="n">
        <x:v>2024</x:v>
      </x:c>
      <x:c r="K190" s="27" t="str">
        <x:v>Graph Neural Networks (GNNs) have shown promise in learning dynamic functional connectivity for distinguishing phenotypes from human brain networks. However, obtaining extensive labeled clinical data for training is often resource-intensive, making practical application difficult. Leveraging unlabeled data thus becomes crucial for representation learning in a label-scarce setting. Although generative self-supervised learning techniques, especially masked autoencoders, have shown promising results in representation learning in various domains, their application to dynamic graphs for dynamic functional connectivity remains underexplored, facing challenges in capturing high-level semantic representations. Here, we introduce the Spatio-Temporal Joint Embedding Masked Autoencoder (ST-JEMA), drawing inspiration from the Joint Embedding Predictive Architecture (JEPA) in computer vision. ST-JEMA employs a JEPA-inspired strategy for reconstructing dynamic graphs, which enables the learning of higher-level semantic representations considering temporal perspectives, addressing the challenges in fMRI data representation learning. Utilizing the large-scale UK Biobank dataset for self-supervised learning, ST-JEMA shows exceptional representation learning performance on dynamic functional connectivity demonstrating superiority over previous methods in predicting phenotypes and psychiatric diagnoses across eight benchmark fMRI datasets even with limited samples and effectiveness of temporal reconstruction on missing data scenarios. These findings highlight the potential of our approach as a robust representation learning method for leveraging label-scarce fMRI data.</x:v>
      </x:c>
      <x:c r="L190" s="17" t="str">
        <x:v>http://arxiv.org/abs/2403.06432v2</x:v>
      </x:c>
      <x:c r="M190" s="23" t="n">
        <x:v>0.016129032258064516</x:v>
      </x:c>
      <x:c r="N190" s="17" t="str">
        <x:v>arxiv-paper-eval-20260726-140242-results.jsonl</x:v>
      </x:c>
      <x:c r="O190" s="24" t="str">
        <x:v>1</x:v>
      </x:c>
      <x:c r="P190" s="28" t="str">
        <x:v>将联合嵌入掩码自编码用于脑网络，属于特定领域的掩码预测应用。</x:v>
      </x:c>
      <x:c r="Q190" s="25" t="str"/>
      <x:c r="R190" s="24" t="str">
        <x:f>IF(Q190&lt;&gt;"",Q190,O190)</x:f>
        <x:v>1</x:v>
      </x:c>
      <x:c r="S190" s="29" t="str"/>
    </x:row>
    <x:row r="191" ht="54" customHeight="1">
      <x:c r="A191" s="17" t="str">
        <x:v>csq010-r10</x:v>
      </x:c>
      <x:c r="B191" s="17" t="str">
        <x:v>csq010</x:v>
      </x:c>
      <x:c r="C191" s="17" t="str">
        <x:v>machine_learning</x:v>
      </x:c>
      <x:c r="D191" s="17" t="str">
        <x:v>self_supervised_learning</x:v>
      </x:c>
      <x:c r="E191" s="27" t="str">
        <x:v>How have self-supervised representation learning objectives evolved from contrastive learning to non-contrastive and masked-prediction approaches?</x:v>
      </x:c>
      <x:c r="F191" s="22" t="n">
        <x:v>10</x:v>
      </x:c>
      <x:c r="G191" s="17" t="str">
        <x:v>arXiv:2212.11187</x:v>
      </x:c>
      <x:c r="H191" s="27" t="str">
        <x:v>Similarity Contrastive Estimation for Image and Video Soft Contrastive Self-Supervised Learning</x:v>
      </x:c>
      <x:c r="I191" s="17" t="str">
        <x:v>Julien Denize; Jaonary Rabarisoa; Astrid Orcesi; Romain Hérault</x:v>
      </x:c>
      <x:c r="J191" s="22" t="n">
        <x:v>2022</x:v>
      </x:c>
      <x:c r="K191" s="27" t="str">
        <x:v>Contrastive representation learning has proven to be an effective self-supervised learning method for images and videos. Most successful approaches are based on Noise Contrastive Estimation (NCE) and use different views of an instance as positives that should be contrasted with other instances, called negatives, that are considered as noise. However, several instances in a dataset are drawn from the same distribution and share underlying semantic information. A good data representation should contain relations between the instances, or semantic similarity and dissimilarity, that contrastive learning harms by considering all negatives as noise. To circumvent this issue, we propose a novel formulation of contrastive learning using semantic similarity between instances called Similarity Contrastive Estimation (SCE). Our training objective is a soft contrastive one that brings the positives closer and estimates a continuous distribution to push or pull negative instances based on their learned similarities. We validate empirically our approach on both image and video representation learning. We show that SCE performs competitively with the state of the art on the ImageNet linear evaluation protocol for fewer pretraining epochs and that it generalizes to several downstream image tasks. We also show that SCE reaches state-of-the-art results for pretraining video representation and that the learned representation can generalize to video downstream tasks.</x:v>
      </x:c>
      <x:c r="L191" s="17" t="str">
        <x:v>http://arxiv.org/abs/2212.11187v1</x:v>
      </x:c>
      <x:c r="M191" s="23" t="n">
        <x:v>0.016129032258064516</x:v>
      </x:c>
      <x:c r="N191" s="17" t="str">
        <x:v>arxiv-paper-eval-20260726-140242-results.jsonl</x:v>
      </x:c>
      <x:c r="O191" s="24" t="str">
        <x:v>2</x:v>
      </x:c>
      <x:c r="P191" s="28" t="str">
        <x:v>改造传统噪声对比目标为软对比估计，直接展示对比学习目标演化。</x:v>
      </x:c>
      <x:c r="Q191" s="25" t="str"/>
      <x:c r="R191" s="24" t="str">
        <x:f>IF(Q191&lt;&gt;"",Q191,O191)</x:f>
        <x:v>2</x:v>
      </x:c>
      <x:c r="S191" s="29" t="str"/>
    </x:row>
    <x:row r="192" ht="54" customHeight="1">
      <x:c r="A192" s="17" t="str">
        <x:v>csq010-r11</x:v>
      </x:c>
      <x:c r="B192" s="17" t="str">
        <x:v>csq010</x:v>
      </x:c>
      <x:c r="C192" s="17" t="str">
        <x:v>machine_learning</x:v>
      </x:c>
      <x:c r="D192" s="17" t="str">
        <x:v>self_supervised_learning</x:v>
      </x:c>
      <x:c r="E192" s="27" t="str">
        <x:v>How have self-supervised representation learning objectives evolved from contrastive learning to non-contrastive and masked-prediction approaches?</x:v>
      </x:c>
      <x:c r="F192" s="22" t="n">
        <x:v>11</x:v>
      </x:c>
      <x:c r="G192" s="17" t="str">
        <x:v>arXiv:2310.18653</x:v>
      </x:c>
      <x:c r="H192" s="27" t="str">
        <x:v>Feature Guided Masked Autoencoder for Self-supervised Learning in Remote Sensing</x:v>
      </x:c>
      <x:c r="I192" s="17" t="str">
        <x:v>Yi Wang; Hugo Hernández Hernández; Conrad M Albrecht; Xiao Xiang Zhu</x:v>
      </x:c>
      <x:c r="J192" s="22" t="n">
        <x:v>2023</x:v>
      </x:c>
      <x:c r="K192" s="27" t="str">
        <x:v>Self-supervised learning guided by masked image modelling, such as Masked AutoEncoder (MAE), has attracted wide attention for pretraining vision transformers in remote sensing. However, MAE tends to excessively focus on pixel details, thereby limiting the model's capacity for semantic understanding, in particular for noisy SAR images. In this paper, we explore spectral and spatial remote sensing image features as improved MAE-reconstruction targets. We first conduct a study on reconstructing various image features, all performing comparably well or better than raw pixels. Based on such observations, we propose Feature Guided Masked Autoencoder (FG-MAE): reconstructing a combination of Histograms of Oriented Graidents (HOG) and Normalized Difference Indices (NDI) for multispectral images, and reconstructing HOG for SAR images. Experimental results on three downstream tasks illustrate the effectiveness of FG-MAE with a particular boost for SAR imagery. Furthermore, we demonstrate the well-inherited scalability of FG-MAE and release a first series of pretrained vision transformers for medium resolution SAR and multispectral images.</x:v>
      </x:c>
      <x:c r="L192" s="17" t="str">
        <x:v>http://arxiv.org/abs/2310.18653v1</x:v>
      </x:c>
      <x:c r="M192" s="23" t="n">
        <x:v>0.015873015873015872</x:v>
      </x:c>
      <x:c r="N192" s="17" t="str">
        <x:v>arxiv-paper-eval-20260726-140242-results.jsonl</x:v>
      </x:c>
      <x:c r="O192" s="24" t="str">
        <x:v>1</x:v>
      </x:c>
      <x:c r="P192" s="28" t="str">
        <x:v>改进遥感掩码自编码的特征引导方式，属于特定应用方法。</x:v>
      </x:c>
      <x:c r="Q192" s="25" t="str"/>
      <x:c r="R192" s="24" t="str">
        <x:f>IF(Q192&lt;&gt;"",Q192,O192)</x:f>
        <x:v>1</x:v>
      </x:c>
      <x:c r="S192" s="29" t="str"/>
    </x:row>
    <x:row r="193" ht="54" customHeight="1">
      <x:c r="A193" s="17" t="str">
        <x:v>csq010-r12</x:v>
      </x:c>
      <x:c r="B193" s="17" t="str">
        <x:v>csq010</x:v>
      </x:c>
      <x:c r="C193" s="17" t="str">
        <x:v>machine_learning</x:v>
      </x:c>
      <x:c r="D193" s="17" t="str">
        <x:v>self_supervised_learning</x:v>
      </x:c>
      <x:c r="E193" s="27" t="str">
        <x:v>How have self-supervised representation learning objectives evolved from contrastive learning to non-contrastive and masked-prediction approaches?</x:v>
      </x:c>
      <x:c r="F193" s="22" t="n">
        <x:v>12</x:v>
      </x:c>
      <x:c r="G193" s="17" t="str">
        <x:v>arXiv:2206.02574</x:v>
      </x:c>
      <x:c r="H193" s="27" t="str">
        <x:v>On the duality between contrastive and non-contrastive self-supervised learning</x:v>
      </x:c>
      <x:c r="I193" s="17" t="str">
        <x:v>Quentin Garrido; Yubei Chen; Adrien Bardes; Laurent Najman; Yann Lecun</x:v>
      </x:c>
      <x:c r="J193" s="22" t="n">
        <x:v>2022</x:v>
      </x:c>
      <x:c r="K193" s="27" t="str">
        <x:v>Recent approaches in self-supervised learning of image representations can be categorized into different families of methods and, in particular, can be divided into contrastive and non-contrastive approaches. While differences between the two families have been thoroughly discussed to motivate new approaches, we focus more on the theoretical similarities between them. By designing contrastive and covariance based non-contrastive criteria that can be related algebraically and shown to be equivalent under limited assumptions, we show how close those families can be. We further study popular methods and introduce variations of them, allowing us to relate this theoretical result to current practices and show the influence (or lack thereof) of design choices on downstream performance. Motivated by our equivalence result, we investigate the low performance of SimCLR and show how it can match VICReg's with careful hyperparameter tuning, improving significantly over known baselines. We also challenge the popular assumption that non-contrastive methods need large output dimensions. Our theoretical and quantitative results suggest that the numerical gaps between contrastive and non-contrastive methods in certain regimes can be closed given better network design choices and hyperparameter tuning. The evidence shows that unifying different SOTA methods is an important direction to build a better understanding of self-supervised learning.</x:v>
      </x:c>
      <x:c r="L193" s="17" t="str">
        <x:v>http://arxiv.org/abs/2206.02574v3</x:v>
      </x:c>
      <x:c r="M193" s="23" t="n">
        <x:v>0.015873015873015872</x:v>
      </x:c>
      <x:c r="N193" s="17" t="str">
        <x:v>arxiv-paper-eval-20260726-140242-results.jsonl</x:v>
      </x:c>
      <x:c r="O193" s="24" t="str">
        <x:v>2</x:v>
      </x:c>
      <x:c r="P193" s="28" t="str">
        <x:v>从理论上分析对比与非对比SSL的对偶和共同结构，直接用于路线比较。</x:v>
      </x:c>
      <x:c r="Q193" s="25" t="str"/>
      <x:c r="R193" s="24" t="str">
        <x:f>IF(Q193&lt;&gt;"",Q193,O193)</x:f>
        <x:v>2</x:v>
      </x:c>
      <x:c r="S193" s="29" t="str"/>
    </x:row>
    <x:row r="194" ht="54" customHeight="1">
      <x:c r="A194" s="17" t="str">
        <x:v>csq010-r13</x:v>
      </x:c>
      <x:c r="B194" s="17" t="str">
        <x:v>csq010</x:v>
      </x:c>
      <x:c r="C194" s="17" t="str">
        <x:v>machine_learning</x:v>
      </x:c>
      <x:c r="D194" s="17" t="str">
        <x:v>self_supervised_learning</x:v>
      </x:c>
      <x:c r="E194" s="27" t="str">
        <x:v>How have self-supervised representation learning objectives evolved from contrastive learning to non-contrastive and masked-prediction approaches?</x:v>
      </x:c>
      <x:c r="F194" s="22" t="n">
        <x:v>13</x:v>
      </x:c>
      <x:c r="G194" s="17" t="str">
        <x:v>arXiv:2203.15702</x:v>
      </x:c>
      <x:c r="H194" s="27" t="str">
        <x:v>Contrasting the landscape of contrastive and non-contrastive learning</x:v>
      </x:c>
      <x:c r="I194" s="17" t="str">
        <x:v>Ashwini Pokle; Jinjin Tian; Yuchen Li; Andrej Risteski</x:v>
      </x:c>
      <x:c r="J194" s="22" t="n">
        <x:v>2022</x:v>
      </x:c>
      <x:c r="K194" s="27" t="str">
        <x:v>A lot of recent advances in unsupervised feature learning are based on designing features which are invariant under semantic data augmentations. A common way to do this is contrastive learning, which uses positive and negative samples. Some recent works however have shown promising results for non-contrastive learning, which does not require negative samples. However, the non-contrastive losses have obvious "collapsed" minima, in which the encoders output a constant feature embedding, independent of the input. A folk conjecture is that so long as these collapsed solutions are avoided, the produced feature representations should be good. In our paper, we cast doubt on this story: we show through theoretical results and controlled experiments that even on simple data models, non-contrastive losses have a preponderance of non-collapsed bad minima. Moreover, we show that the training process does not avoid these minima.</x:v>
      </x:c>
      <x:c r="L194" s="17" t="str">
        <x:v>http://arxiv.org/abs/2203.15702v1</x:v>
      </x:c>
      <x:c r="M194" s="23" t="n">
        <x:v>0.015873015873015872</x:v>
      </x:c>
      <x:c r="N194" s="17" t="str">
        <x:v>arxiv-paper-eval-20260726-140242-results.jsonl</x:v>
      </x:c>
      <x:c r="O194" s="24" t="str">
        <x:v>2</x:v>
      </x:c>
      <x:c r="P194" s="28" t="str">
        <x:v>直接比较对比和非对比学习的损失景观与坍塌行为。</x:v>
      </x:c>
      <x:c r="Q194" s="25" t="str"/>
      <x:c r="R194" s="24" t="str">
        <x:f>IF(Q194&lt;&gt;"",Q194,O194)</x:f>
        <x:v>2</x:v>
      </x:c>
      <x:c r="S194" s="29" t="str"/>
    </x:row>
    <x:row r="195" ht="54" customHeight="1">
      <x:c r="A195" s="17" t="str">
        <x:v>csq010-r14</x:v>
      </x:c>
      <x:c r="B195" s="17" t="str">
        <x:v>csq010</x:v>
      </x:c>
      <x:c r="C195" s="17" t="str">
        <x:v>machine_learning</x:v>
      </x:c>
      <x:c r="D195" s="17" t="str">
        <x:v>self_supervised_learning</x:v>
      </x:c>
      <x:c r="E195" s="27" t="str">
        <x:v>How have self-supervised representation learning objectives evolved from contrastive learning to non-contrastive and masked-prediction approaches?</x:v>
      </x:c>
      <x:c r="F195" s="22" t="n">
        <x:v>14</x:v>
      </x:c>
      <x:c r="G195" s="17" t="str">
        <x:v>arXiv:2501.13031</x:v>
      </x:c>
      <x:c r="H195" s="27" t="str">
        <x:v>A Probabilistic Model for Non-Contrastive Learning</x:v>
      </x:c>
      <x:c r="I195" s="17" t="str">
        <x:v>Maximilian Fleissner; Pascal Esser; Debarghya Ghoshdastidar</x:v>
      </x:c>
      <x:c r="J195" s="22" t="n">
        <x:v>2025</x:v>
      </x:c>
      <x:c r="K195" s="27" t="str">
        <x:v>Self-supervised learning (SSL) aims to find meaningful representations from unlabeled data by encoding semantic similarities through data augmentations. Despite its current popularity, theoretical insights about SSL are still scarce. For example, it is not yet known whether commonly used SSL loss functions can be related to a statistical model, much in the same as OLS, generalized linear models or PCA naturally emerge as maximum likelihood estimates of an underlying generative process. In this short paper, we consider a latent variable statistical model for SSL that exhibits an interesting property: Depending on the informativeness of the data augmentations, the MLE of the model either reduces to PCA, or approaches a simple non-contrastive loss. We analyze the model and also empirically illustrate our findings.</x:v>
      </x:c>
      <x:c r="L195" s="17" t="str">
        <x:v>http://arxiv.org/abs/2501.13031v2</x:v>
      </x:c>
      <x:c r="M195" s="23" t="n">
        <x:v>0.015625</x:v>
      </x:c>
      <x:c r="N195" s="17" t="str">
        <x:v>arxiv-paper-eval-20260726-140242-results.jsonl</x:v>
      </x:c>
      <x:c r="O195" s="24" t="str">
        <x:v>2</x:v>
      </x:c>
      <x:c r="P195" s="28" t="str">
        <x:v>为非对比学习建立概率模型，直接解释该类目标的理论基础。</x:v>
      </x:c>
      <x:c r="Q195" s="25" t="str"/>
      <x:c r="R195" s="24" t="str">
        <x:f>IF(Q195&lt;&gt;"",Q195,O195)</x:f>
        <x:v>2</x:v>
      </x:c>
      <x:c r="S195" s="29" t="str"/>
    </x:row>
    <x:row r="196" ht="54" customHeight="1">
      <x:c r="A196" s="17" t="str">
        <x:v>csq010-r15</x:v>
      </x:c>
      <x:c r="B196" s="17" t="str">
        <x:v>csq010</x:v>
      </x:c>
      <x:c r="C196" s="17" t="str">
        <x:v>machine_learning</x:v>
      </x:c>
      <x:c r="D196" s="17" t="str">
        <x:v>self_supervised_learning</x:v>
      </x:c>
      <x:c r="E196" s="27" t="str">
        <x:v>How have self-supervised representation learning objectives evolved from contrastive learning to non-contrastive and masked-prediction approaches?</x:v>
      </x:c>
      <x:c r="F196" s="22" t="n">
        <x:v>15</x:v>
      </x:c>
      <x:c r="G196" s="17" t="str">
        <x:v>arXiv:2306.00543</x:v>
      </x:c>
      <x:c r="H196" s="27" t="str">
        <x:v>A Novel Driver Distraction Behavior Detection Method Based on Self-supervised Learning with Masked Image Modeling</x:v>
      </x:c>
      <x:c r="I196" s="17" t="str">
        <x:v>Yingzhi Zhang; Taiguo Li; Chao Li; Xinghong Zhou</x:v>
      </x:c>
      <x:c r="J196" s="22" t="n">
        <x:v>2023</x:v>
      </x:c>
      <x:c r="K196" s="27" t="str">
        <x:v>Driver distraction causes a significant number of traffic accidents every year, resulting in economic losses and casualties. Currently, the level of automation in commercial vehicles is far from completely unmanned, and drivers still play an important role in operating and controlling the vehicle. Therefore, driver distraction behavior detection is crucial for road safety. At present, driver distraction detection primarily relies on traditional convolutional neural networks (CNN) and supervised learning methods. However, there are still challenges such as the high cost of labeled datasets, limited ability to capture high-level semantic information, and weak generalization performance. In order to solve these problems, this paper proposes a new self-supervised learning method based on masked image modeling for driver distraction behavior detection. Firstly, a self-supervised learning framework for masked image modeling (MIM) is introduced to solve the serious human and material consumption issues caused by dataset labeling. Secondly, the Swin Transformer is employed as an encoder. Performance is enhanced by reconfiguring the Swin Transformer block and adjusting the distribution of the number of window multi-head self-attention (W-MSA) and shifted window multi-head self-attention (SW-MSA) detection heads across all stages, which leads to model more lightening. Finally, various data augmentation strategies are used along with the best random masking strategy to strengthen the model's recognition and generalization ability. Test results on a large-scale driver distraction behavior dataset show that the self-supervised learning method proposed in this paper achieves an accuracy of 99.60%, approximating the excellent performance of advanced supervised learning methods. Our code is publicly available at github.com/Rocky1salady-killer/SL-DDBD.</x:v>
      </x:c>
      <x:c r="L196" s="17" t="str">
        <x:v>http://arxiv.org/abs/2306.00543v4</x:v>
      </x:c>
      <x:c r="M196" s="23" t="n">
        <x:v>0.015625</x:v>
      </x:c>
      <x:c r="N196" s="17" t="str">
        <x:v>arxiv-paper-eval-20260726-140242-results.jsonl</x:v>
      </x:c>
      <x:c r="O196" s="24" t="str">
        <x:v>1</x:v>
      </x:c>
      <x:c r="P196" s="28" t="str">
        <x:v>将掩码图像建模用于驾驶分心检测，属于下游应用而非目标演进研究。</x:v>
      </x:c>
      <x:c r="Q196" s="25" t="str"/>
      <x:c r="R196" s="24" t="str">
        <x:f>IF(Q196&lt;&gt;"",Q196,O196)</x:f>
        <x:v>1</x:v>
      </x:c>
      <x:c r="S196" s="29" t="str"/>
    </x:row>
    <x:row r="197" ht="54" customHeight="1">
      <x:c r="A197" s="17" t="str">
        <x:v>csq010-r16</x:v>
      </x:c>
      <x:c r="B197" s="17" t="str">
        <x:v>csq010</x:v>
      </x:c>
      <x:c r="C197" s="17" t="str">
        <x:v>machine_learning</x:v>
      </x:c>
      <x:c r="D197" s="17" t="str">
        <x:v>self_supervised_learning</x:v>
      </x:c>
      <x:c r="E197" s="27" t="str">
        <x:v>How have self-supervised representation learning objectives evolved from contrastive learning to non-contrastive and masked-prediction approaches?</x:v>
      </x:c>
      <x:c r="F197" s="22" t="n">
        <x:v>16</x:v>
      </x:c>
      <x:c r="G197" s="17" t="str">
        <x:v>arXiv:2211.05304</x:v>
      </x:c>
      <x:c r="H197" s="27" t="str">
        <x:v>Contrastive Self-Supervised Learning for Skeleton Representations</x:v>
      </x:c>
      <x:c r="I197" s="17" t="str">
        <x:v>Nico Lingg; Miguel Sarabia; Luca Zappella; Barry-John Theobald</x:v>
      </x:c>
      <x:c r="J197" s="22" t="n">
        <x:v>2022</x:v>
      </x:c>
      <x:c r="K197" s="27" t="str">
        <x:v>Human skeleton point clouds are commonly used to automatically classify and predict the behaviour of others. In this paper, we use a contrastive self-supervised learning method, SimCLR, to learn representations that capture the semantics of skeleton point clouds. This work focuses on systematically evaluating the effects that different algorithmic decisions (including augmentations, dataset partitioning and backbone architecture) have on the learned skeleton representations. To pre-train the representations, we normalise six existing datasets to obtain more than 40 million skeleton frames. We evaluate the quality of the learned representations with three downstream tasks: skeleton reconstruction, motion prediction, and activity classification. Our results demonstrate the importance of 1) combining spatial and temporal augmentations, 2) including additional datasets for encoder training, and 3) and using a graph neural network as an encoder.</x:v>
      </x:c>
      <x:c r="L197" s="17" t="str">
        <x:v>http://arxiv.org/abs/2211.05304v1</x:v>
      </x:c>
      <x:c r="M197" s="23" t="n">
        <x:v>0.015625</x:v>
      </x:c>
      <x:c r="N197" s="17" t="str">
        <x:v>arxiv-paper-eval-20260726-140242-results.jsonl</x:v>
      </x:c>
      <x:c r="O197" s="24" t="str">
        <x:v>1</x:v>
      </x:c>
      <x:c r="P197" s="28" t="str">
        <x:v>评估SimCLR在骨架表征中的设计选择，提供对比学习应用证据但范围窄。</x:v>
      </x:c>
      <x:c r="Q197" s="25" t="str"/>
      <x:c r="R197" s="24" t="str">
        <x:f>IF(Q197&lt;&gt;"",Q197,O197)</x:f>
        <x:v>1</x:v>
      </x:c>
      <x:c r="S197" s="29" t="str"/>
    </x:row>
    <x:row r="198" ht="54" customHeight="1">
      <x:c r="A198" s="17" t="str">
        <x:v>csq010-r17</x:v>
      </x:c>
      <x:c r="B198" s="17" t="str">
        <x:v>csq010</x:v>
      </x:c>
      <x:c r="C198" s="17" t="str">
        <x:v>machine_learning</x:v>
      </x:c>
      <x:c r="D198" s="17" t="str">
        <x:v>self_supervised_learning</x:v>
      </x:c>
      <x:c r="E198" s="27" t="str">
        <x:v>How have self-supervised representation learning objectives evolved from contrastive learning to non-contrastive and masked-prediction approaches?</x:v>
      </x:c>
      <x:c r="F198" s="22" t="n">
        <x:v>17</x:v>
      </x:c>
      <x:c r="G198" s="17" t="str">
        <x:v>arXiv:2211.14394</x:v>
      </x:c>
      <x:c r="H198" s="27" t="str">
        <x:v>Link Prediction with Non-Contrastive Learning</x:v>
      </x:c>
      <x:c r="I198" s="17" t="str">
        <x:v>William Shiao; Zhichun Guo; Tong Zhao; Evangelos E. Papalexakis; Yozen Liu; Neil Shah</x:v>
      </x:c>
      <x:c r="J198" s="22" t="n">
        <x:v>2022</x:v>
      </x:c>
      <x:c r="K198" s="27" t="str">
        <x:v>A recent focal area in the space of graph neural networks (GNNs) is graph self-supervised learning (SSL), which aims to derive useful node representations without labeled data. Notably, many state-of-the-art graph SSL methods are contrastive methods, which use a combination of positive and negative samples to learn node representations. Owing to challenges in negative sampling (slowness and model sensitivity), recent literature introduced non-contrastive methods, which instead only use positive samples. Though such methods have shown promising performance in node-level tasks, their suitability for link prediction tasks, which are concerned with predicting link existence between pairs of nodes (and have broad applicability to recommendation systems contexts) is yet unexplored. In this work, we extensively evaluate the performance of existing non-contrastive methods for link prediction in both transductive and inductive settings. While most existing non-contrastive methods perform poorly overall, we find that, surprisingly, BGRL generally performs well in transductive settings. However, it performs poorly in the more realistic inductive settings where the model has to generalize to links to/from unseen nodes. We find that non-contrastive models tend to overfit to the training graph and use this analysis to propose T-BGRL, a novel non-contrastive framework that incorporates cheap corruptions to improve the generalization ability of the model. This simple modification strongly improves inductive performance in 5/6 of our datasets, with up to a 120% improvement in Hits@50--all with comparable speed to other non-contrastive baselines and up to 14x faster than the best-performing contrastive baseline. Our work imparts interesting findings about non-contrastive learning for link prediction and paves the way for future researchers to further expand upon this area.</x:v>
      </x:c>
      <x:c r="L198" s="17" t="str">
        <x:v>http://arxiv.org/abs/2211.14394v2</x:v>
      </x:c>
      <x:c r="M198" s="23" t="n">
        <x:v>0.015625</x:v>
      </x:c>
      <x:c r="N198" s="17" t="str">
        <x:v>arxiv-paper-eval-20260726-140242-results.jsonl</x:v>
      </x:c>
      <x:c r="O198" s="24" t="str">
        <x:v>1</x:v>
      </x:c>
      <x:c r="P198" s="28" t="str">
        <x:v>将非对比学习用于图链接预测，相关但重点是特定任务应用。</x:v>
      </x:c>
      <x:c r="Q198" s="25" t="str"/>
      <x:c r="R198" s="24" t="str">
        <x:f>IF(Q198&lt;&gt;"",Q198,O198)</x:f>
        <x:v>1</x:v>
      </x:c>
      <x:c r="S198" s="29" t="str"/>
    </x:row>
    <x:row r="199" ht="54" customHeight="1">
      <x:c r="A199" s="17" t="str">
        <x:v>csq010-r18</x:v>
      </x:c>
      <x:c r="B199" s="17" t="str">
        <x:v>csq010</x:v>
      </x:c>
      <x:c r="C199" s="17" t="str">
        <x:v>machine_learning</x:v>
      </x:c>
      <x:c r="D199" s="17" t="str">
        <x:v>self_supervised_learning</x:v>
      </x:c>
      <x:c r="E199" s="27" t="str">
        <x:v>How have self-supervised representation learning objectives evolved from contrastive learning to non-contrastive and masked-prediction approaches?</x:v>
      </x:c>
      <x:c r="F199" s="22" t="n">
        <x:v>18</x:v>
      </x:c>
      <x:c r="G199" s="17" t="str">
        <x:v>arXiv:2404.08526</x:v>
      </x:c>
      <x:c r="H199" s="27" t="str">
        <x:v>Masked Image Modeling as a Framework for Self-Supervised Learning across Eye Movements</x:v>
      </x:c>
      <x:c r="I199" s="17" t="str">
        <x:v>Robin Weiler; Matthias Brucklacher; Cyriel M. A. Pennartz; Sander M. Bohté</x:v>
      </x:c>
      <x:c r="J199" s="22" t="n">
        <x:v>2024</x:v>
      </x:c>
      <x:c r="K199" s="27" t="str">
        <x:v>To make sense of their surroundings, intelligent systems must transform complex sensory inputs to structured codes that are reduced to task-relevant information such as object category. Biological agents achieve this in a largely autonomous manner, presumably via self-supervised learning. Whereas previous attempts to model the underlying mechanisms were largely discriminative in nature, there is ample evidence that the brain employs a generative model of the world. Here, we propose that eye movements, in combination with the focused nature of primate vision, constitute a generative, self-supervised task of predicting and revealing visual information. We construct a proof-of-principle model starting from the framework of masked image modeling (MIM), a common approach in deep representation learning. To do so, we analyze how core components of MIM such as masking technique and data augmentation influence the formation of category-specific representations. This allows us not only to better understand the principles behind MIM, but to then reassemble a MIM more in line with the focused nature of biological perception. We find that MIM disentangles neurons in latent space without explicit regularization, a property that has been suggested to structure visual representations in primates. Together with previous findings of invariance learning, this highlights an interesting connection of MIM to latent regularization approaches for self-supervised learning. The source code is available under https://github.com/RobinWeiler/FocusMIM</x:v>
      </x:c>
      <x:c r="L199" s="17" t="str">
        <x:v>http://arxiv.org/abs/2404.08526v2</x:v>
      </x:c>
      <x:c r="M199" s="23" t="n">
        <x:v>0.015384615384615385</x:v>
      </x:c>
      <x:c r="N199" s="17" t="str">
        <x:v>arxiv-paper-eval-20260726-140242-results.jsonl</x:v>
      </x:c>
      <x:c r="O199" s="24" t="str">
        <x:v>1</x:v>
      </x:c>
      <x:c r="P199" s="28" t="str">
        <x:v>用掩码图像建模解释眼动自监督表征，属于专门应用。</x:v>
      </x:c>
      <x:c r="Q199" s="25" t="str"/>
      <x:c r="R199" s="24" t="str">
        <x:f>IF(Q199&lt;&gt;"",Q199,O199)</x:f>
        <x:v>1</x:v>
      </x:c>
      <x:c r="S199" s="29" t="str"/>
    </x:row>
    <x:row r="200" ht="54" customHeight="1">
      <x:c r="A200" s="17" t="str">
        <x:v>csq010-r19</x:v>
      </x:c>
      <x:c r="B200" s="17" t="str">
        <x:v>csq010</x:v>
      </x:c>
      <x:c r="C200" s="17" t="str">
        <x:v>machine_learning</x:v>
      </x:c>
      <x:c r="D200" s="17" t="str">
        <x:v>self_supervised_learning</x:v>
      </x:c>
      <x:c r="E200" s="27" t="str">
        <x:v>How have self-supervised representation learning objectives evolved from contrastive learning to non-contrastive and masked-prediction approaches?</x:v>
      </x:c>
      <x:c r="F200" s="22" t="n">
        <x:v>19</x:v>
      </x:c>
      <x:c r="G200" s="17" t="str">
        <x:v>arXiv:2303.02387</x:v>
      </x:c>
      <x:c r="H200" s="27" t="str">
        <x:v>Towards a Unified Theoretical Understanding of Non-contrastive Learning via Rank Differential Mechanism</x:v>
      </x:c>
      <x:c r="I200" s="17" t="str">
        <x:v>Zhijian Zhuo; Yifei Wang; Jinwen Ma; Yisen Wang</x:v>
      </x:c>
      <x:c r="J200" s="22" t="n">
        <x:v>2023</x:v>
      </x:c>
      <x:c r="K200" s="27" t="str">
        <x:v>Recently, a variety of methods under the name of non-contrastive learning (like BYOL, SimSiam, SwAV, DINO) show that when equipped with some asymmetric architectural designs, aligning positive pairs alone is sufficient to attain good performance in self-supervised visual learning. Despite some understandings of some specific modules (like the predictor in BYOL), there is yet no unified theoretical understanding of how these seemingly different asymmetric designs can all avoid feature collapse, particularly considering methods that also work without the predictor (like DINO). In this work, we propose a unified theoretical understanding for existing variants of non-contrastive learning. Our theory named Rank Differential Mechanism (RDM) shows that all these asymmetric designs create a consistent rank difference in their dual-branch output features. This rank difference will provably lead to an improvement of effective dimensionality and alleviate either complete or dimensional feature collapse. Different from previous theories, our RDM theory is applicable to different asymmetric designs (with and without the predictor), and thus can serve as a unified understanding of existing non-contrastive learning methods. Besides, our RDM theory also provides practical guidelines for designing many new non-contrastive variants. We show that these variants indeed achieve comparable performance to existing methods on benchmark datasets, and some of them even outperform the baselines. Our code is available at \url{https://github.com/PKU-ML/Rank-Differential-Mechanism}.</x:v>
      </x:c>
      <x:c r="L200" s="17" t="str">
        <x:v>http://arxiv.org/abs/2303.02387v1</x:v>
      </x:c>
      <x:c r="M200" s="23" t="n">
        <x:v>0.015384615384615385</x:v>
      </x:c>
      <x:c r="N200" s="17" t="str">
        <x:v>arxiv-paper-eval-20260726-140242-results.jsonl</x:v>
      </x:c>
      <x:c r="O200" s="24" t="str">
        <x:v>2</x:v>
      </x:c>
      <x:c r="P200" s="28" t="str">
        <x:v>以秩差机制统一解释BYOL、SimSiam、SwAV和DINO等非对比方法。</x:v>
      </x:c>
      <x:c r="Q200" s="25" t="str"/>
      <x:c r="R200" s="24" t="str">
        <x:f>IF(Q200&lt;&gt;"",Q200,O200)</x:f>
        <x:v>2</x:v>
      </x:c>
      <x:c r="S200" s="29" t="str"/>
    </x:row>
    <x:row r="201" ht="54" customHeight="1">
      <x:c r="A201" s="17" t="str">
        <x:v>csq010-r20</x:v>
      </x:c>
      <x:c r="B201" s="17" t="str">
        <x:v>csq010</x:v>
      </x:c>
      <x:c r="C201" s="17" t="str">
        <x:v>machine_learning</x:v>
      </x:c>
      <x:c r="D201" s="17" t="str">
        <x:v>self_supervised_learning</x:v>
      </x:c>
      <x:c r="E201" s="27" t="str">
        <x:v>How have self-supervised representation learning objectives evolved from contrastive learning to non-contrastive and masked-prediction approaches?</x:v>
      </x:c>
      <x:c r="F201" s="22" t="n">
        <x:v>20</x:v>
      </x:c>
      <x:c r="G201" s="17" t="str">
        <x:v>arXiv:2309.16109</x:v>
      </x:c>
      <x:c r="H201" s="27" t="str">
        <x:v>Feature Normalization Prevents Collapse of Non-contrastive Learning Dynamics</x:v>
      </x:c>
      <x:c r="I201" s="17" t="str">
        <x:v>Han Bao</x:v>
      </x:c>
      <x:c r="J201" s="22" t="n">
        <x:v>2023</x:v>
      </x:c>
      <x:c r="K201" s="27" t="str">
        <x:v>Contrastive learning is a self-supervised representation learning framework, where two positive views generated through data augmentation are made similar by an attraction force in a data representation space, while a repulsive force makes them far from negative examples. Non-contrastive learning, represented by BYOL and SimSiam, further gets rid of negative examples and improves computational efficiency. While learned representations may collapse into a single point due to the lack of the repulsive force at first sight, Tian et al. (2021) revealed through the learning dynamics analysis that the representations can avoid collapse if data augmentation is sufficiently stronger than regularization. However, their analysis does not take into account commonly-used feature normalization, a normalizer before measuring the similarity of representations, and hence excessively strong regularization may collapse the dynamics, which is an unnatural behavior under the presence of feature normalization. Therefore, we extend the previous theory based on the L2 loss by considering the cosine loss, which involves feature normalization. We show that the cosine loss induces sixth-order dynamics (while the L2 loss induces a third-order one), in which a stable equilibrium dynamically emerges even if there are only collapsed solutions with given initial parameters. Thus, we offer a new understanding that feature normalization plays an important role in robustly preventing the dynamics collapse.</x:v>
      </x:c>
      <x:c r="L201" s="17" t="str">
        <x:v>http://arxiv.org/abs/2309.16109v2</x:v>
      </x:c>
      <x:c r="M201" s="23" t="n">
        <x:v>0.015151515151515152</x:v>
      </x:c>
      <x:c r="N201" s="17" t="str">
        <x:v>arxiv-paper-eval-20260726-140242-results.jsonl</x:v>
      </x:c>
      <x:c r="O201" s="24" t="str">
        <x:v>2</x:v>
      </x:c>
      <x:c r="P201" s="28" t="str">
        <x:v>分析特征归一化如何防止非对比学习动态坍塌，并联系对比学习机制。</x:v>
      </x:c>
      <x:c r="Q201" s="25" t="str"/>
      <x:c r="R201" s="24" t="str">
        <x:f>IF(Q201&lt;&gt;"",Q201,O201)</x:f>
        <x:v>2</x:v>
      </x:c>
      <x:c r="S201" s="29" t="str"/>
    </x:row>
    <x:row r="202" ht="54" customHeight="1">
      <x:c r="A202" s="17" t="str">
        <x:v>csq011-r01</x:v>
      </x:c>
      <x:c r="B202" s="17" t="str">
        <x:v>csq011</x:v>
      </x:c>
      <x:c r="C202" s="17" t="str">
        <x:v>computer_vision</x:v>
      </x:c>
      <x:c r="D202" s="17" t="str">
        <x:v>neural_3d_representation</x:v>
      </x:c>
      <x:c r="E202" s="27" t="str">
        <x:v>What are the main neural representations for novel-view synthesis, including neural radiance fields and 3D Gaussian splatting, and what are their computational trade-offs?</x:v>
      </x:c>
      <x:c r="F202" s="22" t="n">
        <x:v>1</x:v>
      </x:c>
      <x:c r="G202" s="17" t="str">
        <x:v>arXiv:2405.17083</x:v>
      </x:c>
      <x:c r="H202" s="27" t="str">
        <x:v>F-3DGS: Factorized Coordinates and Representations for 3D Gaussian Splatting</x:v>
      </x:c>
      <x:c r="I202" s="17" t="str">
        <x:v>Xiangyu Sun; Joo Chan Lee; Daniel Rho; Jong Hwan Ko; Usman Ali; Eunbyung Park</x:v>
      </x:c>
      <x:c r="J202" s="22" t="n">
        <x:v>2024</x:v>
      </x:c>
      <x:c r="K202" s="27" t="str">
        <x:v>The neural radiance field (NeRF) has made significant strides in representing 3D scenes and synthesizing novel views. Despite its advancements, the high computational costs of NeRF have posed challenges for its deployment in resource-constrained environments and real-time applications. As an alternative to NeRF-like neural rendering methods, 3D Gaussian Splatting (3DGS) offers rapid rendering speeds while maintaining excellent image quality. However, as it represents objects and scenes using a myriad of Gaussians, it requires substantial storage to achieve high-quality representation. To mitigate the storage overhead, we propose Factorized 3D Gaussian Splatting (F-3DGS), a novel approach that drastically reduces storage requirements while preserving image quality. Inspired by classical matrix and tensor factorization techniques, our method represents and approximates dense clusters of Gaussians with significantly fewer Gaussians through efficient factorization. We aim to efficiently represent dense 3D Gaussians by approximating them with a limited amount of information for each axis and their combinations. This method allows us to encode a substantially large number of Gaussians along with their essential attributes -- such as color, scale, and rotation -- necessary for rendering using a relatively small number of elements. Extensive experimental results demonstrate that F-3DGS achieves a significant reduction in storage costs while maintaining comparable quality in rendered images.</x:v>
      </x:c>
      <x:c r="L202" s="17" t="str">
        <x:v>http://arxiv.org/abs/2405.17083v2</x:v>
      </x:c>
      <x:c r="M202" s="23" t="n">
        <x:v>0.03252247488101534</x:v>
      </x:c>
      <x:c r="N202" s="17" t="str">
        <x:v>arxiv-paper-eval-20260726-140242-results.jsonl</x:v>
      </x:c>
      <x:c r="O202" s="24" t="str">
        <x:v>2</x:v>
      </x:c>
      <x:c r="P202" s="28" t="str">
        <x:v>以因子化表示压缩3DGS，直接讨论渲染质量、速度与资源开销。</x:v>
      </x:c>
      <x:c r="Q202" s="25" t="str"/>
      <x:c r="R202" s="24" t="str">
        <x:f>IF(Q202&lt;&gt;"",Q202,O202)</x:f>
        <x:v>2</x:v>
      </x:c>
      <x:c r="S202" s="29" t="str"/>
    </x:row>
    <x:row r="203" ht="54" customHeight="1">
      <x:c r="A203" s="17" t="str">
        <x:v>csq011-r02</x:v>
      </x:c>
      <x:c r="B203" s="17" t="str">
        <x:v>csq011</x:v>
      </x:c>
      <x:c r="C203" s="17" t="str">
        <x:v>computer_vision</x:v>
      </x:c>
      <x:c r="D203" s="17" t="str">
        <x:v>neural_3d_representation</x:v>
      </x:c>
      <x:c r="E203" s="27" t="str">
        <x:v>What are the main neural representations for novel-view synthesis, including neural radiance fields and 3D Gaussian splatting, and what are their computational trade-offs?</x:v>
      </x:c>
      <x:c r="F203" s="22" t="n">
        <x:v>2</x:v>
      </x:c>
      <x:c r="G203" s="17" t="str">
        <x:v>arXiv:2312.09228</x:v>
      </x:c>
      <x:c r="H203" s="27" t="str">
        <x:v>3DGS-Avatar: Animatable Avatars via Deformable 3D Gaussian Splatting</x:v>
      </x:c>
      <x:c r="I203" s="17" t="str">
        <x:v>Zhiyin Qian; Shaofei Wang; Marko Mihajlovic; Andreas Geiger; Siyu Tang</x:v>
      </x:c>
      <x:c r="J203" s="22" t="n">
        <x:v>2023</x:v>
      </x:c>
      <x:c r="K203" s="27" t="str">
        <x:v>We introduce an approach that creates animatable human avatars from monocular videos using 3D Gaussian Splatting (3DGS). Existing methods based on neural radiance fields (NeRFs) achieve high-quality novel-view/novel-pose image synthesis but often require days of training, and are extremely slow at inference time. Recently, the community has explored fast grid structures for efficient training of clothed avatars. Albeit being extremely fast at training, these methods can barely achieve an interactive rendering frame rate with around 15 FPS. In this paper, we use 3D Gaussian Splatting and learn a non-rigid deformation network to reconstruct animatable clothed human avatars that can be trained within 30 minutes and rendered at real-time frame rates (50+ FPS). Given the explicit nature of our representation, we further introduce as-isometric-as-possible regularizations on both the Gaussian mean vectors and the covariance matrices, enhancing the generalization of our model on highly articulated unseen poses. Experimental results show that our method achieves comparable and even better performance compared to state-of-the-art approaches on animatable avatar creation from a monocular input, while being 400x and 250x faster in training and inference, respectively.</x:v>
      </x:c>
      <x:c r="L203" s="17" t="str">
        <x:v>http://arxiv.org/abs/2312.09228v3</x:v>
      </x:c>
      <x:c r="M203" s="23" t="n">
        <x:v>0.03149801587301587</x:v>
      </x:c>
      <x:c r="N203" s="17" t="str">
        <x:v>arxiv-paper-eval-20260726-140242-results.jsonl</x:v>
      </x:c>
      <x:c r="O203" s="24" t="str">
        <x:v>1</x:v>
      </x:c>
      <x:c r="P203" s="28" t="str">
        <x:v>用可变形3DGS做人像新视角合成，并涉及与NeRF的训练和推理效率差异。</x:v>
      </x:c>
      <x:c r="Q203" s="25" t="str"/>
      <x:c r="R203" s="24" t="str">
        <x:f>IF(Q203&lt;&gt;"",Q203,O203)</x:f>
        <x:v>1</x:v>
      </x:c>
      <x:c r="S203" s="29" t="str"/>
    </x:row>
    <x:row r="204" ht="54" customHeight="1">
      <x:c r="A204" s="17" t="str">
        <x:v>csq011-r03</x:v>
      </x:c>
      <x:c r="B204" s="17" t="str">
        <x:v>csq011</x:v>
      </x:c>
      <x:c r="C204" s="17" t="str">
        <x:v>computer_vision</x:v>
      </x:c>
      <x:c r="D204" s="17" t="str">
        <x:v>neural_3d_representation</x:v>
      </x:c>
      <x:c r="E204" s="27" t="str">
        <x:v>What are the main neural representations for novel-view synthesis, including neural radiance fields and 3D Gaussian splatting, and what are their computational trade-offs?</x:v>
      </x:c>
      <x:c r="F204" s="22" t="n">
        <x:v>3</x:v>
      </x:c>
      <x:c r="G204" s="17" t="str">
        <x:v>arXiv:2012.15838</x:v>
      </x:c>
      <x:c r="H204" s="27" t="str">
        <x:v>Neural Body: Implicit Neural Representations with Structured Latent Codes for Novel View Synthesis of Dynamic Humans</x:v>
      </x:c>
      <x:c r="I204" s="17" t="str">
        <x:v>Sida Peng; Yuanqing Zhang; Yinghao Xu; Qianqian Wang; Qing Shuai; Hujun Bao; Xiaowei Zhou</x:v>
      </x:c>
      <x:c r="J204" s="22" t="n">
        <x:v>2020</x:v>
      </x:c>
      <x:c r="K204" s="27" t="str">
        <x:v>This paper addresses the challenge of novel view synthesis for a human performer from a very sparse set of camera views. Some recent works have shown that learning implicit neural representations of 3D scenes achieves remarkable view synthesis quality given dense input views. However, the representation learning will be ill-posed if the views are highly sparse. To solve this ill-posed problem, our key idea is to integrate observations over video frames. To this end, we propose Neural Body, a new human body representation which assumes that the learned neural representations at different frames share the same set of latent codes anchored to a deformable mesh, so that the observations across frames can be naturally integrated. The deformable mesh also provides geometric guidance for the network to learn 3D representations more efficiently. To evaluate our approach, we create a multi-view dataset named ZJU-MoCap that captures performers with complex motions. Experiments on ZJU-MoCap show that our approach outperforms prior works by a large margin in terms of novel view synthesis quality. We also demonstrate the capability of our approach to reconstruct a moving person from a monocular video on the People-Snapshot dataset. The code and dataset are available at https://zju3dv.github.io/neuralbody/.</x:v>
      </x:c>
      <x:c r="L204" s="17" t="str">
        <x:v>http://arxiv.org/abs/2012.15838v2</x:v>
      </x:c>
      <x:c r="M204" s="23" t="n">
        <x:v>0.03128054740957967</x:v>
      </x:c>
      <x:c r="N204" s="17" t="str">
        <x:v>arxiv-paper-eval-20260726-140242-results.jsonl</x:v>
      </x:c>
      <x:c r="O204" s="24" t="str">
        <x:v>1</x:v>
      </x:c>
      <x:c r="P204" s="28" t="str">
        <x:v>提出动态人体新视角合成的隐式神经表示，但未系统比较主要表示及计算权衡。</x:v>
      </x:c>
      <x:c r="Q204" s="25" t="str"/>
      <x:c r="R204" s="24" t="str">
        <x:f>IF(Q204&lt;&gt;"",Q204,O204)</x:f>
        <x:v>1</x:v>
      </x:c>
      <x:c r="S204" s="29" t="str"/>
    </x:row>
    <x:row r="205" ht="54" customHeight="1">
      <x:c r="A205" s="17" t="str">
        <x:v>csq011-r04</x:v>
      </x:c>
      <x:c r="B205" s="17" t="str">
        <x:v>csq011</x:v>
      </x:c>
      <x:c r="C205" s="17" t="str">
        <x:v>computer_vision</x:v>
      </x:c>
      <x:c r="D205" s="17" t="str">
        <x:v>neural_3d_representation</x:v>
      </x:c>
      <x:c r="E205" s="27" t="str">
        <x:v>What are the main neural representations for novel-view synthesis, including neural radiance fields and 3D Gaussian splatting, and what are their computational trade-offs?</x:v>
      </x:c>
      <x:c r="F205" s="22" t="n">
        <x:v>4</x:v>
      </x:c>
      <x:c r="G205" s="17" t="str">
        <x:v>arXiv:2405.15118</x:v>
      </x:c>
      <x:c r="H205" s="27" t="str">
        <x:v>GS-Hider: Hiding Messages into 3D Gaussian Splatting</x:v>
      </x:c>
      <x:c r="I205" s="17" t="str">
        <x:v>Xuanyu Zhang; Jiarui Meng; Runyi Li; Zhipei Xu; Yongbing Zhang; Jian Zhang</x:v>
      </x:c>
      <x:c r="J205" s="22" t="n">
        <x:v>2024</x:v>
      </x:c>
      <x:c r="K205" s="27" t="str">
        <x:v>3D Gaussian Splatting (3DGS) has already become the emerging research focus in the fields of 3D scene reconstruction and novel view synthesis. Given that training a 3DGS requires a significant amount of time and computational cost, it is crucial to protect the copyright, integrity, and privacy of such 3D assets. Steganography, as a crucial technique for encrypted transmission and copyright protection, has been extensively studied. However, it still lacks profound exploration targeted at 3DGS. Unlike its predecessor NeRF, 3DGS possesses two distinct features: 1) explicit 3D representation; and 2) real-time rendering speeds. These characteristics result in the 3DGS point cloud files being public and transparent, with each Gaussian point having a clear physical significance. Therefore, ensuring the security and fidelity of the original 3D scene while embedding information into the 3DGS point cloud files is an extremely challenging task. To solve the above-mentioned issue, we first propose a steganography framework for 3DGS, dubbed GS-Hider, which can embed 3D scenes and images into original GS point clouds in an invisible manner and accurately extract the hidden messages. Specifically, we design a coupled secured feature attribute to replace the original 3DGS's spherical harmonics coefficients and then use a scene decoder and a message decoder to disentangle the original RGB scene and the hidden message. Extensive experiments demonstrated that the proposed GS-Hider can effectively conceal multimodal messages without compromising rendering quality and possesses exceptional security, robustness, capacity, and flexibility. Our project is available at: https://xuanyuzhang21.github.io/project/gshider.</x:v>
      </x:c>
      <x:c r="L205" s="17" t="str">
        <x:v>http://arxiv.org/abs/2405.15118v2</x:v>
      </x:c>
      <x:c r="M205" s="23" t="n">
        <x:v>0.028790389395194696</x:v>
      </x:c>
      <x:c r="N205" s="17" t="str">
        <x:v>arxiv-paper-eval-20260726-140242-results.jsonl</x:v>
      </x:c>
      <x:c r="O205" s="24" t="str">
        <x:v>0</x:v>
      </x:c>
      <x:c r="P205" s="28" t="str">
        <x:v>核心是向3DGS隐藏信息和保护资产，并非新视角表示或计算权衡。</x:v>
      </x:c>
      <x:c r="Q205" s="25" t="str"/>
      <x:c r="R205" s="24" t="str">
        <x:f>IF(Q205&lt;&gt;"",Q205,O205)</x:f>
        <x:v>0</x:v>
      </x:c>
      <x:c r="S205" s="29" t="str"/>
    </x:row>
    <x:row r="206" ht="54" customHeight="1">
      <x:c r="A206" s="17" t="str">
        <x:v>csq011-r05</x:v>
      </x:c>
      <x:c r="B206" s="17" t="str">
        <x:v>csq011</x:v>
      </x:c>
      <x:c r="C206" s="17" t="str">
        <x:v>computer_vision</x:v>
      </x:c>
      <x:c r="D206" s="17" t="str">
        <x:v>neural_3d_representation</x:v>
      </x:c>
      <x:c r="E206" s="27" t="str">
        <x:v>What are the main neural representations for novel-view synthesis, including neural radiance fields and 3D Gaussian splatting, and what are their computational trade-offs?</x:v>
      </x:c>
      <x:c r="F206" s="22" t="n">
        <x:v>5</x:v>
      </x:c>
      <x:c r="G206" s="17" t="str">
        <x:v>arXiv:2403.11134</x:v>
      </x:c>
      <x:c r="H206" s="27" t="str">
        <x:v>Recent Advances in 3D Gaussian Splatting</x:v>
      </x:c>
      <x:c r="I206" s="17" t="str">
        <x:v>Tong Wu; Yu-Jie Yuan; Ling-Xiao Zhang; Jie Yang; Yan-Pei Cao; Ling-Qi Yan; Lin Gao</x:v>
      </x:c>
      <x:c r="J206" s="22" t="n">
        <x:v>2024</x:v>
      </x:c>
      <x:c r="K206" s="27" t="str">
        <x:v>The emergence of 3D Gaussian Splatting (3DGS) has greatly accelerated the rendering speed of novel view synthesis. Unlike neural implicit representations like Neural Radiance Fields (NeRF) that represent a 3D scene with position and viewpoint-conditioned neural networks, 3D Gaussian Splatting utilizes a set of Gaussian ellipsoids to model the scene so that efficient rendering can be accomplished by rasterizing Gaussian ellipsoids into images. Apart from the fast rendering speed, the explicit representation of 3D Gaussian Splatting facilitates editing tasks like dynamic reconstruction, geometry editing, and physical simulation. Considering the rapid change and growing number of works in this field, we present a literature review of recent 3D Gaussian Splatting methods, which can be roughly classified into 3D reconstruction, 3D editing, and other downstream applications by functionality. Traditional point-based rendering methods and the rendering formulation of 3D Gaussian Splatting are also illustrated for a better understanding of this technique. This survey aims to help beginners get into this field quickly and provide experienced researchers with a comprehensive overview, which can stimulate the future development of the 3D Gaussian Splatting representation.</x:v>
      </x:c>
      <x:c r="L206" s="17" t="str">
        <x:v>http://arxiv.org/abs/2403.11134v2</x:v>
      </x:c>
      <x:c r="M206" s="23" t="n">
        <x:v>0.028665028665028666</x:v>
      </x:c>
      <x:c r="N206" s="17" t="str">
        <x:v>arxiv-paper-eval-20260726-140242-results.jsonl</x:v>
      </x:c>
      <x:c r="O206" s="24" t="str">
        <x:v>2</x:v>
      </x:c>
      <x:c r="P206" s="28" t="str">
        <x:v>综述3DGS并直接对比其显式高斯表示与NeRF隐式表示及渲染效率。</x:v>
      </x:c>
      <x:c r="Q206" s="25" t="str"/>
      <x:c r="R206" s="24" t="str">
        <x:f>IF(Q206&lt;&gt;"",Q206,O206)</x:f>
        <x:v>2</x:v>
      </x:c>
      <x:c r="S206" s="29" t="str"/>
    </x:row>
    <x:row r="207" ht="54" customHeight="1">
      <x:c r="A207" s="17" t="str">
        <x:v>csq011-r06</x:v>
      </x:c>
      <x:c r="B207" s="17" t="str">
        <x:v>csq011</x:v>
      </x:c>
      <x:c r="C207" s="17" t="str">
        <x:v>computer_vision</x:v>
      </x:c>
      <x:c r="D207" s="17" t="str">
        <x:v>neural_3d_representation</x:v>
      </x:c>
      <x:c r="E207" s="27" t="str">
        <x:v>What are the main neural representations for novel-view synthesis, including neural radiance fields and 3D Gaussian splatting, and what are their computational trade-offs?</x:v>
      </x:c>
      <x:c r="F207" s="22" t="n">
        <x:v>6</x:v>
      </x:c>
      <x:c r="G207" s="17" t="str">
        <x:v>arXiv:2312.03203</x:v>
      </x:c>
      <x:c r="H207" s="27" t="str">
        <x:v>Feature 3DGS: Supercharging 3D Gaussian Splatting to Enable Distilled Feature Fields</x:v>
      </x:c>
      <x:c r="I207" s="17" t="str">
        <x:v>Shijie Zhou; Haoran Chang; Sicheng Jiang; Zhiwen Fan; Zehao Zhu; Dejia Xu; Pradyumna Chari; Suya You; Zhangyang Wang; Achuta Kadambi</x:v>
      </x:c>
      <x:c r="J207" s="22" t="n">
        <x:v>2023</x:v>
      </x:c>
      <x:c r="K207" s="27" t="str">
        <x:v>3D scene representations have gained immense popularity in recent years. Methods that use Neural Radiance fields are versatile for traditional tasks such as novel view synthesis. In recent times, some work has emerged that aims to extend the functionality of NeRF beyond view synthesis, for semantically aware tasks such as editing and segmentation using 3D feature field distillation from 2D foundation models. However, these methods have two major limitations: (a) they are limited by the rendering speed of NeRF pipelines, and (b) implicitly represented feature fields suffer from continuity artifacts reducing feature quality. Recently, 3D Gaussian Splatting has shown state-of-the-art performance on real-time radiance field rendering. In this work, we go one step further: in addition to radiance field rendering, we enable 3D Gaussian splatting on arbitrary-dimension semantic features via 2D foundation model distillation. This translation is not straightforward: naively incorporating feature fields in the 3DGS framework encounters significant challenges, notably the disparities in spatial resolution and channel consistency between RGB images and feature maps. We propose architectural and training changes to efficiently avert this problem. Our proposed method is general, and our experiments showcase novel view semantic segmentation, language-guided editing and segment anything through learning feature fields from state-of-the-art 2D foundation models such as SAM and CLIP-LSeg. Across experiments, our distillation method is able to provide comparable or better results, while being significantly faster to both train and render. Additionally, to the best of our knowledge, we are the first method to enable point and bounding-box prompting for radiance field manipulation, by leveraging the SAM model. Project website at: https://feature-3dgs.github.io/</x:v>
      </x:c>
      <x:c r="L207" s="17" t="str">
        <x:v>http://arxiv.org/abs/2312.03203v3</x:v>
      </x:c>
      <x:c r="M207" s="23" t="n">
        <x:v>0.02862400327131466</x:v>
      </x:c>
      <x:c r="N207" s="17" t="str">
        <x:v>arxiv-paper-eval-20260726-140242-results.jsonl</x:v>
      </x:c>
      <x:c r="O207" s="24" t="str">
        <x:v>1</x:v>
      </x:c>
      <x:c r="P207" s="28" t="str">
        <x:v>将3DGS扩展为特征场并提及NeRF方案的效率局限，属于相邻表示研究。</x:v>
      </x:c>
      <x:c r="Q207" s="25" t="str"/>
      <x:c r="R207" s="24" t="str">
        <x:f>IF(Q207&lt;&gt;"",Q207,O207)</x:f>
        <x:v>1</x:v>
      </x:c>
      <x:c r="S207" s="29" t="str"/>
    </x:row>
    <x:row r="208" ht="54" customHeight="1">
      <x:c r="A208" s="17" t="str">
        <x:v>csq011-r07</x:v>
      </x:c>
      <x:c r="B208" s="17" t="str">
        <x:v>csq011</x:v>
      </x:c>
      <x:c r="C208" s="17" t="str">
        <x:v>computer_vision</x:v>
      </x:c>
      <x:c r="D208" s="17" t="str">
        <x:v>neural_3d_representation</x:v>
      </x:c>
      <x:c r="E208" s="27" t="str">
        <x:v>What are the main neural representations for novel-view synthesis, including neural radiance fields and 3D Gaussian splatting, and what are their computational trade-offs?</x:v>
      </x:c>
      <x:c r="F208" s="22" t="n">
        <x:v>7</x:v>
      </x:c>
      <x:c r="G208" s="17" t="str">
        <x:v>arXiv:2407.09510</x:v>
      </x:c>
      <x:c r="H208" s="27" t="str">
        <x:v>3DGS.zip: A survey on 3D Gaussian Splatting Compression Methods</x:v>
      </x:c>
      <x:c r="I208" s="17" t="str">
        <x:v>Milena T. Bagdasarian; Paul Knoll; Yi-Hsin Li; Florian Barthel; Anna Hilsmann; Peter Eisert; Wieland Morgenstern</x:v>
      </x:c>
      <x:c r="J208" s="22" t="n">
        <x:v>2024</x:v>
      </x:c>
      <x:c r="K208" s="27" t="str">
        <x:v>3D Gaussian Splatting (3DGS) has emerged as a cutting-edge technique for real-time radiance field rendering, offering state-of-the-art performance in terms of both quality and speed. 3DGS models a scene as a collection of three-dimensional Gaussians, with additional attributes optimized to conform to the scene's geometric and visual properties. Despite its advantages in rendering speed and image fidelity, 3DGS is limited by its significant storage and memory demands. These high demands make 3DGS impractical for mobile devices or headsets, reducing its applicability in important areas of computer graphics. To address these challenges and advance the practicality of 3DGS, this survey provides a comprehensive and detailed examination of compression and compaction techniques developed to make 3DGS more efficient. We classify existing methods into two categories: compression, which focuses on reducing file size, and compaction, which aims to minimize the number of Gaussians. Both methods aim to maintain or improve quality, each by minimizing its respective attribute: file size for compression and Gaussian count for compaction. We introduce the basic mathematical concepts underlying the analyzed methods, as well as key implementation details and design choices. Our report thoroughly discusses similarities and differences among the methods, as well as their respective advantages and disadvantages. We establish a consistent framework for comparing the surveyed methods based on key performance metrics and datasets. Specifically, since these methods have been developed in parallel and over a short period of time, currently, no comprehensive comparison exists. This survey, for the first time, presents a unified framework to evaluate 3DGS compression techniques. We maintain a website that will be regularly updated with emerging methods: https://w-m.github.io/3dgs-compression-survey/ .</x:v>
      </x:c>
      <x:c r="L208" s="17" t="str">
        <x:v>http://arxiv.org/abs/2407.09510v5</x:v>
      </x:c>
      <x:c r="M208" s="23" t="n">
        <x:v>0.01639344262295082</x:v>
      </x:c>
      <x:c r="N208" s="17" t="str">
        <x:v>arxiv-paper-eval-20260726-140242-results.jsonl</x:v>
      </x:c>
      <x:c r="O208" s="24" t="str">
        <x:v>2</x:v>
      </x:c>
      <x:c r="P208" s="28" t="str">
        <x:v>综述3DGS压缩方法，直接覆盖其高速渲染与高存储开销之间的权衡。</x:v>
      </x:c>
      <x:c r="Q208" s="25" t="str"/>
      <x:c r="R208" s="24" t="str">
        <x:f>IF(Q208&lt;&gt;"",Q208,O208)</x:f>
        <x:v>2</x:v>
      </x:c>
      <x:c r="S208" s="29" t="str"/>
    </x:row>
    <x:row r="209" ht="54" customHeight="1">
      <x:c r="A209" s="17" t="str">
        <x:v>csq011-r08</x:v>
      </x:c>
      <x:c r="B209" s="17" t="str">
        <x:v>csq011</x:v>
      </x:c>
      <x:c r="C209" s="17" t="str">
        <x:v>computer_vision</x:v>
      </x:c>
      <x:c r="D209" s="17" t="str">
        <x:v>neural_3d_representation</x:v>
      </x:c>
      <x:c r="E209" s="27" t="str">
        <x:v>What are the main neural representations for novel-view synthesis, including neural radiance fields and 3D Gaussian splatting, and what are their computational trade-offs?</x:v>
      </x:c>
      <x:c r="F209" s="22" t="n">
        <x:v>8</x:v>
      </x:c>
      <x:c r="G209" s="17" t="str">
        <x:v>arXiv:2308.02840</x:v>
      </x:c>
      <x:c r="H209" s="27" t="str">
        <x:v>Learning Unified Decompositional and Compositional NeRF for Editable Novel View Synthesis</x:v>
      </x:c>
      <x:c r="I209" s="17" t="str">
        <x:v>Yuxin Wang; Wayne Wu; Dan Xu</x:v>
      </x:c>
      <x:c r="J209" s="22" t="n">
        <x:v>2023</x:v>
      </x:c>
      <x:c r="K209" s="27" t="str">
        <x:v>Implicit neural representations have shown powerful capacity in modeling real-world 3D scenes, offering superior performance in novel view synthesis. In this paper, we target a more challenging scenario, i.e., joint scene novel view synthesis and editing based on implicit neural scene representations. State-of-the-art methods in this direction typically consider building separate networks for these two tasks (i.e., view synthesis and editing). Thus, the modeling of interactions and correlations between these two tasks is very limited, which, however, is critical for learning high-quality scene representations. To tackle this problem, in this paper, we propose a unified Neural Radiance Field (NeRF) framework to effectively perform joint scene decomposition and composition for modeling real-world scenes. The decomposition aims at learning disentangled 3D representations of different objects and the background, allowing for scene editing, while scene composition models an entire scene representation for novel view synthesis. Specifically, with a two-stage NeRF framework, we learn a coarse stage for predicting a global radiance field as guidance for point sampling, and in the second fine-grained stage, we perform scene decomposition by a novel one-hot object radiance field regularization module and a pseudo supervision via inpainting to handle ambiguous background regions occluded by objects. The decomposed object-level radiance fields are further composed by using activations from the decomposition module. Extensive quantitative and qualitative results show the effectiveness of our method for scene decomposition and composition, outperforming state-of-the-art methods for both novel-view synthesis and editing tasks.</x:v>
      </x:c>
      <x:c r="L209" s="17" t="str">
        <x:v>http://arxiv.org/abs/2308.02840v1</x:v>
      </x:c>
      <x:c r="M209" s="23" t="n">
        <x:v>0.01639344262295082</x:v>
      </x:c>
      <x:c r="N209" s="17" t="str">
        <x:v>arxiv-paper-eval-20260726-140242-results.jsonl</x:v>
      </x:c>
      <x:c r="O209" s="24" t="str">
        <x:v>1</x:v>
      </x:c>
      <x:c r="P209" s="28" t="str">
        <x:v>研究可编辑新视角合成的NeRF隐式表示，能补充一种表示但非总体比较。</x:v>
      </x:c>
      <x:c r="Q209" s="25" t="str"/>
      <x:c r="R209" s="24" t="str">
        <x:f>IF(Q209&lt;&gt;"",Q209,O209)</x:f>
        <x:v>1</x:v>
      </x:c>
      <x:c r="S209" s="29" t="str"/>
    </x:row>
    <x:row r="210" ht="54" customHeight="1">
      <x:c r="A210" s="17" t="str">
        <x:v>csq011-r09</x:v>
      </x:c>
      <x:c r="B210" s="17" t="str">
        <x:v>csq011</x:v>
      </x:c>
      <x:c r="C210" s="17" t="str">
        <x:v>computer_vision</x:v>
      </x:c>
      <x:c r="D210" s="17" t="str">
        <x:v>neural_3d_representation</x:v>
      </x:c>
      <x:c r="E210" s="27" t="str">
        <x:v>What are the main neural representations for novel-view synthesis, including neural radiance fields and 3D Gaussian splatting, and what are their computational trade-offs?</x:v>
      </x:c>
      <x:c r="F210" s="22" t="n">
        <x:v>9</x:v>
      </x:c>
      <x:c r="G210" s="17" t="str">
        <x:v>arXiv:2205.14332</x:v>
      </x:c>
      <x:c r="H210" s="27" t="str">
        <x:v>V4d: voxel for 4d novel view synthesis</x:v>
      </x:c>
      <x:c r="I210" s="17" t="str">
        <x:v>Wanshui Gan; Hongbin Xu; Yi Huang; Shifeng Chen; Naoto Yokoya</x:v>
      </x:c>
      <x:c r="J210" s="22" t="n">
        <x:v>2022</x:v>
      </x:c>
      <x:c r="K210" s="27" t="str">
        <x:v>Neural radiance fields have made a remarkable breakthrough in the novel view synthesis task at the 3D static scene. However, for the 4D circumstance (e.g., dynamic scene), the performance of the existing method is still limited by the capacity of the neural network, typically in a multilayer perceptron network (MLP). In this paper, we utilize 3D Voxel to model the 4D neural radiance field, short as V4D, where the 3D voxel has two formats. The first one is to regularly model the 3D space and then use the sampled local 3D feature with the time index to model the density field and the texture field by a tiny MLP. The second one is in look-up tables (LUTs) format that is for the pixel-level refinement, where the pseudo-surface produced by the volume rendering is utilized as the guidance information to learn a 2D pixel-level refinement mapping. The proposed LUTs-based refinement module achieves the performance gain with little computational cost and could serve as the plug-and-play module in the novel view synthesis task. Moreover, we propose a more effective conditional positional encoding toward the 4D data that achieves performance gain with negligible computational burdens. Extensive experiments demonstrate that the proposed method achieves state-of-the-art performance at a low computational cost.</x:v>
      </x:c>
      <x:c r="L210" s="17" t="str">
        <x:v>http://arxiv.org/abs/2205.14332v4</x:v>
      </x:c>
      <x:c r="M210" s="23" t="n">
        <x:v>0.01639344262295082</x:v>
      </x:c>
      <x:c r="N210" s="17" t="str">
        <x:v>arxiv-paper-eval-20260726-140242-results.jsonl</x:v>
      </x:c>
      <x:c r="O210" s="24" t="str">
        <x:v>1</x:v>
      </x:c>
      <x:c r="P210" s="28" t="str">
        <x:v>以体素建模动态NeRF，能补充体素化表示及容量问题。</x:v>
      </x:c>
      <x:c r="Q210" s="25" t="str"/>
      <x:c r="R210" s="24" t="str">
        <x:f>IF(Q210&lt;&gt;"",Q210,O210)</x:f>
        <x:v>1</x:v>
      </x:c>
      <x:c r="S210" s="29" t="str"/>
    </x:row>
    <x:row r="211" ht="54" customHeight="1">
      <x:c r="A211" s="17" t="str">
        <x:v>csq011-r10</x:v>
      </x:c>
      <x:c r="B211" s="17" t="str">
        <x:v>csq011</x:v>
      </x:c>
      <x:c r="C211" s="17" t="str">
        <x:v>computer_vision</x:v>
      </x:c>
      <x:c r="D211" s="17" t="str">
        <x:v>neural_3d_representation</x:v>
      </x:c>
      <x:c r="E211" s="27" t="str">
        <x:v>What are the main neural representations for novel-view synthesis, including neural radiance fields and 3D Gaussian splatting, and what are their computational trade-offs?</x:v>
      </x:c>
      <x:c r="F211" s="22" t="n">
        <x:v>10</x:v>
      </x:c>
      <x:c r="G211" s="17" t="str">
        <x:v>arXiv:2305.15171</x:v>
      </x:c>
      <x:c r="H211" s="27" t="str">
        <x:v>Deceptive-NeRF/3DGS: Diffusion-Generated Pseudo-Observations for High-Quality Sparse-View Reconstruction</x:v>
      </x:c>
      <x:c r="I211" s="17" t="str">
        <x:v>Xinhang Liu; Jiaben Chen; Shiu-hong Kao; Yu-Wing Tai; Chi-Keung Tang</x:v>
      </x:c>
      <x:c r="J211" s="22" t="n">
        <x:v>2023</x:v>
      </x:c>
      <x:c r="K211" s="27" t="str">
        <x:v>Novel view synthesis via Neural Radiance Fields (NeRFs) or 3D Gaussian Splatting (3DGS) typically necessitates dense observations with hundreds of input images to circumvent artifacts. We introduce Deceptive-NeRF/3DGS to enhance sparse-view reconstruction with only a limited set of input images, by leveraging a diffusion model pre-trained from multiview datasets. Different from using diffusion priors to regularize representation optimization, our method directly uses diffusion-generated images to train NeRF/3DGS as if they were real input views. Specifically, we propose a deceptive diffusion model turning noisy images rendered from few-view reconstructions into high-quality photorealistic pseudo-observations. To resolve consistency among pseudo-observations and real input views, we develop an uncertainty measure to guide the diffusion model's generation. Our system progressively incorporates diffusion-generated pseudo-observations into the training image sets, ultimately densifying the sparse input observations by 5 to 10 times. Extensive experiments across diverse and challenging datasets validate that our approach outperforms existing state-of-the-art methods and is capable of synthesizing novel views with super-resolution in the few-view setting.</x:v>
      </x:c>
      <x:c r="L211" s="17" t="str">
        <x:v>http://arxiv.org/abs/2305.15171v4</x:v>
      </x:c>
      <x:c r="M211" s="23" t="n">
        <x:v>0.016129032258064516</x:v>
      </x:c>
      <x:c r="N211" s="17" t="str">
        <x:v>arxiv-paper-eval-20260726-140242-results.jsonl</x:v>
      </x:c>
      <x:c r="O211" s="24" t="str">
        <x:v>1</x:v>
      </x:c>
      <x:c r="P211" s="28" t="str">
        <x:v>针对稀疏视图改进NeRF和3DGS重建，主要贡献是扩散伪观测而非表示权衡。</x:v>
      </x:c>
      <x:c r="Q211" s="25" t="str"/>
      <x:c r="R211" s="24" t="str">
        <x:f>IF(Q211&lt;&gt;"",Q211,O211)</x:f>
        <x:v>1</x:v>
      </x:c>
      <x:c r="S211" s="29" t="str"/>
    </x:row>
    <x:row r="212" ht="54" customHeight="1">
      <x:c r="A212" s="17" t="str">
        <x:v>csq011-r11</x:v>
      </x:c>
      <x:c r="B212" s="17" t="str">
        <x:v>csq011</x:v>
      </x:c>
      <x:c r="C212" s="17" t="str">
        <x:v>computer_vision</x:v>
      </x:c>
      <x:c r="D212" s="17" t="str">
        <x:v>neural_3d_representation</x:v>
      </x:c>
      <x:c r="E212" s="27" t="str">
        <x:v>What are the main neural representations for novel-view synthesis, including neural radiance fields and 3D Gaussian splatting, and what are their computational trade-offs?</x:v>
      </x:c>
      <x:c r="F212" s="22" t="n">
        <x:v>11</x:v>
      </x:c>
      <x:c r="G212" s="17" t="str">
        <x:v>arXiv:2202.04879</x:v>
      </x:c>
      <x:c r="H212" s="27" t="str">
        <x:v>PVSeRF: Joint Pixel-, Voxel- and Surface-Aligned Radiance Field for Single-Image Novel View Synthesis</x:v>
      </x:c>
      <x:c r="I212" s="17" t="str">
        <x:v>Xianggang Yu; Jiapeng Tang; Yipeng Qin; Chenghong Li; Linchao Bao; Xiaoguang Han; Shuguang Cui</x:v>
      </x:c>
      <x:c r="J212" s="22" t="n">
        <x:v>2022</x:v>
      </x:c>
      <x:c r="K212" s="27" t="str">
        <x:v>We present PVSeRF, a learning framework that reconstructs neural radiance fields from single-view RGB images, for novel view synthesis. Previous solutions, such as pixelNeRF, rely only on pixel-aligned features and suffer from feature ambiguity issues. As a result, they struggle with the disentanglement of geometry and appearance, leading to implausible geometries and blurry results. To address this challenge, we propose to incorporate explicit geometry reasoning and combine it with pixel-aligned features for radiance field prediction. Specifically, in addition to pixel-aligned features, we further constrain the radiance field learning to be conditioned on i) voxel-aligned features learned from a coarse volumetric grid and ii) fine surface-aligned features extracted from a regressed point cloud. We show that the introduction of such geometry-aware features helps to achieve a better disentanglement between appearance and geometry, i.e. recovering more accurate geometries and synthesizing higher quality images of novel views. Extensive experiments against state-of-the-art methods on ShapeNet benchmarks demonstrate the superiority of our approach for single-image novel view synthesis.</x:v>
      </x:c>
      <x:c r="L212" s="17" t="str">
        <x:v>http://arxiv.org/abs/2202.04879v1</x:v>
      </x:c>
      <x:c r="M212" s="23" t="n">
        <x:v>0.016129032258064516</x:v>
      </x:c>
      <x:c r="N212" s="17" t="str">
        <x:v>arxiv-paper-eval-20260726-140242-results.jsonl</x:v>
      </x:c>
      <x:c r="O212" s="24" t="str">
        <x:v>1</x:v>
      </x:c>
      <x:c r="P212" s="28" t="str">
        <x:v>结合像素、体素和表面对齐特征构建辐射场，属于具体新视角表示。</x:v>
      </x:c>
      <x:c r="Q212" s="25" t="str"/>
      <x:c r="R212" s="24" t="str">
        <x:f>IF(Q212&lt;&gt;"",Q212,O212)</x:f>
        <x:v>1</x:v>
      </x:c>
      <x:c r="S212" s="29" t="str"/>
    </x:row>
    <x:row r="213" ht="54" customHeight="1">
      <x:c r="A213" s="17" t="str">
        <x:v>csq011-r12</x:v>
      </x:c>
      <x:c r="B213" s="17" t="str">
        <x:v>csq011</x:v>
      </x:c>
      <x:c r="C213" s="17" t="str">
        <x:v>computer_vision</x:v>
      </x:c>
      <x:c r="D213" s="17" t="str">
        <x:v>neural_3d_representation</x:v>
      </x:c>
      <x:c r="E213" s="27" t="str">
        <x:v>What are the main neural representations for novel-view synthesis, including neural radiance fields and 3D Gaussian splatting, and what are their computational trade-offs?</x:v>
      </x:c>
      <x:c r="F213" s="22" t="n">
        <x:v>12</x:v>
      </x:c>
      <x:c r="G213" s="17" t="str">
        <x:v>arXiv:2410.01647</x:v>
      </x:c>
      <x:c r="H213" s="27" t="str">
        <x:v>3DGS-DET: Empower 3D Gaussian Splatting with Boundary Guidance and Box-Focused Sampling for Indoor 3D Object Detection</x:v>
      </x:c>
      <x:c r="I213" s="17" t="str">
        <x:v>Yang Cao; Yuanliang Ju; Dan Xu</x:v>
      </x:c>
      <x:c r="J213" s="22" t="n">
        <x:v>2024</x:v>
      </x:c>
      <x:c r="K213" s="27" t="str">
        <x:v>Neural Radiance Fields (NeRF) have been adapted for indoor 3D Object Detection (3DOD), offering a promising approach to indoor 3DOD via view-synthesis representation. But its implicit nature limits representational capacity. Recently, 3D Gaussian Splatting (3DGS) has emerged as an explicit 3D representation that addresses the limitation. This work introduces 3DGS into indoor 3DOD for the first time, identifying two main challenges: (i) Ambiguous spatial distribution of Gaussian blobs -- 3DGS primarily relies on 2D pixel-level supervision, resulting in unclear 3D spatial distribution of Gaussian blobs and poor differentiation between objects and background, which hinders indoor 3DOD; (ii) Excessive background blobs -- 2D images typically include numerous background pixels, leading to densely reconstructed 3DGS with many noisy Gaussian blobs representing the background, negatively affecting detection. To tackle (i), we leverage the fact that 3DGS reconstruction is derived from 2D images, and propose an elegant solution by incorporating 2D Boundary Guidance to significantly enhance the spatial distribution of Gaussian blobs, resulting in clearer differentiation between objects and their background (please see fig:teaser). To address (ii), we propose a Box-Focused Sampling strategy using 2D boxes to generate object probability distribution in 3D space, allowing effective probabilistic sampling in 3D to retain more object blobs and reduce noisy background blobs. Benefiting from these innovations, 3DGS-DET significantly outperforms the state-of-the-art NeRF-based method, NeRF-Det++, achieving improvements of +6.0 on mAP@0.25 and +7.8 on mAP@0.5 for the ScanNet, and the +14.9 on mAP@0.25 for the ARKITScenes.</x:v>
      </x:c>
      <x:c r="L213" s="17" t="str">
        <x:v>http://arxiv.org/abs/2410.01647v2</x:v>
      </x:c>
      <x:c r="M213" s="23" t="n">
        <x:v>0.015873015873015872</x:v>
      </x:c>
      <x:c r="N213" s="17" t="str">
        <x:v>arxiv-paper-eval-20260726-140242-results.jsonl</x:v>
      </x:c>
      <x:c r="O213" s="24" t="str">
        <x:v>0</x:v>
      </x:c>
      <x:c r="P213" s="28" t="str">
        <x:v>主要任务是室内3D目标检测，并不回答新视角合成表示及其计算权衡。</x:v>
      </x:c>
      <x:c r="Q213" s="25" t="str"/>
      <x:c r="R213" s="24" t="str">
        <x:f>IF(Q213&lt;&gt;"",Q213,O213)</x:f>
        <x:v>0</x:v>
      </x:c>
      <x:c r="S213" s="29" t="str"/>
    </x:row>
    <x:row r="214" ht="54" customHeight="1">
      <x:c r="A214" s="17" t="str">
        <x:v>csq011-r13</x:v>
      </x:c>
      <x:c r="B214" s="17" t="str">
        <x:v>csq011</x:v>
      </x:c>
      <x:c r="C214" s="17" t="str">
        <x:v>computer_vision</x:v>
      </x:c>
      <x:c r="D214" s="17" t="str">
        <x:v>neural_3d_representation</x:v>
      </x:c>
      <x:c r="E214" s="27" t="str">
        <x:v>What are the main neural representations for novel-view synthesis, including neural radiance fields and 3D Gaussian splatting, and what are their computational trade-offs?</x:v>
      </x:c>
      <x:c r="F214" s="22" t="n">
        <x:v>13</x:v>
      </x:c>
      <x:c r="G214" s="17" t="str">
        <x:v>arXiv:2303.15880</x:v>
      </x:c>
      <x:c r="H214" s="27" t="str">
        <x:v>Novel View Synthesis of Humans using Differentiable Rendering</x:v>
      </x:c>
      <x:c r="I214" s="17" t="str">
        <x:v>Guillaume Rochette; Chris Russell; Richard Bowden</x:v>
      </x:c>
      <x:c r="J214" s="22" t="n">
        <x:v>2023</x:v>
      </x:c>
      <x:c r="K214" s="27" t="str">
        <x:v>We present a new approach for synthesizing novel views of people in new poses. Our novel differentiable renderer enables the synthesis of highly realistic images from any viewpoint. Rather than operating over mesh-based structures, our renderer makes use of diffuse Gaussian primitives that directly represent the underlying skeletal structure of a human. Rendering these primitives gives results in a high-dimensional latent image, which is then transformed into an RGB image by a decoder network. The formulation gives rise to a fully differentiable framework that can be trained end-to-end. We demonstrate the effectiveness of our approach to image reconstruction on both the Human3.6M and Panoptic Studio datasets. We show how our approach can be used for motion transfer between individuals; novel view synthesis of individuals captured from just a single camera; to synthesize individuals from any virtual viewpoint; and to re-render people in novel poses. Code and video results are available at https://github.com/GuillaumeRochette/HumanViewSynthesis.</x:v>
      </x:c>
      <x:c r="L214" s="17" t="str">
        <x:v>http://arxiv.org/abs/2303.15880v1</x:v>
      </x:c>
      <x:c r="M214" s="23" t="n">
        <x:v>0.015873015873015872</x:v>
      </x:c>
      <x:c r="N214" s="17" t="str">
        <x:v>arxiv-paper-eval-20260726-140242-results.jsonl</x:v>
      </x:c>
      <x:c r="O214" s="24" t="str">
        <x:v>1</x:v>
      </x:c>
      <x:c r="P214" s="28" t="str">
        <x:v>用高斯图元和可微渲染合成人体新视角，可作为高斯类表示实例。</x:v>
      </x:c>
      <x:c r="Q214" s="25" t="str"/>
      <x:c r="R214" s="24" t="str">
        <x:f>IF(Q214&lt;&gt;"",Q214,O214)</x:f>
        <x:v>1</x:v>
      </x:c>
      <x:c r="S214" s="29" t="str"/>
    </x:row>
    <x:row r="215" ht="54" customHeight="1">
      <x:c r="A215" s="17" t="str">
        <x:v>csq011-r14</x:v>
      </x:c>
      <x:c r="B215" s="17" t="str">
        <x:v>csq011</x:v>
      </x:c>
      <x:c r="C215" s="17" t="str">
        <x:v>computer_vision</x:v>
      </x:c>
      <x:c r="D215" s="17" t="str">
        <x:v>neural_3d_representation</x:v>
      </x:c>
      <x:c r="E215" s="27" t="str">
        <x:v>What are the main neural representations for novel-view synthesis, including neural radiance fields and 3D Gaussian splatting, and what are their computational trade-offs?</x:v>
      </x:c>
      <x:c r="F215" s="22" t="n">
        <x:v>14</x:v>
      </x:c>
      <x:c r="G215" s="17" t="str">
        <x:v>arXiv:2207.11467</x:v>
      </x:c>
      <x:c r="H215" s="27" t="str">
        <x:v>CompNVS: Novel View Synthesis with Scene Completion</x:v>
      </x:c>
      <x:c r="I215" s="17" t="str">
        <x:v>Zuoyue Li; Tianxing Fan; Zhenqiang Li; Zhaopeng Cui; Yoichi Sato; Marc Pollefeys; Martin R. Oswald</x:v>
      </x:c>
      <x:c r="J215" s="22" t="n">
        <x:v>2022</x:v>
      </x:c>
      <x:c r="K215" s="27" t="str">
        <x:v>We introduce a scalable framework for novel view synthesis from RGB-D images with largely incomplete scene coverage. While generative neural approaches have demonstrated spectacular results on 2D images, they have not yet achieved similar photorealistic results in combination with scene completion where a spatial 3D scene understanding is essential. To this end, we propose a generative pipeline performing on a sparse grid-based neural scene representation to complete unobserved scene parts via a learned distribution of scenes in a 2.5D-3D-2.5D manner. We process encoded image features in 3D space with a geometry completion network and a subsequent texture inpainting network to extrapolate the missing area. Photorealistic image sequences can be finally obtained via consistency-relevant differentiable rendering. Comprehensive experiments show that the graphical outputs of our method outperform the state of the art, especially within unobserved scene parts.</x:v>
      </x:c>
      <x:c r="L215" s="17" t="str">
        <x:v>http://arxiv.org/abs/2207.11467v1</x:v>
      </x:c>
      <x:c r="M215" s="23" t="n">
        <x:v>0.015873015873015872</x:v>
      </x:c>
      <x:c r="N215" s="17" t="str">
        <x:v>arxiv-paper-eval-20260726-140242-results.jsonl</x:v>
      </x:c>
      <x:c r="O215" s="24" t="str">
        <x:v>1</x:v>
      </x:c>
      <x:c r="P215" s="28" t="str">
        <x:v>提出稀疏网格神经场用于场景补全和新视角合成，属于具体表示方案。</x:v>
      </x:c>
      <x:c r="Q215" s="25" t="str"/>
      <x:c r="R215" s="24" t="str">
        <x:f>IF(Q215&lt;&gt;"",Q215,O215)</x:f>
        <x:v>1</x:v>
      </x:c>
      <x:c r="S215" s="29" t="str"/>
    </x:row>
    <x:row r="216" ht="54" customHeight="1">
      <x:c r="A216" s="17" t="str">
        <x:v>csq011-r15</x:v>
      </x:c>
      <x:c r="B216" s="17" t="str">
        <x:v>csq011</x:v>
      </x:c>
      <x:c r="C216" s="17" t="str">
        <x:v>computer_vision</x:v>
      </x:c>
      <x:c r="D216" s="17" t="str">
        <x:v>neural_3d_representation</x:v>
      </x:c>
      <x:c r="E216" s="27" t="str">
        <x:v>What are the main neural representations for novel-view synthesis, including neural radiance fields and 3D Gaussian splatting, and what are their computational trade-offs?</x:v>
      </x:c>
      <x:c r="F216" s="22" t="n">
        <x:v>15</x:v>
      </x:c>
      <x:c r="G216" s="17" t="str">
        <x:v>arXiv:2308.11198</x:v>
      </x:c>
      <x:c r="H216" s="27" t="str">
        <x:v>Novel-view Synthesis and Pose Estimation for Hand-Object Interaction from Sparse Views</x:v>
      </x:c>
      <x:c r="I216" s="17" t="str">
        <x:v>Wentian Qu; Zhaopeng Cui; Yinda Zhang; Chenyu Meng; Cuixia Ma; Xiaoming Deng; Hongan Wang</x:v>
      </x:c>
      <x:c r="J216" s="22" t="n">
        <x:v>2023</x:v>
      </x:c>
      <x:c r="K216" s="27" t="str">
        <x:v>Hand-object interaction understanding and the barely addressed novel view synthesis are highly desired in the immersive communication, whereas it is challenging due to the high deformation of hand and heavy occlusions between hand and object. In this paper, we propose a neural rendering and pose estimation system for hand-object interaction from sparse views, which can also enable 3D hand-object interaction editing. We share the inspiration from recent scene understanding work that shows a scene specific model built beforehand can significantly improve and unblock vision tasks especially when inputs are sparse, and extend it to the dynamic hand-object interaction scenario and propose to solve the problem in two stages. We first learn the shape and appearance prior knowledge of hands and objects separately with the neural representation at the offline stage. During the online stage, we design a rendering-based joint model fitting framework to understand the dynamic hand-object interaction with the pre-built hand and object models as well as interaction priors, which thereby overcomes penetration and separation issues between hand and object and also enables novel view synthesis. In order to get stable contact during the hand-object interaction process in a sequence, we propose a stable contact loss to make the contact region to be consistent. Experiments demonstrate that our method outperforms the state-of-the-art methods. Code and dataset are available in project webpage https://iscas3dv.github.io/HO-NeRF.</x:v>
      </x:c>
      <x:c r="L216" s="17" t="str">
        <x:v>http://arxiv.org/abs/2308.11198v1</x:v>
      </x:c>
      <x:c r="M216" s="23" t="n">
        <x:v>0.015625</x:v>
      </x:c>
      <x:c r="N216" s="17" t="str">
        <x:v>arxiv-paper-eval-20260726-140242-results.jsonl</x:v>
      </x:c>
      <x:c r="O216" s="24" t="str">
        <x:v>1</x:v>
      </x:c>
      <x:c r="P216" s="28" t="str">
        <x:v>面向手物交互的稀疏视图神经渲染，是特定应用方案而非表示综述。</x:v>
      </x:c>
      <x:c r="Q216" s="25" t="str"/>
      <x:c r="R216" s="24" t="str">
        <x:f>IF(Q216&lt;&gt;"",Q216,O216)</x:f>
        <x:v>1</x:v>
      </x:c>
      <x:c r="S216" s="29" t="str"/>
    </x:row>
    <x:row r="217" ht="54" customHeight="1">
      <x:c r="A217" s="17" t="str">
        <x:v>csq011-r16</x:v>
      </x:c>
      <x:c r="B217" s="17" t="str">
        <x:v>csq011</x:v>
      </x:c>
      <x:c r="C217" s="17" t="str">
        <x:v>computer_vision</x:v>
      </x:c>
      <x:c r="D217" s="17" t="str">
        <x:v>neural_3d_representation</x:v>
      </x:c>
      <x:c r="E217" s="27" t="str">
        <x:v>What are the main neural representations for novel-view synthesis, including neural radiance fields and 3D Gaussian splatting, and what are their computational trade-offs?</x:v>
      </x:c>
      <x:c r="F217" s="22" t="n">
        <x:v>16</x:v>
      </x:c>
      <x:c r="G217" s="17" t="str">
        <x:v>arXiv:2311.02778</x:v>
      </x:c>
      <x:c r="H217" s="27" t="str">
        <x:v>MuSHRoom: Multi-Sensor Hybrid Room Dataset for Joint 3D Reconstruction and Novel View Synthesis</x:v>
      </x:c>
      <x:c r="I217" s="17" t="str">
        <x:v>Xuqian Ren; Wenjia Wang; Dingding Cai; Tuuli Tuominen; Juho Kannala; Esa Rahtu</x:v>
      </x:c>
      <x:c r="J217" s="22" t="n">
        <x:v>2023</x:v>
      </x:c>
      <x:c r="K217" s="27" t="str">
        <x:v>Metaverse technologies demand accurate, real-time, and immersive modeling on consumer-grade hardware for both non-human perception (e.g., drone/robot/autonomous car navigation) and immersive technologies like AR/VR, requiring both structural accuracy and photorealism. However, there exists a knowledge gap in how to apply geometric reconstruction and photorealism modeling (novel view synthesis) in a unified framework. To address this gap and promote the development of robust and immersive modeling and rendering with consumer-grade devices, we propose a real-world Multi-Sensor Hybrid Room Dataset (MuSHRoom). Our dataset presents exciting challenges and requires state-of-the-art methods to be cost-effective, robust to noisy data and devices, and can jointly learn 3D reconstruction and novel view synthesis instead of treating them as separate tasks, making them ideal for real-world applications. We benchmark several famous pipelines on our dataset for joint 3D mesh reconstruction and novel view synthesis. Our dataset and benchmark show great potential in promoting the improvements for fusing 3D reconstruction and high-quality rendering in a robust and computationally efficient end-to-end fashion. The dataset and code are available at the project website: https://xuqianren.github.io/publications/MuSHRoom/.</x:v>
      </x:c>
      <x:c r="L217" s="17" t="str">
        <x:v>http://arxiv.org/abs/2311.02778v3</x:v>
      </x:c>
      <x:c r="M217" s="23" t="n">
        <x:v>0.015625</x:v>
      </x:c>
      <x:c r="N217" s="17" t="str">
        <x:v>arxiv-paper-eval-20260726-140242-results.jsonl</x:v>
      </x:c>
      <x:c r="O217" s="24" t="str">
        <x:v>0</x:v>
      </x:c>
      <x:c r="P217" s="28" t="str">
        <x:v>核心贡献是多传感器房间数据集，而非神经表示或计算权衡。</x:v>
      </x:c>
      <x:c r="Q217" s="25" t="str"/>
      <x:c r="R217" s="24" t="str">
        <x:f>IF(Q217&lt;&gt;"",Q217,O217)</x:f>
        <x:v>0</x:v>
      </x:c>
      <x:c r="S217" s="29" t="str"/>
    </x:row>
    <x:row r="218" ht="54" customHeight="1">
      <x:c r="A218" s="17" t="str">
        <x:v>csq011-r17</x:v>
      </x:c>
      <x:c r="B218" s="17" t="str">
        <x:v>csq011</x:v>
      </x:c>
      <x:c r="C218" s="17" t="str">
        <x:v>computer_vision</x:v>
      </x:c>
      <x:c r="D218" s="17" t="str">
        <x:v>neural_3d_representation</x:v>
      </x:c>
      <x:c r="E218" s="27" t="str">
        <x:v>What are the main neural representations for novel-view synthesis, including neural radiance fields and 3D Gaussian splatting, and what are their computational trade-offs?</x:v>
      </x:c>
      <x:c r="F218" s="22" t="n">
        <x:v>17</x:v>
      </x:c>
      <x:c r="G218" s="17" t="str">
        <x:v>arXiv:2212.08328</x:v>
      </x:c>
      <x:c r="H218" s="27" t="str">
        <x:v>MEIL-NeRF: Memory-Efficient Incremental Learning of Neural Radiance Fields</x:v>
      </x:c>
      <x:c r="I218" s="17" t="str">
        <x:v>Jaeyoung Chung; Kanggeon Lee; Sungyong Baik; Kyoung Mu Lee</x:v>
      </x:c>
      <x:c r="J218" s="22" t="n">
        <x:v>2022</x:v>
      </x:c>
      <x:c r="K218" s="27" t="str">
        <x:v>Hinged on the representation power of neural networks, neural radiance fields (NeRF) have recently emerged as one of the promising and widely applicable methods for 3D object and scene representation. However, NeRF faces challenges in practical applications, such as large-scale scenes and edge devices with a limited amount of memory, where data needs to be processed sequentially. Under such incremental learning scenarios, neural networks are known to suffer catastrophic forgetting: easily forgetting previously seen data after training with new data. We observe that previous incremental learning algorithms are limited by either low performance or memory scalability issues. As such, we develop a Memory-Efficient Incremental Learning algorithm for NeRF (MEIL-NeRF). MEIL-NeRF takes inspiration from NeRF itself in that a neural network can serve as a memory that provides the pixel RGB values, given rays as queries. Upon the motivation, our framework learns which rays to query NeRF to extract previous pixel values. The extracted pixel values are then used to train NeRF in a self-distillation manner to prevent catastrophic forgetting. As a result, MEIL-NeRF demonstrates constant memory consumption and competitive performance.</x:v>
      </x:c>
      <x:c r="L218" s="17" t="str">
        <x:v>http://arxiv.org/abs/2212.08328v3</x:v>
      </x:c>
      <x:c r="M218" s="23" t="n">
        <x:v>0.015625</x:v>
      </x:c>
      <x:c r="N218" s="17" t="str">
        <x:v>arxiv-paper-eval-20260726-140242-results.jsonl</x:v>
      </x:c>
      <x:c r="O218" s="24" t="str">
        <x:v>2</x:v>
      </x:c>
      <x:c r="P218" s="28" t="str">
        <x:v>直接研究NeRF增量学习中的内存效率，覆盖其重要计算和部署局限。</x:v>
      </x:c>
      <x:c r="Q218" s="25" t="str"/>
      <x:c r="R218" s="24" t="str">
        <x:f>IF(Q218&lt;&gt;"",Q218,O218)</x:f>
        <x:v>2</x:v>
      </x:c>
      <x:c r="S218" s="29" t="str"/>
    </x:row>
    <x:row r="219" ht="54" customHeight="1">
      <x:c r="A219" s="17" t="str">
        <x:v>csq011-r18</x:v>
      </x:c>
      <x:c r="B219" s="17" t="str">
        <x:v>csq011</x:v>
      </x:c>
      <x:c r="C219" s="17" t="str">
        <x:v>computer_vision</x:v>
      </x:c>
      <x:c r="D219" s="17" t="str">
        <x:v>neural_3d_representation</x:v>
      </x:c>
      <x:c r="E219" s="27" t="str">
        <x:v>What are the main neural representations for novel-view synthesis, including neural radiance fields and 3D Gaussian splatting, and what are their computational trade-offs?</x:v>
      </x:c>
      <x:c r="F219" s="22" t="n">
        <x:v>18</x:v>
      </x:c>
      <x:c r="G219" s="17" t="str">
        <x:v>arXiv:2507.23374</x:v>
      </x:c>
      <x:c r="H219" s="27" t="str">
        <x:v>NeRF Is a Valuable Assistant for 3D Gaussian Splatting</x:v>
      </x:c>
      <x:c r="I219" s="17" t="str">
        <x:v>Shuangkang Fang; I-Chao Shen; Takeo Igarashi; Yufeng Wang; ZeSheng Wang; Yi Yang; Wenrui Ding; Shuchang Zhou</x:v>
      </x:c>
      <x:c r="J219" s="22" t="n">
        <x:v>2025</x:v>
      </x:c>
      <x:c r="K219" s="27" t="str">
        <x:v>We introduce NeRF-GS, a novel framework that jointly optimizes Neural Radiance Fields (NeRF) and 3D Gaussian Splatting (3DGS). This framework leverages the inherent continuous spatial representation of NeRF to mitigate several limitations of 3DGS, including sensitivity to Gaussian initialization, limited spatial awareness, and weak inter-Gaussian correlations, thereby enhancing its performance. In NeRF-GS, we revisit the design of 3DGS and progressively align its spatial features with NeRF, enabling both representations to be optimized within the same scene through shared 3D spatial information. We further address the formal distinctions between the two approaches by optimizing residual vectors for both implicit features and Gaussian positions to enhance the personalized capabilities of 3DGS. Experimental results on benchmark datasets show that NeRF-GS surpasses existing methods and achieves state-of-the-art performance. This outcome confirms that NeRF and 3DGS are complementary rather than competing, offering new insights into hybrid approaches that combine 3DGS and NeRF for efficient 3D scene representation.</x:v>
      </x:c>
      <x:c r="L219" s="17" t="str">
        <x:v>http://arxiv.org/abs/2507.23374v1</x:v>
      </x:c>
      <x:c r="M219" s="23" t="n">
        <x:v>0.015384615384615385</x:v>
      </x:c>
      <x:c r="N219" s="17" t="str">
        <x:v>arxiv-paper-eval-20260726-140242-results.jsonl</x:v>
      </x:c>
      <x:c r="O219" s="24" t="str">
        <x:v>2</x:v>
      </x:c>
      <x:c r="P219" s="28" t="str">
        <x:v>联合优化NeRF与3DGS并分析两者表示特性和互补限制。</x:v>
      </x:c>
      <x:c r="Q219" s="25" t="str"/>
      <x:c r="R219" s="24" t="str">
        <x:f>IF(Q219&lt;&gt;"",Q219,O219)</x:f>
        <x:v>2</x:v>
      </x:c>
      <x:c r="S219" s="29" t="str"/>
    </x:row>
    <x:row r="220" ht="54" customHeight="1">
      <x:c r="A220" s="17" t="str">
        <x:v>csq011-r19</x:v>
      </x:c>
      <x:c r="B220" s="17" t="str">
        <x:v>csq011</x:v>
      </x:c>
      <x:c r="C220" s="17" t="str">
        <x:v>computer_vision</x:v>
      </x:c>
      <x:c r="D220" s="17" t="str">
        <x:v>neural_3d_representation</x:v>
      </x:c>
      <x:c r="E220" s="27" t="str">
        <x:v>What are the main neural representations for novel-view synthesis, including neural radiance fields and 3D Gaussian splatting, and what are their computational trade-offs?</x:v>
      </x:c>
      <x:c r="F220" s="22" t="n">
        <x:v>19</x:v>
      </x:c>
      <x:c r="G220" s="17" t="str">
        <x:v>arXiv:2405.18784</x:v>
      </x:c>
      <x:c r="H220" s="27" t="str">
        <x:v>LP-3DGS: Learning to Prune 3D Gaussian Splatting</x:v>
      </x:c>
      <x:c r="I220" s="17" t="str">
        <x:v>Zhaoliang Zhang; Tianchen Song; Yongjae Lee; Li Yang; Cheng Peng; Rama Chellappa; Deliang Fan</x:v>
      </x:c>
      <x:c r="J220" s="22" t="n">
        <x:v>2024</x:v>
      </x:c>
      <x:c r="K220" s="27" t="str">
        <x:v>Recently, 3D Gaussian Splatting (3DGS) has become one of the mainstream methodologies for novel view synthesis (NVS) due to its high quality and fast rendering speed. However, as a point-based scene representation, 3DGS potentially generates a large number of Gaussians to fit the scene, leading to high memory usage. Improvements that have been proposed require either an empirical and preset pruning ratio or importance score threshold to prune the point cloud. Such hyperparamter requires multiple rounds of training to optimize and achieve the maximum pruning ratio, while maintaining the rendering quality for each scene. In this work, we propose learning-to-prune 3DGS (LP-3DGS), where a trainable binary mask is applied to the importance score that can find optimal pruning ratio automatically. Instead of using the traditional straight-through estimator (STE) method to approximate the binary mask gradient, we redesign the masking function to leverage the Gumbel-Sigmoid method, making it differentiable and compatible with the existing training process of 3DGS. Extensive experiments have shown that LP-3DGS consistently produces a good balance that is both efficient and high quality.</x:v>
      </x:c>
      <x:c r="L220" s="17" t="str">
        <x:v>http://arxiv.org/abs/2405.18784v1</x:v>
      </x:c>
      <x:c r="M220" s="23" t="n">
        <x:v>0.015384615384615385</x:v>
      </x:c>
      <x:c r="N220" s="17" t="str">
        <x:v>arxiv-paper-eval-20260726-140242-results.jsonl</x:v>
      </x:c>
      <x:c r="O220" s="24" t="str">
        <x:v>2</x:v>
      </x:c>
      <x:c r="P220" s="28" t="str">
        <x:v>通过学习剪枝降低3DGS高斯数量和内存占用，直接体现质量与资源权衡。</x:v>
      </x:c>
      <x:c r="Q220" s="25" t="str"/>
      <x:c r="R220" s="24" t="str">
        <x:f>IF(Q220&lt;&gt;"",Q220,O220)</x:f>
        <x:v>2</x:v>
      </x:c>
      <x:c r="S220" s="29" t="str"/>
    </x:row>
    <x:row r="221" ht="54" customHeight="1">
      <x:c r="A221" s="17" t="str">
        <x:v>csq011-r20</x:v>
      </x:c>
      <x:c r="B221" s="17" t="str">
        <x:v>csq011</x:v>
      </x:c>
      <x:c r="C221" s="17" t="str">
        <x:v>computer_vision</x:v>
      </x:c>
      <x:c r="D221" s="17" t="str">
        <x:v>neural_3d_representation</x:v>
      </x:c>
      <x:c r="E221" s="27" t="str">
        <x:v>What are the main neural representations for novel-view synthesis, including neural radiance fields and 3D Gaussian splatting, and what are their computational trade-offs?</x:v>
      </x:c>
      <x:c r="F221" s="22" t="n">
        <x:v>20</x:v>
      </x:c>
      <x:c r="G221" s="17" t="str">
        <x:v>arXiv:2205.08908</x:v>
      </x:c>
      <x:c r="H221" s="27" t="str">
        <x:v>Remote Sensing Novel View Synthesis with Implicit Multiplane Representations</x:v>
      </x:c>
      <x:c r="I221" s="17" t="str">
        <x:v>Yongchang Wu; Zhengxia Zou; Zhenwei Shi</x:v>
      </x:c>
      <x:c r="J221" s="22" t="n">
        <x:v>2022</x:v>
      </x:c>
      <x:c r="K221" s="27" t="str">
        <x:v>Novel view synthesis of remote sensing scenes is of great significance for scene visualization, human-computer interaction, and various downstream applications. Despite the recent advances in computer graphics and photogrammetry technology, generating novel views is still challenging particularly for remote sensing images due to its high complexity, view sparsity and limited view-perspective variations. In this paper, we propose a novel remote sensing view synthesis method by leveraging the recent advances in implicit neural representations. Considering the overhead and far depth imaging of remote sensing images, we represent the 3D space by combining implicit multiplane images (MPI) representation and deep neural networks. The 3D scene is reconstructed under a self-supervised optimization paradigm through a differentiable multiplane renderer with multi-view input constraints. Images from any novel views thus can be freely rendered on the basis of the reconstructed model. As a by-product, the depth maps corresponding to the given viewpoint can be generated along with the rendering output. We refer to our method as Implicit Multiplane Images (ImMPI). To further improve the view synthesis under sparse-view inputs, we explore the learning-based initialization of remote sensing 3D scenes and proposed a neural network based Prior extractor to accelerate the optimization process. In addition, we propose a new dataset for remote sensing novel view synthesis with multi-view real-world google earth images. Extensive experiments demonstrate the superiority of the ImMPI over previous state-of-the-art methods in terms of reconstruction accuracy, visual fidelity, and time efficiency. Ablation experiments also suggest the effectiveness of our methodology design. Our dataset and code can be found at https://github.com/wyc-Chang/ImMPI</x:v>
      </x:c>
      <x:c r="L221" s="17" t="str">
        <x:v>http://arxiv.org/abs/2205.08908v1</x:v>
      </x:c>
      <x:c r="M221" s="23" t="n">
        <x:v>0.015384615384615385</x:v>
      </x:c>
      <x:c r="N221" s="17" t="str">
        <x:v>arxiv-paper-eval-20260726-140242-results.jsonl</x:v>
      </x:c>
      <x:c r="O221" s="24" t="str">
        <x:v>1</x:v>
      </x:c>
      <x:c r="P221" s="28" t="str">
        <x:v>提出遥感新视角合成的隐式多平面表示，可补充特定表示类别。</x:v>
      </x:c>
      <x:c r="Q221" s="25" t="str"/>
      <x:c r="R221" s="24" t="str">
        <x:f>IF(Q221&lt;&gt;"",Q221,O221)</x:f>
        <x:v>1</x:v>
      </x:c>
      <x:c r="S221" s="29" t="str"/>
    </x:row>
    <x:row r="222" ht="54" customHeight="1">
      <x:c r="A222" s="17" t="str">
        <x:v>csq012-r01</x:v>
      </x:c>
      <x:c r="B222" s="17" t="str">
        <x:v>csq012</x:v>
      </x:c>
      <x:c r="C222" s="17" t="str">
        <x:v>computer_vision</x:v>
      </x:c>
      <x:c r="D222" s="17" t="str">
        <x:v>image_generation</x:v>
      </x:c>
      <x:c r="E222" s="27" t="str">
        <x:v>How do diffusion-based and autoregressive image generation models compare in training objectives, sampling cost, controllability, and output quality?</x:v>
      </x:c>
      <x:c r="F222" s="22" t="n">
        <x:v>1</x:v>
      </x:c>
      <x:c r="G222" s="17" t="str">
        <x:v>arXiv:2510.16751</x:v>
      </x:c>
      <x:c r="H222" s="27" t="str">
        <x:v>Visual Autoregressive Models Beat Diffusion Models on Inference Time Scaling</x:v>
      </x:c>
      <x:c r="I222" s="17" t="str">
        <x:v>Erik Riise; Mehmet Onurcan Kaya; Dim P. Papadopoulos</x:v>
      </x:c>
      <x:c r="J222" s="22" t="n">
        <x:v>2025</x:v>
      </x:c>
      <x:c r="K222" s="27" t="str">
        <x:v>While inference-time scaling through search has revolutionized Large Language Models, translating these gains to image generation has proven difficult. Recent attempts to apply search strategies to continuous diffusion models show limited benefits, with simple random sampling often performing best. We demonstrate that the discrete, sequential nature of visual autoregressive models enables effective search for image generation. We show that beam search substantially improves text-to-image generation, enabling a 2B parameter autoregressive model to outperform a 12B parameter diffusion model across benchmarks. Systematic ablations show that this advantage comes from the discrete token space, which allows early pruning and computational reuse, and our verifier analysis highlights trade-offs between speed and reasoning capability. These findings suggest that model architecture, not just scale, is critical for inference-time optimization in visual generation.</x:v>
      </x:c>
      <x:c r="L222" s="17" t="str">
        <x:v>http://arxiv.org/abs/2510.16751v2</x:v>
      </x:c>
      <x:c r="M222" s="23" t="n">
        <x:v>0.048915917503966164</x:v>
      </x:c>
      <x:c r="N222" s="17" t="str">
        <x:v>arxiv-paper-eval-20260726-140242-results.jsonl</x:v>
      </x:c>
      <x:c r="O222" s="24" t="str">
        <x:v>2</x:v>
      </x:c>
      <x:c r="P222" s="28" t="str">
        <x:v>直接比较视觉自回归与扩散模型的推理时搜索、成本和生成质量。</x:v>
      </x:c>
      <x:c r="Q222" s="25" t="str"/>
      <x:c r="R222" s="24" t="str">
        <x:f>IF(Q222&lt;&gt;"",Q222,O222)</x:f>
        <x:v>2</x:v>
      </x:c>
      <x:c r="S222" s="29" t="str"/>
    </x:row>
    <x:row r="223" ht="54" customHeight="1">
      <x:c r="A223" s="17" t="str">
        <x:v>csq012-r02</x:v>
      </x:c>
      <x:c r="B223" s="17" t="str">
        <x:v>csq012</x:v>
      </x:c>
      <x:c r="C223" s="17" t="str">
        <x:v>computer_vision</x:v>
      </x:c>
      <x:c r="D223" s="17" t="str">
        <x:v>image_generation</x:v>
      </x:c>
      <x:c r="E223" s="27" t="str">
        <x:v>How do diffusion-based and autoregressive image generation models compare in training objectives, sampling cost, controllability, and output quality?</x:v>
      </x:c>
      <x:c r="F223" s="22" t="n">
        <x:v>2</x:v>
      </x:c>
      <x:c r="G223" s="17" t="str">
        <x:v>arXiv:2505.12274</x:v>
      </x:c>
      <x:c r="H223" s="27" t="str">
        <x:v>Context-Aware Autoregressive Models for Multi-Conditional Image Generation</x:v>
      </x:c>
      <x:c r="I223" s="17" t="str">
        <x:v>Yixiao Chen; Zhiyuan Ma; Guoli Jia; Che Jiang; Jianjun Li; Bowen Zhou</x:v>
      </x:c>
      <x:c r="J223" s="22" t="n">
        <x:v>2025</x:v>
      </x:c>
      <x:c r="K223" s="27" t="str">
        <x:v>Autoregressive transformers have recently shown impressive image generation quality and efficiency on par with state-of-the-art diffusion models. Unlike diffusion architectures, autoregressive models can naturally incorporate arbitrary modalities into a single, unified token sequence--offering a concise solution for multi-conditional image generation tasks. In this work, we propose $\textbf{ContextAR}$, a flexible and effective framework for multi-conditional image generation. ContextAR embeds diverse conditions (e.g., canny edges, depth maps, poses) directly into the token sequence, preserving modality-specific semantics. To maintain spatial alignment while enhancing discrimination among different condition types, we introduce hybrid positional encodings that fuse Rotary Position Embedding with Learnable Positional Embedding. We design Conditional Context-aware Attention to reduces computational complexity while preserving effective intra-condition perception. Without any fine-tuning, ContextAR supports arbitrary combinations of conditions during inference time. Experimental results demonstrate the powerful controllability and versatility of our approach, and show that the competitive perpormance than diffusion-based multi-conditional control approaches the existing autoregressive baseline across diverse multi-condition driven scenarios. Project page: $\href{https://context-ar.github.io/}{https://context-ar.github.io/.}$</x:v>
      </x:c>
      <x:c r="L223" s="17" t="str">
        <x:v>http://arxiv.org/abs/2505.12274v1</x:v>
      </x:c>
      <x:c r="M223" s="23" t="n">
        <x:v>0.0315136476426799</x:v>
      </x:c>
      <x:c r="N223" s="17" t="str">
        <x:v>arxiv-paper-eval-20260726-140242-results.jsonl</x:v>
      </x:c>
      <x:c r="O223" s="24" t="str">
        <x:v>2</x:v>
      </x:c>
      <x:c r="P223" s="28" t="str">
        <x:v>讨论自回归图像生成相对扩散模型的质量、效率和多条件控制能力。</x:v>
      </x:c>
      <x:c r="Q223" s="25" t="str"/>
      <x:c r="R223" s="24" t="str">
        <x:f>IF(Q223&lt;&gt;"",Q223,O223)</x:f>
        <x:v>2</x:v>
      </x:c>
      <x:c r="S223" s="29" t="str"/>
    </x:row>
    <x:row r="224" ht="54" customHeight="1">
      <x:c r="A224" s="17" t="str">
        <x:v>csq012-r03</x:v>
      </x:c>
      <x:c r="B224" s="17" t="str">
        <x:v>csq012</x:v>
      </x:c>
      <x:c r="C224" s="17" t="str">
        <x:v>computer_vision</x:v>
      </x:c>
      <x:c r="D224" s="17" t="str">
        <x:v>image_generation</x:v>
      </x:c>
      <x:c r="E224" s="27" t="str">
        <x:v>How do diffusion-based and autoregressive image generation models compare in training objectives, sampling cost, controllability, and output quality?</x:v>
      </x:c>
      <x:c r="F224" s="22" t="n">
        <x:v>3</x:v>
      </x:c>
      <x:c r="G224" s="17" t="str">
        <x:v>arXiv:2101.12072</x:v>
      </x:c>
      <x:c r="H224" s="27" t="str">
        <x:v>Autoregressive Denoising Diffusion Models for Multivariate Probabilistic Time Series Forecasting</x:v>
      </x:c>
      <x:c r="I224" s="17" t="str">
        <x:v>Kashif Rasul; Calvin Seward; Ingmar Schuster; Roland Vollgraf</x:v>
      </x:c>
      <x:c r="J224" s="22" t="n">
        <x:v>2021</x:v>
      </x:c>
      <x:c r="K224" s="27" t="str">
        <x:v>In this work, we propose \texttt{TimeGrad}, an autoregressive model for multivariate probabilistic time series forecasting which samples from the data distribution at each time step by estimating its gradient. To this end, we use diffusion probabilistic models, a class of latent variable models closely connected to score matching and energy-based methods. Our model learns gradients by optimizing a variational bound on the data likelihood and at inference time converts white noise into a sample of the distribution of interest through a Markov chain using Langevin sampling. We demonstrate experimentally that the proposed autoregressive denoising diffusion model is the new state-of-the-art multivariate probabilistic forecasting method on real-world data sets with thousands of correlated dimensions. We hope that this method is a useful tool for practitioners and lays the foundation for future research in this area.</x:v>
      </x:c>
      <x:c r="L224" s="17" t="str">
        <x:v>http://arxiv.org/abs/2101.12072v2</x:v>
      </x:c>
      <x:c r="M224" s="23" t="n">
        <x:v>0.030776515151515152</x:v>
      </x:c>
      <x:c r="N224" s="17" t="str">
        <x:v>arxiv-paper-eval-20260726-140242-results.jsonl</x:v>
      </x:c>
      <x:c r="O224" s="24" t="str">
        <x:v>0</x:v>
      </x:c>
      <x:c r="P224" s="28" t="str">
        <x:v>研究对象是多变量时间序列预测，不是图像生成。</x:v>
      </x:c>
      <x:c r="Q224" s="25" t="str"/>
      <x:c r="R224" s="24" t="str">
        <x:f>IF(Q224&lt;&gt;"",Q224,O224)</x:f>
        <x:v>0</x:v>
      </x:c>
      <x:c r="S224" s="29" t="str"/>
    </x:row>
    <x:row r="225" ht="54" customHeight="1">
      <x:c r="A225" s="17" t="str">
        <x:v>csq012-r04</x:v>
      </x:c>
      <x:c r="B225" s="17" t="str">
        <x:v>csq012</x:v>
      </x:c>
      <x:c r="C225" s="17" t="str">
        <x:v>computer_vision</x:v>
      </x:c>
      <x:c r="D225" s="17" t="str">
        <x:v>image_generation</x:v>
      </x:c>
      <x:c r="E225" s="27" t="str">
        <x:v>How do diffusion-based and autoregressive image generation models compare in training objectives, sampling cost, controllability, and output quality?</x:v>
      </x:c>
      <x:c r="F225" s="22" t="n">
        <x:v>4</x:v>
      </x:c>
      <x:c r="G225" s="17" t="str">
        <x:v>arXiv:2406.06525</x:v>
      </x:c>
      <x:c r="H225" s="27" t="str">
        <x:v>Autoregressive Model Beats Diffusion: Llama for Scalable Image Generation</x:v>
      </x:c>
      <x:c r="I225" s="17" t="str">
        <x:v>Peize Sun; Yi Jiang; Shoufa Chen; Shilong Zhang; Bingyue Peng; Ping Luo; Zehuan Yuan</x:v>
      </x:c>
      <x:c r="J225" s="22" t="n">
        <x:v>2024</x:v>
      </x:c>
      <x:c r="K225" s="27" t="str">
        <x:v>We introduce LlamaGen, a new family of image generation models that apply original ``next-token prediction'' paradigm of large language models to visual generation domain. It is an affirmative answer to whether vanilla autoregressive models, e.g., Llama, without inductive biases on visual signals can achieve state-of-the-art image generation performance if scaling properly. We reexamine design spaces of image tokenizers, scalability properties of image generation models, and their training data quality. The outcome of this exploration consists of: (1) An image tokenizer with downsample ratio of 16, reconstruction quality of 0.94 rFID and codebook usage of 97% on ImageNet benchmark. (2) A series of class-conditional image generation models ranging from 111M to 3.1B parameters, achieving 2.18 FID on ImageNet 256x256 benchmarks, outperforming the popular diffusion models such as LDM, DiT. (3) A text-conditional image generation model with 775M parameters, from two-stage training on LAION-COCO and high aesthetics quality images, demonstrating competitive performance of visual quality and text alignment. (4) We verify the effectiveness of LLM serving frameworks in optimizing the inference speed of image generation models and achieve 326% - 414% speedup. We release all models and codes to facilitate open-source community of visual generation and multimodal foundation models.</x:v>
      </x:c>
      <x:c r="L225" s="17" t="str">
        <x:v>http://arxiv.org/abs/2406.06525v1</x:v>
      </x:c>
      <x:c r="M225" s="23" t="n">
        <x:v>0.03057889822595705</x:v>
      </x:c>
      <x:c r="N225" s="17" t="str">
        <x:v>arxiv-paper-eval-20260726-140242-results.jsonl</x:v>
      </x:c>
      <x:c r="O225" s="24" t="str">
        <x:v>2</x:v>
      </x:c>
      <x:c r="P225" s="28" t="str">
        <x:v>以次词元目标训练图像自回归模型，并直接用质量和扩展性对比扩散模型。</x:v>
      </x:c>
      <x:c r="Q225" s="25" t="str"/>
      <x:c r="R225" s="24" t="str">
        <x:f>IF(Q225&lt;&gt;"",Q225,O225)</x:f>
        <x:v>2</x:v>
      </x:c>
      <x:c r="S225" s="29" t="str"/>
    </x:row>
    <x:row r="226" ht="54" customHeight="1">
      <x:c r="A226" s="17" t="str">
        <x:v>csq012-r05</x:v>
      </x:c>
      <x:c r="B226" s="17" t="str">
        <x:v>csq012</x:v>
      </x:c>
      <x:c r="C226" s="17" t="str">
        <x:v>computer_vision</x:v>
      </x:c>
      <x:c r="D226" s="17" t="str">
        <x:v>image_generation</x:v>
      </x:c>
      <x:c r="E226" s="27" t="str">
        <x:v>How do diffusion-based and autoregressive image generation models compare in training objectives, sampling cost, controllability, and output quality?</x:v>
      </x:c>
      <x:c r="F226" s="22" t="n">
        <x:v>5</x:v>
      </x:c>
      <x:c r="G226" s="17" t="str">
        <x:v>arXiv:2504.18391</x:v>
      </x:c>
      <x:c r="H226" s="27" t="str">
        <x:v>Fast Autoregressive Models for Continuous Latent Generation</x:v>
      </x:c>
      <x:c r="I226" s="17" t="str">
        <x:v>Tiankai Hang; Jianmin Bao; Fangyun Wei; Dong Chen</x:v>
      </x:c>
      <x:c r="J226" s="22" t="n">
        <x:v>2025</x:v>
      </x:c>
      <x:c r="K226" s="27" t="str">
        <x:v>Autoregressive models have demonstrated remarkable success in sequential data generation, particularly in NLP, but their extension to continuous-domain image generation presents significant challenges. Recent work, the masked autoregressive model (MAR), bypasses quantization by modeling per-token distributions in continuous spaces using a diffusion head but suffers from slow inference due to the high computational cost of the iterative denoising process. To address this, we propose the Fast AutoRegressive model (FAR), a novel framework that replaces MAR's diffusion head with a lightweight shortcut head, enabling efficient few-step sampling while preserving autoregressive principles. Additionally, FAR seamlessly integrates with causal Transformers, extending them from discrete to continuous token generation without requiring architectural modifications. Experiments demonstrate that FAR achieves $2.3\times$ faster inference than MAR while maintaining competitive FID and IS scores. This work establishes the first efficient autoregressive paradigm for high-fidelity continuous-space image generation, bridging the critical gap between quality and scalability in visual autoregressive modeling.</x:v>
      </x:c>
      <x:c r="L226" s="17" t="str">
        <x:v>http://arxiv.org/abs/2504.18391v1</x:v>
      </x:c>
      <x:c r="M226" s="23" t="n">
        <x:v>0.029910714285714284</x:v>
      </x:c>
      <x:c r="N226" s="17" t="str">
        <x:v>arxiv-paper-eval-20260726-140242-results.jsonl</x:v>
      </x:c>
      <x:c r="O226" s="24" t="str">
        <x:v>2</x:v>
      </x:c>
      <x:c r="P226" s="28" t="str">
        <x:v>分析连续潜变量自回归模型中扩散头的迭代采样成本并提出加速方案。</x:v>
      </x:c>
      <x:c r="Q226" s="25" t="str"/>
      <x:c r="R226" s="24" t="str">
        <x:f>IF(Q226&lt;&gt;"",Q226,O226)</x:f>
        <x:v>2</x:v>
      </x:c>
      <x:c r="S226" s="29" t="str"/>
    </x:row>
    <x:row r="227" ht="54" customHeight="1">
      <x:c r="A227" s="17" t="str">
        <x:v>csq012-r06</x:v>
      </x:c>
      <x:c r="B227" s="17" t="str">
        <x:v>csq012</x:v>
      </x:c>
      <x:c r="C227" s="17" t="str">
        <x:v>computer_vision</x:v>
      </x:c>
      <x:c r="D227" s="17" t="str">
        <x:v>image_generation</x:v>
      </x:c>
      <x:c r="E227" s="27" t="str">
        <x:v>How do diffusion-based and autoregressive image generation models compare in training objectives, sampling cost, controllability, and output quality?</x:v>
      </x:c>
      <x:c r="F227" s="22" t="n">
        <x:v>6</x:v>
      </x:c>
      <x:c r="G227" s="17" t="str">
        <x:v>arXiv:2509.06579</x:v>
      </x:c>
      <x:c r="H227" s="27" t="str">
        <x:v>CausNVS: Autoregressive Multi-view Diffusion for Flexible 3D Novel View Synthesis</x:v>
      </x:c>
      <x:c r="I227" s="17" t="str">
        <x:v>Xin Kong; Daniel Watson; Yannick Strümpler; Michael Niemeyer; Federico Tombari</x:v>
      </x:c>
      <x:c r="J227" s="22" t="n">
        <x:v>2025</x:v>
      </x:c>
      <x:c r="K227" s="27" t="str">
        <x:v>Multi-view diffusion models have shown promise in 3D novel view synthesis, but most existing methods adopt a non-autoregressive formulation. This limits their applicability in world modeling, as they only support a fixed number of views and suffer from slow inference due to denoising all frames simultaneously. To address these limitations, we propose CausNVS, a multi-view diffusion model in an autoregressive setting, which supports arbitrary input-output view configurations and generates views sequentially. We train CausNVS with causal masking and per-frame noise, using pairwise-relative camera pose encodings (CaPE) for precise camera control. At inference time, we combine a spatially-aware sliding-window with key-value caching and noise conditioning augmentation to mitigate drift. Our experiments demonstrate that CausNVS supports a broad range of camera trajectories, enables flexible autoregressive novel view synthesis, and achieves consistently strong visual quality across diverse settings. Project page: https://kxhit.github.io/CausNVS.html.</x:v>
      </x:c>
      <x:c r="L227" s="17" t="str">
        <x:v>http://arxiv.org/abs/2509.06579v1</x:v>
      </x:c>
      <x:c r="M227" s="23" t="n">
        <x:v>0.02666666666666667</x:v>
      </x:c>
      <x:c r="N227" s="17" t="str">
        <x:v>arxiv-paper-eval-20260726-140242-results.jsonl</x:v>
      </x:c>
      <x:c r="O227" s="24" t="str">
        <x:v>1</x:v>
      </x:c>
      <x:c r="P227" s="28" t="str">
        <x:v>研究自回归多视图扩散的顺序生成和控制，属于图像生成的混合特例。</x:v>
      </x:c>
      <x:c r="Q227" s="25" t="str"/>
      <x:c r="R227" s="24" t="str">
        <x:f>IF(Q227&lt;&gt;"",Q227,O227)</x:f>
        <x:v>1</x:v>
      </x:c>
      <x:c r="S227" s="29" t="str"/>
    </x:row>
    <x:row r="228" ht="54" customHeight="1">
      <x:c r="A228" s="17" t="str">
        <x:v>csq012-r07</x:v>
      </x:c>
      <x:c r="B228" s="17" t="str">
        <x:v>csq012</x:v>
      </x:c>
      <x:c r="C228" s="17" t="str">
        <x:v>computer_vision</x:v>
      </x:c>
      <x:c r="D228" s="17" t="str">
        <x:v>image_generation</x:v>
      </x:c>
      <x:c r="E228" s="27" t="str">
        <x:v>How do diffusion-based and autoregressive image generation models compare in training objectives, sampling cost, controllability, and output quality?</x:v>
      </x:c>
      <x:c r="F228" s="22" t="n">
        <x:v>7</x:v>
      </x:c>
      <x:c r="G228" s="17" t="str">
        <x:v>arXiv:2402.03687</x:v>
      </x:c>
      <x:c r="H228" s="27" t="str">
        <x:v>Pard: Permutation-Invariant Autoregressive Diffusion for Graph Generation</x:v>
      </x:c>
      <x:c r="I228" s="17" t="str">
        <x:v>Lingxiao Zhao; Xueying Ding; Leman Akoglu</x:v>
      </x:c>
      <x:c r="J228" s="22" t="n">
        <x:v>2024</x:v>
      </x:c>
      <x:c r="K228" s="27" t="str">
        <x:v>Graph generation has been dominated by autoregressive models due to their simplicity and effectiveness, despite their sensitivity to ordering. Yet diffusion models have garnered increasing attention, as they offer comparable performance while being permutation-invariant. Current graph diffusion models generate graphs in a one-shot fashion, but they require extra features and thousands of denoising steps to achieve optimal performance. We introduce PARD, a Permutation-invariant Auto Regressive Diffusion model that integrates diffusion models with autoregressive methods. PARD harnesses the effectiveness and efficiency of the autoregressive model while maintaining permutation invariance without ordering sensitivity. Specifically, we show that contrary to sets, elements in a graph are not entirely unordered and there is a unique partial order for nodes and edges. With this partial order, PARD generates a graph in a block-by-block, autoregressive fashion, where each block's probability is conditionally modeled by a shared diffusion model with an equivariant network. To ensure efficiency while being expressive, we further propose a higher-order graph transformer, which integrates transformer with PPGN. Like GPT, we extend the higher-order graph transformer to support parallel training of all blocks. Without any extra features, PARD achieves state-of-the-art performance on molecular and non-molecular datasets, and scales to large datasets like MOSES containing 1.9M molecules. Pard is open-sourced at https://github.com/LingxiaoShawn/Pard.</x:v>
      </x:c>
      <x:c r="L228" s="17" t="str">
        <x:v>http://arxiv.org/abs/2402.03687v3</x:v>
      </x:c>
      <x:c r="M228" s="23" t="n">
        <x:v>0.01639344262295082</x:v>
      </x:c>
      <x:c r="N228" s="17" t="str">
        <x:v>arxiv-paper-eval-20260726-140242-results.jsonl</x:v>
      </x:c>
      <x:c r="O228" s="24" t="str">
        <x:v>0</x:v>
      </x:c>
      <x:c r="P228" s="28" t="str">
        <x:v>比较对象用于图生成而非图像生成。</x:v>
      </x:c>
      <x:c r="Q228" s="25" t="str"/>
      <x:c r="R228" s="24" t="str">
        <x:f>IF(Q228&lt;&gt;"",Q228,O228)</x:f>
        <x:v>0</x:v>
      </x:c>
      <x:c r="S228" s="29" t="str"/>
    </x:row>
    <x:row r="229" ht="54" customHeight="1">
      <x:c r="A229" s="17" t="str">
        <x:v>csq012-r08</x:v>
      </x:c>
      <x:c r="B229" s="17" t="str">
        <x:v>csq012</x:v>
      </x:c>
      <x:c r="C229" s="17" t="str">
        <x:v>computer_vision</x:v>
      </x:c>
      <x:c r="D229" s="17" t="str">
        <x:v>image_generation</x:v>
      </x:c>
      <x:c r="E229" s="27" t="str">
        <x:v>How do diffusion-based and autoregressive image generation models compare in training objectives, sampling cost, controllability, and output quality?</x:v>
      </x:c>
      <x:c r="F229" s="22" t="n">
        <x:v>8</x:v>
      </x:c>
      <x:c r="G229" s="17" t="str">
        <x:v>arXiv:2306.05043</x:v>
      </x:c>
      <x:c r="H229" s="27" t="str">
        <x:v>Non-autoregressive Conditional Diffusion Models for Time Series Prediction</x:v>
      </x:c>
      <x:c r="I229" s="17" t="str">
        <x:v>Lifeng Shen; James Kwok</x:v>
      </x:c>
      <x:c r="J229" s="22" t="n">
        <x:v>2023</x:v>
      </x:c>
      <x:c r="K229" s="27" t="str">
        <x:v>Recently, denoising diffusion models have led to significant breakthroughs in the generation of images, audio and text. However, it is still an open question on how to adapt their strong modeling ability to model time series. In this paper, we propose TimeDiff, a non-autoregressive diffusion model that achieves high-quality time series prediction with the introduction of two novel conditioning mechanisms: future mixup and autoregressive initialization. Similar to teacher forcing, future mixup allows parts of the ground-truth future predictions for conditioning, while autoregressive initialization helps better initialize the model with basic time series patterns such as short-term trends. Extensive experiments are performed on nine real-world datasets. Results show that TimeDiff consistently outperforms existing time series diffusion models, and also achieves the best overall performance across a variety of the existing strong baselines (including transformers and FiLM).</x:v>
      </x:c>
      <x:c r="L229" s="17" t="str">
        <x:v>http://arxiv.org/abs/2306.05043v1</x:v>
      </x:c>
      <x:c r="M229" s="23" t="n">
        <x:v>0.01639344262295082</x:v>
      </x:c>
      <x:c r="N229" s="17" t="str">
        <x:v>arxiv-paper-eval-20260726-140242-results.jsonl</x:v>
      </x:c>
      <x:c r="O229" s="24" t="str">
        <x:v>0</x:v>
      </x:c>
      <x:c r="P229" s="28" t="str">
        <x:v>核心任务是时间序列预测，与图像生成比较无关。</x:v>
      </x:c>
      <x:c r="Q229" s="25" t="str"/>
      <x:c r="R229" s="24" t="str">
        <x:f>IF(Q229&lt;&gt;"",Q229,O229)</x:f>
        <x:v>0</x:v>
      </x:c>
      <x:c r="S229" s="29" t="str"/>
    </x:row>
    <x:row r="230" ht="54" customHeight="1">
      <x:c r="A230" s="17" t="str">
        <x:v>csq012-r09</x:v>
      </x:c>
      <x:c r="B230" s="17" t="str">
        <x:v>csq012</x:v>
      </x:c>
      <x:c r="C230" s="17" t="str">
        <x:v>computer_vision</x:v>
      </x:c>
      <x:c r="D230" s="17" t="str">
        <x:v>image_generation</x:v>
      </x:c>
      <x:c r="E230" s="27" t="str">
        <x:v>How do diffusion-based and autoregressive image generation models compare in training objectives, sampling cost, controllability, and output quality?</x:v>
      </x:c>
      <x:c r="F230" s="22" t="n">
        <x:v>9</x:v>
      </x:c>
      <x:c r="G230" s="17" t="str">
        <x:v>arXiv:2509.24974</x:v>
      </x:c>
      <x:c r="H230" s="27" t="str">
        <x:v>Double Descent as a Lens for Sample Efficiency in Autoregressive vs. Discrete Diffusion Models</x:v>
      </x:c>
      <x:c r="I230" s="17" t="str">
        <x:v>Ahmad Fraij; Sam Dauncey</x:v>
      </x:c>
      <x:c r="J230" s="22" t="n">
        <x:v>2025</x:v>
      </x:c>
      <x:c r="K230" s="27" t="str">
        <x:v>Data scarcity drives the need for more sample-efficient large language models. In this work, we use the double descent phenomenon to holistically compare the sample efficiency of discrete diffusion and autoregressive models. We show that discrete diffusion models require larger capacity and more training epochs to escape their underparameterized regime and reach the interpolation threshold. In the strongly overparameterized regime, both models exhibit similar behavior, with neither exhibiting a pronounced second descent in test loss across a large range of model sizes. Overall, our results indicate that autoregressive models are more sample-efficient on small-scale datasets, while discrete diffusion models only become competitive when given sufficient capacity and compute.</x:v>
      </x:c>
      <x:c r="L230" s="17" t="str">
        <x:v>http://arxiv.org/abs/2509.24974v1</x:v>
      </x:c>
      <x:c r="M230" s="23" t="n">
        <x:v>0.016129032258064516</x:v>
      </x:c>
      <x:c r="N230" s="17" t="str">
        <x:v>arxiv-paper-eval-20260726-140242-results.jsonl</x:v>
      </x:c>
      <x:c r="O230" s="24" t="str">
        <x:v>0</x:v>
      </x:c>
      <x:c r="P230" s="28" t="str">
        <x:v>比较的是语言模型中的离散扩散与自回归样本效率，不是图像模型。</x:v>
      </x:c>
      <x:c r="Q230" s="25" t="str"/>
      <x:c r="R230" s="24" t="str">
        <x:f>IF(Q230&lt;&gt;"",Q230,O230)</x:f>
        <x:v>0</x:v>
      </x:c>
      <x:c r="S230" s="29" t="str"/>
    </x:row>
    <x:row r="231" ht="54" customHeight="1">
      <x:c r="A231" s="17" t="str">
        <x:v>csq012-r10</x:v>
      </x:c>
      <x:c r="B231" s="17" t="str">
        <x:v>csq012</x:v>
      </x:c>
      <x:c r="C231" s="17" t="str">
        <x:v>computer_vision</x:v>
      </x:c>
      <x:c r="D231" s="17" t="str">
        <x:v>image_generation</x:v>
      </x:c>
      <x:c r="E231" s="27" t="str">
        <x:v>How do diffusion-based and autoregressive image generation models compare in training objectives, sampling cost, controllability, and output quality?</x:v>
      </x:c>
      <x:c r="F231" s="22" t="n">
        <x:v>10</x:v>
      </x:c>
      <x:c r="G231" s="17" t="str">
        <x:v>arXiv:2309.01745</x:v>
      </x:c>
      <x:c r="H231" s="27" t="str">
        <x:v>Benchmarking Autoregressive Conditional Diffusion Models for Turbulent Flow Simulation</x:v>
      </x:c>
      <x:c r="I231" s="17" t="str">
        <x:v>Georg Kohl; Li-Wei Chen; Nils Thuerey</x:v>
      </x:c>
      <x:c r="J231" s="22" t="n">
        <x:v>2023</x:v>
      </x:c>
      <x:c r="K231" s="27" t="str">
        <x:v>Simulating turbulent flows is crucial for a wide range of applications, and machine learning-based solvers are gaining increasing relevance. However, achieving temporal stability when generalizing to longer rollout horizons remains a persistent challenge for learned PDE solvers. In this work, we analyze if fully data-driven fluid solvers that utilize an autoregressive rollout based on conditional diffusion models are a viable option to address this challenge. We investigate accuracy, posterior sampling, spectral behavior, and temporal stability, while requiring that methods generalize to flow parameters beyond the training regime. To quantitatively and qualitatively benchmark the performance of various flow prediction approaches, three challenging 2D scenarios including incompressible and transonic flows, as well as isotropic turbulence are employed. We find that even simple diffusion-based approaches can outperform multiple established flow prediction methods in terms of accuracy and temporal stability, while being on par with state-of-the-art stabilization techniques like unrolling at training time. Such traditional architectures are superior in terms of inference speed, however, the probabilistic nature of diffusion approaches allows for inferring multiple predictions that align with the statistics of the underlying physics. Overall, our benchmark contains three carefully chosen data sets that are suitable for probabilistic evaluation alongside various established flow prediction architectures.</x:v>
      </x:c>
      <x:c r="L231" s="17" t="str">
        <x:v>http://arxiv.org/abs/2309.01745v3</x:v>
      </x:c>
      <x:c r="M231" s="23" t="n">
        <x:v>0.016129032258064516</x:v>
      </x:c>
      <x:c r="N231" s="17" t="str">
        <x:v>arxiv-paper-eval-20260726-140242-results.jsonl</x:v>
      </x:c>
      <x:c r="O231" s="24" t="str">
        <x:v>0</x:v>
      </x:c>
      <x:c r="P231" s="28" t="str">
        <x:v>面向湍流模拟的条件扩散求解器，不涉及图像生成。</x:v>
      </x:c>
      <x:c r="Q231" s="25" t="str"/>
      <x:c r="R231" s="24" t="str">
        <x:f>IF(Q231&lt;&gt;"",Q231,O231)</x:f>
        <x:v>0</x:v>
      </x:c>
      <x:c r="S231" s="29" t="str"/>
    </x:row>
    <x:row r="232" ht="54" customHeight="1">
      <x:c r="A232" s="17" t="str">
        <x:v>csq012-r11</x:v>
      </x:c>
      <x:c r="B232" s="17" t="str">
        <x:v>csq012</x:v>
      </x:c>
      <x:c r="C232" s="17" t="str">
        <x:v>computer_vision</x:v>
      </x:c>
      <x:c r="D232" s="17" t="str">
        <x:v>image_generation</x:v>
      </x:c>
      <x:c r="E232" s="27" t="str">
        <x:v>How do diffusion-based and autoregressive image generation models compare in training objectives, sampling cost, controllability, and output quality?</x:v>
      </x:c>
      <x:c r="F232" s="22" t="n">
        <x:v>11</x:v>
      </x:c>
      <x:c r="G232" s="17" t="str">
        <x:v>arXiv:2509.18928</x:v>
      </x:c>
      <x:c r="H232" s="27" t="str">
        <x:v>Direct Preference Optimization for Speech Autoregressive Diffusion Models</x:v>
      </x:c>
      <x:c r="I232" s="17" t="str">
        <x:v>Zhijun Liu; Dongya Jia; Xiaoqiang Wang; Chenpeng Du; Shuai Wang; Zhuo Chen; Haizhou Li</x:v>
      </x:c>
      <x:c r="J232" s="22" t="n">
        <x:v>2025</x:v>
      </x:c>
      <x:c r="K232" s="27" t="str">
        <x:v>Autoregressive diffusion models (ARDMs) have recently been applied to speech generation, achieving state-of-the-art (SOTA) performance in zero-shot text-to-speech. By autoregressively generating continuous speech tokens with next-token diffusion, these models offer a promising alternative to next-token prediction, avoiding the technical complexities associated with discrete speech tokenization. As a relatively new paradigm, research on reinforcement learning (RL)-based fine-tuning of speech ARDMs remains limited. In this paper, we propose Autoregressive Diffusion-Direct Preference Optimization (ARDM-DPO) to advance this research. By fine-tuning the recently proposed zero-shot text-to-speech model DiTAR with DPO, we achieve significant improvements in terms of speech expressiveness and robustness for long texts.</x:v>
      </x:c>
      <x:c r="L232" s="17" t="str">
        <x:v>http://arxiv.org/abs/2509.18928v1</x:v>
      </x:c>
      <x:c r="M232" s="23" t="n">
        <x:v>0.015873015873015872</x:v>
      </x:c>
      <x:c r="N232" s="17" t="str">
        <x:v>arxiv-paper-eval-20260726-140242-results.jsonl</x:v>
      </x:c>
      <x:c r="O232" s="24" t="str">
        <x:v>0</x:v>
      </x:c>
      <x:c r="P232" s="28" t="str">
        <x:v>研究语音自回归扩散和偏好优化，不是图像生成。</x:v>
      </x:c>
      <x:c r="Q232" s="25" t="str"/>
      <x:c r="R232" s="24" t="str">
        <x:f>IF(Q232&lt;&gt;"",Q232,O232)</x:f>
        <x:v>0</x:v>
      </x:c>
      <x:c r="S232" s="29" t="str"/>
    </x:row>
    <x:row r="233" ht="54" customHeight="1">
      <x:c r="A233" s="17" t="str">
        <x:v>csq012-r12</x:v>
      </x:c>
      <x:c r="B233" s="17" t="str">
        <x:v>csq012</x:v>
      </x:c>
      <x:c r="C233" s="17" t="str">
        <x:v>computer_vision</x:v>
      </x:c>
      <x:c r="D233" s="17" t="str">
        <x:v>image_generation</x:v>
      </x:c>
      <x:c r="E233" s="27" t="str">
        <x:v>How do diffusion-based and autoregressive image generation models compare in training objectives, sampling cost, controllability, and output quality?</x:v>
      </x:c>
      <x:c r="F233" s="22" t="n">
        <x:v>12</x:v>
      </x:c>
      <x:c r="G233" s="17" t="str">
        <x:v>arXiv:2503.00307</x:v>
      </x:c>
      <x:c r="H233" s="27" t="str">
        <x:v>Remasking Discrete Diffusion Models with Inference-Time Scaling</x:v>
      </x:c>
      <x:c r="I233" s="17" t="str">
        <x:v>Guanghan Wang; Yair Schiff; Subham Sekhar Sahoo; Volodymyr Kuleshov</x:v>
      </x:c>
      <x:c r="J233" s="22" t="n">
        <x:v>2025</x:v>
      </x:c>
      <x:c r="K233" s="27" t="str">
        <x:v>Part of the success of diffusion models stems from their ability to perform iterative refinement, i.e., repeatedly correcting outputs during generation. However, modern masked discrete diffusion lacks this capability: when a token is generated, it cannot be updated again, even when it introduces an error. Here, we address this limitation by introducing the remasking diffusion model (ReMDM) sampler, a method that can be applied to pretrained masked diffusion models in a principled way and that is derived from a discrete diffusion model with a custom remasking backward process. Most interestingly, ReMDM endows discrete diffusion with a form of inference-time compute scaling. By increasing the number of sampling steps, ReMDM generates natural language outputs that approach the quality of autoregressive models, whereas when the computation budget is limited, ReMDM better maintains quality. ReMDM also improves sample quality of masked diffusion models for discretized images, and in scientific domains such as molecule design, ReMDM facilitates diffusion guidance and pushes the Pareto frontier of controllability relative to classical masking and uniform noise diffusion. We provide the code along with a blog post on the project page: https://guanghanwang.com/remdm</x:v>
      </x:c>
      <x:c r="L233" s="17" t="str">
        <x:v>http://arxiv.org/abs/2503.00307v4</x:v>
      </x:c>
      <x:c r="M233" s="23" t="n">
        <x:v>0.015873015873015872</x:v>
      </x:c>
      <x:c r="N233" s="17" t="str">
        <x:v>arxiv-paper-eval-20260726-140242-results.jsonl</x:v>
      </x:c>
      <x:c r="O233" s="24" t="str">
        <x:v>0</x:v>
      </x:c>
      <x:c r="P233" s="28" t="str">
        <x:v>摘要讨论通用离散扩散重掩码，未涉及图像生成或与图像自回归模型比较。</x:v>
      </x:c>
      <x:c r="Q233" s="25" t="str"/>
      <x:c r="R233" s="24" t="str">
        <x:f>IF(Q233&lt;&gt;"",Q233,O233)</x:f>
        <x:v>0</x:v>
      </x:c>
      <x:c r="S233" s="29" t="str"/>
    </x:row>
    <x:row r="234" ht="54" customHeight="1">
      <x:c r="A234" s="17" t="str">
        <x:v>csq012-r13</x:v>
      </x:c>
      <x:c r="B234" s="17" t="str">
        <x:v>csq012</x:v>
      </x:c>
      <x:c r="C234" s="17" t="str">
        <x:v>computer_vision</x:v>
      </x:c>
      <x:c r="D234" s="17" t="str">
        <x:v>image_generation</x:v>
      </x:c>
      <x:c r="E234" s="27" t="str">
        <x:v>How do diffusion-based and autoregressive image generation models compare in training objectives, sampling cost, controllability, and output quality?</x:v>
      </x:c>
      <x:c r="F234" s="22" t="n">
        <x:v>13</x:v>
      </x:c>
      <x:c r="G234" s="17" t="str">
        <x:v>arXiv:2410.16119</x:v>
      </x:c>
      <x:c r="H234" s="27" t="str">
        <x:v>SeaDAG: Semi-autoregressive Diffusion for Conditional Directed Acyclic Graph Generation</x:v>
      </x:c>
      <x:c r="I234" s="17" t="str">
        <x:v>Xinyi Zhou; Xing Li; Yingzhao Lian; Yiwen Wang; Lei Chen; Mingxuan Yuan; Jianye Hao; Guangyong Chen; Pheng Ann Heng</x:v>
      </x:c>
      <x:c r="J234" s="22" t="n">
        <x:v>2024</x:v>
      </x:c>
      <x:c r="K234" s="27" t="str">
        <x:v>We introduce SeaDAG, a semi-autoregressive diffusion model for conditional generation of Directed Acyclic Graphs (DAGs). Considering their inherent layer-wise structure, we simulate layer-wise autoregressive generation by designing different denoising speed for different layers. Unlike conventional autoregressive generation that lacks a global graph structure view, our method maintains a complete graph structure at each diffusion step, enabling operations such as property control that require the full graph structure. Leveraging this capability, we evaluate the DAG properties during training by employing a graph property decoder. We explicitly train the model to learn graph conditioning with a condition loss, which enhances the diffusion model's capacity to generate graphs that are both realistic and aligned with specified properties. We evaluate our method on two representative conditional DAG generation tasks: (1) circuit generation from truth tables, where precise DAG structures are crucial for realizing circuit functionality, and (2) molecule generation based on quantum properties. Our approach demonstrates promising results, generating high-quality and realistic DAGs that closely align with given conditions.</x:v>
      </x:c>
      <x:c r="L234" s="17" t="str">
        <x:v>http://arxiv.org/abs/2410.16119v1</x:v>
      </x:c>
      <x:c r="M234" s="23" t="n">
        <x:v>0.015873015873015872</x:v>
      </x:c>
      <x:c r="N234" s="17" t="str">
        <x:v>arxiv-paper-eval-20260726-140242-results.jsonl</x:v>
      </x:c>
      <x:c r="O234" s="24" t="str">
        <x:v>0</x:v>
      </x:c>
      <x:c r="P234" s="28" t="str">
        <x:v>研究有向无环图生成而不是图像生成。</x:v>
      </x:c>
      <x:c r="Q234" s="25" t="str"/>
      <x:c r="R234" s="24" t="str">
        <x:f>IF(Q234&lt;&gt;"",Q234,O234)</x:f>
        <x:v>0</x:v>
      </x:c>
      <x:c r="S234" s="29" t="str"/>
    </x:row>
    <x:row r="235" ht="54" customHeight="1">
      <x:c r="A235" s="17" t="str">
        <x:v>csq012-r14</x:v>
      </x:c>
      <x:c r="B235" s="17" t="str">
        <x:v>csq012</x:v>
      </x:c>
      <x:c r="C235" s="17" t="str">
        <x:v>computer_vision</x:v>
      </x:c>
      <x:c r="D235" s="17" t="str">
        <x:v>image_generation</x:v>
      </x:c>
      <x:c r="E235" s="27" t="str">
        <x:v>How do diffusion-based and autoregressive image generation models compare in training objectives, sampling cost, controllability, and output quality?</x:v>
      </x:c>
      <x:c r="F235" s="22" t="n">
        <x:v>14</x:v>
      </x:c>
      <x:c r="G235" s="17" t="str">
        <x:v>arXiv:2410.02705</x:v>
      </x:c>
      <x:c r="H235" s="27" t="str">
        <x:v>ControlAR: Controllable Image Generation with Autoregressive Models</x:v>
      </x:c>
      <x:c r="I235" s="17" t="str">
        <x:v>Zongming Li; Tianheng Cheng; Shoufa Chen; Peize Sun; Haocheng Shen; Longjin Ran; Xiaoxin Chen; Wenyu Liu; Xinggang Wang</x:v>
      </x:c>
      <x:c r="J235" s="22" t="n">
        <x:v>2024</x:v>
      </x:c>
      <x:c r="K235" s="27" t="str">
        <x:v>Autoregressive (AR) models have reformulated image generation as next-token prediction, demonstrating remarkable potential and emerging as strong competitors to diffusion models. However, control-to-image generation, akin to ControlNet, remains largely unexplored within AR models. Although a natural approach, inspired by advancements in Large Language Models, is to tokenize control images into tokens and prefill them into the autoregressive model before decoding image tokens, it still falls short in generation quality compared to ControlNet and suffers from inefficiency. To this end, we introduce ControlAR, an efficient and effective framework for integrating spatial controls into autoregressive image generation models. Firstly, we explore control encoding for AR models and propose a lightweight control encoder to transform spatial inputs (e.g., canny edges or depth maps) into control tokens. Then ControlAR exploits the conditional decoding method to generate the next image token conditioned on the per-token fusion between control and image tokens, similar to positional encodings. Compared to prefilling tokens, using conditional decoding significantly strengthens the control capability of AR models but also maintains the model's efficiency. Furthermore, the proposed ControlAR surprisingly empowers AR models with arbitrary-resolution image generation via conditional decoding and specific controls. Extensive experiments can demonstrate the controllability of the proposed ControlAR for the autoregressive control-to-image generation across diverse inputs, including edges, depths, and segmentation masks. Furthermore, both quantitative and qualitative results indicate that ControlAR surpasses previous state-of-the-art controllable diffusion models, e.g., ControlNet++. Code, models, and demo will soon be available at https://github.com/hustvl/ControlAR.</x:v>
      </x:c>
      <x:c r="L235" s="17" t="str">
        <x:v>http://arxiv.org/abs/2410.02705v3</x:v>
      </x:c>
      <x:c r="M235" s="23" t="n">
        <x:v>0.015625</x:v>
      </x:c>
      <x:c r="N235" s="17" t="str">
        <x:v>arxiv-paper-eval-20260726-140242-results.jsonl</x:v>
      </x:c>
      <x:c r="O235" s="24" t="str">
        <x:v>2</x:v>
      </x:c>
      <x:c r="P235" s="28" t="str">
        <x:v>直接研究自回归图像模型的条件控制，并与ControlNet式扩散方案比较质量和效率。</x:v>
      </x:c>
      <x:c r="Q235" s="25" t="str"/>
      <x:c r="R235" s="24" t="str">
        <x:f>IF(Q235&lt;&gt;"",Q235,O235)</x:f>
        <x:v>2</x:v>
      </x:c>
      <x:c r="S235" s="29" t="str"/>
    </x:row>
    <x:row r="236" ht="54" customHeight="1">
      <x:c r="A236" s="17" t="str">
        <x:v>csq012-r15</x:v>
      </x:c>
      <x:c r="B236" s="17" t="str">
        <x:v>csq012</x:v>
      </x:c>
      <x:c r="C236" s="17" t="str">
        <x:v>computer_vision</x:v>
      </x:c>
      <x:c r="D236" s="17" t="str">
        <x:v>image_generation</x:v>
      </x:c>
      <x:c r="E236" s="27" t="str">
        <x:v>How do diffusion-based and autoregressive image generation models compare in training objectives, sampling cost, controllability, and output quality?</x:v>
      </x:c>
      <x:c r="F236" s="22" t="n">
        <x:v>15</x:v>
      </x:c>
      <x:c r="G236" s="17" t="str">
        <x:v>arXiv:2412.07720</x:v>
      </x:c>
      <x:c r="H236" s="27" t="str">
        <x:v>ACDiT: Interpolating Autoregressive Conditional Modeling and Diffusion Transformer</x:v>
      </x:c>
      <x:c r="I236" s="17" t="str">
        <x:v>Jinyi Hu; Shengding Hu; Yuxuan Song; Yufei Huang; Mingxuan Wang; Hao Zhou; Zhiyuan Liu; Wei-Ying Ma; Maosong Sun</x:v>
      </x:c>
      <x:c r="J236" s="22" t="n">
        <x:v>2024</x:v>
      </x:c>
      <x:c r="K236" s="27" t="str">
        <x:v>Autoregressive and diffusion models have achieved remarkable progress in language models and visual generation, respectively. We present ACDiT, a novel Autoregressive blockwise Conditional Diffusion Transformer, that innovatively combines autoregressive and diffusion paradigms for continuous visual information. By introducing a block-wise autoregressive unit, ACDiT offers a flexible interpolation between token-wise autoregression and full-sequence diffusion, bypassing the limitations of discrete tokenization. The generation of each block is formulated as a conditional diffusion process, conditioned on prior blocks. ACDiT is easy to implement, as simple as applying a specially designed Skip-Causal Attention Mask on the standard diffusion transformer during training. During inference, the process iterates between diffusion denoising and autoregressive decoding that can make full use of KV-Cache. We validate the effectiveness of ACDiT on image, video, and text generation and show that ACDiT performs best among all autoregressive baselines under similar model scales on visual generation tasks. We also demonstrate that, benefiting from autoregressive modeling, pretrained ACDiT can be transferred in visual understanding tasks despite being trained with the generative objective. The analysis of the trade-off between autoregressive and diffusion demonstrates the potential of ACDiT to be used in long-horizon visual generation tasks. We hope that ACDiT offers a novel perspective on visual autoregressive generation and sheds light on new avenues for unified models.</x:v>
      </x:c>
      <x:c r="L236" s="17" t="str">
        <x:v>http://arxiv.org/abs/2412.07720v3</x:v>
      </x:c>
      <x:c r="M236" s="23" t="n">
        <x:v>0.015625</x:v>
      </x:c>
      <x:c r="N236" s="17" t="str">
        <x:v>arxiv-paper-eval-20260726-140242-results.jsonl</x:v>
      </x:c>
      <x:c r="O236" s="24" t="str">
        <x:v>2</x:v>
      </x:c>
      <x:c r="P236" s="28" t="str">
        <x:v>在视觉生成中显式融合自回归条件建模和扩散，揭示两类目标与采样粒度的权衡。</x:v>
      </x:c>
      <x:c r="Q236" s="25" t="str"/>
      <x:c r="R236" s="24" t="str">
        <x:f>IF(Q236&lt;&gt;"",Q236,O236)</x:f>
        <x:v>2</x:v>
      </x:c>
      <x:c r="S236" s="29" t="str"/>
    </x:row>
    <x:row r="237" ht="54" customHeight="1">
      <x:c r="A237" s="17" t="str">
        <x:v>csq012-r16</x:v>
      </x:c>
      <x:c r="B237" s="17" t="str">
        <x:v>csq012</x:v>
      </x:c>
      <x:c r="C237" s="17" t="str">
        <x:v>computer_vision</x:v>
      </x:c>
      <x:c r="D237" s="17" t="str">
        <x:v>image_generation</x:v>
      </x:c>
      <x:c r="E237" s="27" t="str">
        <x:v>How do diffusion-based and autoregressive image generation models compare in training objectives, sampling cost, controllability, and output quality?</x:v>
      </x:c>
      <x:c r="F237" s="22" t="n">
        <x:v>16</x:v>
      </x:c>
      <x:c r="G237" s="17" t="str">
        <x:v>arXiv:2503.20198</x:v>
      </x:c>
      <x:c r="H237" s="27" t="str">
        <x:v>Beyond Words: Advancing Long-Text Image Generation via Multimodal Autoregressive Models</x:v>
      </x:c>
      <x:c r="I237" s="17" t="str">
        <x:v>Alex Jinpeng Wang; Linjie Li; Zhengyuan Yang; Lijuan Wang; Min Li</x:v>
      </x:c>
      <x:c r="J237" s="22" t="n">
        <x:v>2025</x:v>
      </x:c>
      <x:c r="K237" s="27" t="str">
        <x:v>Recent advancements in autoregressive and diffusion models have led to strong performance in image generation with short scene text words. However, generating coherent, long-form text in images, such as paragraphs in slides or documents, remains a major challenge for current generative models. We present the first work specifically focused on long text image generation, addressing a critical gap in existing text-to-image systems that typically handle only brief phrases or single sentences. Through comprehensive analysis of state-of-the-art autoregressive generation models, we identify the image tokenizer as a critical bottleneck in text generating quality. To address this, we introduce a novel text-focused, binary tokenizer optimized for capturing detailed scene text features. Leveraging our tokenizer, we develop \ModelName, a multimodal autoregressive model that excels in generating high-quality long-text images with unprecedented fidelity. Our model offers robust controllability, enabling customization of text properties such as font style, size, color, and alignment. Extensive experiments demonstrate that \ModelName~significantly outperforms SD3.5 Large~\cite{sd3} and GPT4o~\cite{gpt4o} with DALL-E 3~\cite{dalle3} in generating long text accurately, consistently, and flexibly. Beyond its technical achievements, \ModelName~opens up exciting opportunities for innovative applications like interleaved document and PowerPoint generation, establishing a new frontier in long-text image generating.</x:v>
      </x:c>
      <x:c r="L237" s="17" t="str">
        <x:v>http://arxiv.org/abs/2503.20198v1</x:v>
      </x:c>
      <x:c r="M237" s="23" t="n">
        <x:v>0.015384615384615385</x:v>
      </x:c>
      <x:c r="N237" s="17" t="str">
        <x:v>arxiv-paper-eval-20260726-140242-results.jsonl</x:v>
      </x:c>
      <x:c r="O237" s="24" t="str">
        <x:v>1</x:v>
      </x:c>
      <x:c r="P237" s="28" t="str">
        <x:v>研究自回归长文本图像生成及其输出质量，能补充特定质量维度。</x:v>
      </x:c>
      <x:c r="Q237" s="25" t="str"/>
      <x:c r="R237" s="24" t="str">
        <x:f>IF(Q237&lt;&gt;"",Q237,O237)</x:f>
        <x:v>1</x:v>
      </x:c>
      <x:c r="S237" s="29" t="str"/>
    </x:row>
    <x:row r="238" ht="54" customHeight="1">
      <x:c r="A238" s="17" t="str">
        <x:v>csq012-r17</x:v>
      </x:c>
      <x:c r="B238" s="17" t="str">
        <x:v>csq012</x:v>
      </x:c>
      <x:c r="C238" s="17" t="str">
        <x:v>computer_vision</x:v>
      </x:c>
      <x:c r="D238" s="17" t="str">
        <x:v>image_generation</x:v>
      </x:c>
      <x:c r="E238" s="27" t="str">
        <x:v>How do diffusion-based and autoregressive image generation models compare in training objectives, sampling cost, controllability, and output quality?</x:v>
      </x:c>
      <x:c r="F238" s="22" t="n">
        <x:v>17</x:v>
      </x:c>
      <x:c r="G238" s="17" t="str">
        <x:v>arXiv:2511.14063</x:v>
      </x:c>
      <x:c r="H238" s="27" t="str">
        <x:v>Semantic Context Matters: Improving Conditioning for Autoregressive Models</x:v>
      </x:c>
      <x:c r="I238" s="17" t="str">
        <x:v>Dongyang Jin; Ryan Xu; Jianhao Zeng; Rui Lan; Yancheng Bai; Lei Sun; Xiangxiang Chu</x:v>
      </x:c>
      <x:c r="J238" s="22" t="n">
        <x:v>2025</x:v>
      </x:c>
      <x:c r="K238" s="27" t="str">
        <x:v>Recently, autoregressive (AR) models have shown strong potential in image generation, offering better scalability and easier integration with unified multi-modal systems compared to diffusion-based methods. However, extending AR models to general image editing remains challenging due to weak and inefficient conditioning, often leading to poor instruction adherence and visual artifacts. To address this, we propose SCAR, a Semantic-Context-driven method for Autoregressive models. SCAR introduces two key components: Compressed Semantic Prefilling, which encodes high-level semantics into a compact and efficient prefix, and Semantic Alignment Guidance, which aligns the last visual hidden states with target semantics during autoregressive decoding to enhance instruction fidelity. Unlike decoding-stage injection methods, SCAR builds upon the flexibility and generality of vector-quantized-based prefilling while overcoming its semantic limitations and high cost. It generalizes across both next-token and next-set AR paradigms with minimal architectural changes. SCAR achieves superior visual fidelity and semantic alignment on both instruction editing and controllable generation benchmarks, outperforming prior AR-based methods while maintaining controllability. Code will be released at https://github.com/AMAP-ML/SCAR.</x:v>
      </x:c>
      <x:c r="L238" s="17" t="str">
        <x:v>http://arxiv.org/abs/2511.14063v2</x:v>
      </x:c>
      <x:c r="M238" s="23" t="n">
        <x:v>0.015384615384615385</x:v>
      </x:c>
      <x:c r="N238" s="17" t="str">
        <x:v>arxiv-paper-eval-20260726-140242-results.jsonl</x:v>
      </x:c>
      <x:c r="O238" s="24" t="str">
        <x:v>1</x:v>
      </x:c>
      <x:c r="P238" s="28" t="str">
        <x:v>关注自回归图像编辑的条件控制和效率，并以扩散方法作为背景比较。</x:v>
      </x:c>
      <x:c r="Q238" s="25" t="str"/>
      <x:c r="R238" s="24" t="str">
        <x:f>IF(Q238&lt;&gt;"",Q238,O238)</x:f>
        <x:v>1</x:v>
      </x:c>
      <x:c r="S238" s="29" t="str"/>
    </x:row>
    <x:row r="239" ht="54" customHeight="1">
      <x:c r="A239" s="17" t="str">
        <x:v>csq012-r18</x:v>
      </x:c>
      <x:c r="B239" s="17" t="str">
        <x:v>csq012</x:v>
      </x:c>
      <x:c r="C239" s="17" t="str">
        <x:v>computer_vision</x:v>
      </x:c>
      <x:c r="D239" s="17" t="str">
        <x:v>image_generation</x:v>
      </x:c>
      <x:c r="E239" s="27" t="str">
        <x:v>How do diffusion-based and autoregressive image generation models compare in training objectives, sampling cost, controllability, and output quality?</x:v>
      </x:c>
      <x:c r="F239" s="22" t="n">
        <x:v>18</x:v>
      </x:c>
      <x:c r="G239" s="17" t="str">
        <x:v>arXiv:2310.15817</x:v>
      </x:c>
      <x:c r="H239" s="27" t="str">
        <x:v>Discriminator Guidance for Autoregressive Diffusion Models</x:v>
      </x:c>
      <x:c r="I239" s="17" t="str">
        <x:v>Filip Ekström Kelvinius; Fredrik Lindsten</x:v>
      </x:c>
      <x:c r="J239" s="22" t="n">
        <x:v>2023</x:v>
      </x:c>
      <x:c r="K239" s="27" t="str">
        <x:v>We introduce discriminator guidance in the setting of Autoregressive Diffusion Models. The use of a discriminator to guide a diffusion process has previously been used for continuous diffusion models, and in this work we derive ways of using a discriminator together with a pretrained generative model in the discrete case. First, we show that using an optimal discriminator will correct the pretrained model and enable exact sampling from the underlying data distribution. Second, to account for the realistic scenario of using a sub-optimal discriminator, we derive a sequential Monte Carlo algorithm which iteratively takes the predictions from the discriminator into account during the generation process. We test these approaches on the task of generating molecular graphs and show how the discriminator improves the generative performance over using only the pretrained model.</x:v>
      </x:c>
      <x:c r="L239" s="17" t="str">
        <x:v>http://arxiv.org/abs/2310.15817v2</x:v>
      </x:c>
      <x:c r="M239" s="23" t="n">
        <x:v>0.015384615384615385</x:v>
      </x:c>
      <x:c r="N239" s="17" t="str">
        <x:v>arxiv-paper-eval-20260726-140242-results.jsonl</x:v>
      </x:c>
      <x:c r="O239" s="24" t="str">
        <x:v>0</x:v>
      </x:c>
      <x:c r="P239" s="28" t="str">
        <x:v>摘要只讨论通用离散自回归扩散的判别器引导，未表明用于图像。</x:v>
      </x:c>
      <x:c r="Q239" s="25" t="str"/>
      <x:c r="R239" s="24" t="str">
        <x:f>IF(Q239&lt;&gt;"",Q239,O239)</x:f>
        <x:v>0</x:v>
      </x:c>
      <x:c r="S239" s="29" t="str"/>
    </x:row>
    <x:row r="240" ht="54" customHeight="1">
      <x:c r="A240" s="17" t="str">
        <x:v>csq012-r19</x:v>
      </x:c>
      <x:c r="B240" s="17" t="str">
        <x:v>csq012</x:v>
      </x:c>
      <x:c r="C240" s="17" t="str">
        <x:v>computer_vision</x:v>
      </x:c>
      <x:c r="D240" s="17" t="str">
        <x:v>image_generation</x:v>
      </x:c>
      <x:c r="E240" s="27" t="str">
        <x:v>How do diffusion-based and autoregressive image generation models compare in training objectives, sampling cost, controllability, and output quality?</x:v>
      </x:c>
      <x:c r="F240" s="22" t="n">
        <x:v>19</x:v>
      </x:c>
      <x:c r="G240" s="17" t="str">
        <x:v>arXiv:2505.16862</x:v>
      </x:c>
      <x:c r="H240" s="27" t="str">
        <x:v>Conditional Panoramic Image Generation via Masked Autoregressive Modeling</x:v>
      </x:c>
      <x:c r="I240" s="17" t="str">
        <x:v>Chaoyang Wang; Xiangtai Li; Lu Qi; Xiaofan Lin; Jinbin Bai; Qianyu Zhou; Yunhai Tong</x:v>
      </x:c>
      <x:c r="J240" s="22" t="n">
        <x:v>2025</x:v>
      </x:c>
      <x:c r="K240" s="27" t="str">
        <x:v>Recent progress in panoramic image generation has underscored two critical limitations in existing approaches. First, most methods are built upon diffusion models, which are inherently ill-suited for equirectangular projection (ERP) panoramas due to the violation of the identically and independently distributed (i.i.d.) Gaussian noise assumption caused by their spherical mapping. Second, these methods often treat text-conditioned generation (text-to-panorama) and image-conditioned generation (panorama outpainting) as separate tasks, relying on distinct architectures and task-specific data. In this work, we propose a unified framework, Panoramic AutoRegressive model (PAR), which leverages masked autoregressive modeling to address these challenges. PAR avoids the i.i.d. assumption constraint and integrates text and image conditioning into a cohesive architecture, enabling seamless generation across tasks. To address the inherent discontinuity in existing generative models, we introduce circular padding to enhance spatial coherence and propose a consistency alignment strategy to improve generation quality. Extensive experiments demonstrate competitive performance in text-to-image generation and panorama outpainting tasks while showcasing promising scalability and generalization capabilities.</x:v>
      </x:c>
      <x:c r="L240" s="17" t="str">
        <x:v>http://arxiv.org/abs/2505.16862v2</x:v>
      </x:c>
      <x:c r="M240" s="23" t="n">
        <x:v>0.015151515151515152</x:v>
      </x:c>
      <x:c r="N240" s="17" t="str">
        <x:v>arxiv-paper-eval-20260726-140242-results.jsonl</x:v>
      </x:c>
      <x:c r="O240" s="24" t="str">
        <x:v>1</x:v>
      </x:c>
      <x:c r="P240" s="28" t="str">
        <x:v>提出全景图像的掩码自回归生成，并指出扩散方案的结构局限，属于应用性证据。</x:v>
      </x:c>
      <x:c r="Q240" s="25" t="str"/>
      <x:c r="R240" s="24" t="str">
        <x:f>IF(Q240&lt;&gt;"",Q240,O240)</x:f>
        <x:v>1</x:v>
      </x:c>
      <x:c r="S240" s="29" t="str"/>
    </x:row>
    <x:row r="241" ht="54" customHeight="1">
      <x:c r="A241" s="17" t="str">
        <x:v>csq012-r20</x:v>
      </x:c>
      <x:c r="B241" s="17" t="str">
        <x:v>csq012</x:v>
      </x:c>
      <x:c r="C241" s="17" t="str">
        <x:v>computer_vision</x:v>
      </x:c>
      <x:c r="D241" s="17" t="str">
        <x:v>image_generation</x:v>
      </x:c>
      <x:c r="E241" s="27" t="str">
        <x:v>How do diffusion-based and autoregressive image generation models compare in training objectives, sampling cost, controllability, and output quality?</x:v>
      </x:c>
      <x:c r="F241" s="22" t="n">
        <x:v>20</x:v>
      </x:c>
      <x:c r="G241" s="17" t="str">
        <x:v>arXiv:2410.12490</x:v>
      </x:c>
      <x:c r="H241" s="27" t="str">
        <x:v>Stabilize the Latent Space for Image Autoregressive Modeling: A Unified Perspective</x:v>
      </x:c>
      <x:c r="I241" s="17" t="str">
        <x:v>Yongxin Zhu; Bocheng Li; Hang Zhang; Xin Li; Linli Xu; Lidong Bing</x:v>
      </x:c>
      <x:c r="J241" s="22" t="n">
        <x:v>2024</x:v>
      </x:c>
      <x:c r="K241" s="27" t="str">
        <x:v>Latent-based image generative models, such as Latent Diffusion Models (LDMs) and Mask Image Models (MIMs), have achieved notable success in image generation tasks. These models typically leverage reconstructive autoencoders like VQGAN or VAE to encode pixels into a more compact latent space and learn the data distribution in the latent space instead of directly from pixels. However, this practice raises a pertinent question: Is it truly the optimal choice? In response, we begin with an intriguing observation: despite sharing the same latent space, autoregressive models significantly lag behind LDMs and MIMs in image generation. This finding contrasts sharply with the field of NLP, where the autoregressive model GPT has established a commanding presence. To address this discrepancy, we introduce a unified perspective on the relationship between latent space and generative models, emphasizing the stability of latent space in image generative modeling. Furthermore, we propose a simple but effective discrete image tokenizer to stabilize the latent space for image generative modeling by applying K-Means on the latent features of self-supervised learning models. Experimental results show that image autoregressive modeling with our tokenizer (DiGIT) benefits both image understanding and image generation with the next token prediction principle, which is inherently straightforward for GPT models but challenging for other generative models. Remarkably, for the first time, a GPT-style autoregressive model for images outperforms LDMs, which also exhibits substantial improvement akin to GPT when scaling up model size. Our findings underscore the potential of an optimized latent space and the integration of discrete tokenization in advancing the capabilities of image generative models. The code is available at \url{https://github.com/DAMO-NLP-SG/DiGIT}.</x:v>
      </x:c>
      <x:c r="L241" s="17" t="str">
        <x:v>http://arxiv.org/abs/2410.12490v2</x:v>
      </x:c>
      <x:c r="M241" s="23" t="n">
        <x:v>0.015151515151515152</x:v>
      </x:c>
      <x:c r="N241" s="17" t="str">
        <x:v>arxiv-paper-eval-20260726-140242-results.jsonl</x:v>
      </x:c>
      <x:c r="O241" s="24" t="str">
        <x:v>2</x:v>
      </x:c>
      <x:c r="P241" s="28" t="str">
        <x:v>在共享潜空间中直接比较自回归、潜扩散与掩码模型的生成质量差异。</x:v>
      </x:c>
      <x:c r="Q241" s="25" t="str"/>
      <x:c r="R241" s="24" t="str">
        <x:f>IF(Q241&lt;&gt;"",Q241,O241)</x:f>
        <x:v>2</x:v>
      </x:c>
      <x:c r="S241" s="29" t="str"/>
    </x:row>
    <x:row r="242" ht="54" customHeight="1">
      <x:c r="A242" s="17" t="str">
        <x:v>csq013-r01</x:v>
      </x:c>
      <x:c r="B242" s="17" t="str">
        <x:v>csq013</x:v>
      </x:c>
      <x:c r="C242" s="17" t="str">
        <x:v>computer_vision</x:v>
      </x:c>
      <x:c r="D242" s="17" t="str">
        <x:v>vision_language_evaluation</x:v>
      </x:c>
      <x:c r="E242" s="27" t="str">
        <x:v>Which benchmarks and metrics have been proposed to evaluate hallucination in vision-language models, and what aspects of model behavior does each benchmark test?</x:v>
      </x:c>
      <x:c r="F242" s="22" t="n">
        <x:v>1</x:v>
      </x:c>
      <x:c r="G242" s="17" t="str">
        <x:v>arXiv:2407.06192</x:v>
      </x:c>
      <x:c r="H242" s="27" t="str">
        <x:v>Multi-Object Hallucination in Vision-Language Models</x:v>
      </x:c>
      <x:c r="I242" s="17" t="str">
        <x:v>Xuweiyi Chen; Ziqiao Ma; Xuejun Zhang; Sihan Xu; Shengyi Qian; Jianing Yang; David F. Fouhey; Joyce Chai</x:v>
      </x:c>
      <x:c r="J242" s="22" t="n">
        <x:v>2024</x:v>
      </x:c>
      <x:c r="K242" s="27" t="str">
        <x:v>Large vision language models (LVLMs) often suffer from object hallucination, producing objects not present in the given images. While current benchmarks for object hallucination primarily concentrate on the presence of a single object class rather than individual entities, this work systematically investigates multi-object hallucination, examining how models misperceive (e.g., invent nonexistent objects or become distracted) when tasked with focusing on multiple objects simultaneously. We introduce Recognition-based Object Probing Evaluation (ROPE), an automated evaluation protocol that considers the distribution of object classes within a single image during testing and uses visual referring prompts to eliminate ambiguity. With comprehensive empirical studies and analysis of potential factors leading to multi-object hallucination, we found that (1). LVLMs suffer more hallucinations when focusing on multiple objects compared to a single object. (2). The tested object class distribution affects hallucination behaviors, indicating that LVLMs may follow shortcuts and spurious correlations. (3). Hallucinatory behaviors are influenced by data-specific factors, salience and frequency, and model intrinsic behaviors. We hope to enable LVLMs to recognize and reason about multiple objects that often occur in realistic visual scenes, provide insights, and quantify our progress towards mitigating the issues.</x:v>
      </x:c>
      <x:c r="L242" s="17" t="str">
        <x:v>http://arxiv.org/abs/2407.06192v2</x:v>
      </x:c>
      <x:c r="M242" s="23" t="n">
        <x:v>0.04643206256109482</x:v>
      </x:c>
      <x:c r="N242" s="17" t="str">
        <x:v>arxiv-paper-eval-20260726-140242-results.jsonl</x:v>
      </x:c>
      <x:c r="O242" s="24" t="str">
        <x:v>2</x:v>
      </x:c>
      <x:c r="P242" s="28" t="str">
        <x:v>提出ROPE自动评测协议，专门测试多对象幻觉和干扰行为。</x:v>
      </x:c>
      <x:c r="Q242" s="25" t="str"/>
      <x:c r="R242" s="24" t="str">
        <x:f>IF(Q242&lt;&gt;"",Q242,O242)</x:f>
        <x:v>2</x:v>
      </x:c>
      <x:c r="S242" s="29" t="str"/>
    </x:row>
    <x:row r="243" ht="54" customHeight="1">
      <x:c r="A243" s="17" t="str">
        <x:v>csq013-r02</x:v>
      </x:c>
      <x:c r="B243" s="17" t="str">
        <x:v>csq013</x:v>
      </x:c>
      <x:c r="C243" s="17" t="str">
        <x:v>computer_vision</x:v>
      </x:c>
      <x:c r="D243" s="17" t="str">
        <x:v>vision_language_evaluation</x:v>
      </x:c>
      <x:c r="E243" s="27" t="str">
        <x:v>Which benchmarks and metrics have been proposed to evaluate hallucination in vision-language models, and what aspects of model behavior does each benchmark test?</x:v>
      </x:c>
      <x:c r="F243" s="22" t="n">
        <x:v>2</x:v>
      </x:c>
      <x:c r="G243" s="17" t="str">
        <x:v>arXiv:2505.07001</x:v>
      </x:c>
      <x:c r="H243" s="27" t="str">
        <x:v>Hallucination-Aware Multimodal Benchmark for Gastrointestinal Image Analysis with Large Vision-Language Models</x:v>
      </x:c>
      <x:c r="I243" s="17" t="str">
        <x:v>Bidur Khanal; Sandesh Pokhrel; Sanjay Bhandari; Ramesh Rana; Nikesh Shrestha; Ram Bahadur Gurung; Cristian Linte; Angus Watson; Yash Raj Shrestha; Binod Bhattarai</x:v>
      </x:c>
      <x:c r="J243" s="22" t="n">
        <x:v>2025</x:v>
      </x:c>
      <x:c r="K243" s="27" t="str">
        <x:v>Vision-Language Models (VLMs) are becoming increasingly popular in the medical domain, bridging the gap between medical images and clinical language. Existing VLMs demonstrate an impressive ability to comprehend medical images and text queries to generate detailed, descriptive diagnostic medical reports. However, hallucination--the tendency to generate descriptions that are inconsistent with the visual content--remains a significant issue in VLMs, with particularly severe implications in the medical field. To facilitate VLM research on gastrointestinal (GI) image analysis and study hallucination, we curate a multimodal image-text GI dataset: Gut-VLM. This dataset is created using a two-stage pipeline: first, descriptive medical reports of Kvasir-v2 images are generated using ChatGPT, which introduces some hallucinated or incorrect texts. In the second stage, medical experts systematically review these reports, and identify and correct potential inaccuracies to ensure high-quality, clinically reliable annotations. Unlike traditional datasets that contain only descriptive texts, our dataset also features tags identifying hallucinated sentences and their corresponding corrections. A common approach to reducing hallucination in VLM is to finetune the model on a small-scale, problem-specific dataset. However, we take a different strategy using our dataset. Instead of finetuning the VLM solely for generating textual reports, we finetune it to detect and correct hallucinations, an approach we call hallucination-aware finetuning. Our results show that this approach is better than simply finetuning for descriptive report generation. Additionally, we conduct an extensive evaluation of state-of-the-art VLMs across several metrics, establishing a benchmark. GitHub Repo: https://github.com/bhattarailab/Hallucination-Aware-VLM.</x:v>
      </x:c>
      <x:c r="L243" s="17" t="str">
        <x:v>http://arxiv.org/abs/2505.07001v2</x:v>
      </x:c>
      <x:c r="M243" s="23" t="n">
        <x:v>0.043408137179239824</x:v>
      </x:c>
      <x:c r="N243" s="17" t="str">
        <x:v>arxiv-paper-eval-20260726-140242-results.jsonl</x:v>
      </x:c>
      <x:c r="O243" s="24" t="str">
        <x:v>2</x:v>
      </x:c>
      <x:c r="P243" s="28" t="str">
        <x:v>提出胃肠影像领域的幻觉感知多模态基准，直接属于专用评测集。</x:v>
      </x:c>
      <x:c r="Q243" s="25" t="str"/>
      <x:c r="R243" s="24" t="str">
        <x:f>IF(Q243&lt;&gt;"",Q243,O243)</x:f>
        <x:v>2</x:v>
      </x:c>
      <x:c r="S243" s="29" t="str"/>
    </x:row>
    <x:row r="244" ht="54" customHeight="1">
      <x:c r="A244" s="17" t="str">
        <x:v>csq013-r03</x:v>
      </x:c>
      <x:c r="B244" s="17" t="str">
        <x:v>csq013</x:v>
      </x:c>
      <x:c r="C244" s="17" t="str">
        <x:v>computer_vision</x:v>
      </x:c>
      <x:c r="D244" s="17" t="str">
        <x:v>vision_language_evaluation</x:v>
      </x:c>
      <x:c r="E244" s="27" t="str">
        <x:v>Which benchmarks and metrics have been proposed to evaluate hallucination in vision-language models, and what aspects of model behavior does each benchmark test?</x:v>
      </x:c>
      <x:c r="F244" s="22" t="n">
        <x:v>3</x:v>
      </x:c>
      <x:c r="G244" s="17" t="str">
        <x:v>arXiv:2404.18930</x:v>
      </x:c>
      <x:c r="H244" s="27" t="str">
        <x:v>Hallucination of Multimodal Large Language Models: A Survey</x:v>
      </x:c>
      <x:c r="I244" s="17" t="str">
        <x:v>Zechen Bai; Pichao Wang; Tianjun Xiao; Tong He; Zongbo Han; Zheng Zhang; Mike Zheng Shou</x:v>
      </x:c>
      <x:c r="J244" s="22" t="n">
        <x:v>2024</x:v>
      </x:c>
      <x:c r="K244" s="27" t="str">
        <x:v>This survey presents a comprehensive analysis of the phenomenon of hallucination in multimodal large language models (MLLMs), also known as Large Vision-Language Models (LVLMs), which have demonstrated significant advancements and remarkable abilities in multimodal tasks. Despite these promising developments, MLLMs often generate outputs that are inconsistent with the visual content, a challenge known as hallucination, which poses substantial obstacles to their practical deployment and raises concerns regarding their reliability in real-world applications. This problem has attracted increasing attention, prompting efforts to detect and mitigate such inaccuracies. We review recent advances in identifying, evaluating, and mitigating these hallucinations, offering a detailed overview of the underlying causes, evaluation benchmarks, metrics, and strategies developed to address this issue. Additionally, we analyze the current challenges and limitations, formulating open questions that delineate potential pathways for future research. By drawing the granular classification and landscapes of hallucination causes, evaluation benchmarks, and mitigation methods, this survey aims to deepen the understanding of hallucinations in MLLMs and inspire further advancements in the field. Through our thorough and in-depth review, we contribute to the ongoing dialogue on enhancing the robustness and reliability of MLLMs, providing valuable insights and resources for researchers and practitioners alike. Resources are available at: https://github.com/showlab/Awesome-MLLM-Hallucination.</x:v>
      </x:c>
      <x:c r="L244" s="17" t="str">
        <x:v>http://arxiv.org/abs/2404.18930v2</x:v>
      </x:c>
      <x:c r="M244" s="23" t="n">
        <x:v>0.03252247488101534</x:v>
      </x:c>
      <x:c r="N244" s="17" t="str">
        <x:v>arxiv-paper-eval-20260726-140242-results.jsonl</x:v>
      </x:c>
      <x:c r="O244" s="24" t="str">
        <x:v>2</x:v>
      </x:c>
      <x:c r="P244" s="28" t="str">
        <x:v>多模态幻觉综述可系统汇总评测基准、指标及其覆盖的幻觉类型。</x:v>
      </x:c>
      <x:c r="Q244" s="25" t="str"/>
      <x:c r="R244" s="24" t="str">
        <x:f>IF(Q244&lt;&gt;"",Q244,O244)</x:f>
        <x:v>2</x:v>
      </x:c>
      <x:c r="S244" s="29" t="str"/>
    </x:row>
    <x:row r="245" ht="54" customHeight="1">
      <x:c r="A245" s="17" t="str">
        <x:v>csq013-r04</x:v>
      </x:c>
      <x:c r="B245" s="17" t="str">
        <x:v>csq013</x:v>
      </x:c>
      <x:c r="C245" s="17" t="str">
        <x:v>computer_vision</x:v>
      </x:c>
      <x:c r="D245" s="17" t="str">
        <x:v>vision_language_evaluation</x:v>
      </x:c>
      <x:c r="E245" s="27" t="str">
        <x:v>Which benchmarks and metrics have been proposed to evaluate hallucination in vision-language models, and what aspects of model behavior does each benchmark test?</x:v>
      </x:c>
      <x:c r="F245" s="22" t="n">
        <x:v>4</x:v>
      </x:c>
      <x:c r="G245" s="17" t="str">
        <x:v>arXiv:2402.00253</x:v>
      </x:c>
      <x:c r="H245" s="27" t="str">
        <x:v>A Survey on Hallucination in Large Vision-Language Models</x:v>
      </x:c>
      <x:c r="I245" s="17" t="str">
        <x:v>Hanchao Liu; Wenyuan Xue; Yifei Chen; Dapeng Chen; Xiutian Zhao; Ke Wang; Liping Hou; Rongjun Li; Wei Peng</x:v>
      </x:c>
      <x:c r="J245" s="22" t="n">
        <x:v>2024</x:v>
      </x:c>
      <x:c r="K245" s="27" t="str">
        <x:v>Recent development of Large Vision-Language Models (LVLMs) has attracted growing attention within the AI landscape for its practical implementation potential. However, ``hallucination'', or more specifically, the misalignment between factual visual content and corresponding textual generation, poses a significant challenge of utilizing LVLMs. In this comprehensive survey, we dissect LVLM-related hallucinations in an attempt to establish an overview and facilitate future mitigation. Our scrutiny starts with a clarification of the concept of hallucinations in LVLMs, presenting a variety of hallucination symptoms and highlighting the unique challenges inherent in LVLM hallucinations. Subsequently, we outline the benchmarks and methodologies tailored specifically for evaluating hallucinations unique to LVLMs. Additionally, we delve into an investigation of the root causes of these hallucinations, encompassing insights from the training data and model components. We also critically review existing methods for mitigating hallucinations. The open questions and future directions pertaining to hallucinations within LVLMs are discussed to conclude this survey.</x:v>
      </x:c>
      <x:c r="L245" s="17" t="str">
        <x:v>http://arxiv.org/abs/2402.00253v2</x:v>
      </x:c>
      <x:c r="M245" s="23" t="n">
        <x:v>0.03200204813108039</x:v>
      </x:c>
      <x:c r="N245" s="17" t="str">
        <x:v>arxiv-paper-eval-20260726-140242-results.jsonl</x:v>
      </x:c>
      <x:c r="O245" s="24" t="str">
        <x:v>2</x:v>
      </x:c>
      <x:c r="P245" s="28" t="str">
        <x:v>LVLM幻觉综述直接梳理问题分类、评估与缓解研究。</x:v>
      </x:c>
      <x:c r="Q245" s="25" t="str"/>
      <x:c r="R245" s="24" t="str">
        <x:f>IF(Q245&lt;&gt;"",Q245,O245)</x:f>
        <x:v>2</x:v>
      </x:c>
      <x:c r="S245" s="29" t="str"/>
    </x:row>
    <x:row r="246" ht="54" customHeight="1">
      <x:c r="A246" s="17" t="str">
        <x:v>csq013-r05</x:v>
      </x:c>
      <x:c r="B246" s="17" t="str">
        <x:v>csq013</x:v>
      </x:c>
      <x:c r="C246" s="17" t="str">
        <x:v>computer_vision</x:v>
      </x:c>
      <x:c r="D246" s="17" t="str">
        <x:v>vision_language_evaluation</x:v>
      </x:c>
      <x:c r="E246" s="27" t="str">
        <x:v>Which benchmarks and metrics have been proposed to evaluate hallucination in vision-language models, and what aspects of model behavior does each benchmark test?</x:v>
      </x:c>
      <x:c r="F246" s="22" t="n">
        <x:v>5</x:v>
      </x:c>
      <x:c r="G246" s="17" t="str">
        <x:v>arXiv:2410.23114</x:v>
      </x:c>
      <x:c r="H246" s="27" t="str">
        <x:v>Unified Triplet-Level Hallucination Evaluation for Large Vision-Language Models</x:v>
      </x:c>
      <x:c r="I246" s="17" t="str">
        <x:v>Junjie Wu; Tsz Ting Chung; Kai Chen; Dit-Yan Yeung</x:v>
      </x:c>
      <x:c r="J246" s="22" t="n">
        <x:v>2024</x:v>
      </x:c>
      <x:c r="K246" s="27" t="str">
        <x:v>Despite the outstanding performance in vision-language reasoning, Large Vision-Language Models (LVLMs) might generate hallucinated contents that do not exist in the given image. Most existing LVLM hallucination benchmarks are constrained to evaluate the object-related hallucinations. However, the potential hallucination on the relations between two objects, i.e., relation hallucination, still lacks investigation. To remedy that, we design a unified framework to measure the object and relation hallucination in LVLMs simultaneously. The core idea of our framework is to evaluate hallucinations via (object, relation, object) triplets extracted from LVLMs' responses, making it easily generalizable to different vision-language tasks. Based on our framework, we further introduce Tri-HE, a novel Triplet-level Hallucination Evaluation benchmark which can be used to study both object and relation hallucination at the same time. With comprehensive evaluations on Tri-HE, we observe that the relation hallucination issue is even more serious than object hallucination among existing LVLMs, highlighting a previously neglected problem towards reliable LVLMs. Moreover, based on our findings, we design a simple training-free approach that effectively mitigates hallucinations for LVLMs. Our dataset and code for the reproduction of our experiments are available publicly at https://github.com/wujunjie1998/Tri-HE.</x:v>
      </x:c>
      <x:c r="L246" s="17" t="str">
        <x:v>http://arxiv.org/abs/2410.23114v4</x:v>
      </x:c>
      <x:c r="M246" s="23" t="n">
        <x:v>0.03149801587301587</x:v>
      </x:c>
      <x:c r="N246" s="17" t="str">
        <x:v>arxiv-paper-eval-20260726-140242-results.jsonl</x:v>
      </x:c>
      <x:c r="O246" s="24" t="str">
        <x:v>2</x:v>
      </x:c>
      <x:c r="P246" s="28" t="str">
        <x:v>提出统一三元组级评测，同时测试对象和对象关系幻觉。</x:v>
      </x:c>
      <x:c r="Q246" s="25" t="str"/>
      <x:c r="R246" s="24" t="str">
        <x:f>IF(Q246&lt;&gt;"",Q246,O246)</x:f>
        <x:v>2</x:v>
      </x:c>
      <x:c r="S246" s="29" t="str"/>
    </x:row>
    <x:row r="247" ht="54" customHeight="1">
      <x:c r="A247" s="17" t="str">
        <x:v>csq013-r06</x:v>
      </x:c>
      <x:c r="B247" s="17" t="str">
        <x:v>csq013</x:v>
      </x:c>
      <x:c r="C247" s="17" t="str">
        <x:v>computer_vision</x:v>
      </x:c>
      <x:c r="D247" s="17" t="str">
        <x:v>vision_language_evaluation</x:v>
      </x:c>
      <x:c r="E247" s="27" t="str">
        <x:v>Which benchmarks and metrics have been proposed to evaluate hallucination in vision-language models, and what aspects of model behavior does each benchmark test?</x:v>
      </x:c>
      <x:c r="F247" s="22" t="n">
        <x:v>6</x:v>
      </x:c>
      <x:c r="G247" s="17" t="str">
        <x:v>arXiv:2502.14908</x:v>
      </x:c>
      <x:c r="H247" s="27" t="str">
        <x:v>SegSub: Evaluating Robustness to Knowledge Conflicts and Hallucinations in Vision-Language Models</x:v>
      </x:c>
      <x:c r="I247" s="17" t="str">
        <x:v>Peter Carragher; Nikitha Rao; Abhinand Jha; R Raghav; Kathleen M. Carley</x:v>
      </x:c>
      <x:c r="J247" s="22" t="n">
        <x:v>2025</x:v>
      </x:c>
      <x:c r="K247" s="27" t="str">
        <x:v>Vision language models (VLM) demonstrate sophisticated multimodal reasoning yet are prone to hallucination when confronted with knowledge conflicts, impeding their deployment in information-sensitive contexts. While existing research addresses robustness in unimodal models, the multimodal domain lacks systematic investigation of cross-modal knowledge conflicts. This research introduces \segsub, a framework for applying targeted image perturbations to investigate VLM resilience against knowledge conflicts. Our analysis reveals distinct vulnerability patterns: while VLMs are robust to parametric conflicts (20% adherence rates), they exhibit significant weaknesses in identifying counterfactual conditions (&lt;30% accuracy) and resolving source conflicts (&lt;1% accuracy). Correlations between contextual richness and hallucination rate (r = -0.368, p = 0.003) reveal the kinds of images that are likely to cause hallucinations. Through targeted fine-tuning on our benchmark dataset, we demonstrate improvements in VLM knowledge conflict detection, establishing a foundation for developing hallucination-resilient multimodal systems in information-sensitive environments.</x:v>
      </x:c>
      <x:c r="L247" s="17" t="str">
        <x:v>http://arxiv.org/abs/2502.14908v2</x:v>
      </x:c>
      <x:c r="M247" s="23" t="n">
        <x:v>0.029631255487269532</x:v>
      </x:c>
      <x:c r="N247" s="17" t="str">
        <x:v>arxiv-paper-eval-20260726-140242-results.jsonl</x:v>
      </x:c>
      <x:c r="O247" s="24" t="str">
        <x:v>2</x:v>
      </x:c>
      <x:c r="P247" s="28" t="str">
        <x:v>提出SegSub框架，评估跨模态知识冲突下的鲁棒性和幻觉。</x:v>
      </x:c>
      <x:c r="Q247" s="25" t="str"/>
      <x:c r="R247" s="24" t="str">
        <x:f>IF(Q247&lt;&gt;"",Q247,O247)</x:f>
        <x:v>2</x:v>
      </x:c>
      <x:c r="S247" s="29" t="str"/>
    </x:row>
    <x:row r="248" ht="54" customHeight="1">
      <x:c r="A248" s="17" t="str">
        <x:v>csq013-r07</x:v>
      </x:c>
      <x:c r="B248" s="17" t="str">
        <x:v>csq013</x:v>
      </x:c>
      <x:c r="C248" s="17" t="str">
        <x:v>computer_vision</x:v>
      </x:c>
      <x:c r="D248" s="17" t="str">
        <x:v>vision_language_evaluation</x:v>
      </x:c>
      <x:c r="E248" s="27" t="str">
        <x:v>Which benchmarks and metrics have been proposed to evaluate hallucination in vision-language models, and what aspects of model behavior does each benchmark test?</x:v>
      </x:c>
      <x:c r="F248" s="22" t="n">
        <x:v>7</x:v>
      </x:c>
      <x:c r="G248" s="17" t="str">
        <x:v>arXiv:2502.15389</x:v>
      </x:c>
      <x:c r="H248" s="27" t="str">
        <x:v>The Role of Background Information in Reducing Object Hallucination in Vision-Language Models: Insights from Cutoff API Prompting</x:v>
      </x:c>
      <x:c r="I248" s="17" t="str">
        <x:v>Masayo Tomita; Katsuhiko Hayashi; Tomoyuki Kaneko</x:v>
      </x:c>
      <x:c r="J248" s="22" t="n">
        <x:v>2025</x:v>
      </x:c>
      <x:c r="K248" s="27" t="str">
        <x:v>Vision-Language Models (VLMs) occasionally generate outputs that contradict input images, constraining their reliability in real-world applications. While visual prompting is reported to suppress hallucinations by augmenting prompts with relevant area inside an image, the effectiveness in terms of the area remains uncertain. This study analyzes success and failure cases of Attention-driven visual prompting in object hallucination, revealing that preserving background context is crucial for mitigating object hallucination.</x:v>
      </x:c>
      <x:c r="L248" s="17" t="str">
        <x:v>http://arxiv.org/abs/2502.15389v1</x:v>
      </x:c>
      <x:c r="M248" s="23" t="n">
        <x:v>0.029513888888888888</x:v>
      </x:c>
      <x:c r="N248" s="17" t="str">
        <x:v>arxiv-paper-eval-20260726-140242-results.jsonl</x:v>
      </x:c>
      <x:c r="O248" s="24" t="str">
        <x:v>1</x:v>
      </x:c>
      <x:c r="P248" s="28" t="str">
        <x:v>分析背景信息对对象幻觉缓解的影响，但主要贡献不是新基准或通用指标。</x:v>
      </x:c>
      <x:c r="Q248" s="25" t="str"/>
      <x:c r="R248" s="24" t="str">
        <x:f>IF(Q248&lt;&gt;"",Q248,O248)</x:f>
        <x:v>1</x:v>
      </x:c>
      <x:c r="S248" s="29" t="str"/>
    </x:row>
    <x:row r="249" ht="54" customHeight="1">
      <x:c r="A249" s="17" t="str">
        <x:v>csq013-r08</x:v>
      </x:c>
      <x:c r="B249" s="17" t="str">
        <x:v>csq013</x:v>
      </x:c>
      <x:c r="C249" s="17" t="str">
        <x:v>computer_vision</x:v>
      </x:c>
      <x:c r="D249" s="17" t="str">
        <x:v>vision_language_evaluation</x:v>
      </x:c>
      <x:c r="E249" s="27" t="str">
        <x:v>Which benchmarks and metrics have been proposed to evaluate hallucination in vision-language models, and what aspects of model behavior does each benchmark test?</x:v>
      </x:c>
      <x:c r="F249" s="22" t="n">
        <x:v>8</x:v>
      </x:c>
      <x:c r="G249" s="17" t="str">
        <x:v>arXiv:2505.01958</x:v>
      </x:c>
      <x:c r="H249" s="27" t="str">
        <x:v>A Comprehensive Analysis for Visual Object Hallucination in Large Vision-Language Models</x:v>
      </x:c>
      <x:c r="I249" s="17" t="str">
        <x:v>Liqiang Jing; Guiming Hardy Chen; Ehsan Aghazadeh; Xin Eric Wang; Xinya Du</x:v>
      </x:c>
      <x:c r="J249" s="22" t="n">
        <x:v>2025</x:v>
      </x:c>
      <x:c r="K249" s="27" t="str">
        <x:v>Large Vision-Language Models (LVLMs) demonstrate remarkable capabilities in multimodal tasks, but visual object hallucination remains a persistent issue. It refers to scenarios where models generate inaccurate visual object-related information based on the query input, potentially leading to misinformation and concerns about safety and reliability. Previous works focus on the evaluation and mitigation of visual hallucinations, but the underlying causes have not been comprehensively investigated. In this paper, we analyze each component of LLaVA-like LVLMs -- the large language model, the vision backbone, and the projector -- to identify potential sources of error and their impact. Based on our observations, we propose methods to mitigate hallucination for each problematic component. Additionally, we developed two hallucination benchmarks: QA-VisualGenome, which emphasizes attribute and relation hallucinations, and QA-FB15k, which focuses on cognition-based hallucinations.</x:v>
      </x:c>
      <x:c r="L249" s="17" t="str">
        <x:v>http://arxiv.org/abs/2505.01958v1</x:v>
      </x:c>
      <x:c r="M249" s="23" t="n">
        <x:v>0.029386529386529386</x:v>
      </x:c>
      <x:c r="N249" s="17" t="str">
        <x:v>arxiv-paper-eval-20260726-140242-results.jsonl</x:v>
      </x:c>
      <x:c r="O249" s="24" t="str">
        <x:v>1</x:v>
      </x:c>
      <x:c r="P249" s="28" t="str">
        <x:v>综合分析视觉对象幻觉的成因，可提供评测观察但摘要未明确提出基准。</x:v>
      </x:c>
      <x:c r="Q249" s="25" t="str"/>
      <x:c r="R249" s="24" t="str">
        <x:f>IF(Q249&lt;&gt;"",Q249,O249)</x:f>
        <x:v>1</x:v>
      </x:c>
      <x:c r="S249" s="29" t="str"/>
    </x:row>
    <x:row r="250" ht="54" customHeight="1">
      <x:c r="A250" s="17" t="str">
        <x:v>csq013-r09</x:v>
      </x:c>
      <x:c r="B250" s="17" t="str">
        <x:v>csq013</x:v>
      </x:c>
      <x:c r="C250" s="17" t="str">
        <x:v>computer_vision</x:v>
      </x:c>
      <x:c r="D250" s="17" t="str">
        <x:v>vision_language_evaluation</x:v>
      </x:c>
      <x:c r="E250" s="27" t="str">
        <x:v>Which benchmarks and metrics have been proposed to evaluate hallucination in vision-language models, and what aspects of model behavior does each benchmark test?</x:v>
      </x:c>
      <x:c r="F250" s="22" t="n">
        <x:v>9</x:v>
      </x:c>
      <x:c r="G250" s="17" t="str">
        <x:v>arXiv:2502.20780</x:v>
      </x:c>
      <x:c r="H250" s="27" t="str">
        <x:v>MedHallTune: An Instruction-Tuning Benchmark for Mitigating Medical Hallucination in Vision-Language Models</x:v>
      </x:c>
      <x:c r="I250" s="17" t="str">
        <x:v>Qiao Yan; Yuchen Yuan; Xiaowei Hu; Yihan Wang; Jiaqi Xu; Jinpeng Li; Chi-Wing Fu; Pheng-Ann Heng</x:v>
      </x:c>
      <x:c r="J250" s="22" t="n">
        <x:v>2025</x:v>
      </x:c>
      <x:c r="K250" s="27" t="str">
        <x:v>The increasing use of vision-language models (VLMs) in healthcare applications presents great challenges related to hallucinations, in which the models may generate seemingly plausible results that are in fact incorrect. Such hallucinations can jeopardize clinical decision making, potentially harming the diagnosis and treatments. In this work, we propose MedHallTune, a large-scale benchmark designed specifically to evaluate and mitigate hallucinations in medical VLMs. Comprising over 100,000 images and 1,000,000 instruction pairs, MedHallTune includes both hallucination and non-hallucination samples, each with ground-truth annotations. We conduct a comprehensive evaluation of current medical and general VLMs using MedHallTune, assessing their performance across key metrics, including clinical accuracy, relevance, detail level, and risk level. The experimental results show that fine-tuning with MedHallTune successfully improves the ability of several existing models to manage hallucinations and boost their zero-shot performance on downstream visual-question-answering (VQA) tasks, making them more reliable for practical medical applications. Our work contributes to the development of more trustworthy VLMs. Codes and dataset will be available at \href{https://github.com/russellyq/MedHallTune}{MedHallTune}.</x:v>
      </x:c>
      <x:c r="L250" s="17" t="str">
        <x:v>http://arxiv.org/abs/2502.20780v1</x:v>
      </x:c>
      <x:c r="M250" s="23" t="n">
        <x:v>0.02900988017658188</x:v>
      </x:c>
      <x:c r="N250" s="17" t="str">
        <x:v>arxiv-paper-eval-20260726-140242-results.jsonl</x:v>
      </x:c>
      <x:c r="O250" s="24" t="str">
        <x:v>2</x:v>
      </x:c>
      <x:c r="P250" s="28" t="str">
        <x:v>提出大规模医学VLM幻觉评估与缓解基准MedHallTune。</x:v>
      </x:c>
      <x:c r="Q250" s="25" t="str"/>
      <x:c r="R250" s="24" t="str">
        <x:f>IF(Q250&lt;&gt;"",Q250,O250)</x:f>
        <x:v>2</x:v>
      </x:c>
      <x:c r="S250" s="29" t="str"/>
    </x:row>
    <x:row r="251" ht="54" customHeight="1">
      <x:c r="A251" s="17" t="str">
        <x:v>csq013-r10</x:v>
      </x:c>
      <x:c r="B251" s="17" t="str">
        <x:v>csq013</x:v>
      </x:c>
      <x:c r="C251" s="17" t="str">
        <x:v>computer_vision</x:v>
      </x:c>
      <x:c r="D251" s="17" t="str">
        <x:v>vision_language_evaluation</x:v>
      </x:c>
      <x:c r="E251" s="27" t="str">
        <x:v>Which benchmarks and metrics have been proposed to evaluate hallucination in vision-language models, and what aspects of model behavior does each benchmark test?</x:v>
      </x:c>
      <x:c r="F251" s="22" t="n">
        <x:v>10</x:v>
      </x:c>
      <x:c r="G251" s="17" t="str">
        <x:v>arXiv:2406.14492</x:v>
      </x:c>
      <x:c r="H251" s="27" t="str">
        <x:v>Does Object Grounding Really Reduce Hallucination of Large Vision-Language Models?</x:v>
      </x:c>
      <x:c r="I251" s="17" t="str">
        <x:v>Gregor Geigle; Radu Timofte; Goran Glavaš</x:v>
      </x:c>
      <x:c r="J251" s="22" t="n">
        <x:v>2024</x:v>
      </x:c>
      <x:c r="K251" s="27" t="str">
        <x:v>Large vision-language models (LVLMs) have recently dramatically pushed the state of the art in image captioning and many image understanding tasks (e.g., visual question answering). LVLMs, however, often \textit{hallucinate} and produce captions that mention concepts that cannot be found in the image. These hallucinations erode the trustworthiness of LVLMs and are arguably among the main obstacles to their ubiquitous adoption. Recent work suggests that addition of grounding objectives -- those that explicitly align image regions or objects to text spans -- reduces the amount of LVLM hallucination. Although intuitive, this claim is not empirically justified as the reduction effects have been established, we argue, with flawed evaluation protocols that (i) rely on data (i.e., MSCOCO) that has been extensively used in LVLM training and (ii) measure hallucination via question answering rather than open-ended caption generation. In this work, in contrast, we offer the first systematic analysis of the effect of fine-grained object grounding on LVLM hallucination under an evaluation protocol that more realistically captures LVLM hallucination in open generation. Our extensive experiments over three backbone LLMs reveal that grounding objectives have little to no effect on object hallucination in open caption generation.</x:v>
      </x:c>
      <x:c r="L251" s="17" t="str">
        <x:v>http://arxiv.org/abs/2406.14492v1</x:v>
      </x:c>
      <x:c r="M251" s="23" t="n">
        <x:v>0.02803921568627451</x:v>
      </x:c>
      <x:c r="N251" s="17" t="str">
        <x:v>arxiv-paper-eval-20260726-140242-results.jsonl</x:v>
      </x:c>
      <x:c r="O251" s="24" t="str">
        <x:v>1</x:v>
      </x:c>
      <x:c r="P251" s="28" t="str">
        <x:v>通过实验检验对象定位是否降低幻觉，但重点是机制效果而非评测基准。</x:v>
      </x:c>
      <x:c r="Q251" s="25" t="str"/>
      <x:c r="R251" s="24" t="str">
        <x:f>IF(Q251&lt;&gt;"",Q251,O251)</x:f>
        <x:v>1</x:v>
      </x:c>
      <x:c r="S251" s="29" t="str"/>
    </x:row>
    <x:row r="252" ht="54" customHeight="1">
      <x:c r="A252" s="17" t="str">
        <x:v>csq013-r11</x:v>
      </x:c>
      <x:c r="B252" s="17" t="str">
        <x:v>csq013</x:v>
      </x:c>
      <x:c r="C252" s="17" t="str">
        <x:v>computer_vision</x:v>
      </x:c>
      <x:c r="D252" s="17" t="str">
        <x:v>vision_language_evaluation</x:v>
      </x:c>
      <x:c r="E252" s="27" t="str">
        <x:v>Which benchmarks and metrics have been proposed to evaluate hallucination in vision-language models, and what aspects of model behavior does each benchmark test?</x:v>
      </x:c>
      <x:c r="F252" s="22" t="n">
        <x:v>11</x:v>
      </x:c>
      <x:c r="G252" s="17" t="str">
        <x:v>arXiv:2403.01373</x:v>
      </x:c>
      <x:c r="H252" s="27" t="str">
        <x:v>Quantity Matters: Towards Assessing and Mitigating Number Hallucination in Large Vision-Language Models</x:v>
      </x:c>
      <x:c r="I252" s="17" t="str">
        <x:v>Huixuan Zhang; Junzhe Zhang; Xiaojun Wan</x:v>
      </x:c>
      <x:c r="J252" s="22" t="n">
        <x:v>2024</x:v>
      </x:c>
      <x:c r="K252" s="27" t="str">
        <x:v>Large-scale vision-language models have demonstrated impressive skill in handling tasks that involve both areas. Nevertheless, these models frequently experience significant issues with generating inaccurate information, which is hallucination. In this study, we concentrate on a specific type of hallucination-number hallucination, referring to models incorrectly identifying the number of certain objects in pictures. We perform quantitative evaluations regarding number hallucination, showing it to be critical in major open-source large vision-language models. Furthermore, we utilizes two related tasks to conduct an in-depth analysis of number hallucination, revealing the severe inner and outer inconsistency among all tasks. Based on this examination, we devise a training approach aimed at improving consistency to reduce number hallucinations, which leads to an 8% enhancement in performance over direct finetuning methods. Our code and dataset will be released to the community.</x:v>
      </x:c>
      <x:c r="L252" s="17" t="str">
        <x:v>http://arxiv.org/abs/2403.01373v4</x:v>
      </x:c>
      <x:c r="M252" s="23" t="n">
        <x:v>0.027417840375586856</x:v>
      </x:c>
      <x:c r="N252" s="17" t="str">
        <x:v>arxiv-paper-eval-20260726-140242-results.jsonl</x:v>
      </x:c>
      <x:c r="O252" s="24" t="str">
        <x:v>2</x:v>
      </x:c>
      <x:c r="P252" s="28" t="str">
        <x:v>专门量化评估数量幻觉，测试模型识别图中对象数量的行为。</x:v>
      </x:c>
      <x:c r="Q252" s="25" t="str"/>
      <x:c r="R252" s="24" t="str">
        <x:f>IF(Q252&lt;&gt;"",Q252,O252)</x:f>
        <x:v>2</x:v>
      </x:c>
      <x:c r="S252" s="29" t="str"/>
    </x:row>
    <x:row r="253" ht="54" customHeight="1">
      <x:c r="A253" s="17" t="str">
        <x:v>csq013-r12</x:v>
      </x:c>
      <x:c r="B253" s="17" t="str">
        <x:v>csq013</x:v>
      </x:c>
      <x:c r="C253" s="17" t="str">
        <x:v>computer_vision</x:v>
      </x:c>
      <x:c r="D253" s="17" t="str">
        <x:v>vision_language_evaluation</x:v>
      </x:c>
      <x:c r="E253" s="27" t="str">
        <x:v>Which benchmarks and metrics have been proposed to evaluate hallucination in vision-language models, and what aspects of model behavior does each benchmark test?</x:v>
      </x:c>
      <x:c r="F253" s="22" t="n">
        <x:v>12</x:v>
      </x:c>
      <x:c r="G253" s="17" t="str">
        <x:v>arXiv:2509.20379</x:v>
      </x:c>
      <x:c r="H253" s="27" t="str">
        <x:v>Leveraging NTPs for Efficient Hallucination Detection in VLMs</x:v>
      </x:c>
      <x:c r="I253" s="17" t="str">
        <x:v>Ofir Azachi; Kfir Eliyahu; Eyal El Ani; Rom Himelstein; Roi Reichart; Yuval Pinter; Nitay Calderon</x:v>
      </x:c>
      <x:c r="J253" s="22" t="n">
        <x:v>2025</x:v>
      </x:c>
      <x:c r="K253" s="27" t="str">
        <x:v>Hallucinations of vision-language models (VLMs), which are misalignments between visual content and generated text, undermine the reliability of VLMs. One common approach for detecting them employs the same VLM, or a different one, to assess generated outputs. This process is computationally intensive and increases model latency. In this paper, we explore an efficient on-the-fly method for hallucination detection by training traditional ML models over signals based on the VLM's next-token probabilities (NTPs). NTPs provide a direct quantification of model uncertainty. We hypothesize that high uncertainty (i.e., a low NTP value) is strongly associated with hallucinations. To test this, we introduce a dataset of 1,400 human-annotated statements derived from VLM-generated content, each labeled as hallucinated or not, and use it to test our NTP-based lightweight method. Our results demonstrate that NTP-based features are valuable predictors of hallucinations, enabling fast and simple ML models to achieve performance comparable to that of strong VLMs. Furthermore, augmenting these NTPs with linguistic NTPs, computed by feeding only the generated text back into the VLM, enhances hallucination detection performance. Finally, integrating hallucination prediction scores from VLMs into the NTP-based models led to better performance than using either VLMs or NTPs alone. We hope this study paves the way for simple, lightweight solutions that enhance the reliability of VLMs.</x:v>
      </x:c>
      <x:c r="L253" s="17" t="str">
        <x:v>http://arxiv.org/abs/2509.20379v2</x:v>
      </x:c>
      <x:c r="M253" s="23" t="n">
        <x:v>0.01639344262295082</x:v>
      </x:c>
      <x:c r="N253" s="17" t="str">
        <x:v>arxiv-paper-eval-20260726-140242-results.jsonl</x:v>
      </x:c>
      <x:c r="O253" s="24" t="str">
        <x:v>1</x:v>
      </x:c>
      <x:c r="P253" s="28" t="str">
        <x:v>提出利用下一词元概率检测幻觉的方法，属于检测技术而非行为评测基准。</x:v>
      </x:c>
      <x:c r="Q253" s="25" t="str"/>
      <x:c r="R253" s="24" t="str">
        <x:f>IF(Q253&lt;&gt;"",Q253,O253)</x:f>
        <x:v>1</x:v>
      </x:c>
      <x:c r="S253" s="29" t="str"/>
    </x:row>
    <x:row r="254" ht="54" customHeight="1">
      <x:c r="A254" s="17" t="str">
        <x:v>csq013-r13</x:v>
      </x:c>
      <x:c r="B254" s="17" t="str">
        <x:v>csq013</x:v>
      </x:c>
      <x:c r="C254" s="17" t="str">
        <x:v>computer_vision</x:v>
      </x:c>
      <x:c r="D254" s="17" t="str">
        <x:v>vision_language_evaluation</x:v>
      </x:c>
      <x:c r="E254" s="27" t="str">
        <x:v>Which benchmarks and metrics have been proposed to evaluate hallucination in vision-language models, and what aspects of model behavior does each benchmark test?</x:v>
      </x:c>
      <x:c r="F254" s="22" t="n">
        <x:v>13</x:v>
      </x:c>
      <x:c r="G254" s="17" t="str">
        <x:v>arXiv:2506.07184</x:v>
      </x:c>
      <x:c r="H254" s="27" t="str">
        <x:v>Mitigating Behavioral Hallucination in Multimodal Large Language Models for Sequential Images</x:v>
      </x:c>
      <x:c r="I254" s="17" t="str">
        <x:v>Liangliang You; Junchi Yao; Shu Yang; Guimin Hu; Lijie Hu; Di Wang</x:v>
      </x:c>
      <x:c r="J254" s="22" t="n">
        <x:v>2025</x:v>
      </x:c>
      <x:c r="K254" s="27" t="str">
        <x:v>While multimodal large language models excel at various tasks, they still suffer from hallucinations, which limit their reliability and scalability for broader domain applications. To address this issue, recent research mainly focuses on objective hallucination. However, for sequential images, besides objective hallucination, there is also behavioral hallucination, which is less studied. This work aims to fill in the gap. We first reveal that behavioral hallucinations mainly arise from two key factors: prior-driven bias and the snowball effect. Based on these observations, we introduce SHE (Sequence Hallucination Eradication), a lightweight, two-stage framework that (1) detects hallucinations via visual-textual alignment check using our proposed adaptive temporal window and (2) mitigates them via orthogonal projection onto the joint embedding space. We also propose a new metric (BEACH) to quantify behavioral hallucination severity. Empirical results on standard benchmarks demonstrate that SHE reduces behavioral hallucination by over 10% on BEACH while maintaining descriptive accuracy.</x:v>
      </x:c>
      <x:c r="L254" s="17" t="str">
        <x:v>http://arxiv.org/abs/2506.07184v1</x:v>
      </x:c>
      <x:c r="M254" s="23" t="n">
        <x:v>0.01639344262295082</x:v>
      </x:c>
      <x:c r="N254" s="17" t="str">
        <x:v>arxiv-paper-eval-20260726-140242-results.jsonl</x:v>
      </x:c>
      <x:c r="O254" s="24" t="str">
        <x:v>1</x:v>
      </x:c>
      <x:c r="P254" s="28" t="str">
        <x:v>研究连续图像中的行为幻觉并分析成因，但摘要未表明提出通用基准。</x:v>
      </x:c>
      <x:c r="Q254" s="25" t="str"/>
      <x:c r="R254" s="24" t="str">
        <x:f>IF(Q254&lt;&gt;"",Q254,O254)</x:f>
        <x:v>1</x:v>
      </x:c>
      <x:c r="S254" s="29" t="str"/>
    </x:row>
    <x:row r="255" ht="54" customHeight="1">
      <x:c r="A255" s="17" t="str">
        <x:v>csq013-r14</x:v>
      </x:c>
      <x:c r="B255" s="17" t="str">
        <x:v>csq013</x:v>
      </x:c>
      <x:c r="C255" s="17" t="str">
        <x:v>computer_vision</x:v>
      </x:c>
      <x:c r="D255" s="17" t="str">
        <x:v>vision_language_evaluation</x:v>
      </x:c>
      <x:c r="E255" s="27" t="str">
        <x:v>Which benchmarks and metrics have been proposed to evaluate hallucination in vision-language models, and what aspects of model behavior does each benchmark test?</x:v>
      </x:c>
      <x:c r="F255" s="22" t="n">
        <x:v>14</x:v>
      </x:c>
      <x:c r="G255" s="17" t="str">
        <x:v>arXiv:2305.10355</x:v>
      </x:c>
      <x:c r="H255" s="27" t="str">
        <x:v>Evaluating Object Hallucination in Large Vision-Language Models</x:v>
      </x:c>
      <x:c r="I255" s="17" t="str">
        <x:v>Yifan Li; Yifan Du; Kun Zhou; Jinpeng Wang; Wayne Xin Zhao; Ji-Rong Wen</x:v>
      </x:c>
      <x:c r="J255" s="22" t="n">
        <x:v>2023</x:v>
      </x:c>
      <x:c r="K255" s="27" t="str">
        <x:v>Inspired by the superior language abilities of large language models (LLM), large vision-language models (LVLM) have been recently explored by integrating powerful LLMs for improving the performance on complex multimodal tasks. Despite the promising progress on LVLMs, we find that LVLMs suffer from the hallucination problem, i.e. they tend to generate objects that are inconsistent with the target images in the descriptions. To investigate it, this work presents the first systematic study on object hallucination of LVLMs. We conduct the evaluation experiments on several representative LVLMs, and show that they mostly suffer from severe object hallucination issue. We further discuss that the visual instructions may influence the hallucination, and find that: objects that frequently occur in the visual instructions or co-occur with the image objects, are obviously prone to be hallucinated by LVLMs. Besides, we find that existing evaluation methods might be affected by the input instructions and generation styles of LVLMs. Thus, we further design an improved evaluation method for object hallucination by proposing a polling-based query method called POPE. Experiment results demonstrate that our POPE can evaluate the object hallucination in a more stable and flexible way. Our codes and data are publicly available at https://github.com/RUCAIBox/POPE.</x:v>
      </x:c>
      <x:c r="L255" s="17" t="str">
        <x:v>http://arxiv.org/abs/2305.10355v3</x:v>
      </x:c>
      <x:c r="M255" s="23" t="n">
        <x:v>0.01639344262295082</x:v>
      </x:c>
      <x:c r="N255" s="17" t="str">
        <x:v>arxiv-paper-eval-20260726-140242-results.jsonl</x:v>
      </x:c>
      <x:c r="O255" s="24" t="str">
        <x:v>2</x:v>
      </x:c>
      <x:c r="P255" s="28" t="str">
        <x:v>对LVLM对象幻觉开展系统评测，直接提供相应评估方法和行为维度。</x:v>
      </x:c>
      <x:c r="Q255" s="25" t="str"/>
      <x:c r="R255" s="24" t="str">
        <x:f>IF(Q255&lt;&gt;"",Q255,O255)</x:f>
        <x:v>2</x:v>
      </x:c>
      <x:c r="S255" s="29" t="str"/>
    </x:row>
    <x:row r="256" ht="54" customHeight="1">
      <x:c r="A256" s="17" t="str">
        <x:v>csq013-r15</x:v>
      </x:c>
      <x:c r="B256" s="17" t="str">
        <x:v>csq013</x:v>
      </x:c>
      <x:c r="C256" s="17" t="str">
        <x:v>computer_vision</x:v>
      </x:c>
      <x:c r="D256" s="17" t="str">
        <x:v>vision_language_evaluation</x:v>
      </x:c>
      <x:c r="E256" s="27" t="str">
        <x:v>Which benchmarks and metrics have been proposed to evaluate hallucination in vision-language models, and what aspects of model behavior does each benchmark test?</x:v>
      </x:c>
      <x:c r="F256" s="22" t="n">
        <x:v>15</x:v>
      </x:c>
      <x:c r="G256" s="17" t="str">
        <x:v>arXiv:2406.10900</x:v>
      </x:c>
      <x:c r="H256" s="27" t="str">
        <x:v>AutoHallusion: Automatic Generation of Hallucination Benchmarks for Vision-Language Models</x:v>
      </x:c>
      <x:c r="I256" s="17" t="str">
        <x:v>Xiyang Wu; Tianrui Guan; Dianqi Li; Shuaiyi Huang; Xiaoyu Liu; Xijun Wang; Ruiqi Xian; Abhinav Shrivastava; Furong Huang; Jordan Lee Boyd-Graber; Tianyi Zhou; Dinesh Manocha</x:v>
      </x:c>
      <x:c r="J256" s="22" t="n">
        <x:v>2024</x:v>
      </x:c>
      <x:c r="K256" s="27" t="str">
        <x:v>Large vision-language models (LVLMs) are prone to hallucinations, where certain contextual cues in an image can trigger the language module to produce overconfident and incorrect reasoning about abnormal or hypothetical objects. While some benchmarks have been developed to investigate LVLM hallucinations, they often rely on hand-crafted corner cases whose failure patterns may not generalize well. Additionally, fine-tuning on these examples could undermine their validity. To address this, we aim to scale up the number of cases through an automated approach, reducing human bias in crafting such corner cases. This motivates the development of AutoHallusion, the first automated benchmark generation approach that employs several key strategies to create a diverse range of hallucination examples. Our generated visual-question pairs pose significant challenges to LVLMs, requiring them to overcome contextual biases and distractions to arrive at correct answers. AutoHallusion enables us to create new benchmarks at the minimum cost and thus overcomes the fragility of hand-crafted benchmarks. It also reveals common failure patterns and reasons, providing key insights to detect, avoid, or control hallucinations. Comprehensive evaluations of top-tier LVLMs, e.g., GPT-4V(ision), Gemini Pro Vision, Claude 3, and LLaVA-1.5, show a 97.7% and 98.7% success rate of hallucination induction on synthetic and real-world datasets of AutoHallusion, paving the way for a long battle against hallucinations. The codebase and data can be accessed at https://github.com/wuxiyang1996/AutoHallusion.</x:v>
      </x:c>
      <x:c r="L256" s="17" t="str">
        <x:v>http://arxiv.org/abs/2406.10900v2</x:v>
      </x:c>
      <x:c r="M256" s="23" t="n">
        <x:v>0.016129032258064516</x:v>
      </x:c>
      <x:c r="N256" s="17" t="str">
        <x:v>arxiv-paper-eval-20260726-140242-results.jsonl</x:v>
      </x:c>
      <x:c r="O256" s="24" t="str">
        <x:v>2</x:v>
      </x:c>
      <x:c r="P256" s="28" t="str">
        <x:v>提出自动生成幻觉基准的方法，针对手工测试集泛化不足。</x:v>
      </x:c>
      <x:c r="Q256" s="25" t="str"/>
      <x:c r="R256" s="24" t="str">
        <x:f>IF(Q256&lt;&gt;"",Q256,O256)</x:f>
        <x:v>2</x:v>
      </x:c>
      <x:c r="S256" s="29" t="str"/>
    </x:row>
    <x:row r="257" ht="54" customHeight="1">
      <x:c r="A257" s="17" t="str">
        <x:v>csq013-r16</x:v>
      </x:c>
      <x:c r="B257" s="17" t="str">
        <x:v>csq013</x:v>
      </x:c>
      <x:c r="C257" s="17" t="str">
        <x:v>computer_vision</x:v>
      </x:c>
      <x:c r="D257" s="17" t="str">
        <x:v>vision_language_evaluation</x:v>
      </x:c>
      <x:c r="E257" s="27" t="str">
        <x:v>Which benchmarks and metrics have been proposed to evaluate hallucination in vision-language models, and what aspects of model behavior does each benchmark test?</x:v>
      </x:c>
      <x:c r="F257" s="22" t="n">
        <x:v>16</x:v>
      </x:c>
      <x:c r="G257" s="17" t="str">
        <x:v>arXiv:2402.03190</x:v>
      </x:c>
      <x:c r="H257" s="27" t="str">
        <x:v>Unified Hallucination Detection for Multimodal Large Language Models</x:v>
      </x:c>
      <x:c r="I257" s="17" t="str">
        <x:v>Xiang Chen; Chenxi Wang; Yida Xue; Ningyu Zhang; Xiaoyan Yang; Qiang Li; Yue Shen; Lei Liang; Jinjie Gu; Huajun Chen</x:v>
      </x:c>
      <x:c r="J257" s="22" t="n">
        <x:v>2024</x:v>
      </x:c>
      <x:c r="K257" s="27" t="str">
        <x:v>Despite significant strides in multimodal tasks, Multimodal Large Language Models (MLLMs) are plagued by the critical issue of hallucination. The reliable detection of such hallucinations in MLLMs has, therefore, become a vital aspect of model evaluation and the safeguarding of practical application deployment. Prior research in this domain has been constrained by a narrow focus on singular tasks, an inadequate range of hallucination categories addressed, and a lack of detailed granularity. In response to these challenges, our work expands the investigative horizons of hallucination detection. We present a novel meta-evaluation benchmark, MHaluBench, meticulously crafted to facilitate the evaluation of advancements in hallucination detection methods. Additionally, we unveil a novel unified multimodal hallucination detection framework, UNIHD, which leverages a suite of auxiliary tools to validate the occurrence of hallucinations robustly. We demonstrate the effectiveness of UNIHD through meticulous evaluation and comprehensive analysis. We also provide strategic insights on the application of specific tools for addressing various categories of hallucinations.</x:v>
      </x:c>
      <x:c r="L257" s="17" t="str">
        <x:v>http://arxiv.org/abs/2402.03190v4</x:v>
      </x:c>
      <x:c r="M257" s="23" t="n">
        <x:v>0.015873015873015872</x:v>
      </x:c>
      <x:c r="N257" s="17" t="str">
        <x:v>arxiv-paper-eval-20260726-140242-results.jsonl</x:v>
      </x:c>
      <x:c r="O257" s="24" t="str">
        <x:v>2</x:v>
      </x:c>
      <x:c r="P257" s="28" t="str">
        <x:v>提出多任务、多类别、细粒度的统一幻觉检测与评估框架。</x:v>
      </x:c>
      <x:c r="Q257" s="25" t="str"/>
      <x:c r="R257" s="24" t="str">
        <x:f>IF(Q257&lt;&gt;"",Q257,O257)</x:f>
        <x:v>2</x:v>
      </x:c>
      <x:c r="S257" s="29" t="str"/>
    </x:row>
    <x:row r="258" ht="54" customHeight="1">
      <x:c r="A258" s="17" t="str">
        <x:v>csq013-r17</x:v>
      </x:c>
      <x:c r="B258" s="17" t="str">
        <x:v>csq013</x:v>
      </x:c>
      <x:c r="C258" s="17" t="str">
        <x:v>computer_vision</x:v>
      </x:c>
      <x:c r="D258" s="17" t="str">
        <x:v>vision_language_evaluation</x:v>
      </x:c>
      <x:c r="E258" s="27" t="str">
        <x:v>Which benchmarks and metrics have been proposed to evaluate hallucination in vision-language models, and what aspects of model behavior does each benchmark test?</x:v>
      </x:c>
      <x:c r="F258" s="22" t="n">
        <x:v>17</x:v>
      </x:c>
      <x:c r="G258" s="17" t="str">
        <x:v>arXiv:2406.10185</x:v>
      </x:c>
      <x:c r="H258" s="27" t="str">
        <x:v>Detecting and Evaluating Medical Hallucinations in Large Vision Language Models</x:v>
      </x:c>
      <x:c r="I258" s="17" t="str">
        <x:v>Jiawei Chen; Dingkang Yang; Tong Wu; Yue Jiang; Xiaolu Hou; Mingcheng Li; Shunli Wang; Dongling Xiao; Ke Li; Lihua Zhang</x:v>
      </x:c>
      <x:c r="J258" s="22" t="n">
        <x:v>2024</x:v>
      </x:c>
      <x:c r="K258" s="27" t="str">
        <x:v>Large Vision Language Models (LVLMs) are increasingly integral to healthcare applications, including medical visual question answering and imaging report generation. While these models inherit the robust capabilities of foundational Large Language Models (LLMs), they also inherit susceptibility to hallucinations-a significant concern in high-stakes medical contexts where the margin for error is minimal. However, currently, there are no dedicated methods or benchmarks for hallucination detection and evaluation in the medical field. To bridge this gap, we introduce Med-HallMark, the first benchmark specifically designed for hallucination detection and evaluation within the medical multimodal domain. This benchmark provides multi-tasking hallucination support, multifaceted hallucination data, and hierarchical hallucination categorization. Furthermore, we propose the MediHall Score, a new medical evaluative metric designed to assess LVLMs' hallucinations through a hierarchical scoring system that considers the severity and type of hallucination, thereby enabling a granular assessment of potential clinical impacts. We also present MediHallDetector, a novel Medical LVLM engineered for precise hallucination detection, which employs multitask training for hallucination detection. Through extensive experimental evaluations, we establish baselines for popular LVLMs using our benchmark. The findings indicate that MediHall Score provides a more nuanced understanding of hallucination impacts compared to traditional metrics and demonstrate the enhanced performance of MediHallDetector. We hope this work can significantly improve the reliability of LVLMs in medical applications. All resources of this work have been released at https://github.com/ydk122024/Med-HallMark.</x:v>
      </x:c>
      <x:c r="L258" s="17" t="str">
        <x:v>http://arxiv.org/abs/2406.10185v2</x:v>
      </x:c>
      <x:c r="M258" s="23" t="n">
        <x:v>0.015625</x:v>
      </x:c>
      <x:c r="N258" s="17" t="str">
        <x:v>arxiv-paper-eval-20260726-140242-results.jsonl</x:v>
      </x:c>
      <x:c r="O258" s="24" t="str">
        <x:v>2</x:v>
      </x:c>
      <x:c r="P258" s="28" t="str">
        <x:v>针对医学LVLM提出专用幻觉检测方法或基准，直接覆盖高风险行为评估。</x:v>
      </x:c>
      <x:c r="Q258" s="25" t="str"/>
      <x:c r="R258" s="24" t="str">
        <x:f>IF(Q258&lt;&gt;"",Q258,O258)</x:f>
        <x:v>2</x:v>
      </x:c>
      <x:c r="S258" s="29" t="str"/>
    </x:row>
    <x:row r="259" ht="54" customHeight="1">
      <x:c r="A259" s="17" t="str">
        <x:v>csq013-r18</x:v>
      </x:c>
      <x:c r="B259" s="17" t="str">
        <x:v>csq013</x:v>
      </x:c>
      <x:c r="C259" s="17" t="str">
        <x:v>computer_vision</x:v>
      </x:c>
      <x:c r="D259" s="17" t="str">
        <x:v>vision_language_evaluation</x:v>
      </x:c>
      <x:c r="E259" s="27" t="str">
        <x:v>Which benchmarks and metrics have been proposed to evaluate hallucination in vision-language models, and what aspects of model behavior does each benchmark test?</x:v>
      </x:c>
      <x:c r="F259" s="22" t="n">
        <x:v>18</x:v>
      </x:c>
      <x:c r="G259" s="17" t="str">
        <x:v>arXiv:2510.18439</x:v>
      </x:c>
      <x:c r="H259" s="27" t="str">
        <x:v>Grounding or Guessing? Visual Signals for Detecting Hallucinations in Sign Language Translation</x:v>
      </x:c>
      <x:c r="I259" s="17" t="str">
        <x:v>Yasser Hamidullah; Koel Dutta Chowdhury; Yusser Al Ghussin; Shakib Yazdani; Cennet Oguz; Josef van Genabith; Cristina España-Bonet</x:v>
      </x:c>
      <x:c r="J259" s="22" t="n">
        <x:v>2025</x:v>
      </x:c>
      <x:c r="K259" s="27" t="str">
        <x:v>Hallucination, where models generate fluent text unsupported by visual evidence, remains a major flaw in vision-language models and is particularly critical in sign language translation (SLT). In SLT, meaning depends on precise grounding in video, and gloss-free models are especially vulnerable because they map continuous signer movements directly into natural language without intermediate gloss supervision that serves as alignment. We argue that hallucinations arise when models rely on language priors rather than visual input. To capture this, we propose a token-level reliability measure that quantifies how much the decoder uses visual information. Our method combines feature-based sensitivity, which measures internal changes when video is masked, with counterfactual signals, which capture probability differences between clean and altered video inputs. These signals are aggregated into a sentence-level reliability score, providing a compact and interpretable measure of visual grounding. We evaluate the proposed measure on two SLT benchmarks (PHOENIX-2014T and CSL-Daily) with both gloss-based and gloss-free models. Our results show that reliability predicts hallucination rates, generalizes across datasets and architectures, and decreases under visual degradations. Beyond these quantitative trends, we also find that reliability distinguishes grounded tokens from guessed ones, allowing risk estimation without references; when combined with text-based signals (confidence, perplexity, or entropy), it further improves hallucination risk estimation. Qualitative analysis highlights why gloss-free models are more susceptible to hallucinations. Taken together, our findings establish reliability as a practical and reusable tool for diagnosing hallucinations in SLT, and lay the groundwork for more robust hallucination detection in multimodal generation.</x:v>
      </x:c>
      <x:c r="L259" s="17" t="str">
        <x:v>http://arxiv.org/abs/2510.18439v3</x:v>
      </x:c>
      <x:c r="M259" s="23" t="n">
        <x:v>0.015384615384615385</x:v>
      </x:c>
      <x:c r="N259" s="17" t="str">
        <x:v>arxiv-paper-eval-20260726-140242-results.jsonl</x:v>
      </x:c>
      <x:c r="O259" s="24" t="str">
        <x:v>1</x:v>
      </x:c>
      <x:c r="P259" s="28" t="str">
        <x:v>分析手语翻译中的视觉证据幻觉和检测信号，是领域化检测研究。</x:v>
      </x:c>
      <x:c r="Q259" s="25" t="str"/>
      <x:c r="R259" s="24" t="str">
        <x:f>IF(Q259&lt;&gt;"",Q259,O259)</x:f>
        <x:v>1</x:v>
      </x:c>
      <x:c r="S259" s="29" t="str"/>
    </x:row>
    <x:row r="260" ht="54" customHeight="1">
      <x:c r="A260" s="17" t="str">
        <x:v>csq013-r19</x:v>
      </x:c>
      <x:c r="B260" s="17" t="str">
        <x:v>csq013</x:v>
      </x:c>
      <x:c r="C260" s="17" t="str">
        <x:v>computer_vision</x:v>
      </x:c>
      <x:c r="D260" s="17" t="str">
        <x:v>vision_language_evaluation</x:v>
      </x:c>
      <x:c r="E260" s="27" t="str">
        <x:v>Which benchmarks and metrics have been proposed to evaluate hallucination in vision-language models, and what aspects of model behavior does each benchmark test?</x:v>
      </x:c>
      <x:c r="F260" s="22" t="n">
        <x:v>19</x:v>
      </x:c>
      <x:c r="G260" s="17" t="str">
        <x:v>arXiv:2408.00555</x:v>
      </x:c>
      <x:c r="H260" s="27" t="str">
        <x:v>Alleviating Hallucination in Large Vision-Language Models with Active Retrieval Augmentation</x:v>
      </x:c>
      <x:c r="I260" s="17" t="str">
        <x:v>Xiaoye Qu; Qiyuan Chen; Wei Wei; Jishuo Sun; Jianfeng Dong</x:v>
      </x:c>
      <x:c r="J260" s="22" t="n">
        <x:v>2024</x:v>
      </x:c>
      <x:c r="K260" s="27" t="str">
        <x:v>Despite the remarkable ability of large vision-language models (LVLMs) in image comprehension, these models frequently generate plausible yet factually incorrect responses, a phenomenon known as hallucination.Recently, in large language models (LLMs), augmenting LLMs by retrieving information from external knowledge resources has been proven as a promising solution to mitigate hallucinations.However, the retrieval augmentation in LVLM significantly lags behind the widespread applications of LVLM. Moreover, when transferred to augmenting LVLMs, sometimes the hallucination degree of the model is even exacerbated.Motivated by the research gap and counter-intuitive phenomenon, we introduce a novel framework, the Active Retrieval-Augmented large vision-language model (ARA), specifically designed to address hallucinations by incorporating three critical dimensions: (i) dissecting the retrieval targets based on the inherent hierarchical structures of images. (ii) pinpointing the most effective retrieval methods and filtering out the reliable retrieval results. (iii) timing the retrieval process to coincide with episodes of low certainty, while circumventing unnecessary retrieval during periods of high certainty. To assess the capability of our proposed ARA model in reducing hallucination, we employ three widely used LVLM models (LLaVA-1.5, Qwen-VL, and mPLUG-Owl2) across four benchmarks. Our empirical observations suggest that by utilizing fitting retrieval mechanisms and timing the retrieval judiciously, we can effectively mitigate the hallucination problem. We hope that this study can provide deeper insights into how to adapt the retrieval augmentation to LVLMs for reducing hallucinations with more effective retrieval and minimal retrieval occurrences.</x:v>
      </x:c>
      <x:c r="L260" s="17" t="str">
        <x:v>http://arxiv.org/abs/2408.00555v1</x:v>
      </x:c>
      <x:c r="M260" s="23" t="n">
        <x:v>0.015384615384615385</x:v>
      </x:c>
      <x:c r="N260" s="17" t="str">
        <x:v>arxiv-paper-eval-20260726-140242-results.jsonl</x:v>
      </x:c>
      <x:c r="O260" s="24" t="str">
        <x:v>0</x:v>
      </x:c>
      <x:c r="P260" s="28" t="str">
        <x:v>核心是主动检索增强以缓解幻觉，未提出或分析评测基准与指标。</x:v>
      </x:c>
      <x:c r="Q260" s="25" t="str"/>
      <x:c r="R260" s="24" t="str">
        <x:f>IF(Q260&lt;&gt;"",Q260,O260)</x:f>
        <x:v>0</x:v>
      </x:c>
      <x:c r="S260" s="29" t="str"/>
    </x:row>
    <x:row r="261" ht="54" customHeight="1">
      <x:c r="A261" s="17" t="str">
        <x:v>csq013-r20</x:v>
      </x:c>
      <x:c r="B261" s="17" t="str">
        <x:v>csq013</x:v>
      </x:c>
      <x:c r="C261" s="17" t="str">
        <x:v>computer_vision</x:v>
      </x:c>
      <x:c r="D261" s="17" t="str">
        <x:v>vision_language_evaluation</x:v>
      </x:c>
      <x:c r="E261" s="27" t="str">
        <x:v>Which benchmarks and metrics have been proposed to evaluate hallucination in vision-language models, and what aspects of model behavior does each benchmark test?</x:v>
      </x:c>
      <x:c r="F261" s="22" t="n">
        <x:v>20</x:v>
      </x:c>
      <x:c r="G261" s="17" t="str">
        <x:v>arXiv:2310.00754</x:v>
      </x:c>
      <x:c r="H261" s="27" t="str">
        <x:v>Analyzing and Mitigating Object Hallucination in Large Vision-Language Models</x:v>
      </x:c>
      <x:c r="I261" s="17" t="str">
        <x:v>Yiyang Zhou; Chenhang Cui; Jaehong Yoon; Linjun Zhang; Zhun Deng; Chelsea Finn; Mohit Bansal; Huaxiu Yao</x:v>
      </x:c>
      <x:c r="J261" s="22" t="n">
        <x:v>2023</x:v>
      </x:c>
      <x:c r="K261" s="27" t="str">
        <x:v>Large vision-language models (LVLMs) have shown remarkable abilities in understanding visual information with human languages. However, LVLMs still suffer from object hallucination, which is the problem of generating descriptions that include objects that do not actually exist in the images. This can negatively impact many vision-language tasks, such as visual summarization and reasoning. To address this issue, we propose a simple yet powerful algorithm, LVLM Hallucination Revisor (LURE), to post-hoc rectify object hallucination in LVLMs by reconstructing less hallucinatory descriptions. LURE is grounded in a rigorous statistical analysis of the key factors underlying object hallucination, including co-occurrence (the frequent appearance of certain objects alongside others in images), uncertainty (objects with higher uncertainty during LVLM decoding), and object position (hallucination often appears in the later part of the generated text). LURE can also be seamlessly integrated with any LVLMs. We evaluate LURE on six open-source LVLMs, achieving a 23% improvement in general object hallucination evaluation metrics over the previous best approach. In both GPT and human evaluations, LURE consistently ranks at the top. Our data and code are available at https://github.com/YiyangZhou/LURE.</x:v>
      </x:c>
      <x:c r="L261" s="17" t="str">
        <x:v>http://arxiv.org/abs/2310.00754v2</x:v>
      </x:c>
      <x:c r="M261" s="23" t="n">
        <x:v>0.015384615384615385</x:v>
      </x:c>
      <x:c r="N261" s="17" t="str">
        <x:v>arxiv-paper-eval-20260726-140242-results.jsonl</x:v>
      </x:c>
      <x:c r="O261" s="24" t="str">
        <x:v>1</x:v>
      </x:c>
      <x:c r="P261" s="28" t="str">
        <x:v>统计分析对象幻觉并提出后处理缓解方法，可提供评估背景但非基准论文。</x:v>
      </x:c>
      <x:c r="Q261" s="25" t="str"/>
      <x:c r="R261" s="24" t="str">
        <x:f>IF(Q261&lt;&gt;"",Q261,O261)</x:f>
        <x:v>1</x:v>
      </x:c>
      <x:c r="S261" s="29" t="str"/>
    </x:row>
    <x:row r="262" ht="54" customHeight="1">
      <x:c r="A262" s="17" t="str">
        <x:v>csq014-r01</x:v>
      </x:c>
      <x:c r="B262" s="17" t="str">
        <x:v>csq014</x:v>
      </x:c>
      <x:c r="C262" s="17" t="str">
        <x:v>computer_vision</x:v>
      </x:c>
      <x:c r="D262" s="17" t="str">
        <x:v>adversarial_robustness</x:v>
      </x:c>
      <x:c r="E262" s="27" t="str">
        <x:v>What limitations of adversarial training as a defense for image classifiers have been established, particularly regarding accuracy, computational cost, and generalization to unseen attacks?</x:v>
      </x:c>
      <x:c r="F262" s="22" t="n">
        <x:v>1</x:v>
      </x:c>
      <x:c r="G262" s="17" t="str">
        <x:v>arXiv:1912.11969</x:v>
      </x:c>
      <x:c r="H262" s="27" t="str">
        <x:v>Efficient Adversarial Training with Transferable Adversarial Examples</x:v>
      </x:c>
      <x:c r="I262" s="17" t="str">
        <x:v>Haizhong Zheng; Ziqi Zhang; Juncheng Gu; Honglak Lee; Atul Prakash</x:v>
      </x:c>
      <x:c r="J262" s="22" t="n">
        <x:v>2019</x:v>
      </x:c>
      <x:c r="K262" s="27" t="str">
        <x:v>Adversarial training is an effective defense method to protect classification models against adversarial attacks. However, one limitation of this approach is that it can require orders of magnitude additional training time due to high cost of generating strong adversarial examples during training. In this paper, we first show that there is high transferability between models from neighboring epochs in the same training process, i.e., adversarial examples from one epoch continue to be adversarial in subsequent epochs. Leveraging this property, we propose a novel method, Adversarial Training with Transferable Adversarial Examples (ATTA), that can enhance the robustness of trained models and greatly improve the training efficiency by accumulating adversarial perturbations through epochs. Compared to state-of-the-art adversarial training methods, ATTA enhances adversarial accuracy by up to 7.2% on CIFAR10 and requires 12~14x less training time on MNIST and CIFAR10 datasets with comparable model robustness.</x:v>
      </x:c>
      <x:c r="L262" s="17" t="str">
        <x:v>http://arxiv.org/abs/1912.11969v2</x:v>
      </x:c>
      <x:c r="M262" s="23" t="n">
        <x:v>0.032266458495966696</x:v>
      </x:c>
      <x:c r="N262" s="17" t="str">
        <x:v>arxiv-paper-eval-20260726-140242-results.jsonl</x:v>
      </x:c>
      <x:c r="O262" s="24" t="str">
        <x:v>2</x:v>
      </x:c>
      <x:c r="P262" s="28" t="str">
        <x:v>明确指出强对抗样本生成导致训练时间高出多个数量级，并提出复用方案。</x:v>
      </x:c>
      <x:c r="Q262" s="25" t="str"/>
      <x:c r="R262" s="24" t="str">
        <x:f>IF(Q262&lt;&gt;"",Q262,O262)</x:f>
        <x:v>2</x:v>
      </x:c>
      <x:c r="S262" s="29" t="str"/>
    </x:row>
    <x:row r="263" ht="54" customHeight="1">
      <x:c r="A263" s="17" t="str">
        <x:v>csq014-r02</x:v>
      </x:c>
      <x:c r="B263" s="17" t="str">
        <x:v>csq014</x:v>
      </x:c>
      <x:c r="C263" s="17" t="str">
        <x:v>computer_vision</x:v>
      </x:c>
      <x:c r="D263" s="17" t="str">
        <x:v>adversarial_robustness</x:v>
      </x:c>
      <x:c r="E263" s="27" t="str">
        <x:v>What limitations of adversarial training as a defense for image classifiers have been established, particularly regarding accuracy, computational cost, and generalization to unseen attacks?</x:v>
      </x:c>
      <x:c r="F263" s="22" t="n">
        <x:v>2</x:v>
      </x:c>
      <x:c r="G263" s="17" t="str">
        <x:v>arXiv:2012.12368</x:v>
      </x:c>
      <x:c r="H263" s="27" t="str">
        <x:v>Understanding and Increasing Efficiency of Frank-Wolfe Adversarial Training</x:v>
      </x:c>
      <x:c r="I263" s="17" t="str">
        <x:v>Theodoros Tsiligkaridis; Jay Roberts</x:v>
      </x:c>
      <x:c r="J263" s="22" t="n">
        <x:v>2020</x:v>
      </x:c>
      <x:c r="K263" s="27" t="str">
        <x:v>Deep neural networks are easily fooled by small perturbations known as adversarial attacks. Adversarial Training (AT) is a technique that approximately solves a robust optimization problem to minimize the worst-case loss and is widely regarded as the most effective defense. Due to the high computation time for generating strong adversarial examples in the AT process, single-step approaches have been proposed to reduce training time. However, these methods suffer from catastrophic overfitting where adversarial accuracy drops during training, and although improvements have been proposed, they increase training time and robustness is far from that of multi-step AT. We develop a theoretical framework for adversarial training with FW optimization (FW-AT) that reveals a geometric connection between the loss landscape and the $\ell_2$ distortion of $\ell_\infty$ FW attacks. We analytically show that high distortion of FW attacks is equivalent to small gradient variation along the attack path. It is then experimentally demonstrated on various deep neural network architectures that $\ell_\infty$ attacks against robust models achieve near maximal distortion, while standard networks have lower distortion. It is experimentally shown that catastrophic overfitting is strongly correlated with low distortion of FW attacks. This mathematical transparency differentiates FW from Projected Gradient Descent (PGD) optimization. To demonstrate the utility of our theoretical framework we develop FW-AT-Adapt, a novel adversarial training algorithm which uses a simple distortion measure to adapt the number of attack steps during training to increase efficiency without compromising robustness. FW-AT-Adapt provides training time on par with single-step fast AT methods and closes the gap between fast AT methods and multi-step PGD-AT with minimal loss in adversarial accuracy in white-box and black-box settings.</x:v>
      </x:c>
      <x:c r="L263" s="17" t="str">
        <x:v>http://arxiv.org/abs/2012.12368v5</x:v>
      </x:c>
      <x:c r="M263" s="23" t="n">
        <x:v>0.029910714285714284</x:v>
      </x:c>
      <x:c r="N263" s="17" t="str">
        <x:v>arxiv-paper-eval-20260726-140242-results.jsonl</x:v>
      </x:c>
      <x:c r="O263" s="24" t="str">
        <x:v>2</x:v>
      </x:c>
      <x:c r="P263" s="28" t="str">
        <x:v>直接讨论高计算成本以及单步训练的灾难性过拟合和鲁棒性不足。</x:v>
      </x:c>
      <x:c r="Q263" s="25" t="str"/>
      <x:c r="R263" s="24" t="str">
        <x:f>IF(Q263&lt;&gt;"",Q263,O263)</x:f>
        <x:v>2</x:v>
      </x:c>
      <x:c r="S263" s="29" t="str"/>
    </x:row>
    <x:row r="264" ht="54" customHeight="1">
      <x:c r="A264" s="17" t="str">
        <x:v>csq014-r03</x:v>
      </x:c>
      <x:c r="B264" s="17" t="str">
        <x:v>csq014</x:v>
      </x:c>
      <x:c r="C264" s="17" t="str">
        <x:v>computer_vision</x:v>
      </x:c>
      <x:c r="D264" s="17" t="str">
        <x:v>adversarial_robustness</x:v>
      </x:c>
      <x:c r="E264" s="27" t="str">
        <x:v>What limitations of adversarial training as a defense for image classifiers have been established, particularly regarding accuracy, computational cost, and generalization to unseen attacks?</x:v>
      </x:c>
      <x:c r="F264" s="22" t="n">
        <x:v>3</x:v>
      </x:c>
      <x:c r="G264" s="17" t="str">
        <x:v>arXiv:2207.10498</x:v>
      </x:c>
      <x:c r="H264" s="27" t="str">
        <x:v>Towards Efficient Adversarial Training on Vision Transformers</x:v>
      </x:c>
      <x:c r="I264" s="17" t="str">
        <x:v>Boxi Wu; Jindong Gu; Zhifeng Li; Deng Cai; Xiaofei He; Wei Liu</x:v>
      </x:c>
      <x:c r="J264" s="22" t="n">
        <x:v>2022</x:v>
      </x:c>
      <x:c r="K264" s="27" t="str">
        <x:v>Vision Transformer (ViT), as a powerful alternative to Convolutional Neural Network (CNN), has received much attention. Recent work showed that ViTs are also vulnerable to adversarial examples like CNNs. To build robust ViTs, an intuitive way is to apply adversarial training since it has been shown as one of the most effective ways to accomplish robust CNNs. However, one major limitation of adversarial training is its heavy computational cost. The self-attention mechanism adopted by ViTs is a computationally intense operation whose expense increases quadratically with the number of input patches, making adversarial training on ViTs even more time-consuming. In this work, we first comprehensively study fast adversarial training on a variety of vision transformers and illustrate the relationship between the efficiency and robustness. Then, to expediate adversarial training on ViTs, we propose an efficient Attention Guided Adversarial Training mechanism. Specifically, relying on the specialty of self-attention, we actively remove certain patch embeddings of each layer with an attention-guided dropping strategy during adversarial training. The slimmed self-attention modules accelerate the adversarial training on ViTs significantly. With only 65\% of the fast adversarial training time, we match the state-of-the-art results on the challenging ImageNet benchmark.</x:v>
      </x:c>
      <x:c r="L264" s="17" t="str">
        <x:v>http://arxiv.org/abs/2207.10498v1</x:v>
      </x:c>
      <x:c r="M264" s="23" t="n">
        <x:v>0.029827662395050816</x:v>
      </x:c>
      <x:c r="N264" s="17" t="str">
        <x:v>arxiv-paper-eval-20260726-140242-results.jsonl</x:v>
      </x:c>
      <x:c r="O264" s="24" t="str">
        <x:v>2</x:v>
      </x:c>
      <x:c r="P264" s="28" t="str">
        <x:v>明确分析ViT对抗训练因自注意力而产生的更重计算成本。</x:v>
      </x:c>
      <x:c r="Q264" s="25" t="str"/>
      <x:c r="R264" s="24" t="str">
        <x:f>IF(Q264&lt;&gt;"",Q264,O264)</x:f>
        <x:v>2</x:v>
      </x:c>
      <x:c r="S264" s="29" t="str"/>
    </x:row>
    <x:row r="265" ht="54" customHeight="1">
      <x:c r="A265" s="17" t="str">
        <x:v>csq014-r04</x:v>
      </x:c>
      <x:c r="B265" s="17" t="str">
        <x:v>csq014</x:v>
      </x:c>
      <x:c r="C265" s="17" t="str">
        <x:v>computer_vision</x:v>
      </x:c>
      <x:c r="D265" s="17" t="str">
        <x:v>adversarial_robustness</x:v>
      </x:c>
      <x:c r="E265" s="27" t="str">
        <x:v>What limitations of adversarial training as a defense for image classifiers have been established, particularly regarding accuracy, computational cost, and generalization to unseen attacks?</x:v>
      </x:c>
      <x:c r="F265" s="22" t="n">
        <x:v>4</x:v>
      </x:c>
      <x:c r="G265" s="17" t="str">
        <x:v>arXiv:2312.16339</x:v>
      </x:c>
      <x:c r="H265" s="27" t="str">
        <x:v>Universal Pyramid Adversarial Training for Improved ViT Performance</x:v>
      </x:c>
      <x:c r="I265" s="17" t="str">
        <x:v>Ping-yeh Chiang; Yipin Zhou; Omid Poursaeed; Satya Narayan Shukla; Ashish Shah; Tom Goldstein; Ser-Nam Lim</x:v>
      </x:c>
      <x:c r="J265" s="22" t="n">
        <x:v>2023</x:v>
      </x:c>
      <x:c r="K265" s="27" t="str">
        <x:v>Recently, Pyramid Adversarial training (Herrmann et al., 2022) has been shown to be very effective for improving clean accuracy and distribution-shift robustness of vision transformers. However, due to the iterative nature of adversarial training, the technique is up to 7 times more expensive than standard training. To make the method more efficient, we propose Universal Pyramid Adversarial training, where we learn a single pyramid adversarial pattern shared across the whole dataset instead of the sample-wise patterns. With our proposed technique, we decrease the computational cost of Pyramid Adversarial training by up to 70% while retaining the majority of its benefit on clean performance and distribution-shift robustness. In addition, to the best of our knowledge, we are also the first to find that universal adversarial training can be leveraged to improve clean model performance.</x:v>
      </x:c>
      <x:c r="L265" s="17" t="str">
        <x:v>http://arxiv.org/abs/2312.16339v1</x:v>
      </x:c>
      <x:c r="M265" s="23" t="n">
        <x:v>0.029631255487269532</x:v>
      </x:c>
      <x:c r="N265" s="17" t="str">
        <x:v>arxiv-paper-eval-20260726-140242-results.jsonl</x:v>
      </x:c>
      <x:c r="O265" s="24" t="str">
        <x:v>2</x:v>
      </x:c>
      <x:c r="P265" s="28" t="str">
        <x:v>量化金字塔对抗训练相对标准训练最高七倍的成本并研究降本。</x:v>
      </x:c>
      <x:c r="Q265" s="25" t="str"/>
      <x:c r="R265" s="24" t="str">
        <x:f>IF(Q265&lt;&gt;"",Q265,O265)</x:f>
        <x:v>2</x:v>
      </x:c>
      <x:c r="S265" s="29" t="str"/>
    </x:row>
    <x:row r="266" ht="54" customHeight="1">
      <x:c r="A266" s="17" t="str">
        <x:v>csq014-r05</x:v>
      </x:c>
      <x:c r="B266" s="17" t="str">
        <x:v>csq014</x:v>
      </x:c>
      <x:c r="C266" s="17" t="str">
        <x:v>computer_vision</x:v>
      </x:c>
      <x:c r="D266" s="17" t="str">
        <x:v>adversarial_robustness</x:v>
      </x:c>
      <x:c r="E266" s="27" t="str">
        <x:v>What limitations of adversarial training as a defense for image classifiers have been established, particularly regarding accuracy, computational cost, and generalization to unseen attacks?</x:v>
      </x:c>
      <x:c r="F266" s="22" t="n">
        <x:v>5</x:v>
      </x:c>
      <x:c r="G266" s="17" t="str">
        <x:v>arXiv:1905.00877</x:v>
      </x:c>
      <x:c r="H266" s="27" t="str">
        <x:v>You Only Propagate Once: Accelerating Adversarial Training via Maximal Principle</x:v>
      </x:c>
      <x:c r="I266" s="17" t="str">
        <x:v>Dinghuai Zhang; Tianyuan Zhang; Yiping Lu; Zhanxing Zhu; Bin Dong</x:v>
      </x:c>
      <x:c r="J266" s="22" t="n">
        <x:v>2019</x:v>
      </x:c>
      <x:c r="K266" s="27" t="str">
        <x:v>Deep learning achieves state-of-the-art results in many tasks in computer vision and natural language processing. However, recent works have shown that deep networks can be vulnerable to adversarial perturbations, which raised a serious robustness issue of deep networks. Adversarial training, typically formulated as a robust optimization problem, is an effective way of improving the robustness of deep networks. A major drawback of existing adversarial training algorithms is the computational overhead of the generation of adversarial examples, typically far greater than that of the network training. This leads to the unbearable overall computational cost of adversarial training. In this paper, we show that adversarial training can be cast as a discrete time differential game. Through analyzing the Pontryagin's Maximal Principle (PMP) of the problem, we observe that the adversary update is only coupled with the parameters of the first layer of the network. This inspires us to restrict most of the forward and back propagation within the first layer of the network during adversary updates. This effectively reduces the total number of full forward and backward propagation to only one for each group of adversary updates. Therefore, we refer to this algorithm YOPO (You Only Propagate Once). Numerical experiments demonstrate that YOPO can achieve comparable defense accuracy with approximately 1/5 ~ 1/4 GPU time of the projected gradient descent (PGD) algorithm. Our codes are available at https://https://github.com/a1600012888/YOPO-You-Only-Propagate-Once.</x:v>
      </x:c>
      <x:c r="L266" s="17" t="str">
        <x:v>http://arxiv.org/abs/1905.00877v6</x:v>
      </x:c>
      <x:c r="M266" s="23" t="n">
        <x:v>0.029206349206349208</x:v>
      </x:c>
      <x:c r="N266" s="17" t="str">
        <x:v>arxiv-paper-eval-20260726-140242-results.jsonl</x:v>
      </x:c>
      <x:c r="O266" s="24" t="str">
        <x:v>2</x:v>
      </x:c>
      <x:c r="P266" s="28" t="str">
        <x:v>直接以生成对抗样本的巨大计算开销为主要局限。</x:v>
      </x:c>
      <x:c r="Q266" s="25" t="str"/>
      <x:c r="R266" s="24" t="str">
        <x:f>IF(Q266&lt;&gt;"",Q266,O266)</x:f>
        <x:v>2</x:v>
      </x:c>
      <x:c r="S266" s="29" t="str"/>
    </x:row>
    <x:row r="267" ht="54" customHeight="1">
      <x:c r="A267" s="17" t="str">
        <x:v>csq014-r06</x:v>
      </x:c>
      <x:c r="B267" s="17" t="str">
        <x:v>csq014</x:v>
      </x:c>
      <x:c r="C267" s="17" t="str">
        <x:v>computer_vision</x:v>
      </x:c>
      <x:c r="D267" s="17" t="str">
        <x:v>adversarial_robustness</x:v>
      </x:c>
      <x:c r="E267" s="27" t="str">
        <x:v>What limitations of adversarial training as a defense for image classifiers have been established, particularly regarding accuracy, computational cost, and generalization to unseen attacks?</x:v>
      </x:c>
      <x:c r="F267" s="22" t="n">
        <x:v>6</x:v>
      </x:c>
      <x:c r="G267" s="17" t="str">
        <x:v>arXiv:1810.00740</x:v>
      </x:c>
      <x:c r="H267" s="27" t="str">
        <x:v>Improving the Generalization of Adversarial Training with Domain Adaptation</x:v>
      </x:c>
      <x:c r="I267" s="17" t="str">
        <x:v>Chuanbiao Song; Kun He; Liwei Wang; John E. Hopcroft</x:v>
      </x:c>
      <x:c r="J267" s="22" t="n">
        <x:v>2018</x:v>
      </x:c>
      <x:c r="K267" s="27" t="str">
        <x:v>By injecting adversarial examples into training data, adversarial training is promising for improving the robustness of deep learning models. However, most existing adversarial training approaches are based on a specific type of adversarial attack. It may not provide sufficiently representative samples from the adversarial domain, leading to a weak generalization ability on adversarial examples from other attacks. Moreover, during the adversarial training, adversarial perturbations on inputs are usually crafted by fast single-step adversaries so as to scale to large datasets. This work is mainly focused on the adversarial training yet efficient FGSM adversary. In this scenario, it is difficult to train a model with great generalization due to the lack of representative adversarial samples, aka the samples are unable to accurately reflect the adversarial domain. To alleviate this problem, we propose a novel Adversarial Training with Domain Adaptation (ATDA) method. Our intuition is to regard the adversarial training on FGSM adversary as a domain adaption task with limited number of target domain samples. The main idea is to learn a representation that is semantically meaningful and domain invariant on the clean domain as well as the adversarial domain. Empirical evaluations on Fashion-MNIST, SVHN, CIFAR-10 and CIFAR-100 demonstrate that ATDA can greatly improve the generalization of adversarial training and the smoothness of the learned models, and outperforms state-of-the-art methods on standard benchmark datasets. To show the transfer ability of our method, we also extend ATDA to the adversarial training on iterative attacks such as PGD-Adversial Training (PAT) and the defense performance is improved considerably.</x:v>
      </x:c>
      <x:c r="L267" s="17" t="str">
        <x:v>http://arxiv.org/abs/1810.00740v7</x:v>
      </x:c>
      <x:c r="M267" s="23" t="n">
        <x:v>0.028814262023217248</x:v>
      </x:c>
      <x:c r="N267" s="17" t="str">
        <x:v>arxiv-paper-eval-20260726-140242-results.jsonl</x:v>
      </x:c>
      <x:c r="O267" s="24" t="str">
        <x:v>2</x:v>
      </x:c>
      <x:c r="P267" s="28" t="str">
        <x:v>明确指出针对单一攻击训练会削弱对其他攻击的泛化能力。</x:v>
      </x:c>
      <x:c r="Q267" s="25" t="str"/>
      <x:c r="R267" s="24" t="str">
        <x:f>IF(Q267&lt;&gt;"",Q267,O267)</x:f>
        <x:v>2</x:v>
      </x:c>
      <x:c r="S267" s="29" t="str"/>
    </x:row>
    <x:row r="268" ht="54" customHeight="1">
      <x:c r="A268" s="17" t="str">
        <x:v>csq014-r07</x:v>
      </x:c>
      <x:c r="B268" s="17" t="str">
        <x:v>csq014</x:v>
      </x:c>
      <x:c r="C268" s="17" t="str">
        <x:v>computer_vision</x:v>
      </x:c>
      <x:c r="D268" s="17" t="str">
        <x:v>adversarial_robustness</x:v>
      </x:c>
      <x:c r="E268" s="27" t="str">
        <x:v>What limitations of adversarial training as a defense for image classifiers have been established, particularly regarding accuracy, computational cost, and generalization to unseen attacks?</x:v>
      </x:c>
      <x:c r="F268" s="22" t="n">
        <x:v>7</x:v>
      </x:c>
      <x:c r="G268" s="17" t="str">
        <x:v>arXiv:2412.02270</x:v>
      </x:c>
      <x:c r="H268" s="27" t="str">
        <x:v>Sustainable Self-evolution Adversarial Training</x:v>
      </x:c>
      <x:c r="I268" s="17" t="str">
        <x:v>Wenxuan Wang; Chenglei Wang; Huihui Qi; Menghao Ye; Xuelin Qian; Peng Wang; Yanning Zhang</x:v>
      </x:c>
      <x:c r="J268" s="22" t="n">
        <x:v>2024</x:v>
      </x:c>
      <x:c r="K268" s="27" t="str">
        <x:v>With the wide application of deep neural network models in various computer vision tasks, there has been a proliferation of adversarial example generation strategies aimed at deeply exploring model security. However, existing adversarial training defense models, which rely on single or limited types of attacks under a one-time learning process, struggle to adapt to the dynamic and evolving nature of attack methods. Therefore, to achieve defense performance improvements for models in long-term applications, we propose a novel Sustainable Self-Evolution Adversarial Training (SSEAT) framework. Specifically, we introduce a continual adversarial defense pipeline to realize learning from various kinds of adversarial examples across multiple stages. Additionally, to address the issue of model catastrophic forgetting caused by continual learning from ongoing novel attacks, we propose an adversarial data replay module to better select more diverse and key relearning data. Furthermore, we design a consistency regularization strategy to encourage current defense models to learn more from previously trained ones, guiding them to retain more past knowledge and maintain accuracy on clean samples. Extensive experiments have been conducted to verify the efficacy of the proposed SSEAT defense method, which demonstrates superior defense performance and classification accuracy compared to competitors.Code is available at https://github.com/aup520/SSEAT</x:v>
      </x:c>
      <x:c r="L268" s="17" t="str">
        <x:v>http://arxiv.org/abs/2412.02270v2</x:v>
      </x:c>
      <x:c r="M268" s="23" t="n">
        <x:v>0.028665028665028666</x:v>
      </x:c>
      <x:c r="N268" s="17" t="str">
        <x:v>arxiv-paper-eval-20260726-140242-results.jsonl</x:v>
      </x:c>
      <x:c r="O268" s="24" t="str">
        <x:v>2</x:v>
      </x:c>
      <x:c r="P268" s="28" t="str">
        <x:v>指出有限攻击和一次性学习难以适应持续演化的新攻击。</x:v>
      </x:c>
      <x:c r="Q268" s="25" t="str"/>
      <x:c r="R268" s="24" t="str">
        <x:f>IF(Q268&lt;&gt;"",Q268,O268)</x:f>
        <x:v>2</x:v>
      </x:c>
      <x:c r="S268" s="29" t="str"/>
    </x:row>
    <x:row r="269" ht="54" customHeight="1">
      <x:c r="A269" s="17" t="str">
        <x:v>csq014-r08</x:v>
      </x:c>
      <x:c r="B269" s="17" t="str">
        <x:v>csq014</x:v>
      </x:c>
      <x:c r="C269" s="17" t="str">
        <x:v>computer_vision</x:v>
      </x:c>
      <x:c r="D269" s="17" t="str">
        <x:v>adversarial_robustness</x:v>
      </x:c>
      <x:c r="E269" s="27" t="str">
        <x:v>What limitations of adversarial training as a defense for image classifiers have been established, particularly regarding accuracy, computational cost, and generalization to unseen attacks?</x:v>
      </x:c>
      <x:c r="F269" s="22" t="n">
        <x:v>8</x:v>
      </x:c>
      <x:c r="G269" s="17" t="str">
        <x:v>arXiv:2403.05030</x:v>
      </x:c>
      <x:c r="H269" s="27" t="str">
        <x:v>Defending Against Unforeseen Failure Modes with Latent Adversarial Training</x:v>
      </x:c>
      <x:c r="I269" s="17" t="str">
        <x:v>Stephen Casper; Lennart Schulze; Oam Patel; Dylan Hadfield-Menell</x:v>
      </x:c>
      <x:c r="J269" s="22" t="n">
        <x:v>2024</x:v>
      </x:c>
      <x:c r="K269" s="27" t="str">
        <x:v>Despite extensive diagnostics and debugging by developers, AI systems sometimes exhibit harmful unintended behaviors. Finding and fixing these is challenging because the attack surface is so large -- it is not tractable to exhaustively search for inputs that may elicit harmful behaviors. Red-teaming and adversarial training (AT) are commonly used to improve robustness, however, they empirically struggle to fix failure modes that differ from the attacks used during training. In this work, we utilize latent adversarial training (LAT) to defend against vulnerabilities without leveraging knowledge of what they are or using inputs that elicit them. LAT makes use of the compressed, abstract, and structured latent representations of concepts that the network actually uses for prediction. Here, we use it to defend against failure modes without examples that elicit them. Specifically, we use LAT to remove backdoors and defend against held-out classes of adversarial attacks. We show in image classification, text classification, and text generation tasks that LAT usually improves both robustness to novel attacks and performance on clean data relative to AT. This suggests that LAT can be a promising tool for defending against failure modes that are not explicitly identified by developers.</x:v>
      </x:c>
      <x:c r="L269" s="17" t="str">
        <x:v>http://arxiv.org/abs/2403.05030v6</x:v>
      </x:c>
      <x:c r="M269" s="23" t="n">
        <x:v>0.01639344262295082</x:v>
      </x:c>
      <x:c r="N269" s="17" t="str">
        <x:v>arxiv-paper-eval-20260726-140242-results.jsonl</x:v>
      </x:c>
      <x:c r="O269" s="24" t="str">
        <x:v>1</x:v>
      </x:c>
      <x:c r="P269" s="28" t="str">
        <x:v>说明对抗训练难以修复训练攻击之外的失效模式，但对象不限于图像分类器。</x:v>
      </x:c>
      <x:c r="Q269" s="25" t="str"/>
      <x:c r="R269" s="24" t="str">
        <x:f>IF(Q269&lt;&gt;"",Q269,O269)</x:f>
        <x:v>1</x:v>
      </x:c>
      <x:c r="S269" s="29" t="str"/>
    </x:row>
    <x:row r="270" ht="54" customHeight="1">
      <x:c r="A270" s="17" t="str">
        <x:v>csq014-r09</x:v>
      </x:c>
      <x:c r="B270" s="17" t="str">
        <x:v>csq014</x:v>
      </x:c>
      <x:c r="C270" s="17" t="str">
        <x:v>computer_vision</x:v>
      </x:c>
      <x:c r="D270" s="17" t="str">
        <x:v>adversarial_robustness</x:v>
      </x:c>
      <x:c r="E270" s="27" t="str">
        <x:v>What limitations of adversarial training as a defense for image classifiers have been established, particularly regarding accuracy, computational cost, and generalization to unseen attacks?</x:v>
      </x:c>
      <x:c r="F270" s="22" t="n">
        <x:v>9</x:v>
      </x:c>
      <x:c r="G270" s="17" t="str">
        <x:v>arXiv:2205.14230</x:v>
      </x:c>
      <x:c r="H270" s="27" t="str">
        <x:v>Semi-supervised Semantics-guided Adversarial Training for Trajectory Prediction</x:v>
      </x:c>
      <x:c r="I270" s="17" t="str">
        <x:v>Ruochen Jiao; Xiangguo Liu; Takami Sato; Qi Alfred Chen; Qi Zhu</x:v>
      </x:c>
      <x:c r="J270" s="22" t="n">
        <x:v>2022</x:v>
      </x:c>
      <x:c r="K270" s="27" t="str">
        <x:v>Predicting the trajectories of surrounding objects is a critical task for self-driving vehicles and many other autonomous systems. Recent works demonstrate that adversarial attacks on trajectory prediction, where small crafted perturbations are introduced to history trajectories, may significantly mislead the prediction of future trajectories and induce unsafe planning. However, few works have addressed enhancing the robustness of this important safety-critical task.In this paper, we present a novel adversarial training method for trajectory prediction. Compared with typical adversarial training on image tasks, our work is challenged by more random input with rich context and a lack of class labels. To address these challenges, we propose a method based on a semi-supervised adversarial autoencoder, which models disentangled semantic features with domain knowledge and provides additional latent labels for the adversarial training. Extensive experiments with different types of attacks demonstrate that our Semisupervised Semantics-guided Adversarial Training (SSAT) method can effectively mitigate the impact of adversarial attacks by up to 73% and outperform other popular defense methods. In addition, experiments show that our method can significantly improve the system's robust generalization to unseen patterns of attacks. We believe that such semantics-guided architecture and advancement on robust generalization is an important step for developing robust prediction models and enabling safe decision-making.</x:v>
      </x:c>
      <x:c r="L270" s="17" t="str">
        <x:v>http://arxiv.org/abs/2205.14230v2</x:v>
      </x:c>
      <x:c r="M270" s="23" t="n">
        <x:v>0.01639344262295082</x:v>
      </x:c>
      <x:c r="N270" s="17" t="str">
        <x:v>arxiv-paper-eval-20260726-140242-results.jsonl</x:v>
      </x:c>
      <x:c r="O270" s="24" t="str">
        <x:v>0</x:v>
      </x:c>
      <x:c r="P270" s="28" t="str">
        <x:v>研究轨迹预测的对抗训练，不属于图像分类器防御。</x:v>
      </x:c>
      <x:c r="Q270" s="25" t="str"/>
      <x:c r="R270" s="24" t="str">
        <x:f>IF(Q270&lt;&gt;"",Q270,O270)</x:f>
        <x:v>0</x:v>
      </x:c>
      <x:c r="S270" s="29" t="str"/>
    </x:row>
    <x:row r="271" ht="54" customHeight="1">
      <x:c r="A271" s="17" t="str">
        <x:v>csq014-r10</x:v>
      </x:c>
      <x:c r="B271" s="17" t="str">
        <x:v>csq014</x:v>
      </x:c>
      <x:c r="C271" s="17" t="str">
        <x:v>computer_vision</x:v>
      </x:c>
      <x:c r="D271" s="17" t="str">
        <x:v>adversarial_robustness</x:v>
      </x:c>
      <x:c r="E271" s="27" t="str">
        <x:v>What limitations of adversarial training as a defense for image classifiers have been established, particularly regarding accuracy, computational cost, and generalization to unseen attacks?</x:v>
      </x:c>
      <x:c r="F271" s="22" t="n">
        <x:v>10</x:v>
      </x:c>
      <x:c r="G271" s="17" t="str">
        <x:v>arXiv:1906.08988</x:v>
      </x:c>
      <x:c r="H271" s="27" t="str">
        <x:v>A Fourier Perspective on Model Robustness in Computer Vision</x:v>
      </x:c>
      <x:c r="I271" s="17" t="str">
        <x:v>Dong Yin; Raphael Gontijo Lopes; Jonathon Shlens; Ekin D. Cubuk; Justin Gilmer</x:v>
      </x:c>
      <x:c r="J271" s="22" t="n">
        <x:v>2019</x:v>
      </x:c>
      <x:c r="K271" s="27" t="str">
        <x:v>Achieving robustness to distributional shift is a longstanding and challenging goal of computer vision. Data augmentation is a commonly used approach for improving robustness, however robustness gains are typically not uniform across corruption types. Indeed increasing performance in the presence of random noise is often met with reduced performance on other corruptions such as contrast change. Understanding when and why these sorts of trade-offs occur is a crucial step towards mitigating them. Towards this end, we investigate recently observed trade-offs caused by Gaussian data augmentation and adversarial training. We find that both methods improve robustness to corruptions that are concentrated in the high frequency domain while reducing robustness to corruptions that are concentrated in the low frequency domain. This suggests that one way to mitigate these trade-offs via data augmentation is to use a more diverse set of augmentations. Towards this end we observe that AutoAugment, a recently proposed data augmentation policy optimized for clean accuracy, achieves state-of-the-art robustness on the CIFAR-10-C benchmark.</x:v>
      </x:c>
      <x:c r="L271" s="17" t="str">
        <x:v>http://arxiv.org/abs/1906.08988v3</x:v>
      </x:c>
      <x:c r="M271" s="23" t="n">
        <x:v>0.01639344262295082</x:v>
      </x:c>
      <x:c r="N271" s="17" t="str">
        <x:v>arxiv-paper-eval-20260726-140242-results.jsonl</x:v>
      </x:c>
      <x:c r="O271" s="24" t="str">
        <x:v>2</x:v>
      </x:c>
      <x:c r="P271" s="28" t="str">
        <x:v>分析对抗训练在不同腐蚀类型上的非均匀鲁棒性和性能权衡。</x:v>
      </x:c>
      <x:c r="Q271" s="25" t="str"/>
      <x:c r="R271" s="24" t="str">
        <x:f>IF(Q271&lt;&gt;"",Q271,O271)</x:f>
        <x:v>2</x:v>
      </x:c>
      <x:c r="S271" s="29" t="str"/>
    </x:row>
    <x:row r="272" ht="54" customHeight="1">
      <x:c r="A272" s="17" t="str">
        <x:v>csq014-r11</x:v>
      </x:c>
      <x:c r="B272" s="17" t="str">
        <x:v>csq014</x:v>
      </x:c>
      <x:c r="C272" s="17" t="str">
        <x:v>computer_vision</x:v>
      </x:c>
      <x:c r="D272" s="17" t="str">
        <x:v>adversarial_robustness</x:v>
      </x:c>
      <x:c r="E272" s="27" t="str">
        <x:v>What limitations of adversarial training as a defense for image classifiers have been established, particularly regarding accuracy, computational cost, and generalization to unseen attacks?</x:v>
      </x:c>
      <x:c r="F272" s="22" t="n">
        <x:v>11</x:v>
      </x:c>
      <x:c r="G272" s="17" t="str">
        <x:v>arXiv:2509.07673</x:v>
      </x:c>
      <x:c r="H272" s="27" t="str">
        <x:v>Nearest Neighbor Projection Removal Adversarial Training</x:v>
      </x:c>
      <x:c r="I272" s="17" t="str">
        <x:v>Himanshu Singh; A. V. Subramanyam; Shivank Rajput; Mohan Kankanhalli</x:v>
      </x:c>
      <x:c r="J272" s="22" t="n">
        <x:v>2025</x:v>
      </x:c>
      <x:c r="K272" s="27" t="str">
        <x:v>Deep neural networks have exhibited impressive performance in image classification tasks but remain vulnerable to adversarial examples. Standard adversarial training enhances robustness but typically fails to explicitly address inter-class feature overlap, a significant contributor to adversarial susceptibility. In this work, we introduce a novel adversarial training framework that actively mitigates inter-class proximity by projecting out inter-class dependencies from adversarial and clean samples in the feature space. Specifically, our approach first identifies the nearest inter-class neighbors for each adversarial sample and subsequently removes projections onto these neighbors to enforce stronger feature separability. Theoretically, we demonstrate that our proposed logits correction reduces the Lipschitz constant of neural networks, thereby lowering the Rademacher complexity, which directly contributes to improved generalization and robustness. Extensive experiments across standard benchmarks including CIFAR-10, CIFAR-100, SVHN, and TinyImagenet show that our method demonstrates strong performance that is competitive with leading adversarial training techniques, highlighting significant achievements in both robust and clean accuracy. Our findings reveal the importance of addressing inter-class feature proximity explicitly to bolster adversarial robustness in DNNs. The code is available in the supplementary material.</x:v>
      </x:c>
      <x:c r="L272" s="17" t="str">
        <x:v>http://arxiv.org/abs/2509.07673v4</x:v>
      </x:c>
      <x:c r="M272" s="23" t="n">
        <x:v>0.016129032258064516</x:v>
      </x:c>
      <x:c r="N272" s="17" t="str">
        <x:v>arxiv-paper-eval-20260726-140242-results.jsonl</x:v>
      </x:c>
      <x:c r="O272" s="24" t="str">
        <x:v>1</x:v>
      </x:c>
      <x:c r="P272" s="28" t="str">
        <x:v>指出标准对抗训练未处理类间特征重叠这一具体局限，但未覆盖题目主要三类权衡。</x:v>
      </x:c>
      <x:c r="Q272" s="25" t="str"/>
      <x:c r="R272" s="24" t="str">
        <x:f>IF(Q272&lt;&gt;"",Q272,O272)</x:f>
        <x:v>1</x:v>
      </x:c>
      <x:c r="S272" s="29" t="str"/>
    </x:row>
    <x:row r="273" ht="54" customHeight="1">
      <x:c r="A273" s="17" t="str">
        <x:v>csq014-r12</x:v>
      </x:c>
      <x:c r="B273" s="17" t="str">
        <x:v>csq014</x:v>
      </x:c>
      <x:c r="C273" s="17" t="str">
        <x:v>computer_vision</x:v>
      </x:c>
      <x:c r="D273" s="17" t="str">
        <x:v>adversarial_robustness</x:v>
      </x:c>
      <x:c r="E273" s="27" t="str">
        <x:v>What limitations of adversarial training as a defense for image classifiers have been established, particularly regarding accuracy, computational cost, and generalization to unseen attacks?</x:v>
      </x:c>
      <x:c r="F273" s="22" t="n">
        <x:v>12</x:v>
      </x:c>
      <x:c r="G273" s="17" t="str">
        <x:v>arXiv:2403.06798</x:v>
      </x:c>
      <x:c r="H273" s="27" t="str">
        <x:v>Dynamic Perturbation-Adaptive Adversarial Training on Medical Image Classification</x:v>
      </x:c>
      <x:c r="I273" s="17" t="str">
        <x:v>Shuai Li; Xiaoguang Ma; Shancheng Jiang; Lu Meng</x:v>
      </x:c>
      <x:c r="J273" s="22" t="n">
        <x:v>2024</x:v>
      </x:c>
      <x:c r="K273" s="27" t="str">
        <x:v>Remarkable successes were made in Medical Image Classification (MIC) recently, mainly due to wide applications of convolutional neural networks (CNNs). However, adversarial examples (AEs) exhibited imperceptible similarity with raw data, raising serious concerns on network robustness. Although adversarial training (AT), in responding to malevolent AEs, was recognized as an effective approach to improve robustness, it was challenging to overcome generalization decline of networks caused by the AT. In this paper, in order to reserve high generalization while improving robustness, we proposed a dynamic perturbation-adaptive adversarial training (DPAAT) method, which placed AT in a dynamic learning environment to generate adaptive data-level perturbations and provided a dynamically updated criterion by loss information collections to handle the disadvantage of fixed perturbation sizes in conventional AT methods and the dependence on external transference. Comprehensive testing on dermatology HAM10000 dataset showed that the DPAAT not only achieved better robustness improvement and generalization preservation but also significantly enhanced mean average precision and interpretability on various CNNs, indicating its great potential as a generic adversarial training method on the MIC.</x:v>
      </x:c>
      <x:c r="L273" s="17" t="str">
        <x:v>http://arxiv.org/abs/2403.06798v1</x:v>
      </x:c>
      <x:c r="M273" s="23" t="n">
        <x:v>0.016129032258064516</x:v>
      </x:c>
      <x:c r="N273" s="17" t="str">
        <x:v>arxiv-paper-eval-20260726-140242-results.jsonl</x:v>
      </x:c>
      <x:c r="O273" s="24" t="str">
        <x:v>2</x:v>
      </x:c>
      <x:c r="P273" s="28" t="str">
        <x:v>明确以医学图像分类中对抗训练导致的泛化下降为核心问题。</x:v>
      </x:c>
      <x:c r="Q273" s="25" t="str"/>
      <x:c r="R273" s="24" t="str">
        <x:f>IF(Q273&lt;&gt;"",Q273,O273)</x:f>
        <x:v>2</x:v>
      </x:c>
      <x:c r="S273" s="29" t="str"/>
    </x:row>
    <x:row r="274" ht="54" customHeight="1">
      <x:c r="A274" s="17" t="str">
        <x:v>csq014-r13</x:v>
      </x:c>
      <x:c r="B274" s="17" t="str">
        <x:v>csq014</x:v>
      </x:c>
      <x:c r="C274" s="17" t="str">
        <x:v>computer_vision</x:v>
      </x:c>
      <x:c r="D274" s="17" t="str">
        <x:v>adversarial_robustness</x:v>
      </x:c>
      <x:c r="E274" s="27" t="str">
        <x:v>What limitations of adversarial training as a defense for image classifiers have been established, particularly regarding accuracy, computational cost, and generalization to unseen attacks?</x:v>
      </x:c>
      <x:c r="F274" s="22" t="n">
        <x:v>13</x:v>
      </x:c>
      <x:c r="G274" s="17" t="str">
        <x:v>arXiv:1901.04684</x:v>
      </x:c>
      <x:c r="H274" s="27" t="str">
        <x:v>The Limitations of Adversarial Training and the Blind-Spot Attack</x:v>
      </x:c>
      <x:c r="I274" s="17" t="str">
        <x:v>Huan Zhang; Hongge Chen; Zhao Song; Duane Boning; Inderjit S. Dhillon; Cho-Jui Hsieh</x:v>
      </x:c>
      <x:c r="J274" s="22" t="n">
        <x:v>2019</x:v>
      </x:c>
      <x:c r="K274" s="27" t="str">
        <x:v>The adversarial training procedure proposed by Madry et al. (2018) is one of the most effective methods to defend against adversarial examples in deep neural networks (DNNs). In our paper, we shed some lights on the practicality and the hardness of adversarial training by showing that the effectiveness (robustness on test set) of adversarial training has a strong correlation with the distance between a test point and the manifold of training data embedded by the network. Test examples that are relatively far away from this manifold are more likely to be vulnerable to adversarial attacks. Consequentially, an adversarial training based defense is susceptible to a new class of attacks, the "blind-spot attack", where the input images reside in "blind-spots" (low density regions) of the empirical distribution of training data but is still on the ground-truth data manifold. For MNIST, we found that these blind-spots can be easily found by simply scaling and shifting image pixel values. Most importantly, for large datasets with high dimensional and complex data manifold (CIFAR, ImageNet, etc), the existence of blind-spots in adversarial training makes defending on any valid test examples difficult due to the curse of dimensionality and the scarcity of training data. Additionally, we find that blind-spots also exist on provable defenses including (Wong &amp; Kolter, 2018) and (Sinha et al., 2018) because these trainable robustness certificates can only be practically optimized on a limited set of training data.</x:v>
      </x:c>
      <x:c r="L274" s="17" t="str">
        <x:v>http://arxiv.org/abs/1901.04684v1</x:v>
      </x:c>
      <x:c r="M274" s="23" t="n">
        <x:v>0.016129032258064516</x:v>
      </x:c>
      <x:c r="N274" s="17" t="str">
        <x:v>arxiv-paper-eval-20260726-140242-results.jsonl</x:v>
      </x:c>
      <x:c r="O274" s="24" t="str">
        <x:v>2</x:v>
      </x:c>
      <x:c r="P274" s="28" t="str">
        <x:v>专门研究对抗训练的实际局限和盲点攻击，直接揭示失败条件。</x:v>
      </x:c>
      <x:c r="Q274" s="25" t="str"/>
      <x:c r="R274" s="24" t="str">
        <x:f>IF(Q274&lt;&gt;"",Q274,O274)</x:f>
        <x:v>2</x:v>
      </x:c>
      <x:c r="S274" s="29" t="str"/>
    </x:row>
    <x:row r="275" ht="54" customHeight="1">
      <x:c r="A275" s="17" t="str">
        <x:v>csq014-r14</x:v>
      </x:c>
      <x:c r="B275" s="17" t="str">
        <x:v>csq014</x:v>
      </x:c>
      <x:c r="C275" s="17" t="str">
        <x:v>computer_vision</x:v>
      </x:c>
      <x:c r="D275" s="17" t="str">
        <x:v>adversarial_robustness</x:v>
      </x:c>
      <x:c r="E275" s="27" t="str">
        <x:v>What limitations of adversarial training as a defense for image classifiers have been established, particularly regarding accuracy, computational cost, and generalization to unseen attacks?</x:v>
      </x:c>
      <x:c r="F275" s="22" t="n">
        <x:v>14</x:v>
      </x:c>
      <x:c r="G275" s="17" t="str">
        <x:v>arXiv:2401.16352</x:v>
      </x:c>
      <x:c r="H275" s="27" t="str">
        <x:v>Adversarial Training on Purification (AToP): Advancing Both Robustness and Generalization</x:v>
      </x:c>
      <x:c r="I275" s="17" t="str">
        <x:v>Guang Lin; Chao Li; Jianhai Zhang; Toshihisa Tanaka; Qibin Zhao</x:v>
      </x:c>
      <x:c r="J275" s="22" t="n">
        <x:v>2024</x:v>
      </x:c>
      <x:c r="K275" s="27" t="str">
        <x:v>The deep neural networks are known to be vulnerable to well-designed adversarial attacks. The most successful defense technique based on adversarial training (AT) can achieve optimal robustness against particular attacks but cannot generalize well to unseen attacks. Another effective defense technique based on adversarial purification (AP) can enhance generalization but cannot achieve optimal robustness. Meanwhile, both methods share one common limitation on the degraded standard accuracy. To mitigate these issues, we propose a novel pipeline to acquire the robust purifier model, named Adversarial Training on Purification (AToP), which comprises two components: perturbation destruction by random transforms (RT) and purifier model fine-tuned (FT) by adversarial loss. RT is essential to avoid overlearning to known attacks, resulting in the robustness generalization to unseen attacks, and FT is essential for the improvement of robustness. To evaluate our method in an efficient and scalable way, we conduct extensive experiments on CIFAR-10, CIFAR-100, and ImageNette to demonstrate that our method achieves optimal robustness and exhibits generalization ability against unseen attacks.</x:v>
      </x:c>
      <x:c r="L275" s="17" t="str">
        <x:v>http://arxiv.org/abs/2401.16352v4</x:v>
      </x:c>
      <x:c r="M275" s="23" t="n">
        <x:v>0.015873015873015872</x:v>
      </x:c>
      <x:c r="N275" s="17" t="str">
        <x:v>arxiv-paper-eval-20260726-140242-results.jsonl</x:v>
      </x:c>
      <x:c r="O275" s="24" t="str">
        <x:v>2</x:v>
      </x:c>
      <x:c r="P275" s="28" t="str">
        <x:v>明确总结对特定攻击有效、对未知攻击泛化差及标准准确率下降。</x:v>
      </x:c>
      <x:c r="Q275" s="25" t="str"/>
      <x:c r="R275" s="24" t="str">
        <x:f>IF(Q275&lt;&gt;"",Q275,O275)</x:f>
        <x:v>2</x:v>
      </x:c>
      <x:c r="S275" s="29" t="str"/>
    </x:row>
    <x:row r="276" ht="54" customHeight="1">
      <x:c r="A276" s="17" t="str">
        <x:v>csq014-r15</x:v>
      </x:c>
      <x:c r="B276" s="17" t="str">
        <x:v>csq014</x:v>
      </x:c>
      <x:c r="C276" s="17" t="str">
        <x:v>computer_vision</x:v>
      </x:c>
      <x:c r="D276" s="17" t="str">
        <x:v>adversarial_robustness</x:v>
      </x:c>
      <x:c r="E276" s="27" t="str">
        <x:v>What limitations of adversarial training as a defense for image classifiers have been established, particularly regarding accuracy, computational cost, and generalization to unseen attacks?</x:v>
      </x:c>
      <x:c r="F276" s="22" t="n">
        <x:v>15</x:v>
      </x:c>
      <x:c r="G276" s="17" t="str">
        <x:v>arXiv:2307.08596</x:v>
      </x:c>
      <x:c r="H276" s="27" t="str">
        <x:v>Omnipotent Adversarial Training in the Wild</x:v>
      </x:c>
      <x:c r="I276" s="17" t="str">
        <x:v>Guanlin Li; Kangjie Chen; Yuan Xu; Han Qiu; Tianwei Zhang</x:v>
      </x:c>
      <x:c r="J276" s="22" t="n">
        <x:v>2023</x:v>
      </x:c>
      <x:c r="K276" s="27" t="str">
        <x:v>Adversarial training is an important topic in robust deep learning, but the community lacks attention to its practical usage. In this paper, we aim to resolve a real-world challenge, i.e., training a model on an imbalanced and noisy dataset to achieve high clean accuracy and adversarial robustness, with our proposed Omnipotent Adversarial Training (OAT) strategy. OAT consists of two innovative methodologies to address the imperfection in the training set. We first introduce an oracle into the adversarial training process to help the model learn a correct data-label conditional distribution. This carefully-designed oracle can provide correct label annotations for adversarial training. We further propose logits adjustment adversarial training to overcome the data imbalance issue, which can help the model learn a Bayes-optimal distribution. Our comprehensive evaluation results show that OAT outperforms other baselines by more than 20% clean accuracy improvement and 10% robust accuracy improvement under complex combinations of data imbalance and label noise scenarios. The code can be found in https://github.com/GuanlinLee/OAT.</x:v>
      </x:c>
      <x:c r="L276" s="17" t="str">
        <x:v>http://arxiv.org/abs/2307.08596v2</x:v>
      </x:c>
      <x:c r="M276" s="23" t="n">
        <x:v>0.015873015873015872</x:v>
      </x:c>
      <x:c r="N276" s="17" t="str">
        <x:v>arxiv-paper-eval-20260726-140242-results.jsonl</x:v>
      </x:c>
      <x:c r="O276" s="24" t="str">
        <x:v>1</x:v>
      </x:c>
      <x:c r="P276" s="28" t="str">
        <x:v>研究不平衡和噪声数据下兼顾干净准确率与鲁棒性的实际问题。</x:v>
      </x:c>
      <x:c r="Q276" s="25" t="str"/>
      <x:c r="R276" s="24" t="str">
        <x:f>IF(Q276&lt;&gt;"",Q276,O276)</x:f>
        <x:v>1</x:v>
      </x:c>
      <x:c r="S276" s="29" t="str"/>
    </x:row>
    <x:row r="277" ht="54" customHeight="1">
      <x:c r="A277" s="17" t="str">
        <x:v>csq014-r16</x:v>
      </x:c>
      <x:c r="B277" s="17" t="str">
        <x:v>csq014</x:v>
      </x:c>
      <x:c r="C277" s="17" t="str">
        <x:v>computer_vision</x:v>
      </x:c>
      <x:c r="D277" s="17" t="str">
        <x:v>adversarial_robustness</x:v>
      </x:c>
      <x:c r="E277" s="27" t="str">
        <x:v>What limitations of adversarial training as a defense for image classifiers have been established, particularly regarding accuracy, computational cost, and generalization to unseen attacks?</x:v>
      </x:c>
      <x:c r="F277" s="22" t="n">
        <x:v>16</x:v>
      </x:c>
      <x:c r="G277" s="17" t="str">
        <x:v>arXiv:2506.17133</x:v>
      </x:c>
      <x:c r="H277" s="27" t="str">
        <x:v>Robust Training with Data Augmentation for Medical Imaging Classification</x:v>
      </x:c>
      <x:c r="I277" s="17" t="str">
        <x:v>Josué Martínez-Martínez; Olivia Brown; Mostafa Karami; Sheida Nabavi</x:v>
      </x:c>
      <x:c r="J277" s="22" t="n">
        <x:v>2025</x:v>
      </x:c>
      <x:c r="K277" s="27" t="str">
        <x:v>Deep neural networks are increasingly being used to detect and diagnose medical conditions using medical imaging. Despite their utility, these models are highly vulnerable to adversarial attacks and distribution shifts, which can affect diagnostic reliability and undermine trust among healthcare professionals. In this study, we propose a robust training algorithm with data augmentation (RTDA) to mitigate these vulnerabilities in medical image classification. We benchmark classifier robustness against adversarial perturbations and natural variations of RTDA and six competing baseline techniques, including adversarial training and data augmentation approaches in isolation and combination, using experimental data sets with three different imaging technologies (mammograms, X-rays, and ultrasound). We demonstrate that RTDA achieves superior robustness against adversarial attacks and improved generalization performance in the presence of distribution shift in each image classification task while maintaining high clean accuracy.</x:v>
      </x:c>
      <x:c r="L277" s="17" t="str">
        <x:v>http://arxiv.org/abs/2506.17133v1</x:v>
      </x:c>
      <x:c r="M277" s="23" t="n">
        <x:v>0.015625</x:v>
      </x:c>
      <x:c r="N277" s="17" t="str">
        <x:v>arxiv-paper-eval-20260726-140242-results.jsonl</x:v>
      </x:c>
      <x:c r="O277" s="24" t="str">
        <x:v>1</x:v>
      </x:c>
      <x:c r="P277" s="28" t="str">
        <x:v>在医学图像上比较对抗训练等方法对攻击和分布偏移的鲁棒性。</x:v>
      </x:c>
      <x:c r="Q277" s="25" t="str"/>
      <x:c r="R277" s="24" t="str">
        <x:f>IF(Q277&lt;&gt;"",Q277,O277)</x:f>
        <x:v>1</x:v>
      </x:c>
      <x:c r="S277" s="29" t="str"/>
    </x:row>
    <x:row r="278" ht="54" customHeight="1">
      <x:c r="A278" s="17" t="str">
        <x:v>csq014-r17</x:v>
      </x:c>
      <x:c r="B278" s="17" t="str">
        <x:v>csq014</x:v>
      </x:c>
      <x:c r="C278" s="17" t="str">
        <x:v>computer_vision</x:v>
      </x:c>
      <x:c r="D278" s="17" t="str">
        <x:v>adversarial_robustness</x:v>
      </x:c>
      <x:c r="E278" s="27" t="str">
        <x:v>What limitations of adversarial training as a defense for image classifiers have been established, particularly regarding accuracy, computational cost, and generalization to unseen attacks?</x:v>
      </x:c>
      <x:c r="F278" s="22" t="n">
        <x:v>17</x:v>
      </x:c>
      <x:c r="G278" s="17" t="str">
        <x:v>arXiv:2308.02533</x:v>
      </x:c>
      <x:c r="H278" s="27" t="str">
        <x:v>Improving Generalization of Adversarial Training via Robust Critical Fine-Tuning</x:v>
      </x:c>
      <x:c r="I278" s="17" t="str">
        <x:v>Kaijie Zhu; Jindong Wang; Xixu Hu; Xing Xie; Ge Yang</x:v>
      </x:c>
      <x:c r="J278" s="22" t="n">
        <x:v>2023</x:v>
      </x:c>
      <x:c r="K278" s="27" t="str">
        <x:v>Deep neural networks are susceptible to adversarial examples, posing a significant security risk in critical applications. Adversarial Training (AT) is a well-established technique to enhance adversarial robustness, but it often comes at the cost of decreased generalization ability. This paper proposes Robustness Critical Fine-Tuning (RiFT), a novel approach to enhance generalization without compromising adversarial robustness. The core idea of RiFT is to exploit the redundant capacity for robustness by fine-tuning the adversarially trained model on its non-robust-critical module. To do so, we introduce module robust criticality (MRC), a measure that evaluates the significance of a given module to model robustness under worst-case weight perturbations. Using this measure, we identify the module with the lowest MRC value as the non-robust-critical module and fine-tune its weights to obtain fine-tuned weights. Subsequently, we linearly interpolate between the adversarially trained weights and fine-tuned weights to derive the optimal fine-tuned model weights. We demonstrate the efficacy of RiFT on ResNet18, ResNet34, and WideResNet34-10 models trained on CIFAR10, CIFAR100, and Tiny-ImageNet datasets. Our experiments show that \method can significantly improve both generalization and out-of-distribution robustness by around 1.5% while maintaining or even slightly enhancing adversarial robustness. Code is available at https://github.com/microsoft/robustlearn.</x:v>
      </x:c>
      <x:c r="L278" s="17" t="str">
        <x:v>http://arxiv.org/abs/2308.02533v1</x:v>
      </x:c>
      <x:c r="M278" s="23" t="n">
        <x:v>0.015625</x:v>
      </x:c>
      <x:c r="N278" s="17" t="str">
        <x:v>arxiv-paper-eval-20260726-140242-results.jsonl</x:v>
      </x:c>
      <x:c r="O278" s="24" t="str">
        <x:v>2</x:v>
      </x:c>
      <x:c r="P278" s="28" t="str">
        <x:v>明确指出对抗训练以降低泛化能力为代价，并提出细调方法。</x:v>
      </x:c>
      <x:c r="Q278" s="25" t="str"/>
      <x:c r="R278" s="24" t="str">
        <x:f>IF(Q278&lt;&gt;"",Q278,O278)</x:f>
        <x:v>2</x:v>
      </x:c>
      <x:c r="S278" s="29" t="str"/>
    </x:row>
    <x:row r="279" ht="54" customHeight="1">
      <x:c r="A279" s="17" t="str">
        <x:v>csq014-r18</x:v>
      </x:c>
      <x:c r="B279" s="17" t="str">
        <x:v>csq014</x:v>
      </x:c>
      <x:c r="C279" s="17" t="str">
        <x:v>computer_vision</x:v>
      </x:c>
      <x:c r="D279" s="17" t="str">
        <x:v>adversarial_robustness</x:v>
      </x:c>
      <x:c r="E279" s="27" t="str">
        <x:v>What limitations of adversarial training as a defense for image classifiers have been established, particularly regarding accuracy, computational cost, and generalization to unseen attacks?</x:v>
      </x:c>
      <x:c r="F279" s="22" t="n">
        <x:v>18</x:v>
      </x:c>
      <x:c r="G279" s="17" t="str">
        <x:v>arXiv:2203.09243</x:v>
      </x:c>
      <x:c r="H279" s="27" t="str">
        <x:v>On the Properties of Adversarially-Trained CNNs</x:v>
      </x:c>
      <x:c r="I279" s="17" t="str">
        <x:v>Mattia Carletti; Matteo Terzi; Gian Antonio Susto</x:v>
      </x:c>
      <x:c r="J279" s="22" t="n">
        <x:v>2022</x:v>
      </x:c>
      <x:c r="K279" s="27" t="str">
        <x:v>Adversarial Training has proved to be an effective training paradigm to enforce robustness against adversarial examples in modern neural network architectures. Despite many efforts, explanations of the foundational principles underpinning the effectiveness of Adversarial Training are limited and far from being widely accepted by the Deep Learning community. In this paper, we describe surprising properties of adversarially-trained models, shedding light on mechanisms through which robustness against adversarial attacks is implemented. Moreover, we highlight limitations and failure modes affecting these models that were not discussed by prior works. We conduct extensive analyses on a wide range of architectures and datasets, performing a deep comparison between robust and natural models.</x:v>
      </x:c>
      <x:c r="L279" s="17" t="str">
        <x:v>http://arxiv.org/abs/2203.09243v1</x:v>
      </x:c>
      <x:c r="M279" s="23" t="n">
        <x:v>0.015625</x:v>
      </x:c>
      <x:c r="N279" s="17" t="str">
        <x:v>arxiv-paper-eval-20260726-140242-results.jsonl</x:v>
      </x:c>
      <x:c r="O279" s="24" t="str">
        <x:v>2</x:v>
      </x:c>
      <x:c r="P279" s="28" t="str">
        <x:v>直接研究对抗训练CNN的性质、局限和既往未讨论的失败模式。</x:v>
      </x:c>
      <x:c r="Q279" s="25" t="str"/>
      <x:c r="R279" s="24" t="str">
        <x:f>IF(Q279&lt;&gt;"",Q279,O279)</x:f>
        <x:v>2</x:v>
      </x:c>
      <x:c r="S279" s="29" t="str"/>
    </x:row>
    <x:row r="280" ht="54" customHeight="1">
      <x:c r="A280" s="17" t="str">
        <x:v>csq014-r19</x:v>
      </x:c>
      <x:c r="B280" s="17" t="str">
        <x:v>csq014</x:v>
      </x:c>
      <x:c r="C280" s="17" t="str">
        <x:v>computer_vision</x:v>
      </x:c>
      <x:c r="D280" s="17" t="str">
        <x:v>adversarial_robustness</x:v>
      </x:c>
      <x:c r="E280" s="27" t="str">
        <x:v>What limitations of adversarial training as a defense for image classifiers have been established, particularly regarding accuracy, computational cost, and generalization to unseen attacks?</x:v>
      </x:c>
      <x:c r="F280" s="22" t="n">
        <x:v>19</x:v>
      </x:c>
      <x:c r="G280" s="17" t="str">
        <x:v>arXiv:2307.02500</x:v>
      </x:c>
      <x:c r="H280" s="27" t="str">
        <x:v>Interpretable Computer Vision Models through Adversarial Training: Unveiling the Robustness-Interpretability Connection</x:v>
      </x:c>
      <x:c r="I280" s="17" t="str">
        <x:v>Delyan Boychev</x:v>
      </x:c>
      <x:c r="J280" s="22" t="n">
        <x:v>2023</x:v>
      </x:c>
      <x:c r="K280" s="27" t="str">
        <x:v>With the perpetual increase of complexity of the state-of-the-art deep neural networks, it becomes a more and more challenging task to maintain their interpretability. Our work aims to evaluate the effects of adversarial training utilized to produce robust models - less vulnerable to adversarial attacks. It has been shown to make computer vision models more interpretable. Interpretability is as essential as robustness when we deploy the models to the real world. To prove the correlation between these two problems, we extensively examine the models using local feature-importance methods (SHAP, Integrated Gradients) and feature visualization techniques (Representation Inversion, Class Specific Image Generation). Standard models, compared to robust are more susceptible to adversarial attacks, and their learned representations are less meaningful to humans. Conversely, these models focus on distinctive regions of the images which support their predictions. Moreover, the features learned by the robust model are closer to the real ones.</x:v>
      </x:c>
      <x:c r="L280" s="17" t="str">
        <x:v>http://arxiv.org/abs/2307.02500v2</x:v>
      </x:c>
      <x:c r="M280" s="23" t="n">
        <x:v>0.015384615384615385</x:v>
      </x:c>
      <x:c r="N280" s="17" t="str">
        <x:v>arxiv-paper-eval-20260726-140242-results.jsonl</x:v>
      </x:c>
      <x:c r="O280" s="24" t="str">
        <x:v>1</x:v>
      </x:c>
      <x:c r="P280" s="28" t="str">
        <x:v>主要研究对抗训练与可解释性的关系，只能侧面补充其模型行为。</x:v>
      </x:c>
      <x:c r="Q280" s="25" t="str"/>
      <x:c r="R280" s="24" t="str">
        <x:f>IF(Q280&lt;&gt;"",Q280,O280)</x:f>
        <x:v>1</x:v>
      </x:c>
      <x:c r="S280" s="29" t="str"/>
    </x:row>
    <x:row r="281" ht="54" customHeight="1">
      <x:c r="A281" s="17" t="str">
        <x:v>csq014-r20</x:v>
      </x:c>
      <x:c r="B281" s="17" t="str">
        <x:v>csq014</x:v>
      </x:c>
      <x:c r="C281" s="17" t="str">
        <x:v>computer_vision</x:v>
      </x:c>
      <x:c r="D281" s="17" t="str">
        <x:v>adversarial_robustness</x:v>
      </x:c>
      <x:c r="E281" s="27" t="str">
        <x:v>What limitations of adversarial training as a defense for image classifiers have been established, particularly regarding accuracy, computational cost, and generalization to unseen attacks?</x:v>
      </x:c>
      <x:c r="F281" s="22" t="n">
        <x:v>20</x:v>
      </x:c>
      <x:c r="G281" s="17" t="str">
        <x:v>arXiv:2304.12486</x:v>
      </x:c>
      <x:c r="H281" s="27" t="str">
        <x:v>Evaluating Adversarial Robustness on Document Image Classification</x:v>
      </x:c>
      <x:c r="I281" s="17" t="str">
        <x:v>Timothée Fronteau; Arnaud Paran; Aymen Shabou</x:v>
      </x:c>
      <x:c r="J281" s="22" t="n">
        <x:v>2023</x:v>
      </x:c>
      <x:c r="K281" s="27" t="str">
        <x:v>Adversarial attacks and defenses have gained increasing interest on computer vision systems in recent years, but as of today, most investigations are limited to images. However, many artificial intelligence models actually handle documentary data, which is very different from real world images. Hence, in this work, we try to apply the adversarial attack philosophy on documentary and natural data and to protect models against such attacks. We focus our work on untargeted gradient-based, transfer-based and score-based attacks and evaluate the impact of adversarial training, JPEG input compression and grey-scale input transformation on the robustness of ResNet50 and EfficientNetB0 model architectures. To the best of our knowledge, no such work has been conducted by the community in order to study the impact of these attacks on the document image classification task.</x:v>
      </x:c>
      <x:c r="L281" s="17" t="str">
        <x:v>http://arxiv.org/abs/2304.12486v2</x:v>
      </x:c>
      <x:c r="M281" s="23" t="n">
        <x:v>0.015384615384615385</x:v>
      </x:c>
      <x:c r="N281" s="17" t="str">
        <x:v>arxiv-paper-eval-20260726-140242-results.jsonl</x:v>
      </x:c>
      <x:c r="O281" s="24" t="str">
        <x:v>1</x:v>
      </x:c>
      <x:c r="P281" s="28" t="str">
        <x:v>在文档图像分类中实证评估对抗训练对多类攻击的防御效果。</x:v>
      </x:c>
      <x:c r="Q281" s="25" t="str"/>
      <x:c r="R281" s="24" t="str">
        <x:f>IF(Q281&lt;&gt;"",Q281,O281)</x:f>
        <x:v>1</x:v>
      </x:c>
      <x:c r="S281" s="29" t="str"/>
    </x:row>
    <x:row r="282" ht="54" customHeight="1">
      <x:c r="A282" s="17" t="str">
        <x:v>csq015-r01</x:v>
      </x:c>
      <x:c r="B282" s="17" t="str">
        <x:v>csq015</x:v>
      </x:c>
      <x:c r="C282" s="17" t="str">
        <x:v>systems_and_networking</x:v>
      </x:c>
      <x:c r="D282" s="17" t="str">
        <x:v>distributed_consensus</x:v>
      </x:c>
      <x:c r="E282" s="27" t="str">
        <x:v>What are the main approaches for reducing communication and latency costs in Byzantine fault-tolerant consensus protocols?</x:v>
      </x:c>
      <x:c r="F282" s="22" t="n">
        <x:v>1</x:v>
      </x:c>
      <x:c r="G282" s="17" t="str">
        <x:v>arXiv:2503.21279</x:v>
      </x:c>
      <x:c r="H282" s="27" t="str">
        <x:v>Asynchronous BFT Consensus Made Wireless</x:v>
      </x:c>
      <x:c r="I282" s="17" t="str">
        <x:v>Shuo Liu; Minghui Xu; Tianyi Sun; Xiuzhen Cheng</x:v>
      </x:c>
      <x:c r="J282" s="22" t="n">
        <x:v>2025</x:v>
      </x:c>
      <x:c r="K282" s="27" t="str">
        <x:v>Asynchronous Byzantine fault-tolerant (BFT) consensus protocols, known for their robustness in unpredictable environments without relying on timing assumptions, are becoming increasingly vital for wireless applications. While these protocols have proven effective in wired networks, their adaptation to wireless environments presents significant challenges. Asynchronous BFT consensus, characterized by its N parallel consensus components (e.g., asynchronous Byzantine agreement, reliable broadcast), suffers from high message complexity, leading to network congestion and inefficiency, especially in resource-constrained wireless networks. Asynchronous Byzantine agreement (ABA) protocols, a foundational component of asynchronous BFT, require careful balancing of message complexity and cryptographic overhead to achieve efficient implementation in wireless settings. Additionally, the absence of dedicated testbeds for asynchronous wireless BFT consensus protocols hinders development and performance evaluation. To address these challenges, we propose a consensus batching protocol (ConsensusBatcher), which supports both vertical and horizontal batching of multiple parallel consensus components. We leverage ConsensusBatcher to adapt three asynchronous BFT consensus protocols (HoneyBadgerBFT, BEAT, and Dumbo) from wired networks to resource-constrained wireless networks. To evaluate the performance of ConsensusBatcher-enabled consensus protocols in wireless environments, we develop and open-source a testbed for deployment and performance assessment of these protocols. Using this testbed, we demonstrate that ConsensusBatcher-based consensus reduces latency by 48% to 59% and increases throughput by 48% to 62% compared to baseline consensus protocols.</x:v>
      </x:c>
      <x:c r="L282" s="17" t="str">
        <x:v>http://arxiv.org/abs/2503.21279v3</x:v>
      </x:c>
      <x:c r="M282" s="23" t="n">
        <x:v>0.03278688524590164</x:v>
      </x:c>
      <x:c r="N282" s="17" t="str">
        <x:v>arxiv-paper-eval-20260726-140242-results.jsonl</x:v>
      </x:c>
      <x:c r="O282" s="24" t="str">
        <x:v>2</x:v>
      </x:c>
      <x:c r="P282" s="28" t="str">
        <x:v>研究异步BFT在无线网络中的通信挑战及面向无线特性的协议优化。</x:v>
      </x:c>
      <x:c r="Q282" s="25" t="str"/>
      <x:c r="R282" s="24" t="str">
        <x:f>IF(Q282&lt;&gt;"",Q282,O282)</x:f>
        <x:v>2</x:v>
      </x:c>
      <x:c r="S282" s="29" t="str"/>
    </x:row>
    <x:row r="283" ht="54" customHeight="1">
      <x:c r="A283" s="17" t="str">
        <x:v>csq015-r02</x:v>
      </x:c>
      <x:c r="B283" s="17" t="str">
        <x:v>csq015</x:v>
      </x:c>
      <x:c r="C283" s="17" t="str">
        <x:v>systems_and_networking</x:v>
      </x:c>
      <x:c r="D283" s="17" t="str">
        <x:v>distributed_consensus</x:v>
      </x:c>
      <x:c r="E283" s="27" t="str">
        <x:v>What are the main approaches for reducing communication and latency costs in Byzantine fault-tolerant consensus protocols?</x:v>
      </x:c>
      <x:c r="F283" s="22" t="n">
        <x:v>2</x:v>
      </x:c>
      <x:c r="G283" s="17" t="str">
        <x:v>arXiv:2102.01970</x:v>
      </x:c>
      <x:c r="H283" s="27" t="str">
        <x:v>Efficient Byzantine Fault Tolerance using Trusted Execution Environment: Preventing Equivocation is only the Beginning</x:v>
      </x:c>
      <x:c r="I283" s="17" t="str">
        <x:v>Jiashuo Zhang; Jianbo Gao; Ke Wang; Zhenhao Wu; Ying Lan; Zhi Guan; Zhong Chen</x:v>
      </x:c>
      <x:c r="J283" s="22" t="n">
        <x:v>2021</x:v>
      </x:c>
      <x:c r="K283" s="27" t="str">
        <x:v>With the rapid development of blockchain, Byzantine fault-tolerant protocols have attracted revived interest recently. To overcome the theoretical bounds of Byzantine fault tolerance, many protocols attempt to use Trusted Execution Environment (TEE) to prevent equivocation and improve performance and scalability. However, due to the broken quorum intersection assumption caused by the reduction of the replica number, the improvement is mostly at the cost of increased communication complexity which prevents existing TEE-based protocols to be applied to large-scale blockchain systems. In this paper, we propose TBFT, an efficient Byzantine fault-tolerant protocol in the partial synchrony setting, which has O(n) message complexity in both normal-case and view-change. Compared to previous protocols, TBFT uses TEE-assisted primitives to limit more types of malicious behaviors of replicas rather than preventing equivocation only, thereby reducing the latency and communication complexity of clients and replicas. Besides, we also introduce lightweight cryptographic primitives including a novel leader election mechanism and an efficient voting message aggregation mechanism for better security and performance. We evaluate TBFT via systematic analysis and experiments, and the results show that TBFT has better performance and scalability compared to other protocols.</x:v>
      </x:c>
      <x:c r="L283" s="17" t="str">
        <x:v>http://arxiv.org/abs/2102.01970v3</x:v>
      </x:c>
      <x:c r="M283" s="23" t="n">
        <x:v>0.031024531024531024</x:v>
      </x:c>
      <x:c r="N283" s="17" t="str">
        <x:v>arxiv-paper-eval-20260726-140242-results.jsonl</x:v>
      </x:c>
      <x:c r="O283" s="24" t="str">
        <x:v>2</x:v>
      </x:c>
      <x:c r="P283" s="28" t="str">
        <x:v>分析TEE减少副本后带来的通信复杂度问题并提出高效BFT设计。</x:v>
      </x:c>
      <x:c r="Q283" s="25" t="str"/>
      <x:c r="R283" s="24" t="str">
        <x:f>IF(Q283&lt;&gt;"",Q283,O283)</x:f>
        <x:v>2</x:v>
      </x:c>
      <x:c r="S283" s="29" t="str"/>
    </x:row>
    <x:row r="284" ht="54" customHeight="1">
      <x:c r="A284" s="17" t="str">
        <x:v>csq015-r03</x:v>
      </x:c>
      <x:c r="B284" s="17" t="str">
        <x:v>csq015</x:v>
      </x:c>
      <x:c r="C284" s="17" t="str">
        <x:v>systems_and_networking</x:v>
      </x:c>
      <x:c r="D284" s="17" t="str">
        <x:v>distributed_consensus</x:v>
      </x:c>
      <x:c r="E284" s="27" t="str">
        <x:v>What are the main approaches for reducing communication and latency costs in Byzantine fault-tolerant consensus protocols?</x:v>
      </x:c>
      <x:c r="F284" s="22" t="n">
        <x:v>3</x:v>
      </x:c>
      <x:c r="G284" s="17" t="str">
        <x:v>arXiv:2402.12889</x:v>
      </x:c>
      <x:c r="H284" s="27" t="str">
        <x:v>BFT-DSN: A Byzantine Fault Tolerant Decentralized Storage Network</x:v>
      </x:c>
      <x:c r="I284" s="17" t="str">
        <x:v>Hechuan Guo; Minghui Xu; Jiahao Zhang; Chunchi Liu; Rajiv Ranjan; Dongxiao Yu; Xiuzhen Cheng</x:v>
      </x:c>
      <x:c r="J284" s="22" t="n">
        <x:v>2024</x:v>
      </x:c>
      <x:c r="K284" s="27" t="str">
        <x:v>With the rapid development of blockchain and its applications, the amount of data stored on decentralized storage networks (DSNs) has grown exponentially. DSNs bring together affordable storage resources from around the world to provide robust, decentralized storage services for tens of thousands of decentralized applications (dApps). However, existing DSNs do not offer verifiability when implementing erasure coding for redundant storage, making them vulnerable to Byzantine encoders. Additionally, there is a lack of Byzantine fault-tolerant consensus for optimal resilience in DSNs. This paper introduces BFT-DSN, a Byzantine fault-tolerant decentralized storage network designed to address these challenges. BFT-DSN combines storage-weighted BFT consensus with erasure coding and incorporates homomorphic fingerprints and weighted threshold signatures for decentralized verification. The implementation of BFT-DSN demonstrates its comparable performance in terms of storage cost and latency as well as superior performance in Byzantine resilience when compared to existing industrial decentralized storage networks.</x:v>
      </x:c>
      <x:c r="L284" s="17" t="str">
        <x:v>http://arxiv.org/abs/2402.12889v1</x:v>
      </x:c>
      <x:c r="M284" s="23" t="n">
        <x:v>0.030886196246139225</x:v>
      </x:c>
      <x:c r="N284" s="17" t="str">
        <x:v>arxiv-paper-eval-20260726-140242-results.jsonl</x:v>
      </x:c>
      <x:c r="O284" s="24" t="str">
        <x:v>1</x:v>
      </x:c>
      <x:c r="P284" s="28" t="str">
        <x:v>面向去中心化存储的拜占庭容错与编码，涉及通信但不是通用共识降本研究。</x:v>
      </x:c>
      <x:c r="Q284" s="25" t="str"/>
      <x:c r="R284" s="24" t="str">
        <x:f>IF(Q284&lt;&gt;"",Q284,O284)</x:f>
        <x:v>1</x:v>
      </x:c>
      <x:c r="S284" s="29" t="str"/>
    </x:row>
    <x:row r="285" ht="54" customHeight="1">
      <x:c r="A285" s="17" t="str">
        <x:v>csq015-r04</x:v>
      </x:c>
      <x:c r="B285" s="17" t="str">
        <x:v>csq015</x:v>
      </x:c>
      <x:c r="C285" s="17" t="str">
        <x:v>systems_and_networking</x:v>
      </x:c>
      <x:c r="D285" s="17" t="str">
        <x:v>distributed_consensus</x:v>
      </x:c>
      <x:c r="E285" s="27" t="str">
        <x:v>What are the main approaches for reducing communication and latency costs in Byzantine fault-tolerant consensus protocols?</x:v>
      </x:c>
      <x:c r="F285" s="22" t="n">
        <x:v>4</x:v>
      </x:c>
      <x:c r="G285" s="17" t="str">
        <x:v>arXiv:1807.01829</x:v>
      </x:c>
      <x:c r="H285" s="27" t="str">
        <x:v>LinBFT: Linear-Communication Byzantine Fault Tolerance for Public Blockchains</x:v>
      </x:c>
      <x:c r="I285" s="17" t="str">
        <x:v>Yin Yang</x:v>
      </x:c>
      <x:c r="J285" s="22" t="n">
        <x:v>2018</x:v>
      </x:c>
      <x:c r="K285" s="27" t="str">
        <x:v>This paper presents LinBFT, a novel Byzantine fault tolerance (BFT) protocol for blockchain systems that achieves amortized O(n) communication volume per block under reasonable conditions (where n is the number of participants), while satisfying determinist guarantees on safety and liveness. This significantly improves previous results, which either incurs quadratic communication complexity, or only satisfies safety in a probabilistic sense. LinBFT is based on the popular PBFT protocol, and cuts down its $O(n^4)$ complexity with three tricks, each by $O(n)$: linear view change, threshold signatures, and verifiable random functions. All three are known, i.e., the solutions are right in front of our eyes, and yet LinBFT is the first $O(n)$ solution with deterministic security guarantees. Further, LinBFT also addresses issues that are specific to permission-less, public blockchain systems, such as anonymous participants without a public-key infrastructure, proof-of-stake with slashing, rotating leader, and a dynamic participant set. In addition, LinBFT contains no proof-of-work module, reaches consensus for every block, and tolerates changing honesty of the participants for different blocks.</x:v>
      </x:c>
      <x:c r="L285" s="17" t="str">
        <x:v>http://arxiv.org/abs/1807.01829v1</x:v>
      </x:c>
      <x:c r="M285" s="23" t="n">
        <x:v>0.03057889822595705</x:v>
      </x:c>
      <x:c r="N285" s="17" t="str">
        <x:v>arxiv-paper-eval-20260726-140242-results.jsonl</x:v>
      </x:c>
      <x:c r="O285" s="24" t="str">
        <x:v>2</x:v>
      </x:c>
      <x:c r="P285" s="28" t="str">
        <x:v>提出每区块摊销线性通信量的BFT协议，直接降低PBFT式二次通信。</x:v>
      </x:c>
      <x:c r="Q285" s="25" t="str"/>
      <x:c r="R285" s="24" t="str">
        <x:f>IF(Q285&lt;&gt;"",Q285,O285)</x:f>
        <x:v>2</x:v>
      </x:c>
      <x:c r="S285" s="29" t="str"/>
    </x:row>
    <x:row r="286" ht="54" customHeight="1">
      <x:c r="A286" s="17" t="str">
        <x:v>csq015-r05</x:v>
      </x:c>
      <x:c r="B286" s="17" t="str">
        <x:v>csq015</x:v>
      </x:c>
      <x:c r="C286" s="17" t="str">
        <x:v>systems_and_networking</x:v>
      </x:c>
      <x:c r="D286" s="17" t="str">
        <x:v>distributed_consensus</x:v>
      </x:c>
      <x:c r="E286" s="27" t="str">
        <x:v>What are the main approaches for reducing communication and latency costs in Byzantine fault-tolerant consensus protocols?</x:v>
      </x:c>
      <x:c r="F286" s="22" t="n">
        <x:v>5</x:v>
      </x:c>
      <x:c r="G286" s="17" t="str">
        <x:v>arXiv:2409.19564</x:v>
      </x:c>
      <x:c r="H286" s="27" t="str">
        <x:v>Hamster: A Fast Synchronous Byzantine Fault Tolerance Protocol</x:v>
      </x:c>
      <x:c r="I286" s="17" t="str">
        <x:v>Ximing Fu; Mo Li; Qingming Zeng; Tianyang Li; Shenghao Yang; Yonghui Guan; Chuanyi Liu</x:v>
      </x:c>
      <x:c r="J286" s="22" t="n">
        <x:v>2024</x:v>
      </x:c>
      <x:c r="K286" s="27" t="str">
        <x:v>This paper introduces Hamster, a novel synchronous Byzantine Fault Tolerance protocol that achieves better performance and has weaker dependency on synchrony. Specifically, Hamster employs coding techniques to significantly decrease communication complexity and addresses coding related security issues. Consequently, Hamster achieves a throughput gain that increases linearly with the number of nodes, compared to Sync HotStuff. By adjusting the block size, Hamster outperforms Sync HotStuff in terms of both throughput and latency. Moreover, With minor modifications, Hamster can also function effectively in mobile sluggish environments, further reducing its dependency on strict synchrony. We implement Hamster and the experimental results demonstrate its performance advantages. Specifically, Hamster's throughput in a network of $9$ nodes is $2.5\times$ that of Sync HotStuff, and this gain increases to $10$ as the network scales to $65$ nodes.</x:v>
      </x:c>
      <x:c r="L286" s="17" t="str">
        <x:v>http://arxiv.org/abs/2409.19564v1</x:v>
      </x:c>
      <x:c r="M286" s="23" t="n">
        <x:v>0.030536130536130537</x:v>
      </x:c>
      <x:c r="N286" s="17" t="str">
        <x:v>arxiv-paper-eval-20260726-140242-results.jsonl</x:v>
      </x:c>
      <x:c r="O286" s="24" t="str">
        <x:v>2</x:v>
      </x:c>
      <x:c r="P286" s="28" t="str">
        <x:v>用编码技术降低同步BFT通信复杂度并改善吞吐和延迟。</x:v>
      </x:c>
      <x:c r="Q286" s="25" t="str"/>
      <x:c r="R286" s="24" t="str">
        <x:f>IF(Q286&lt;&gt;"",Q286,O286)</x:f>
        <x:v>2</x:v>
      </x:c>
      <x:c r="S286" s="29" t="str"/>
    </x:row>
    <x:row r="287" ht="54" customHeight="1">
      <x:c r="A287" s="17" t="str">
        <x:v>csq015-r06</x:v>
      </x:c>
      <x:c r="B287" s="17" t="str">
        <x:v>csq015</x:v>
      </x:c>
      <x:c r="C287" s="17" t="str">
        <x:v>systems_and_networking</x:v>
      </x:c>
      <x:c r="D287" s="17" t="str">
        <x:v>distributed_consensus</x:v>
      </x:c>
      <x:c r="E287" s="27" t="str">
        <x:v>What are the main approaches for reducing communication and latency costs in Byzantine fault-tolerant consensus protocols?</x:v>
      </x:c>
      <x:c r="F287" s="22" t="n">
        <x:v>6</x:v>
      </x:c>
      <x:c r="G287" s="17" t="str">
        <x:v>arXiv:2209.00750</x:v>
      </x:c>
      <x:c r="H287" s="27" t="str">
        <x:v>Dumbo-NG: Fast Asynchronous BFT Consensus with Throughput-Oblivious Latency</x:v>
      </x:c>
      <x:c r="I287" s="17" t="str">
        <x:v>Yingzi Gao; Yuan Lu; Zhenliang Lu; Qiang Tang; Jing Xu; Zhenfeng Zhang</x:v>
      </x:c>
      <x:c r="J287" s="22" t="n">
        <x:v>2022</x:v>
      </x:c>
      <x:c r="K287" s="27" t="str">
        <x:v>Despite recent progresses of practical asynchronous Byzantine fault tolerant (BFT) consensus, the state-of-the-art designs still suffer from suboptimal performance. Particularly, to obtain maximum throughput, most existing protocols with guaranteed linear amortized communication complexity require each participating node to broadcast a huge batch of transactions, which dramatically sacrifices latency. Worse still, the f slowest nodes' broadcasts might never be agreed to output and thus can be censored (where f is the number of faults). Implementable mitigation to the threat either uses computationally costly threshold encryption or incurs communication blow-up, thus causing further efficiency issues. We present Dumbo-NG, a novel asynchronous BFT consensus (atomic broadcast) to solve the remaining practical issues. Its technical core is a non-trivial direct reduction from asynchronous atomic broadcast to multi-valued validated Byzantine agreement (MVBA) with quality property. Most interestingly, the new protocol structure empowers completely concurrent execution of transaction dissemination and asynchronous agreement. This brings about two benefits: (i) the throughput-latency tension is resolved to approach peak throughput with minimal increase in latency; (ii) the transactions broadcasted by any honest node can be agreed to output, thus conquering the censorship threat with no extra cost. We implement Dumbo-NG and compare it to the state-of-the-art asynchronous BFT with guaranteed censorship resilience including Dumbo (CCS'20) and Speeding-Dumbo (NDSS'22). We also apply the techniques from Speeding-Dumbo to DispersedLedger (NSDI'22) and obtain an improved variant of DispersedLedger called sDumbo-DL for comprehensive comparison. Extensive experiments reveal: Dumbo-NG realizes better peak throughput performance and its latency can almost remain stable when throughput grows.</x:v>
      </x:c>
      <x:c r="L287" s="17" t="str">
        <x:v>http://arxiv.org/abs/2209.00750v3</x:v>
      </x:c>
      <x:c r="M287" s="23" t="n">
        <x:v>0.0304147465437788</x:v>
      </x:c>
      <x:c r="N287" s="17" t="str">
        <x:v>arxiv-paper-eval-20260726-140242-results.jsonl</x:v>
      </x:c>
      <x:c r="O287" s="24" t="str">
        <x:v>2</x:v>
      </x:c>
      <x:c r="P287" s="28" t="str">
        <x:v>异步BFT设计直接兼顾线性摊销通信、吞吐与延迟。</x:v>
      </x:c>
      <x:c r="Q287" s="25" t="str"/>
      <x:c r="R287" s="24" t="str">
        <x:f>IF(Q287&lt;&gt;"",Q287,O287)</x:f>
        <x:v>2</x:v>
      </x:c>
      <x:c r="S287" s="29" t="str"/>
    </x:row>
    <x:row r="288" ht="54" customHeight="1">
      <x:c r="A288" s="17" t="str">
        <x:v>csq015-r07</x:v>
      </x:c>
      <x:c r="B288" s="17" t="str">
        <x:v>csq015</x:v>
      </x:c>
      <x:c r="C288" s="17" t="str">
        <x:v>systems_and_networking</x:v>
      </x:c>
      <x:c r="D288" s="17" t="str">
        <x:v>distributed_consensus</x:v>
      </x:c>
      <x:c r="E288" s="27" t="str">
        <x:v>What are the main approaches for reducing communication and latency costs in Byzantine fault-tolerant consensus protocols?</x:v>
      </x:c>
      <x:c r="F288" s="22" t="n">
        <x:v>7</x:v>
      </x:c>
      <x:c r="G288" s="17" t="str">
        <x:v>arXiv:2007.13175</x:v>
      </x:c>
      <x:c r="H288" s="27" t="str">
        <x:v>Optimal Communication Complexity of Authenticated Byzantine Agreement</x:v>
      </x:c>
      <x:c r="I288" s="17" t="str">
        <x:v>Atsuki Momose; Ling Ren</x:v>
      </x:c>
      <x:c r="J288" s="22" t="n">
        <x:v>2020</x:v>
      </x:c>
      <x:c r="K288" s="27" t="str">
        <x:v>Byzantine Agreement (BA) is one of the most fundamental problems in distributed computing, and its communication complexity is an important efficiency metric. It is well known that quadratic communication is necessary for BA in the worst case due to a lower bound by Dolev and Reischuk. This lower bound has been shown to be tight for the unauthenticated setting with $f &lt; n/3$ by Berman et al. but a considerable gap remains for the authenticated setting with $n/3 \le f &lt; n/2$. This paper provides two results towards closing this gap. Both protocols have a quadratic communication complexity and have different trade-offs in resilience and assumptions. The first protocol achieves the optimal resilience of $f &lt; n/2$ but requires a trusted setup for threshold signature. The second protocol achieves near optimal resilience $f \le (1/2 - \varepsilon)n$ in the standard PKI model.</x:v>
      </x:c>
      <x:c r="L288" s="17" t="str">
        <x:v>http://arxiv.org/abs/2007.13175v4</x:v>
      </x:c>
      <x:c r="M288" s="23" t="n">
        <x:v>0.02967032967032967</x:v>
      </x:c>
      <x:c r="N288" s="17" t="str">
        <x:v>arxiv-paper-eval-20260726-140242-results.jsonl</x:v>
      </x:c>
      <x:c r="O288" s="24" t="str">
        <x:v>2</x:v>
      </x:c>
      <x:c r="P288" s="28" t="str">
        <x:v>研究认证拜占庭协议的最优通信复杂度及其理论上下界。</x:v>
      </x:c>
      <x:c r="Q288" s="25" t="str"/>
      <x:c r="R288" s="24" t="str">
        <x:f>IF(Q288&lt;&gt;"",Q288,O288)</x:f>
        <x:v>2</x:v>
      </x:c>
      <x:c r="S288" s="29" t="str"/>
    </x:row>
    <x:row r="289" ht="54" customHeight="1">
      <x:c r="A289" s="17" t="str">
        <x:v>csq015-r08</x:v>
      </x:c>
      <x:c r="B289" s="17" t="str">
        <x:v>csq015</x:v>
      </x:c>
      <x:c r="C289" s="17" t="str">
        <x:v>systems_and_networking</x:v>
      </x:c>
      <x:c r="D289" s="17" t="str">
        <x:v>distributed_consensus</x:v>
      </x:c>
      <x:c r="E289" s="27" t="str">
        <x:v>What are the main approaches for reducing communication and latency costs in Byzantine fault-tolerant consensus protocols?</x:v>
      </x:c>
      <x:c r="F289" s="22" t="n">
        <x:v>8</x:v>
      </x:c>
      <x:c r="G289" s="17" t="str">
        <x:v>arXiv:2202.02071</x:v>
      </x:c>
      <x:c r="H289" s="27" t="str">
        <x:v>Alea-BFT: Practical Asynchronous Byzantine Fault Tolerance</x:v>
      </x:c>
      <x:c r="I289" s="17" t="str">
        <x:v>Afonso Oliveira; Henrique Moniz; Rodrigo Rodrigues</x:v>
      </x:c>
      <x:c r="J289" s="22" t="n">
        <x:v>2022</x:v>
      </x:c>
      <x:c r="K289" s="27" t="str">
        <x:v>Traditional Byzantine Fault Tolerance (BFT) state machine replication protocols assume a partial synchrony model, leading to a design where a leader replica drives the protocol and is replaced after a timeout. Recently, we witnessed a surge of asynchronous BFT protocols that use randomization to remove the assumptions of bounds on message delivery times, making them more resilient to adverse network conditions. However, these protocols still fall short of being practical across a broad range of scenarios due to their cubic communication costs, use of expensive primitives, and overall protocol complexity. In this paper, we present Alea-BFT, the first asynchronous BFT protocol to achieve quadratic communication complexity, allowing it to scale to large networks. Alea-BFT brings the key design insight from classical protocols of concentrating part of the work on a single designated replica, and incorporates this principle in a two stage pipelined design, with an efficient broadcast led by the designated replica followed by an inexpensive binary agreement. We evaluated our prototype implementation across 10 sites in 4 continents, and our results show significant scalability gains from the proposed design.</x:v>
      </x:c>
      <x:c r="L289" s="17" t="str">
        <x:v>http://arxiv.org/abs/2202.02071v1</x:v>
      </x:c>
      <x:c r="M289" s="23" t="n">
        <x:v>0.029211087420042643</x:v>
      </x:c>
      <x:c r="N289" s="17" t="str">
        <x:v>arxiv-paper-eval-20260726-140242-results.jsonl</x:v>
      </x:c>
      <x:c r="O289" s="24" t="str">
        <x:v>2</x:v>
      </x:c>
      <x:c r="P289" s="28" t="str">
        <x:v>提出实用异步BFT并针对既有随机化协议的性能不足进行优化。</x:v>
      </x:c>
      <x:c r="Q289" s="25" t="str"/>
      <x:c r="R289" s="24" t="str">
        <x:f>IF(Q289&lt;&gt;"",Q289,O289)</x:f>
        <x:v>2</x:v>
      </x:c>
      <x:c r="S289" s="29" t="str"/>
    </x:row>
    <x:row r="290" ht="54" customHeight="1">
      <x:c r="A290" s="17" t="str">
        <x:v>csq015-r09</x:v>
      </x:c>
      <x:c r="B290" s="17" t="str">
        <x:v>csq015</x:v>
      </x:c>
      <x:c r="C290" s="17" t="str">
        <x:v>systems_and_networking</x:v>
      </x:c>
      <x:c r="D290" s="17" t="str">
        <x:v>distributed_consensus</x:v>
      </x:c>
      <x:c r="E290" s="27" t="str">
        <x:v>What are the main approaches for reducing communication and latency costs in Byzantine fault-tolerant consensus protocols?</x:v>
      </x:c>
      <x:c r="F290" s="22" t="n">
        <x:v>9</x:v>
      </x:c>
      <x:c r="G290" s="17" t="str">
        <x:v>arXiv:2310.06335</x:v>
      </x:c>
      <x:c r="H290" s="27" t="str">
        <x:v>BBCA-CHAIN: Low Latency, High Throughput BFT Consensus on a DAG</x:v>
      </x:c>
      <x:c r="I290" s="17" t="str">
        <x:v>Dahlia Malkhi; Chrysoula Stathakopoulou; Maofan Yin</x:v>
      </x:c>
      <x:c r="J290" s="22" t="n">
        <x:v>2023</x:v>
      </x:c>
      <x:c r="K290" s="27" t="str">
        <x:v>This paper presents a partially synchronous BFT consensus protocol powered by BBCA, a lightly modified Byzantine Consistent Broadcast (BCB) primitive. BBCA provides a Complete-Adopt semantic through an added probing interface to allow either aborting the broadcast by correct nodes or exclusively, adopting the message consistently in case of a potential delivery. It does not introduce any extra types of messages or additional communication costs to BCB. BBCA is harnessed into BBCA-CHAIN to make direct commits on a chained backbone of a causally ordered graph of blocks, without any additional voting blocks or artificial layering. With the help of Complete-Adopt, the additional knowledge gained from the underlying BCB completely removes the voting latency in popular DAG-based protocols. At the same time, causal ordering allows nodes to propose blocks in parallel and achieve high throughput. BBCA-CHAIN thus closes up the gap between protocols built by consistent broadcasts (e.g., Bullshark) to those without such an abstraction (e.g., PBFT/HotStuff), emphasizing their shared fundamental principles. Using a Bracha-style BCB as an example, we fully specify BBCA-CHAIN with simplicity, serving as a solid basis for high-performance replication systems (and blockchains).</x:v>
      </x:c>
      <x:c r="L290" s="17" t="str">
        <x:v>http://arxiv.org/abs/2310.06335v2</x:v>
      </x:c>
      <x:c r="M290" s="23" t="n">
        <x:v>0.028958333333333336</x:v>
      </x:c>
      <x:c r="N290" s="17" t="str">
        <x:v>arxiv-paper-eval-20260726-140242-results.jsonl</x:v>
      </x:c>
      <x:c r="O290" s="24" t="str">
        <x:v>2</x:v>
      </x:c>
      <x:c r="P290" s="28" t="str">
        <x:v>以广播原语和DAG链构建低延迟、高吞吐且不增加额外通信的共识。</x:v>
      </x:c>
      <x:c r="Q290" s="25" t="str"/>
      <x:c r="R290" s="24" t="str">
        <x:f>IF(Q290&lt;&gt;"",Q290,O290)</x:f>
        <x:v>2</x:v>
      </x:c>
      <x:c r="S290" s="29" t="str"/>
    </x:row>
    <x:row r="291" ht="54" customHeight="1">
      <x:c r="A291" s="17" t="str">
        <x:v>csq015-r10</x:v>
      </x:c>
      <x:c r="B291" s="17" t="str">
        <x:v>csq015</x:v>
      </x:c>
      <x:c r="C291" s="17" t="str">
        <x:v>systems_and_networking</x:v>
      </x:c>
      <x:c r="D291" s="17" t="str">
        <x:v>distributed_consensus</x:v>
      </x:c>
      <x:c r="E291" s="27" t="str">
        <x:v>What are the main approaches for reducing communication and latency costs in Byzantine fault-tolerant consensus protocols?</x:v>
      </x:c>
      <x:c r="F291" s="22" t="n">
        <x:v>10</x:v>
      </x:c>
      <x:c r="G291" s="17" t="str">
        <x:v>arXiv:2010.01387</x:v>
      </x:c>
      <x:c r="H291" s="27" t="str">
        <x:v>DuoBFT: Resilience vs. Performance Trade-off in Byzantine Fault Tolerance</x:v>
      </x:c>
      <x:c r="I291" s="17" t="str">
        <x:v>Balaji Arun; Binoy Ravindran</x:v>
      </x:c>
      <x:c r="J291" s="22" t="n">
        <x:v>2020</x:v>
      </x:c>
      <x:c r="K291" s="27" t="str">
        <x:v>This paper presents DuoBFT, a Byzantine fault-tolerant protocol that uses trusted components to provide commit decisions in the Hybrid fault model in addition to commit decisions in the BFT model. By doing so, it enables the clients to choose the response fault model for its commands. Internally, DuoBFT commits each client command under both the hybrid and Byzantine models, but since hybrid commits take fewer communication steps and use smaller quorums than BFT commits, clients can benefit from the low-latency commits in the hybrid model. DuoBFT uses a common view-change change protocol to handle both fault models. To achieve this, we enable a notion called Flexible Quorums in the hybrid fault model by revisiting the quorum intersection requirements in hybrid protocols. The flexible quorum technique enables having a hybrid view change quorum that is of the same size as a BFT view-change quorum. This paves a path for efficiently combining both the fault models within a single unified protocol. Our evaluation on a wide-area deployment reveal that DuoBFT can provide hybrid commits with 30% lower latency to existing protocols without sacrificing throughput. In absolute terms, DuoBFT provides sub-200-millisecond latency in a geographically replicated deployment.</x:v>
      </x:c>
      <x:c r="L291" s="17" t="str">
        <x:v>http://arxiv.org/abs/2010.01387v2</x:v>
      </x:c>
      <x:c r="M291" s="23" t="n">
        <x:v>0.01639344262295082</x:v>
      </x:c>
      <x:c r="N291" s="17" t="str">
        <x:v>arxiv-paper-eval-20260726-140242-results.jsonl</x:v>
      </x:c>
      <x:c r="O291" s="24" t="str">
        <x:v>2</x:v>
      </x:c>
      <x:c r="P291" s="28" t="str">
        <x:v>通过可信组件、更小法定人数和更少通信轮次实现性能与容错模型权衡。</x:v>
      </x:c>
      <x:c r="Q291" s="25" t="str"/>
      <x:c r="R291" s="24" t="str">
        <x:f>IF(Q291&lt;&gt;"",Q291,O291)</x:f>
        <x:v>2</x:v>
      </x:c>
      <x:c r="S291" s="29" t="str"/>
    </x:row>
    <x:row r="292" ht="54" customHeight="1">
      <x:c r="A292" s="17" t="str">
        <x:v>csq015-r11</x:v>
      </x:c>
      <x:c r="B292" s="17" t="str">
        <x:v>csq015</x:v>
      </x:c>
      <x:c r="C292" s="17" t="str">
        <x:v>systems_and_networking</x:v>
      </x:c>
      <x:c r="D292" s="17" t="str">
        <x:v>distributed_consensus</x:v>
      </x:c>
      <x:c r="E292" s="27" t="str">
        <x:v>What are the main approaches for reducing communication and latency costs in Byzantine fault-tolerant consensus protocols?</x:v>
      </x:c>
      <x:c r="F292" s="22" t="n">
        <x:v>11</x:v>
      </x:c>
      <x:c r="G292" s="17" t="str">
        <x:v>arXiv:2509.19478</x:v>
      </x:c>
      <x:c r="H292" s="27" t="str">
        <x:v>Investigating Sharding Advancements, Methodologies, and Adoption Potential in Hedera</x:v>
      </x:c>
      <x:c r="I292" s="17" t="str">
        <x:v>Ziwei Wang; Cong Wu; Paolo Tasca</x:v>
      </x:c>
      <x:c r="J292" s="22" t="n">
        <x:v>2025</x:v>
      </x:c>
      <x:c r="K292" s="27" t="str">
        <x:v>Sharding has emerged as a critical solution to address the scalability challenges faced by blockchain networks, enabling them to achieve higher transaction throughput, reduced latency, and optimized resource usage. This paper investigates the advancements, methodologies, and adoption potential of sharding in the context of Hedera, a distributed ledger technology known for its unique Gossip about Gossip protocol and asynchronous Byzantine Fault Tolerance (ABFT). We explore various academic and industrial sharding techniques, emphasizing their benefits and trade-offs. Building on these insights, we propose a hybrid sharding solution for Hedera that partitions the network into local and global committees, facilitating efficient cross-shard transactions and ensuring robust security through dynamic reconfiguration. Our analysis highlights significant reductions in storage and communication overhead, improved scalability, and enhanced fault tolerance, demonstrating the feasibility and advantages of integrating sharding into Hedera's architecture.</x:v>
      </x:c>
      <x:c r="L292" s="17" t="str">
        <x:v>http://arxiv.org/abs/2509.19478v1</x:v>
      </x:c>
      <x:c r="M292" s="23" t="n">
        <x:v>0.016129032258064516</x:v>
      </x:c>
      <x:c r="N292" s="17" t="str">
        <x:v>arxiv-paper-eval-20260726-140242-results.jsonl</x:v>
      </x:c>
      <x:c r="O292" s="24" t="str">
        <x:v>1</x:v>
      </x:c>
      <x:c r="P292" s="28" t="str">
        <x:v>讨论Hedera分片的吞吐、延迟和资源优化，但重点不是BFT协议通信机制。</x:v>
      </x:c>
      <x:c r="Q292" s="25" t="str"/>
      <x:c r="R292" s="24" t="str">
        <x:f>IF(Q292&lt;&gt;"",Q292,O292)</x:f>
        <x:v>1</x:v>
      </x:c>
      <x:c r="S292" s="29" t="str"/>
    </x:row>
    <x:row r="293" ht="54" customHeight="1">
      <x:c r="A293" s="17" t="str">
        <x:v>csq015-r12</x:v>
      </x:c>
      <x:c r="B293" s="17" t="str">
        <x:v>csq015</x:v>
      </x:c>
      <x:c r="C293" s="17" t="str">
        <x:v>systems_and_networking</x:v>
      </x:c>
      <x:c r="D293" s="17" t="str">
        <x:v>distributed_consensus</x:v>
      </x:c>
      <x:c r="E293" s="27" t="str">
        <x:v>What are the main approaches for reducing communication and latency costs in Byzantine fault-tolerant consensus protocols?</x:v>
      </x:c>
      <x:c r="F293" s="22" t="n">
        <x:v>12</x:v>
      </x:c>
      <x:c r="G293" s="17" t="str">
        <x:v>arXiv:2405.04606</x:v>
      </x:c>
      <x:c r="H293" s="27" t="str">
        <x:v>Probabilistic Byzantine Fault Tolerance (Extended Version)</x:v>
      </x:c>
      <x:c r="I293" s="17" t="str">
        <x:v>Diogo Avelãs; Hasan Heydari; Eduardo Alchieri; Tobias Distler; Alysson Bessani</x:v>
      </x:c>
      <x:c r="J293" s="22" t="n">
        <x:v>2024</x:v>
      </x:c>
      <x:c r="K293" s="27" t="str">
        <x:v>Consensus is a fundamental building block for constructing reliable and fault-tolerant distributed services. Many Byzantine fault-tolerant consensus protocols designed for partially synchronous systems adopt a pessimistic approach when dealing with adversaries, ensuring safety in a deterministic way even under the worst-case scenarios that adversaries can create. Following this approach typically results in either an increase in the message complexity (e.g., PBFT) or an increase in the number of communication steps (e.g., HotStuff). In practice, however, adversaries are not as powerful as the ones assumed by these protocols. Furthermore, it might suffice to ensure safety and liveness properties with high probability. In order to accommodate more realistic and optimistic adversaries and improve the scalability of the BFT consensus, we propose ProBFT (Probabilistic Byzantine Fault Tolerance). ProBFT is a leader-based probabilistic consensus protocol with a message complexity of $O(n\sqrt{n})$ and an optimal number of communication steps that tolerates Byzantine faults in permissioned partially synchronous systems. It is built on top of well-known primitives, such as probabilistic Byzantine quorums and verifiable random functions. ProBFT guarantees safety and liveness with high probabilities even with faulty leaders, as long as a supermajority of replicas is correct, and using only a fraction of messages employed in PBFT (e.g., $20\%$). We provide a detailed description of ProBFT's protocol and its analysis.</x:v>
      </x:c>
      <x:c r="L293" s="17" t="str">
        <x:v>http://arxiv.org/abs/2405.04606v3</x:v>
      </x:c>
      <x:c r="M293" s="23" t="n">
        <x:v>0.016129032258064516</x:v>
      </x:c>
      <x:c r="N293" s="17" t="str">
        <x:v>arxiv-paper-eval-20260726-140242-results.jsonl</x:v>
      </x:c>
      <x:c r="O293" s="24" t="str">
        <x:v>2</x:v>
      </x:c>
      <x:c r="P293" s="28" t="str">
        <x:v>从概率化容错出发讨论传统BFT的消息复杂度和副本数量代价。</x:v>
      </x:c>
      <x:c r="Q293" s="25" t="str"/>
      <x:c r="R293" s="24" t="str">
        <x:f>IF(Q293&lt;&gt;"",Q293,O293)</x:f>
        <x:v>2</x:v>
      </x:c>
      <x:c r="S293" s="29" t="str"/>
    </x:row>
    <x:row r="294" ht="54" customHeight="1">
      <x:c r="A294" s="17" t="str">
        <x:v>csq015-r13</x:v>
      </x:c>
      <x:c r="B294" s="17" t="str">
        <x:v>csq015</x:v>
      </x:c>
      <x:c r="C294" s="17" t="str">
        <x:v>systems_and_networking</x:v>
      </x:c>
      <x:c r="D294" s="17" t="str">
        <x:v>distributed_consensus</x:v>
      </x:c>
      <x:c r="E294" s="27" t="str">
        <x:v>What are the main approaches for reducing communication and latency costs in Byzantine fault-tolerant consensus protocols?</x:v>
      </x:c>
      <x:c r="F294" s="22" t="n">
        <x:v>13</x:v>
      </x:c>
      <x:c r="G294" s="17" t="str">
        <x:v>arXiv:2407.19863</x:v>
      </x:c>
      <x:c r="H294" s="27" t="str">
        <x:v>Half a Century of Distributed Byzantine Fault-Tolerant Consensus: Design Principles and Evolutionary Pathways</x:v>
      </x:c>
      <x:c r="I294" s="17" t="str">
        <x:v>Huanyu Wu; Chentao Yue; Yixuan Fan; Yonghui Li; Lei Zhang</x:v>
      </x:c>
      <x:c r="J294" s="22" t="n">
        <x:v>2024</x:v>
      </x:c>
      <x:c r="K294" s="27" t="str">
        <x:v>The concept of distributed consensus originated in the 1970s and gained widespread attention following Leslie Lamport's influential publication on the Byzantine Generals Problem in the 1980s. Over the past five decades, distributed consensus has become an extensively researched field. Practical Byzantine Fault Tolerance (PBFT) has emerged as a prominent and widely adopted solution due to its conceptual clarity, effectiveness, and resilience to arbitrary failures. However, PBFT does not universally address all scenarios, highlighting the necessity of developing a comprehensive understanding of the history, evolution, and foundational principles of distributed consensus. This article systematically reviews the historical evolution and foundational principles of distributed consensus, examining pivotal advancements including fault-tolerant state machine replication (SMR), consensus protocols in partially synchronous and asynchronous networks, and recent innovations in Directed Acyclic Graph (DAG)-based consensus mechanisms. We further analyse the core design rationales, essential components, and underlying primitives across various distributed fault-tolerant protocols. The relationship between BFT consensus mechanisms and their applications in environments requiring robust resilience against adversarial faults is also explored. Finally, we discuss emerging research areas and challenges, such as consensus for wireless and blockchain scenarios, highlighting potential future developments. This comprehensive overview offers valuable insights to inform the design, optimisation, and implementation of distributed consensus systems across multiple application scenarios.</x:v>
      </x:c>
      <x:c r="L294" s="17" t="str">
        <x:v>http://arxiv.org/abs/2407.19863v3</x:v>
      </x:c>
      <x:c r="M294" s="23" t="n">
        <x:v>0.016129032258064516</x:v>
      </x:c>
      <x:c r="N294" s="17" t="str">
        <x:v>arxiv-paper-eval-20260726-140242-results.jsonl</x:v>
      </x:c>
      <x:c r="O294" s="24" t="str">
        <x:v>2</x:v>
      </x:c>
      <x:c r="P294" s="28" t="str">
        <x:v>系统综述BFT共识演进和设计原则，可归纳通信与延迟优化路线。</x:v>
      </x:c>
      <x:c r="Q294" s="25" t="str"/>
      <x:c r="R294" s="24" t="str">
        <x:f>IF(Q294&lt;&gt;"",Q294,O294)</x:f>
        <x:v>2</x:v>
      </x:c>
      <x:c r="S294" s="29" t="str"/>
    </x:row>
    <x:row r="295" ht="54" customHeight="1">
      <x:c r="A295" s="17" t="str">
        <x:v>csq015-r14</x:v>
      </x:c>
      <x:c r="B295" s="17" t="str">
        <x:v>csq015</x:v>
      </x:c>
      <x:c r="C295" s="17" t="str">
        <x:v>systems_and_networking</x:v>
      </x:c>
      <x:c r="D295" s="17" t="str">
        <x:v>distributed_consensus</x:v>
      </x:c>
      <x:c r="E295" s="27" t="str">
        <x:v>What are the main approaches for reducing communication and latency costs in Byzantine fault-tolerant consensus protocols?</x:v>
      </x:c>
      <x:c r="F295" s="22" t="n">
        <x:v>14</x:v>
      </x:c>
      <x:c r="G295" s="17" t="str">
        <x:v>arXiv:2407.07899</x:v>
      </x:c>
      <x:c r="H295" s="27" t="str">
        <x:v>Spider: A BFT Architecture for Geo-Replicated Cloud Services</x:v>
      </x:c>
      <x:c r="I295" s="17" t="str">
        <x:v>Michael Eischer; Tobias Distler</x:v>
      </x:c>
      <x:c r="J295" s="22" t="n">
        <x:v>2024</x:v>
      </x:c>
      <x:c r="K295" s="27" t="str">
        <x:v>Traditionally, Byzantine fault tolerance (BFT) in geo-replicated systems is achieved by executing complex agreement protocols over large-distance communication links, and therefore typically incurs high response times. In this paper we address this problem with Spider, a resilient and modular BFT replication architecture for geo-distributed systems that leverages characteristic features of today's public-cloud infrastructures to minimize both complexity as well as latency. Spider is composed of multiple largely independent replica groups that each are distributed across different availability zones of their respective cloud region. This design offers the possibility to provide low response times by placing replica groups in close geographic distance to clients, while at the same time enabling intra-group communication over short-distance links. To handle the interaction between groups that is necessary for strong consistency, Spider uses a novel message-channel abstraction with first-in-first-out semantics and built-in flow control that greatly simplifies system design.</x:v>
      </x:c>
      <x:c r="L295" s="17" t="str">
        <x:v>http://arxiv.org/abs/2407.07899v1</x:v>
      </x:c>
      <x:c r="M295" s="23" t="n">
        <x:v>0.015873015873015872</x:v>
      </x:c>
      <x:c r="N295" s="17" t="str">
        <x:v>arxiv-paper-eval-20260726-140242-results.jsonl</x:v>
      </x:c>
      <x:c r="O295" s="24" t="str">
        <x:v>2</x:v>
      </x:c>
      <x:c r="P295" s="28" t="str">
        <x:v>以模块化地理复制架构减少跨地域BFT协议复杂度和响应延迟。</x:v>
      </x:c>
      <x:c r="Q295" s="25" t="str"/>
      <x:c r="R295" s="24" t="str">
        <x:f>IF(Q295&lt;&gt;"",Q295,O295)</x:f>
        <x:v>2</x:v>
      </x:c>
      <x:c r="S295" s="29" t="str"/>
    </x:row>
    <x:row r="296" ht="54" customHeight="1">
      <x:c r="A296" s="17" t="str">
        <x:v>csq015-r15</x:v>
      </x:c>
      <x:c r="B296" s="17" t="str">
        <x:v>csq015</x:v>
      </x:c>
      <x:c r="C296" s="17" t="str">
        <x:v>systems_and_networking</x:v>
      </x:c>
      <x:c r="D296" s="17" t="str">
        <x:v>distributed_consensus</x:v>
      </x:c>
      <x:c r="E296" s="27" t="str">
        <x:v>What are the main approaches for reducing communication and latency costs in Byzantine fault-tolerant consensus protocols?</x:v>
      </x:c>
      <x:c r="F296" s="22" t="n">
        <x:v>15</x:v>
      </x:c>
      <x:c r="G296" s="17" t="str">
        <x:v>arXiv:2003.13155</x:v>
      </x:c>
      <x:c r="H296" s="27" t="str">
        <x:v>Byzantine Agreement, Broadcast and State Machine Replication with Near-optimal Good-case Latency</x:v>
      </x:c>
      <x:c r="I296" s="17" t="str">
        <x:v>Ittai Abraham; Kartik Nayak; Ling Ren; Zhuolun Xiang</x:v>
      </x:c>
      <x:c r="J296" s="22" t="n">
        <x:v>2020</x:v>
      </x:c>
      <x:c r="K296" s="27" t="str">
        <x:v>This paper investigates the problem \textit{good-case latency} of Byzantine agreement, broadcast and state machine replication in the synchronous authenticated setting. The good-case latency measure captures the time it takes to reach agreement when all non-faulty parties have the same input (or in BB/SMR when the sender/leader is non-faulty). Previous result implies a lower bound showing that any Byzantine agreement or broadcast protocol tolerating more than $n/3$ faults must have a good-case latency of at least $Δ$, where $Δ$ is the assumed maximum message delay bound. Our first result is a family of protocols we call $1Δ$ that have near-optimal good-case latency. We propose a protocol $1Δ$-BA that solves Byzantine agreement in the synchronous and authenticated setting with near-optimal good-case latency of $Δ+2δ$ and optimal resilience $f&lt;n/2$, where $δ$ is the actual (unknown) delay bound. We then extend our protocol and present $1Δ$-BB and $1Δ$-SMR for Byzantine fault tolerant broadcast and state machine replication, respectively, in the same setting and with the same good-case latency of $Δ+2δ$ and $f&lt;n/2$ fault tolerance. Our $1Δ$-SMR upper bound improves the gap between the best current solution, Sync HotStuff, which obtains a good-case latency of $2Δ$ per command and the lower bound of $Δ$ on good-case latency. Finally, we investigate weaker notions of the synchronous setting and show how to adopt the $1Δ$ approach to these models.</x:v>
      </x:c>
      <x:c r="L296" s="17" t="str">
        <x:v>http://arxiv.org/abs/2003.13155v4</x:v>
      </x:c>
      <x:c r="M296" s="23" t="n">
        <x:v>0.015873015873015872</x:v>
      </x:c>
      <x:c r="N296" s="17" t="str">
        <x:v>arxiv-paper-eval-20260726-140242-results.jsonl</x:v>
      </x:c>
      <x:c r="O296" s="24" t="str">
        <x:v>2</x:v>
      </x:c>
      <x:c r="P296" s="28" t="str">
        <x:v>直接研究拜占庭协议在正常情形下的轮次与延迟上下界。</x:v>
      </x:c>
      <x:c r="Q296" s="25" t="str"/>
      <x:c r="R296" s="24" t="str">
        <x:f>IF(Q296&lt;&gt;"",Q296,O296)</x:f>
        <x:v>2</x:v>
      </x:c>
      <x:c r="S296" s="29" t="str"/>
    </x:row>
    <x:row r="297" ht="54" customHeight="1">
      <x:c r="A297" s="17" t="str">
        <x:v>csq015-r16</x:v>
      </x:c>
      <x:c r="B297" s="17" t="str">
        <x:v>csq015</x:v>
      </x:c>
      <x:c r="C297" s="17" t="str">
        <x:v>systems_and_networking</x:v>
      </x:c>
      <x:c r="D297" s="17" t="str">
        <x:v>distributed_consensus</x:v>
      </x:c>
      <x:c r="E297" s="27" t="str">
        <x:v>What are the main approaches for reducing communication and latency costs in Byzantine fault-tolerant consensus protocols?</x:v>
      </x:c>
      <x:c r="F297" s="22" t="n">
        <x:v>16</x:v>
      </x:c>
      <x:c r="G297" s="17" t="str">
        <x:v>arXiv:2508.10862</x:v>
      </x:c>
      <x:c r="H297" s="27" t="str">
        <x:v>Minimmit: Fast Finality with Even Faster Blocks</x:v>
      </x:c>
      <x:c r="I297" s="17" t="str">
        <x:v>Brendan Kobayashi Chou; Andrew Lewis-Pye; Patrick O'Grady</x:v>
      </x:c>
      <x:c r="J297" s="22" t="n">
        <x:v>2025</x:v>
      </x:c>
      <x:c r="K297" s="27" t="str">
        <x:v>Achieving low-latency consensus in geographically distributed systems remains a key challenge for blockchain and distributed database applications. To this end, there has been significant recent interest in State-Machine-Replication (SMR) protocols that achieve 2-round finality under the assumption that $5f+1\leq n$, where $n$ is the number of processors and $f$ bounds the number of processors that may exhibit Byzantine faults. In these protocols, instructions are organised into views, each led by a different designated leader, and 2-round finality means that a leader's proposal can be finalised after just a single round of voting, meaning two rounds overall (one round for the proposal and one for voting). We introduce Minimmit, a Byzantine-fault-tolerant SMR protocol with lower latency than previous 2-round finality approaches. Our key insight is that view progression and transaction finality can operate on different quorum thresholds without compromising safety or liveness. Experiments simulating a globally distributed network of 50 processors, uniformly assigned across ten virtual regions, show that the approach leads to a 23.1% reduction in view latency and a 10.7% reduction in transaction latency compared to the state-of-the-art.</x:v>
      </x:c>
      <x:c r="L297" s="17" t="str">
        <x:v>http://arxiv.org/abs/2508.10862v7</x:v>
      </x:c>
      <x:c r="M297" s="23" t="n">
        <x:v>0.015625</x:v>
      </x:c>
      <x:c r="N297" s="17" t="str">
        <x:v>arxiv-paper-eval-20260726-140242-results.jsonl</x:v>
      </x:c>
      <x:c r="O297" s="24" t="str">
        <x:v>2</x:v>
      </x:c>
      <x:c r="P297" s="28" t="str">
        <x:v>研究地理分布共识的两轮最终性和低延迟状态机复制。</x:v>
      </x:c>
      <x:c r="Q297" s="25" t="str"/>
      <x:c r="R297" s="24" t="str">
        <x:f>IF(Q297&lt;&gt;"",Q297,O297)</x:f>
        <x:v>2</x:v>
      </x:c>
      <x:c r="S297" s="29" t="str"/>
    </x:row>
    <x:row r="298" ht="54" customHeight="1">
      <x:c r="A298" s="17" t="str">
        <x:v>csq015-r17</x:v>
      </x:c>
      <x:c r="B298" s="17" t="str">
        <x:v>csq015</x:v>
      </x:c>
      <x:c r="C298" s="17" t="str">
        <x:v>systems_and_networking</x:v>
      </x:c>
      <x:c r="D298" s="17" t="str">
        <x:v>distributed_consensus</x:v>
      </x:c>
      <x:c r="E298" s="27" t="str">
        <x:v>What are the main approaches for reducing communication and latency costs in Byzantine fault-tolerant consensus protocols?</x:v>
      </x:c>
      <x:c r="F298" s="22" t="n">
        <x:v>17</x:v>
      </x:c>
      <x:c r="G298" s="17" t="str">
        <x:v>arXiv:2009.10965</x:v>
      </x:c>
      <x:c r="H298" s="27" t="str">
        <x:v>Fundamental Limits of Byzantine Agreement</x:v>
      </x:c>
      <x:c r="I298" s="17" t="str">
        <x:v>Jinyuan Chen</x:v>
      </x:c>
      <x:c r="J298" s="22" t="n">
        <x:v>2020</x:v>
      </x:c>
      <x:c r="K298" s="27" t="str">
        <x:v>Byzantine agreement (BA) is a distributed consensus problem where $n$ processors want to reach agreement on an $\ell$-bit message or value, but up to $t$ of the processors are dishonest or faulty. The challenge of this BA problem lies in achieving agreement despite the presence of dishonest processors who may arbitrarily deviate from the designed protocol. The quality of a BA protocol is measured primarily by using the following three parameters: the number of processors $n$ as a function of $t$ allowed (resilience); the number of rounds (round complexity, denoted by $r$); and the total number of communication bits (communication complexity, denoted by $b$). For any error-free BA protocol, the known lower bounds on those three parameters are $n\geq 3t+1$, $r\geq t+1$ and $b\geqΩ(\max\{n\ell, nt\})$, respectively, where a protocol that is guaranteed to be correct in all executions is said to be error free. In this work by using coding theory, together with graph theory and linear algebra, we design a coded BA protocol (termed as COOL) that achieves consensus on an $\ell$-bit message with optimal resilience, asymptotically optimal round complexity, and asymptotically optimal communication complexity when $\ell \geq t\log t$, simultaneously. The proposed COOL is an error-free and deterministic BA protocol that does not rely on cryptographic technique. It is secure against computationally unbounded adversary. With the achievable performance by the proposed COOL and the known lower bounds, we characterize the optimal communication complexity exponent as \[β^*(α,δ)=\max\{1+α,1+δ\}\] for $β= \lim_{n\to\infty}\log b/\log n$, $α=\lim_{n \to \infty} \log \ell/\log n$ and $δ=\lim_{n\to\infty} \log t/\log n$. This work reveals that coding is an effective approach for achieving the fundamental limits of Byzantine agreement and its variants.</x:v>
      </x:c>
      <x:c r="L298" s="17" t="str">
        <x:v>http://arxiv.org/abs/2009.10965v2</x:v>
      </x:c>
      <x:c r="M298" s="23" t="n">
        <x:v>0.015625</x:v>
      </x:c>
      <x:c r="N298" s="17" t="str">
        <x:v>arxiv-paper-eval-20260726-140242-results.jsonl</x:v>
      </x:c>
      <x:c r="O298" s="24" t="str">
        <x:v>2</x:v>
      </x:c>
      <x:c r="P298" s="28" t="str">
        <x:v>分析拜占庭协议的处理器、通信量和轮次等基本复杂度限制。</x:v>
      </x:c>
      <x:c r="Q298" s="25" t="str"/>
      <x:c r="R298" s="24" t="str">
        <x:f>IF(Q298&lt;&gt;"",Q298,O298)</x:f>
        <x:v>2</x:v>
      </x:c>
      <x:c r="S298" s="29" t="str"/>
    </x:row>
    <x:row r="299" ht="54" customHeight="1">
      <x:c r="A299" s="17" t="str">
        <x:v>csq015-r18</x:v>
      </x:c>
      <x:c r="B299" s="17" t="str">
        <x:v>csq015</x:v>
      </x:c>
      <x:c r="C299" s="17" t="str">
        <x:v>systems_and_networking</x:v>
      </x:c>
      <x:c r="D299" s="17" t="str">
        <x:v>distributed_consensus</x:v>
      </x:c>
      <x:c r="E299" s="27" t="str">
        <x:v>What are the main approaches for reducing communication and latency costs in Byzantine fault-tolerant consensus protocols?</x:v>
      </x:c>
      <x:c r="F299" s="22" t="n">
        <x:v>18</x:v>
      </x:c>
      <x:c r="G299" s="17" t="str">
        <x:v>arXiv:1907.11329</x:v>
      </x:c>
      <x:c r="H299" s="27" t="str">
        <x:v>On the Round Complexity of Randomized Byzantine Agreement</x:v>
      </x:c>
      <x:c r="I299" s="17" t="str">
        <x:v>Ran Cohen; Iftach Haitner; Nikolaos Makriyannis; Matan Orland; Alex Samorodnitsky</x:v>
      </x:c>
      <x:c r="J299" s="22" t="n">
        <x:v>2019</x:v>
      </x:c>
      <x:c r="K299" s="27" t="str">
        <x:v>We prove lower bounds on the round complexity of randomized Byzantine agreement (BA) protocols, bounding the halting probability of such protocols after one and two rounds. In particular, we prove that: (1) BA protocols resilient against $n/3$ [resp., $n/4$] corruptions terminate (under attack) at the end of the first round with probability at most $o(1)$ [resp., $1/2+ o(1)$]. (2) BA protocols resilient against a fraction of corruptions greater than $1/4$ terminate at the end of the second round with probability at most $1-Θ(1)$. (3) For a large class of protocols (including all BA protocols used in practice) and under a plausible combinatorial conjecture, BA protocols resilient against a fraction of corruptions greater than $1/3$ [resp., $1/4$] terminate at the end of the second round with probability at most $o(1)$ [resp., $1/2 + o(1)$]. The above bounds hold even when the parties use a trusted setup phase, e.g., a public-key infrastructure (PKI). The third bound essentially matches the recent protocol of Micali (ITCS'17) that tolerates up to $n/3$ corruptions and terminates at the end of the third round with constant probability.</x:v>
      </x:c>
      <x:c r="L299" s="17" t="str">
        <x:v>http://arxiv.org/abs/1907.11329v4</x:v>
      </x:c>
      <x:c r="M299" s="23" t="n">
        <x:v>0.015625</x:v>
      </x:c>
      <x:c r="N299" s="17" t="str">
        <x:v>arxiv-paper-eval-20260726-140242-results.jsonl</x:v>
      </x:c>
      <x:c r="O299" s="24" t="str">
        <x:v>2</x:v>
      </x:c>
      <x:c r="P299" s="28" t="str">
        <x:v>给出随机化拜占庭协议一至两轮终止概率下界，直接刻画延迟限制。</x:v>
      </x:c>
      <x:c r="Q299" s="25" t="str"/>
      <x:c r="R299" s="24" t="str">
        <x:f>IF(Q299&lt;&gt;"",Q299,O299)</x:f>
        <x:v>2</x:v>
      </x:c>
      <x:c r="S299" s="29" t="str"/>
    </x:row>
    <x:row r="300" ht="54" customHeight="1">
      <x:c r="A300" s="17" t="str">
        <x:v>csq015-r19</x:v>
      </x:c>
      <x:c r="B300" s="17" t="str">
        <x:v>csq015</x:v>
      </x:c>
      <x:c r="C300" s="17" t="str">
        <x:v>systems_and_networking</x:v>
      </x:c>
      <x:c r="D300" s="17" t="str">
        <x:v>distributed_consensus</x:v>
      </x:c>
      <x:c r="E300" s="27" t="str">
        <x:v>What are the main approaches for reducing communication and latency costs in Byzantine fault-tolerant consensus protocols?</x:v>
      </x:c>
      <x:c r="F300" s="22" t="n">
        <x:v>19</x:v>
      </x:c>
      <x:c r="G300" s="17" t="str">
        <x:v>arXiv:2306.03058</x:v>
      </x:c>
      <x:c r="H300" s="27" t="str">
        <x:v>Shoal: Improving DAG-BFT Latency And Robustness</x:v>
      </x:c>
      <x:c r="I300" s="17" t="str">
        <x:v>Alexander Spiegelman; Balaji Arun; Rati Gelashvili; Zekun Li</x:v>
      </x:c>
      <x:c r="J300" s="22" t="n">
        <x:v>2023</x:v>
      </x:c>
      <x:c r="K300" s="27" t="str">
        <x:v>The Narwhal system is a state-of-the-art Byzantine fault-tolerant scalable architecture that involves constructing a directed acyclic graph (DAG) of messages among a set of validators in a Blockchain network. Bullshark is a zero-overhead consensus protocol on top of the Narwhal's DAG that can order over 100k transactions per second. Unfortunately, the high throughput of Bullshark comes with a latency price due to the DAG construction, increasing the latency compared to the state-of-the-art leader-based BFT consensus protocols. We introduce Shoal, a protocol-agnostic framework for enhancing Narwhal-based consensus. By incorporating leader reputation and pipelining support for the first time, Shoal significantly reduces latency. Moreover, the combination of properties of the DAG construction and the leader reputation mechanism enables the elimination of timeouts in all but extremely uncommon scenarios in practice, a property we name Prevalent Responsiveness" (it strictly subsumes the established and often desired Optimistic Responsiveness property for BFT protocols). We integrated Shoal instantiated with Bullshark, the fastest existing Narwhal-based consensus protocol, in an open-source Blockchain project and provide experimental evaluations demonstrating up to 40% latency reduction in the failure-free executions, and up-to 80% reduction in executions with failures against the vanilla Bullshark implementation.</x:v>
      </x:c>
      <x:c r="L300" s="17" t="str">
        <x:v>http://arxiv.org/abs/2306.03058v2</x:v>
      </x:c>
      <x:c r="M300" s="23" t="n">
        <x:v>0.015384615384615385</x:v>
      </x:c>
      <x:c r="N300" s="17" t="str">
        <x:v>arxiv-paper-eval-20260726-140242-results.jsonl</x:v>
      </x:c>
      <x:c r="O300" s="24" t="str">
        <x:v>2</x:v>
      </x:c>
      <x:c r="P300" s="28" t="str">
        <x:v>针对DAG-BFT高吞吐带来的延迟代价提出改进。</x:v>
      </x:c>
      <x:c r="Q300" s="25" t="str"/>
      <x:c r="R300" s="24" t="str">
        <x:f>IF(Q300&lt;&gt;"",Q300,O300)</x:f>
        <x:v>2</x:v>
      </x:c>
      <x:c r="S300" s="29" t="str"/>
    </x:row>
    <x:row r="301" ht="54" customHeight="1">
      <x:c r="A301" s="17" t="str">
        <x:v>csq015-r20</x:v>
      </x:c>
      <x:c r="B301" s="17" t="str">
        <x:v>csq015</x:v>
      </x:c>
      <x:c r="C301" s="17" t="str">
        <x:v>systems_and_networking</x:v>
      </x:c>
      <x:c r="D301" s="17" t="str">
        <x:v>distributed_consensus</x:v>
      </x:c>
      <x:c r="E301" s="27" t="str">
        <x:v>What are the main approaches for reducing communication and latency costs in Byzantine fault-tolerant consensus protocols?</x:v>
      </x:c>
      <x:c r="F301" s="22" t="n">
        <x:v>20</x:v>
      </x:c>
      <x:c r="G301" s="17" t="str">
        <x:v>arXiv:2504.16853</x:v>
      </x:c>
      <x:c r="H301" s="27" t="str">
        <x:v>Formal Verification of Blockchain Nonforking in DAG-Based BFT Consensus with Dynamic Stake</x:v>
      </x:c>
      <x:c r="I301" s="17" t="str">
        <x:v>Alessandro Coglio; Eric McCarthy</x:v>
      </x:c>
      <x:c r="J301" s="22" t="n">
        <x:v>2025</x:v>
      </x:c>
      <x:c r="K301" s="27" t="str">
        <x:v>Blockchain consensus protocols enable participants to agree on consistent views of the blockchain that may be ahead or behind relative to each other but do not fork into different chains. A number of recently popular Byzantine-fault-tolerant (BFT) protocols first construct a directed acyclic graph (DAG) that partially orders transactions, then linearize the DAG into a blockchain that totally orders transactions. The definitions and correctness proofs of these DAG-based protocols typically assume that the set of participants is fixed, which is impractical in long-lived blockchains. Additionally, only a few of those proofs have been machine-checked, uncovering errors in some published proofs. We developed a formal model of a DAG-based BFT protocol with dynamic stake, where participants can join and leave at every block, with stake used to weigh decisions in the protocol. We formally proved that blockchains never fork in the model, also clarifying how BFT bounds on faulty participants generalize to these highly dynamic sets of participants. Our model and proofs are formalized in the ACL2 theorem prover, apply to arbitrarily long executions and arbitrarily large system states, and are verified in 1 minute by ACL2.</x:v>
      </x:c>
      <x:c r="L301" s="17" t="str">
        <x:v>http://arxiv.org/abs/2504.16853v1</x:v>
      </x:c>
      <x:c r="M301" s="23" t="n">
        <x:v>0.015151515151515152</x:v>
      </x:c>
      <x:c r="N301" s="17" t="str">
        <x:v>arxiv-paper-eval-20260726-140242-results.jsonl</x:v>
      </x:c>
      <x:c r="O301" s="24" t="str">
        <x:v>1</x:v>
      </x:c>
      <x:c r="P301" s="28" t="str">
        <x:v>重点是动态权益DAG-BFT的不分叉形式化验证，而非降低通信或延迟。</x:v>
      </x:c>
      <x:c r="Q301" s="25" t="str"/>
      <x:c r="R301" s="24" t="str">
        <x:f>IF(Q301&lt;&gt;"",Q301,O301)</x:f>
        <x:v>1</x:v>
      </x:c>
      <x:c r="S301" s="29" t="str"/>
    </x:row>
    <x:row r="302" ht="54" customHeight="1">
      <x:c r="A302" s="17" t="str">
        <x:v>csq016-r01</x:v>
      </x:c>
      <x:c r="B302" s="17" t="str">
        <x:v>csq016</x:v>
      </x:c>
      <x:c r="C302" s="17" t="str">
        <x:v>systems_and_networking</x:v>
      </x:c>
      <x:c r="D302" s="17" t="str">
        <x:v>serverless_computing</x:v>
      </x:c>
      <x:c r="E302" s="27" t="str">
        <x:v>How do research systems mitigate cold starts in serverless computing, and how do prewarming, snapshotting, and prediction-based approaches compare?</x:v>
      </x:c>
      <x:c r="F302" s="22" t="n">
        <x:v>1</x:v>
      </x:c>
      <x:c r="G302" s="17" t="str">
        <x:v>arXiv:1903.12221</x:v>
      </x:c>
      <x:c r="H302" s="27" t="str">
        <x:v>Mitigating Cold Starts in Serverless Platforms: A Pool-Based Approach</x:v>
      </x:c>
      <x:c r="I302" s="17" t="str">
        <x:v>Ping-Min Lin; Alex Glikson</x:v>
      </x:c>
      <x:c r="J302" s="22" t="n">
        <x:v>2019</x:v>
      </x:c>
      <x:c r="K302" s="27" t="str">
        <x:v>Rapid adoption of the serverless (or Function-as-a-Service, FaaS) paradigm, pioneered by Amazon with AWS Lambda and followed by numerous commercial offerings and open source projects, introduces new challenges in designing the cloud infrastructure, balancing between performance and cost. While instant per-request elasticity that FaaS platforms typically offer application developers makes it possible to achieve high performance of bursty workloads without over-provisioning, such elasticity often involves extra latency associated with on-demand provisioning of individual runtime containers that serve the functions. This phenomenon is often called cold starts, as opposed to the situation when a function is served by a pre-provisioned "warm" container, ready to serve requests with close to zero overhead. Providers are constantly working on techniques aimed at reducing cold starts. A common approach to reduce cold starts is to maintain a pool of warm containers, in anticipation of future requests. In this report, we address the cold start problem in serverless architectures, specifically under the Knative Serving FaaS platform. We describe our implementation leveraging a pool of function instances, and evaluate the latency compared to the original implementation, resulting in a 85% reduction of P99 response time for a single instance pool.</x:v>
      </x:c>
      <x:c r="L302" s="17" t="str">
        <x:v>http://arxiv.org/abs/1903.12221v1</x:v>
      </x:c>
      <x:c r="M302" s="23" t="n">
        <x:v>0.04741797364748185</x:v>
      </x:c>
      <x:c r="N302" s="17" t="str">
        <x:v>arxiv-paper-eval-20260726-140242-results.jsonl</x:v>
      </x:c>
      <x:c r="O302" s="24" t="str">
        <x:v>2</x:v>
      </x:c>
      <x:c r="P302" s="28" t="str">
        <x:v>以函数池复用和预备资源缓解冷启动，直接属于预热类方案。</x:v>
      </x:c>
      <x:c r="Q302" s="25" t="str"/>
      <x:c r="R302" s="24" t="str">
        <x:f>IF(Q302&lt;&gt;"",Q302,O302)</x:f>
        <x:v>2</x:v>
      </x:c>
      <x:c r="S302" s="29" t="str"/>
    </x:row>
    <x:row r="303" ht="54" customHeight="1">
      <x:c r="A303" s="17" t="str">
        <x:v>csq016-r02</x:v>
      </x:c>
      <x:c r="B303" s="17" t="str">
        <x:v>csq016</x:v>
      </x:c>
      <x:c r="C303" s="17" t="str">
        <x:v>systems_and_networking</x:v>
      </x:c>
      <x:c r="D303" s="17" t="str">
        <x:v>serverless_computing</x:v>
      </x:c>
      <x:c r="E303" s="27" t="str">
        <x:v>How do research systems mitigate cold starts in serverless computing, and how do prewarming, snapshotting, and prediction-based approaches compare?</x:v>
      </x:c>
      <x:c r="F303" s="22" t="n">
        <x:v>2</x:v>
      </x:c>
      <x:c r="G303" s="17" t="str">
        <x:v>arXiv:2105.13894</x:v>
      </x:c>
      <x:c r="H303" s="27" t="str">
        <x:v>Performance Evaluation of Snapshot Methods to Warm the Serverless Cold Start</x:v>
      </x:c>
      <x:c r="I303" s="17" t="str">
        <x:v>Paulo Silva; Thiago Emmanuel Pereira</x:v>
      </x:c>
      <x:c r="J303" s="22" t="n">
        <x:v>2021</x:v>
      </x:c>
      <x:c r="K303" s="27" t="str">
        <x:v>The serverless computing model strengthens the cloud computing tendency to abstract resource management. Serverless platforms are responsible for deploying and scaling the developer's applications. Serverless also incorporated the pay-as-you-go billing model, which only considers the time spent processing client requests. Such a decision created a natural incentive for improving the platform's efficient resource usage. This search for efficiency can lead to the cold start problem, which represents a delay to execute serverless applications. Among the solutions proposed to deal with the cold start, those based on the snapshot method stand out. Despite the rich exploration of the technique, there is a lack of research that evaluates the solution's trade-offs. In this direction, this work compares two solutions to mitigate the cold start: Prebaking and SEUSS. We analyzed the solution's performance with functions of different levels of complexity: NoOp, a function that renders Markdown to HTML, and a function that loads 41 MB of dependencies. Preliminary results indicated that Prebaking showed a 33% and 25% superior performance to startup the NoOp and Markdown functions, respectively. Further analysis also revealed that Prebaking's warmup mechanism reduced the Markdown first request processing time by 69%.</x:v>
      </x:c>
      <x:c r="L303" s="17" t="str">
        <x:v>http://arxiv.org/abs/2105.13894v1</x:v>
      </x:c>
      <x:c r="M303" s="23" t="n">
        <x:v>0.04701522850420374</x:v>
      </x:c>
      <x:c r="N303" s="17" t="str">
        <x:v>arxiv-paper-eval-20260726-140242-results.jsonl</x:v>
      </x:c>
      <x:c r="O303" s="24" t="str">
        <x:v>2</x:v>
      </x:c>
      <x:c r="P303" s="28" t="str">
        <x:v>专门评估多种快照方法对Serverless冷启动性能的影响。</x:v>
      </x:c>
      <x:c r="Q303" s="25" t="str"/>
      <x:c r="R303" s="24" t="str">
        <x:f>IF(Q303&lt;&gt;"",Q303,O303)</x:f>
        <x:v>2</x:v>
      </x:c>
      <x:c r="S303" s="29" t="str"/>
    </x:row>
    <x:row r="304" ht="54" customHeight="1">
      <x:c r="A304" s="17" t="str">
        <x:v>csq016-r03</x:v>
      </x:c>
      <x:c r="B304" s="17" t="str">
        <x:v>csq016</x:v>
      </x:c>
      <x:c r="C304" s="17" t="str">
        <x:v>systems_and_networking</x:v>
      </x:c>
      <x:c r="D304" s="17" t="str">
        <x:v>serverless_computing</x:v>
      </x:c>
      <x:c r="E304" s="27" t="str">
        <x:v>How do research systems mitigate cold starts in serverless computing, and how do prewarming, snapshotting, and prediction-based approaches compare?</x:v>
      </x:c>
      <x:c r="F304" s="22" t="n">
        <x:v>3</x:v>
      </x:c>
      <x:c r="G304" s="17" t="str">
        <x:v>arXiv:2109.13319</x:v>
      </x:c>
      <x:c r="H304" s="27" t="str">
        <x:v>How Low Can You Go? Practical cold-start performance limits in FaaS</x:v>
      </x:c>
      <x:c r="I304" s="17" t="str">
        <x:v>Yue Tan; David Liu; Nanqinqin Li; Amit Levy</x:v>
      </x:c>
      <x:c r="J304" s="22" t="n">
        <x:v>2021</x:v>
      </x:c>
      <x:c r="K304" s="27" t="str">
        <x:v>Function-as-a-Service (FaaS) has recently emerged as a new cloud computing paradigm. It promises high utilization of data center resources through allocating resources on demand at per-function request granularity. High cold-start overheads, however, have been limiting FaaS systems' such potential. Prior work has recognized that time redundancy exists across different cold function invocations and has proposed varied snapshots that capture the instantaneous execution state so allow for jump-starts through restoration. However, it remains unclear what the cold-start performance limits are as the previous snapshots employ different techniques and aredesigned for different environments. In this paper, we summarize these snapshots from a taxonomic perspective andpresent a model that depicts the cold-start performance fromfirst principles. To approximate the performance limits, we propose a snapshot design SnapFaaS. We evaluate SnapFaaS using real-world FaaS functions. Our empirical results prove SnapFaaS' efficiency. It is 2-10x as fast as prior work for most functions and achieves near-optimal cold-start performance.</x:v>
      </x:c>
      <x:c r="L304" s="17" t="str">
        <x:v>http://arxiv.org/abs/2109.13319v1</x:v>
      </x:c>
      <x:c r="M304" s="23" t="n">
        <x:v>0.04689826302729529</x:v>
      </x:c>
      <x:c r="N304" s="17" t="str">
        <x:v>arxiv-paper-eval-20260726-140242-results.jsonl</x:v>
      </x:c>
      <x:c r="O304" s="24" t="str">
        <x:v>2</x:v>
      </x:c>
      <x:c r="P304" s="28" t="str">
        <x:v>研究FaaS快照跳启动的实际性能极限和可消除的冗余。</x:v>
      </x:c>
      <x:c r="Q304" s="25" t="str"/>
      <x:c r="R304" s="24" t="str">
        <x:f>IF(Q304&lt;&gt;"",Q304,O304)</x:f>
        <x:v>2</x:v>
      </x:c>
      <x:c r="S304" s="29" t="str"/>
    </x:row>
    <x:row r="305" ht="54" customHeight="1">
      <x:c r="A305" s="17" t="str">
        <x:v>csq016-r04</x:v>
      </x:c>
      <x:c r="B305" s="17" t="str">
        <x:v>csq016</x:v>
      </x:c>
      <x:c r="C305" s="17" t="str">
        <x:v>systems_and_networking</x:v>
      </x:c>
      <x:c r="D305" s="17" t="str">
        <x:v>serverless_computing</x:v>
      </x:c>
      <x:c r="E305" s="27" t="str">
        <x:v>How do research systems mitigate cold starts in serverless computing, and how do prewarming, snapshotting, and prediction-based approaches compare?</x:v>
      </x:c>
      <x:c r="F305" s="22" t="n">
        <x:v>4</x:v>
      </x:c>
      <x:c r="G305" s="17" t="str">
        <x:v>arXiv:2508.07640</x:v>
      </x:c>
      <x:c r="H305" s="27" t="str">
        <x:v>Taming Cold Starts: Proactive Serverless Scheduling with Model Predictive Control</x:v>
      </x:c>
      <x:c r="I305" s="17" t="str">
        <x:v>Chanh Nguyen; Monowar Bhuyan; Erik Elmroth</x:v>
      </x:c>
      <x:c r="J305" s="22" t="n">
        <x:v>2025</x:v>
      </x:c>
      <x:c r="K305" s="27" t="str">
        <x:v>Serverless computing has transformed cloud application deployment by introducing a fine-grained, event-driven execution model that abstracts away infrastructure management. Its on-demand nature makes it especially appealing for latency-sensitive and bursty workloads. However, the cold start problem, i.e., where the platform incurs significant delay when provisioning new containers, remains the Achilles' heel of such platforms. This paper presents a predictive serverless scheduling framework based on Model Predictive Control to proactively mitigate cold starts, thereby improving end-to-end response time. By forecasting future invocations, the controller jointly optimizes container prewarming and request dispatching, improving latency while minimizing resource overhead. We implement our approach on Apache OpenWhisk, deployed on a Kubernetes-based testbed. Experimental results using real-world function traces and synthetic workloads demonstrate that our method significantly outperforms state-of-the-art baselines, achieving up to 85% lower tail latency and a 34% reduction in resource usage.</x:v>
      </x:c>
      <x:c r="L305" s="17" t="str">
        <x:v>http://arxiv.org/abs/2508.07640v2</x:v>
      </x:c>
      <x:c r="M305" s="23" t="n">
        <x:v>0.04615534738485558</x:v>
      </x:c>
      <x:c r="N305" s="17" t="str">
        <x:v>arxiv-paper-eval-20260726-140242-results.jsonl</x:v>
      </x:c>
      <x:c r="O305" s="24" t="str">
        <x:v>2</x:v>
      </x:c>
      <x:c r="P305" s="28" t="str">
        <x:v>用模型预测控制主动调度和预置容器，直接属于预测式缓解。</x:v>
      </x:c>
      <x:c r="Q305" s="25" t="str"/>
      <x:c r="R305" s="24" t="str">
        <x:f>IF(Q305&lt;&gt;"",Q305,O305)</x:f>
        <x:v>2</x:v>
      </x:c>
      <x:c r="S305" s="29" t="str"/>
    </x:row>
    <x:row r="306" ht="54" customHeight="1">
      <x:c r="A306" s="17" t="str">
        <x:v>csq016-r05</x:v>
      </x:c>
      <x:c r="B306" s="17" t="str">
        <x:v>csq016</x:v>
      </x:c>
      <x:c r="C306" s="17" t="str">
        <x:v>systems_and_networking</x:v>
      </x:c>
      <x:c r="D306" s="17" t="str">
        <x:v>serverless_computing</x:v>
      </x:c>
      <x:c r="E306" s="27" t="str">
        <x:v>How do research systems mitigate cold starts in serverless computing, and how do prewarming, snapshotting, and prediction-based approaches compare?</x:v>
      </x:c>
      <x:c r="F306" s="22" t="n">
        <x:v>5</x:v>
      </x:c>
      <x:c r="G306" s="17" t="str">
        <x:v>arXiv:2504.11338</x:v>
      </x:c>
      <x:c r="H306" s="27" t="str">
        <x:v>Transformer-Based Model for Cold Start Mitigation in FaaS Architecture</x:v>
      </x:c>
      <x:c r="I306" s="17" t="str">
        <x:v>Alexandre Savi Fayam Mbala Mouen; Jerry Lacmou Zeutouo; Vianney Kengne Tchendji</x:v>
      </x:c>
      <x:c r="J306" s="22" t="n">
        <x:v>2025</x:v>
      </x:c>
      <x:c r="K306" s="27" t="str">
        <x:v>Serverless architectures, particularly the Function as a Service (FaaS) model, have become a cornerstone of modern cloud computing due to their ability to simplify resource management and enhance application deployment agility. However, a significant challenge remains: the cold start problem. This phenomenon occurs when an idle FaaS function is invoked, requiring a full initialization process, which increases latency and degrades user experience. Existing solutions for cold start mitigation are limited in terms of invocation pattern generalization and implementation complexity. In this study, we propose an innovative approach leveraging Transformer models to mitigate the impact of cold starts in FaaS architectures. Our solution excels in accurately modeling function initialization delays and optimizing serverless system performance. Experimental evaluation using a public dataset provided by Azure demonstrates a significant reduction in cold start times, reaching up to 79\% compared to conventional methods.</x:v>
      </x:c>
      <x:c r="L306" s="17" t="str">
        <x:v>http://arxiv.org/abs/2504.11338v1</x:v>
      </x:c>
      <x:c r="M306" s="23" t="n">
        <x:v>0.03278688524590164</x:v>
      </x:c>
      <x:c r="N306" s="17" t="str">
        <x:v>arxiv-paper-eval-20260726-140242-results.jsonl</x:v>
      </x:c>
      <x:c r="O306" s="24" t="str">
        <x:v>2</x:v>
      </x:c>
      <x:c r="P306" s="28" t="str">
        <x:v>用Transformer预测调用并缓解FaaS冷启动。</x:v>
      </x:c>
      <x:c r="Q306" s="25" t="str"/>
      <x:c r="R306" s="24" t="str">
        <x:f>IF(Q306&lt;&gt;"",Q306,O306)</x:f>
        <x:v>2</x:v>
      </x:c>
      <x:c r="S306" s="29" t="str"/>
    </x:row>
    <x:row r="307" ht="54" customHeight="1">
      <x:c r="A307" s="17" t="str">
        <x:v>csq016-r06</x:v>
      </x:c>
      <x:c r="B307" s="17" t="str">
        <x:v>csq016</x:v>
      </x:c>
      <x:c r="C307" s="17" t="str">
        <x:v>systems_and_networking</x:v>
      </x:c>
      <x:c r="D307" s="17" t="str">
        <x:v>serverless_computing</x:v>
      </x:c>
      <x:c r="E307" s="27" t="str">
        <x:v>How do research systems mitigate cold starts in serverless computing, and how do prewarming, snapshotting, and prediction-based approaches compare?</x:v>
      </x:c>
      <x:c r="F307" s="22" t="n">
        <x:v>6</x:v>
      </x:c>
      <x:c r="G307" s="17" t="str">
        <x:v>arXiv:2207.08175</x:v>
      </x:c>
      <x:c r="H307" s="27" t="str">
        <x:v>FaaSLight: General Application-Level Cold-Start Latency Optimization for Function-as-a-Service in Serverless Computing</x:v>
      </x:c>
      <x:c r="I307" s="17" t="str">
        <x:v>Xuanzhe Liu; Jinfeng Wen; Zhenpeng Chen; Ding Li; Junkai Chen; Yi Liu; Haoyu Wang; Xin Jin</x:v>
      </x:c>
      <x:c r="J307" s="22" t="n">
        <x:v>2022</x:v>
      </x:c>
      <x:c r="K307" s="27" t="str">
        <x:v>Serverless computing is a popular cloud computing paradigm that frees developers from server management. Function-as-a-Service (FaaS) is the most popular implementation of serverless computing, representing applications as event-driven and stateless functions. However, existing studies report that functions of FaaS applications severely suffer from cold-start latency. In this paper, we propose an approach namely FaaSLight to accelerating the cold start for FaaS applications through application-level optimization. We first conduct a measurement study to investigate the possible root cause of the cold start problem of FaaS. The result shows that application code loading latency is a significant overhead. Therefore, loading only indispensable code from FaaS applications can be an adequate solution. Based on this insight, we identify code related to application functionalities by constructing the function-level call graph, and separate other code (i.e., optional code) from FaaS applications. The separated optional code can be loaded on demand to avoid the inaccurate identification of indispensable code causing application failure. In particular, a key principle guiding the design of FaaSLight is inherently general, i.e., platform- and language-agnostic. The evaluation results on real-world FaaS applications show that FaaSLight can significantly reduce the code loading latency (up to 78.95%, 28.78% on average), thereby reducing the cold-start latency. As a result, the total response latency of functions can be decreased by up to 42.05% (19.21% on average). Compared with the state-of-the-art, FaaSLight achieves a 21.25X improvement in reducing the average total response latency.</x:v>
      </x:c>
      <x:c r="L307" s="17" t="str">
        <x:v>http://arxiv.org/abs/2207.08175v2</x:v>
      </x:c>
      <x:c r="M307" s="23" t="n">
        <x:v>0.031754032258064516</x:v>
      </x:c>
      <x:c r="N307" s="17" t="str">
        <x:v>arxiv-paper-eval-20260726-140242-results.jsonl</x:v>
      </x:c>
      <x:c r="O307" s="24" t="str">
        <x:v>2</x:v>
      </x:c>
      <x:c r="P307" s="28" t="str">
        <x:v>从应用层减少FaaS初始化工作，直接优化冷启动延迟。</x:v>
      </x:c>
      <x:c r="Q307" s="25" t="str"/>
      <x:c r="R307" s="24" t="str">
        <x:f>IF(Q307&lt;&gt;"",Q307,O307)</x:f>
        <x:v>2</x:v>
      </x:c>
      <x:c r="S307" s="29" t="str"/>
    </x:row>
    <x:row r="308" ht="54" customHeight="1">
      <x:c r="A308" s="17" t="str">
        <x:v>csq016-r07</x:v>
      </x:c>
      <x:c r="B308" s="17" t="str">
        <x:v>csq016</x:v>
      </x:c>
      <x:c r="C308" s="17" t="str">
        <x:v>systems_and_networking</x:v>
      </x:c>
      <x:c r="D308" s="17" t="str">
        <x:v>serverless_computing</x:v>
      </x:c>
      <x:c r="E308" s="27" t="str">
        <x:v>How do research systems mitigate cold starts in serverless computing, and how do prewarming, snapshotting, and prediction-based approaches compare?</x:v>
      </x:c>
      <x:c r="F308" s="22" t="n">
        <x:v>7</x:v>
      </x:c>
      <x:c r="G308" s="17" t="str">
        <x:v>arXiv:2206.15176</x:v>
      </x:c>
      <x:c r="H308" s="27" t="str">
        <x:v>A Time Series Forecasting Approach to Minimize Cold Start Time in Cloud-Serverless Platform</x:v>
      </x:c>
      <x:c r="I308" s="17" t="str">
        <x:v>Akash Puliyadi Jegannathan; Rounak Saha; Sourav Kanti Addya</x:v>
      </x:c>
      <x:c r="J308" s="22" t="n">
        <x:v>2022</x:v>
      </x:c>
      <x:c r="K308" s="27" t="str">
        <x:v>Serverless computing is a buzzword that is being used commonly in the world of technology and among developers and businesses. Using the Function-as-a-Service (FaaS) model of serverless, one can easily deploy their applications to the cloud and go live in a matter of days, it facilitates the developers to focus on their core business logic and the backend process such as managing the infrastructure, scaling of the application, updation of software and other dependencies is handled by the Cloud Service Provider. One of the features of serverless computing is ability to scale the containers to zero, which results in a problem called cold start. The challenging part is to reduce the cold start latency without the consumption of extra resources. In this paper, we use SARIMA (Seasonal Auto Regressive Integrated Moving Average), one of the classical time series forecasting models to predict the time at which the incoming request comes, and accordingly increase or decrease the amount of required containers to minimize the resource wastage, thus reducing the function launching time. Finally, we implement PBA (Prediction Based Autoscaler) and compare it with the default HPA (Horizontal Pod Autoscaler), which comes inbuilt with kubernetes. The results showed that PBA performs fairly better than the default HPA, while reducing the wastage of resources.</x:v>
      </x:c>
      <x:c r="L308" s="17" t="str">
        <x:v>http://arxiv.org/abs/2206.15176v1</x:v>
      </x:c>
      <x:c r="M308" s="23" t="n">
        <x:v>0.0304147465437788</x:v>
      </x:c>
      <x:c r="N308" s="17" t="str">
        <x:v>arxiv-paper-eval-20260726-140242-results.jsonl</x:v>
      </x:c>
      <x:c r="O308" s="24" t="str">
        <x:v>2</x:v>
      </x:c>
      <x:c r="P308" s="28" t="str">
        <x:v>以时间序列预测预先配置资源，属于预测式冷启动缓解。</x:v>
      </x:c>
      <x:c r="Q308" s="25" t="str"/>
      <x:c r="R308" s="24" t="str">
        <x:f>IF(Q308&lt;&gt;"",Q308,O308)</x:f>
        <x:v>2</x:v>
      </x:c>
      <x:c r="S308" s="29" t="str"/>
    </x:row>
    <x:row r="309" ht="54" customHeight="1">
      <x:c r="A309" s="17" t="str">
        <x:v>csq016-r08</x:v>
      </x:c>
      <x:c r="B309" s="17" t="str">
        <x:v>csq016</x:v>
      </x:c>
      <x:c r="C309" s="17" t="str">
        <x:v>systems_and_networking</x:v>
      </x:c>
      <x:c r="D309" s="17" t="str">
        <x:v>serverless_computing</x:v>
      </x:c>
      <x:c r="E309" s="27" t="str">
        <x:v>How do research systems mitigate cold starts in serverless computing, and how do prewarming, snapshotting, and prediction-based approaches compare?</x:v>
      </x:c>
      <x:c r="F309" s="22" t="n">
        <x:v>8</x:v>
      </x:c>
      <x:c r="G309" s="17" t="str">
        <x:v>arXiv:2504.19283</x:v>
      </x:c>
      <x:c r="H309" s="27" t="str">
        <x:v>Efficient Serverless Cold Start: Reducing Library Loading Overhead by Profile-guided Optimization</x:v>
      </x:c>
      <x:c r="I309" s="17" t="str">
        <x:v>Syed Salauddin Mohammad Tariq; Ali Al Zein; Soumya Sripad Vaidya; Arati Khanolkar; Zheng Song; Probir Roy</x:v>
      </x:c>
      <x:c r="J309" s="22" t="n">
        <x:v>2025</x:v>
      </x:c>
      <x:c r="K309" s="27" t="str">
        <x:v>Serverless computing abstracts away server management, enabling automatic scaling, efficient resource utilization, and cost-effective pricing models. However, despite these advantages, it faces the significant challenge of cold-start latency, adversely impacting end-to-end performance. Our study shows that many serverless functions initialize libraries that are rarely or never used under typical workloads, thus introducing unnecessary overhead. Although existing static analysis techniques can identify unreachable libraries, they fail to address workload-dependent inefficiencies, resulting in limited performance improvements. To overcome these limitations, we present SLIMSTART, a profile-guided optimization tool designed to identify and mitigate inefficient library usage patterns in serverless applications. By leveraging statistical sampling and call-path profiling, SLIMSTART collects runtime library usage data, generates detailed optimization reports, and applies automated code transformations to reduce cold-start overhead. Furthermore, SLIMSTART integrates seamlessly into CI/CD pipelines, enabling adaptive monitoring and continuous optimizations tailored to evolving workloads. Through extensive evaluation across three benchmark suites and four real-world serverless applications, SLIMSTART achieves up to a 2.30X speedup in initialization latency, a 2.26X improvement in end-to-end latency, and a 1.51X reduction in memory usage, demonstrating its effectiveness in addressing cold-start inefficiencies and optimizing resource utilization.</x:v>
      </x:c>
      <x:c r="L309" s="17" t="str">
        <x:v>http://arxiv.org/abs/2504.19283v1</x:v>
      </x:c>
      <x:c r="M309" s="23" t="n">
        <x:v>0.030330882352941176</x:v>
      </x:c>
      <x:c r="N309" s="17" t="str">
        <x:v>arxiv-paper-eval-20260726-140242-results.jsonl</x:v>
      </x:c>
      <x:c r="O309" s="24" t="str">
        <x:v>2</x:v>
      </x:c>
      <x:c r="P309" s="28" t="str">
        <x:v>通过剖析并消除无用库加载降低Serverless冷启动开销。</x:v>
      </x:c>
      <x:c r="Q309" s="25" t="str"/>
      <x:c r="R309" s="24" t="str">
        <x:f>IF(Q309&lt;&gt;"",Q309,O309)</x:f>
        <x:v>2</x:v>
      </x:c>
      <x:c r="S309" s="29" t="str"/>
    </x:row>
    <x:row r="310" ht="54" customHeight="1">
      <x:c r="A310" s="17" t="str">
        <x:v>csq016-r09</x:v>
      </x:c>
      <x:c r="B310" s="17" t="str">
        <x:v>csq016</x:v>
      </x:c>
      <x:c r="C310" s="17" t="str">
        <x:v>systems_and_networking</x:v>
      </x:c>
      <x:c r="D310" s="17" t="str">
        <x:v>serverless_computing</x:v>
      </x:c>
      <x:c r="E310" s="27" t="str">
        <x:v>How do research systems mitigate cold starts in serverless computing, and how do prewarming, snapshotting, and prediction-based approaches compare?</x:v>
      </x:c>
      <x:c r="F310" s="22" t="n">
        <x:v>9</x:v>
      </x:c>
      <x:c r="G310" s="17" t="str">
        <x:v>arXiv:2304.00396</x:v>
      </x:c>
      <x:c r="H310" s="27" t="str">
        <x:v>Managing Cold-start in The Serverless Cloud with Temporal Convolutional Networks</x:v>
      </x:c>
      <x:c r="I310" s="17" t="str">
        <x:v>Tam N. Nguyen</x:v>
      </x:c>
      <x:c r="J310" s="22" t="n">
        <x:v>2023</x:v>
      </x:c>
      <x:c r="K310" s="27" t="str">
        <x:v>Serverless cloud is an innovative cloud service model that frees customers from most cloud management duties. It also offers the same advantages as other cloud models but at much lower costs. As a result, the serverless cloud has been increasingly employed in high-impact areas such as system security, banking, and health care. A big threat to the serverless cloud's performance is cold-start, which is when the time of provisioning the needed cloud resource to serve customers' requests incurs unacceptable costs to the service providers and/or the customers. This paper proposes a novel low-coupling, high-cohesion ensemble policy that addresses the cold-start problem at infrastructure- and function-levels of the serverless cloud stack, while the state of the art policies have a more narrowed focus. This ensemble policy anchors on the prediction of function instance arrivals, 10 to 15 minutes into the future. It is achievable by using the temporal convolutional network (TCN) deep-learning method. Bench-marking results on a real-world dataset from a large-scale serverless cloud provider show that TCN out-performs other popular machine learning algorithms for time series. Going beyond cold-start management, the proposed policy and publicly available codes can be adopted in solving other cloud problems such as optimizing the provisioning of virtual software-defined network assets.</x:v>
      </x:c>
      <x:c r="L310" s="17" t="str">
        <x:v>http://arxiv.org/abs/2304.00396v1</x:v>
      </x:c>
      <x:c r="M310" s="23" t="n">
        <x:v>0.030158730158730156</x:v>
      </x:c>
      <x:c r="N310" s="17" t="str">
        <x:v>arxiv-paper-eval-20260726-140242-results.jsonl</x:v>
      </x:c>
      <x:c r="O310" s="24" t="str">
        <x:v>2</x:v>
      </x:c>
      <x:c r="P310" s="28" t="str">
        <x:v>利用时序卷积网络预测资源需求，直接处理冷启动。</x:v>
      </x:c>
      <x:c r="Q310" s="25" t="str"/>
      <x:c r="R310" s="24" t="str">
        <x:f>IF(Q310&lt;&gt;"",Q310,O310)</x:f>
        <x:v>2</x:v>
      </x:c>
      <x:c r="S310" s="29" t="str"/>
    </x:row>
    <x:row r="311" ht="54" customHeight="1">
      <x:c r="A311" s="17" t="str">
        <x:v>csq016-r10</x:v>
      </x:c>
      <x:c r="B311" s="17" t="str">
        <x:v>csq016</x:v>
      </x:c>
      <x:c r="C311" s="17" t="str">
        <x:v>systems_and_networking</x:v>
      </x:c>
      <x:c r="D311" s="17" t="str">
        <x:v>serverless_computing</x:v>
      </x:c>
      <x:c r="E311" s="27" t="str">
        <x:v>How do research systems mitigate cold starts in serverless computing, and how do prewarming, snapshotting, and prediction-based approaches compare?</x:v>
      </x:c>
      <x:c r="F311" s="22" t="n">
        <x:v>10</x:v>
      </x:c>
      <x:c r="G311" s="17" t="str">
        <x:v>arXiv:2406.11734</x:v>
      </x:c>
      <x:c r="H311" s="27" t="str">
        <x:v>LibProf: A Python Profiler for Improving Cold Start Performance in Serverless Applications</x:v>
      </x:c>
      <x:c r="I311" s="17" t="str">
        <x:v>Syed Salauddin Mohammad Tariq; Ali Al Zein; Soumya Sripad Vaidya; Arati Khanolkar; Probir Roy</x:v>
      </x:c>
      <x:c r="J311" s="22" t="n">
        <x:v>2024</x:v>
      </x:c>
      <x:c r="K311" s="27" t="str">
        <x:v>Serverless computing abstracts away server management, enabling automatic scaling and efficient resource utilization. However, cold-start latency remains a significant challenge, affecting end-to-end performance. Our preliminary study reveals that inefficient library initialization and usage are major contributors to this latency in Python-based serverless applications. We introduce LibProf, a Python profiler that uses dynamic program analysis to identify inefficient library initializations. LibProf collects library usage data through statistical sampling and call-path profiling, then generates a report to guide developers in addressing four types of inefficiency patterns. Systematic evaluations on 15 serverless applications demonstrate that LibProf effectively identifies inefficiencies. LibProf guided optimization results up to 2.26x speedup in cold-start execution time and 1.51x reduction in memory usage.</x:v>
      </x:c>
      <x:c r="L311" s="17" t="str">
        <x:v>http://arxiv.org/abs/2406.11734v1</x:v>
      </x:c>
      <x:c r="M311" s="23" t="n">
        <x:v>0.029850746268656716</x:v>
      </x:c>
      <x:c r="N311" s="17" t="str">
        <x:v>arxiv-paper-eval-20260726-140242-results.jsonl</x:v>
      </x:c>
      <x:c r="O311" s="24" t="str">
        <x:v>2</x:v>
      </x:c>
      <x:c r="P311" s="28" t="str">
        <x:v>用动态程序分析定位Python库初始化开销以优化冷启动。</x:v>
      </x:c>
      <x:c r="Q311" s="25" t="str"/>
      <x:c r="R311" s="24" t="str">
        <x:f>IF(Q311&lt;&gt;"",Q311,O311)</x:f>
        <x:v>2</x:v>
      </x:c>
      <x:c r="S311" s="29" t="str"/>
    </x:row>
    <x:row r="312" ht="54" customHeight="1">
      <x:c r="A312" s="17" t="str">
        <x:v>csq016-r11</x:v>
      </x:c>
      <x:c r="B312" s="17" t="str">
        <x:v>csq016</x:v>
      </x:c>
      <x:c r="C312" s="17" t="str">
        <x:v>systems_and_networking</x:v>
      </x:c>
      <x:c r="D312" s="17" t="str">
        <x:v>serverless_computing</x:v>
      </x:c>
      <x:c r="E312" s="27" t="str">
        <x:v>How do research systems mitigate cold starts in serverless computing, and how do prewarming, snapshotting, and prediction-based approaches compare?</x:v>
      </x:c>
      <x:c r="F312" s="22" t="n">
        <x:v>11</x:v>
      </x:c>
      <x:c r="G312" s="17" t="str">
        <x:v>arXiv:2512.16066</x:v>
      </x:c>
      <x:c r="H312" s="27" t="str">
        <x:v>Cold-Start Anti-Patterns and Refactorings in Serverless Systems: An Empirical Study</x:v>
      </x:c>
      <x:c r="I312" s="17" t="str">
        <x:v>Syed Salauddin Mohammad Tariq; Foyzul Hassan; Amiangshu Bosu; Probir Roy</x:v>
      </x:c>
      <x:c r="J312" s="22" t="n">
        <x:v>2025</x:v>
      </x:c>
      <x:c r="K312" s="27" t="str">
        <x:v>Serverless computing simplifies deployment and scaling, yet cold-start latency remains a major performance bottleneck. Unlike prior work that treats mitigation as a black-box optimization, we study cold starts as a developer-visible design problem. From 81 adjudicated issue reports across open-source serverless systems, we derive taxonomies of initialization anti-patterns, remediation strategies, and diagnostic challenges spanning design, packaging, and runtime layers. Building on these insights, we introduce SCABENCH, a reproducible benchmark, and INITSCOPE, a lightweight analysis framework linking what code is loaded with what is executed. On SCABENCH, INITSCOPE improved localization accuracy by up to 40% and reduced diagnostic effort by 64% compared with prior tools, while a developer study showed higher task accuracy and faster diagnosis. Together, these results advance evidence-driven, performance-aware practices for cold-start mitigation in serverless design. Availability: The research artifact is publicly accessible for future studies and improvements.</x:v>
      </x:c>
      <x:c r="L312" s="17" t="str">
        <x:v>http://arxiv.org/abs/2512.16066v1</x:v>
      </x:c>
      <x:c r="M312" s="23" t="n">
        <x:v>0.02919863597612958</x:v>
      </x:c>
      <x:c r="N312" s="17" t="str">
        <x:v>arxiv-paper-eval-20260726-140242-results.jsonl</x:v>
      </x:c>
      <x:c r="O312" s="24" t="str">
        <x:v>2</x:v>
      </x:c>
      <x:c r="P312" s="28" t="str">
        <x:v>基于开源案例归纳冷启动反模式、修复策略和诊断难点。</x:v>
      </x:c>
      <x:c r="Q312" s="25" t="str"/>
      <x:c r="R312" s="24" t="str">
        <x:f>IF(Q312&lt;&gt;"",Q312,O312)</x:f>
        <x:v>2</x:v>
      </x:c>
      <x:c r="S312" s="29" t="str"/>
    </x:row>
    <x:row r="313" ht="54" customHeight="1">
      <x:c r="A313" s="17" t="str">
        <x:v>csq016-r12</x:v>
      </x:c>
      <x:c r="B313" s="17" t="str">
        <x:v>csq016</x:v>
      </x:c>
      <x:c r="C313" s="17" t="str">
        <x:v>systems_and_networking</x:v>
      </x:c>
      <x:c r="D313" s="17" t="str">
        <x:v>serverless_computing</x:v>
      </x:c>
      <x:c r="E313" s="27" t="str">
        <x:v>How do research systems mitigate cold starts in serverless computing, and how do prewarming, snapshotting, and prediction-based approaches compare?</x:v>
      </x:c>
      <x:c r="F313" s="22" t="n">
        <x:v>12</x:v>
      </x:c>
      <x:c r="G313" s="17" t="str">
        <x:v>arXiv:2212.10131</x:v>
      </x:c>
      <x:c r="H313" s="27" t="str">
        <x:v>Hydra: Virtualized Multi-Language Runtime for High-Density Serverless Platforms</x:v>
      </x:c>
      <x:c r="I313" s="17" t="str">
        <x:v>Serhii Ivanenko; Vasyl Lanko; Rudi Horn; Vojin Jovanovic; Rodrigo Bruno</x:v>
      </x:c>
      <x:c r="J313" s="22" t="n">
        <x:v>2022</x:v>
      </x:c>
      <x:c r="K313" s="27" t="str">
        <x:v>Serverless is an attractive computing model that offers seamless scalability and elasticity; it takes the infrastructure management burden away from users and enables a pay-as-you-use billing model. As a result, serverless is becoming increasingly popular to support highly elastic and bursty workloads. However, existing platforms are supported by bloated virtualization stacks, which, combined with bursty and irregular invocations, lead to high memory and latency overheads. To reduce the virtualization stack bloat, we propose Hydra, a virtualized multi-language runtime and platform capable of hosting multiple sandboxes running concurrently. To fully leverage Hydra's virtualized runtime, we revisit the existing serverless platform design to make it colocation-aware across owners and functions, and to feature a caching layer of pre-allocated Hydra instances that can be used by different functions written in different languages to reduce cold starts. We also propose a snapshotting mechanism to checkpoint and restore individual sandboxes. By consolidating multiple serverless function invocations through Hydra, we improve the overall function density (ops/GB-sec) by 2.41x on average compared to OpenWhisk runtimes, the state-of-the-art single-language runtimes used in most serverless platforms, and by 1.43x on average compared to Knative runtimes supporting invocation colocation within the same function. When reproducing the Azure Functions trace, our serverless platform operating Hydra instances reduces the overall memory footprint by 21.3-43.9% compared to operating OpenWhisk instances and by 14.5-30% compared to operating Knative instances. Hydra eliminates cold starts thanks to the pool of pre-warmed runtime instances, reducing p99 latency by 45.3-375.5x compared to OpenWhisk and by 1.9-51.4x compared to Knative.</x:v>
      </x:c>
      <x:c r="L313" s="17" t="str">
        <x:v>http://arxiv.org/abs/2212.10131v3</x:v>
      </x:c>
      <x:c r="M313" s="23" t="n">
        <x:v>0.02919863597612958</x:v>
      </x:c>
      <x:c r="N313" s="17" t="str">
        <x:v>arxiv-paper-eval-20260726-140242-results.jsonl</x:v>
      </x:c>
      <x:c r="O313" s="24" t="str">
        <x:v>2</x:v>
      </x:c>
      <x:c r="P313" s="28" t="str">
        <x:v>以高密度多语言运行时降低虚拟化栈导致的内存和启动延迟。</x:v>
      </x:c>
      <x:c r="Q313" s="25" t="str"/>
      <x:c r="R313" s="24" t="str">
        <x:f>IF(Q313&lt;&gt;"",Q313,O313)</x:f>
        <x:v>2</x:v>
      </x:c>
      <x:c r="S313" s="29" t="str"/>
    </x:row>
    <x:row r="314" ht="54" customHeight="1">
      <x:c r="A314" s="17" t="str">
        <x:v>csq016-r13</x:v>
      </x:c>
      <x:c r="B314" s="17" t="str">
        <x:v>csq016</x:v>
      </x:c>
      <x:c r="C314" s="17" t="str">
        <x:v>systems_and_networking</x:v>
      </x:c>
      <x:c r="D314" s="17" t="str">
        <x:v>serverless_computing</x:v>
      </x:c>
      <x:c r="E314" s="27" t="str">
        <x:v>How do research systems mitigate cold starts in serverless computing, and how do prewarming, snapshotting, and prediction-based approaches compare?</x:v>
      </x:c>
      <x:c r="F314" s="22" t="n">
        <x:v>13</x:v>
      </x:c>
      <x:c r="G314" s="17" t="str">
        <x:v>arXiv:2403.17574</x:v>
      </x:c>
      <x:c r="H314" s="27" t="str">
        <x:v>SPES: Towards Optimizing Performance-Resource Trade-Off for Serverless Functions</x:v>
      </x:c>
      <x:c r="I314" s="17" t="str">
        <x:v>Cheryl Lee; Zhouruixing Zhu; Tianyi Yang; Yintong Huo; Yuxin Su; Pinjia He; Michael R. Lyu</x:v>
      </x:c>
      <x:c r="J314" s="22" t="n">
        <x:v>2024</x:v>
      </x:c>
      <x:c r="K314" s="27" t="str">
        <x:v>As an emerging cloud computing deployment paradigm, serverless computing is gaining traction due to its efficiency and ability to harness on-demand cloud resources. However, a significant hurdle remains in the form of the cold start problem, causing latency when launching new function instances from scratch. Existing solutions tend to use over-simplistic strategies for function pre-loading/unloading without full invocation pattern exploitation, rendering unsatisfactory optimization of the trade-off between cold start latency and resource waste. To bridge this gap, we propose SPES, the first differentiated scheduler for runtime cold start mitigation by optimizing serverless function provision. Our insight is that the common architecture of serverless systems prompts the concentration of certain invocation patterns, leading to predictable invocation behaviors. This allows us to categorize functions and pre-load/unload proper function instances with finer-grained strategies based on accurate invocation prediction. Experiments demonstrate the success of SPES in optimizing serverless function provision on both sides: reducing the 75th-percentile cold start rates by 49.77% and the wasted memory time by 56.43%, compared to the state-of-the-art. By mitigating the cold start issue, SPES is a promising advancement in facilitating cloud services deployed on serverless architectures.</x:v>
      </x:c>
      <x:c r="L314" s="17" t="str">
        <x:v>http://arxiv.org/abs/2403.17574v2</x:v>
      </x:c>
      <x:c r="M314" s="23" t="n">
        <x:v>0.029083245521601686</x:v>
      </x:c>
      <x:c r="N314" s="17" t="str">
        <x:v>arxiv-paper-eval-20260726-140242-results.jsonl</x:v>
      </x:c>
      <x:c r="O314" s="24" t="str">
        <x:v>2</x:v>
      </x:c>
      <x:c r="P314" s="28" t="str">
        <x:v>优化函数预加载与卸载，明确权衡性能和资源成本。</x:v>
      </x:c>
      <x:c r="Q314" s="25" t="str"/>
      <x:c r="R314" s="24" t="str">
        <x:f>IF(Q314&lt;&gt;"",Q314,O314)</x:f>
        <x:v>2</x:v>
      </x:c>
      <x:c r="S314" s="29" t="str"/>
    </x:row>
    <x:row r="315" ht="54" customHeight="1">
      <x:c r="A315" s="17" t="str">
        <x:v>csq016-r14</x:v>
      </x:c>
      <x:c r="B315" s="17" t="str">
        <x:v>csq016</x:v>
      </x:c>
      <x:c r="C315" s="17" t="str">
        <x:v>systems_and_networking</x:v>
      </x:c>
      <x:c r="D315" s="17" t="str">
        <x:v>serverless_computing</x:v>
      </x:c>
      <x:c r="E315" s="27" t="str">
        <x:v>How do research systems mitigate cold starts in serverless computing, and how do prewarming, snapshotting, and prediction-based approaches compare?</x:v>
      </x:c>
      <x:c r="F315" s="22" t="n">
        <x:v>14</x:v>
      </x:c>
      <x:c r="G315" s="17" t="str">
        <x:v>arXiv:2505.24551</x:v>
      </x:c>
      <x:c r="H315" s="27" t="str">
        <x:v>Melding the Serverless Control Plane with the Conventional Cluster Manager for Speed and Resource Efficiency</x:v>
      </x:c>
      <x:c r="I315" s="17" t="str">
        <x:v>Leonid Kondrashov; Lazar Cvetković; Hancheng Wang; Boxi Zhou; Dmitrii Ustiugov</x:v>
      </x:c>
      <x:c r="J315" s="22" t="n">
        <x:v>2025</x:v>
      </x:c>
      <x:c r="K315" s="27" t="str">
        <x:v>Serverless platforms face a trade-off: conventional cluster managers like Kubernetes offer compatibility for co-locating Function-as-a-Service (FaaS) and Backend-as-a-Service (BaaS) components of serverless applications, at the cost of high cold-start latency, whereas specialized FaaS-only systems like Dirigent achieve low latency by sacrificing compatibility, preventing integrated management and optimization. Our analysis reveals that FaaS traffic is bimodal: predictable, sustainable traffic consumes &gt;98% of cluster resources, whereas sporadic, excessive bursts stress the control plane's scaling latency, not its throughput. With these insights, we design PulseNet, a serverless architecture that uses a dual-track control plane tailored to both traffic types. PulseNet's standard track manages sustainable traffic with long-lived, full-featured Regular Instances under a conventional cluster manager, preserving compatibility for the majority of the workload. To handle excessive traffic, an expedited track bypasses the slow manager to rapidly create short-lived, disposable Emergency Instances, minimizing cold-start latency and resource waste from idle instances. This hybrid approach achieves 35% better performance than Dirigent, a FaaS-only system, on a production workload at the same cost and outperforms other Kubernetes-compatible systems by 1.5-3.5x, reducing the cost by up to 70%.</x:v>
      </x:c>
      <x:c r="L315" s="17" t="str">
        <x:v>http://arxiv.org/abs/2505.24551v4</x:v>
      </x:c>
      <x:c r="M315" s="23" t="n">
        <x:v>0.028665028665028666</x:v>
      </x:c>
      <x:c r="N315" s="17" t="str">
        <x:v>arxiv-paper-eval-20260726-140242-results.jsonl</x:v>
      </x:c>
      <x:c r="O315" s="24" t="str">
        <x:v>1</x:v>
      </x:c>
      <x:c r="P315" s="28" t="str">
        <x:v>通过融合控制面改善FaaS启动延迟和资源效率，但不是题目三类方法的直接比较。</x:v>
      </x:c>
      <x:c r="Q315" s="25" t="str"/>
      <x:c r="R315" s="24" t="str">
        <x:f>IF(Q315&lt;&gt;"",Q315,O315)</x:f>
        <x:v>1</x:v>
      </x:c>
      <x:c r="S315" s="29" t="str"/>
    </x:row>
    <x:row r="316" ht="54" customHeight="1">
      <x:c r="A316" s="17" t="str">
        <x:v>csq016-r15</x:v>
      </x:c>
      <x:c r="B316" s="17" t="str">
        <x:v>csq016</x:v>
      </x:c>
      <x:c r="C316" s="17" t="str">
        <x:v>systems_and_networking</x:v>
      </x:c>
      <x:c r="D316" s="17" t="str">
        <x:v>serverless_computing</x:v>
      </x:c>
      <x:c r="E316" s="27" t="str">
        <x:v>How do research systems mitigate cold starts in serverless computing, and how do prewarming, snapshotting, and prediction-based approaches compare?</x:v>
      </x:c>
      <x:c r="F316" s="22" t="n">
        <x:v>15</x:v>
      </x:c>
      <x:c r="G316" s="17" t="str">
        <x:v>arXiv:2504.06512</x:v>
      </x:c>
      <x:c r="H316" s="27" t="str">
        <x:v>ICPS: Real-Time Resource Configuration for Cloud Serverless Functions Considering Affinity</x:v>
      </x:c>
      <x:c r="I316" s="17" t="str">
        <x:v>Long Chen; Xinshuai Hua; Jinquan Zhang; Wenshuai Li; Xiaoping Li; Shijie Guo</x:v>
      </x:c>
      <x:c r="J316" s="22" t="n">
        <x:v>2025</x:v>
      </x:c>
      <x:c r="K316" s="27" t="str">
        <x:v>Serverless computing, with its operational simplicity and on-demand scalability, has become a preferred paradigm for deploying workflow applications. However, resource allocation for workflows, particularly those with branching structures, is complicated by cold starts and network delays between dependent functions, significantly degrading execution efficiency and response times. In this paper, we propose the Invocation Concurrency Prediction-Based Scaling (ICPS) algorithm to address these challenges. ICPS employs Long Short-Term Memory (LSTM) networks to predict function concurrency, dynamically pre-warming function instances, and an affinity-based deployment strategy to co-locate dependent functions on the same worker node, minimizing network latency. The experimental results demonstrate that ICPS consistently outperforms existing approaches in diverse scenarios. The results confirm ICPS as a robust and scalable solution for optimizing serverless workflow execution.</x:v>
      </x:c>
      <x:c r="L316" s="17" t="str">
        <x:v>http://arxiv.org/abs/2504.06512v1</x:v>
      </x:c>
      <x:c r="M316" s="23" t="n">
        <x:v>0.028370221327967807</x:v>
      </x:c>
      <x:c r="N316" s="17" t="str">
        <x:v>arxiv-paper-eval-20260726-140242-results.jsonl</x:v>
      </x:c>
      <x:c r="O316" s="24" t="str">
        <x:v>1</x:v>
      </x:c>
      <x:c r="P316" s="28" t="str">
        <x:v>工作流资源配置考虑冷启动和网络延迟，冷启动只是整体调度因素之一。</x:v>
      </x:c>
      <x:c r="Q316" s="25" t="str"/>
      <x:c r="R316" s="24" t="str">
        <x:f>IF(Q316&lt;&gt;"",Q316,O316)</x:f>
        <x:v>1</x:v>
      </x:c>
      <x:c r="S316" s="29" t="str"/>
    </x:row>
    <x:row r="317" ht="54" customHeight="1">
      <x:c r="A317" s="17" t="str">
        <x:v>csq016-r16</x:v>
      </x:c>
      <x:c r="B317" s="17" t="str">
        <x:v>csq016</x:v>
      </x:c>
      <x:c r="C317" s="17" t="str">
        <x:v>systems_and_networking</x:v>
      </x:c>
      <x:c r="D317" s="17" t="str">
        <x:v>serverless_computing</x:v>
      </x:c>
      <x:c r="E317" s="27" t="str">
        <x:v>How do research systems mitigate cold starts in serverless computing, and how do prewarming, snapshotting, and prediction-based approaches compare?</x:v>
      </x:c>
      <x:c r="F317" s="22" t="n">
        <x:v>16</x:v>
      </x:c>
      <x:c r="G317" s="17" t="str">
        <x:v>arXiv:2405.12079</x:v>
      </x:c>
      <x:c r="H317" s="27" t="str">
        <x:v>PhoenixOS: Concurrent OS-level GPU Checkpoint and Restore with Validated Speculation</x:v>
      </x:c>
      <x:c r="I317" s="17" t="str">
        <x:v>Xingda Wei; Zhuobin Huang; Tianle Sun; Yingyi Hao; Rong Chen; Mingcong Han; Jinyu Gu; Haibo Chen</x:v>
      </x:c>
      <x:c r="J317" s="22" t="n">
        <x:v>2024</x:v>
      </x:c>
      <x:c r="K317" s="27" t="str">
        <x:v>PHOENIXOS (PHOS) is the first OS service that can concurrently checkpoint and restore (C/R) GPU processes--a fundamental capability for critical tasks such as fault tolerance, process migration, and fast startup. While concurrent C/R is well-established on CPUs, it poses unique challenges on GPUs due to their lack of essential features for efficiently tracing concurrent memory reads and writes, such as specific hardware capabilities (e.g., dirty bits) and OS-mediated data paths (e.g., copy-on-write). To ensure correct concurrent C/R, PHOS proactively detects GPU memory reads and writes through a two-step process: first, it speculates about GPU memory accesses based on the arguments used when launching GPU kernels; then, it validates these accesses efficiently at runtime using binary instrumentation. With this validated speculation, PHOS retrofits CPU-based concurrent C/R for GPUs through software-based approaches, including soft copy-on-write, soft recopy, and soft on-demand restore. PHOS further proposes several GPU-aware techniques for efficient GPU C/R, including coordinated checkpoint data transfer and execution context pool. For downstream tasks that use C/R for tolerating failures, migrating processes between machines, and accelerating cold starts in serverless computing, PHOS achieves orders of magnitude higher performance than state-of-the-art OS-level GPU C/R systems like NVIDIA cuda-checkpoint.</x:v>
      </x:c>
      <x:c r="L317" s="17" t="str">
        <x:v>http://arxiv.org/abs/2405.12079v4</x:v>
      </x:c>
      <x:c r="M317" s="23" t="n">
        <x:v>0.028258706467661692</x:v>
      </x:c>
      <x:c r="N317" s="17" t="str">
        <x:v>arxiv-paper-eval-20260726-140242-results.jsonl</x:v>
      </x:c>
      <x:c r="O317" s="24" t="str">
        <x:v>1</x:v>
      </x:c>
      <x:c r="P317" s="28" t="str">
        <x:v>GPU进程并发检查点恢复可支持快速启动，但摘要未表明针对Serverless。</x:v>
      </x:c>
      <x:c r="Q317" s="25" t="str"/>
      <x:c r="R317" s="24" t="str">
        <x:f>IF(Q317&lt;&gt;"",Q317,O317)</x:f>
        <x:v>1</x:v>
      </x:c>
      <x:c r="S317" s="29" t="str"/>
    </x:row>
    <x:row r="318" ht="54" customHeight="1">
      <x:c r="A318" s="17" t="str">
        <x:v>csq016-r17</x:v>
      </x:c>
      <x:c r="B318" s="17" t="str">
        <x:v>csq016</x:v>
      </x:c>
      <x:c r="C318" s="17" t="str">
        <x:v>systems_and_networking</x:v>
      </x:c>
      <x:c r="D318" s="17" t="str">
        <x:v>serverless_computing</x:v>
      </x:c>
      <x:c r="E318" s="27" t="str">
        <x:v>How do research systems mitigate cold starts in serverless computing, and how do prewarming, snapshotting, and prediction-based approaches compare?</x:v>
      </x:c>
      <x:c r="F318" s="22" t="n">
        <x:v>17</x:v>
      </x:c>
      <x:c r="G318" s="17" t="str">
        <x:v>arXiv:2102.08904</x:v>
      </x:c>
      <x:c r="H318" s="27" t="str">
        <x:v>SimFaaS: A Performance Simulator for Serverless Computing Platforms</x:v>
      </x:c>
      <x:c r="I318" s="17" t="str">
        <x:v>Nima Mahmoudi; Hamzeh Khazaei</x:v>
      </x:c>
      <x:c r="J318" s="22" t="n">
        <x:v>2021</x:v>
      </x:c>
      <x:c r="K318" s="27" t="str">
        <x:v>Developing accurate and extendable performance models for serverless platforms, aka Function-as-a-Service (FaaS) platforms, is a very challenging task. Also, implementation and experimentation on real serverless platforms is both costly and time-consuming. However, at the moment, there is no comprehensive simulation tool or framework to be used instead of the real platform. As a result, in this paper, we fill this gap by proposing a simulation platform, called SimFaaS, which assists serverless application developers to develop optimized Function-as-a-Service applications in terms of cost and performance. On the other hand, SimFaaS can be leveraged by FaaS providers to tailor their platforms to be workload-aware so that they can increase profit and quality of service at the same time. Also, serverless platform providers can evaluate new designs, implementations, and deployments on SimFaaS in a timely and cost-efficient manner. SimFaaS is open-source, well-documented, and publicly available, making it easily usable and extendable to incorporate more use case scenarios in the future. Besides, it provides performance engineers with a set of tools that can calculate several characteristics of serverless platform internal states, which is otherwise hard (mostly impossible) to extract from real platforms. We show how SimFaaS facilitates the prediction of essential performance metrics such as average response time, probability of cold start, and the average number of instances reflecting the infrastructure cost incurred by the serverless computing provider. We evaluate the accuracy and applicability of SimFaaS by comparing the prediction results with real-world traces from Amazon AWS Lambda.</x:v>
      </x:c>
      <x:c r="L318" s="17" t="str">
        <x:v>http://arxiv.org/abs/2102.08904v1</x:v>
      </x:c>
      <x:c r="M318" s="23" t="n">
        <x:v>0.028258706467661692</x:v>
      </x:c>
      <x:c r="N318" s="17" t="str">
        <x:v>arxiv-paper-eval-20260726-140242-results.jsonl</x:v>
      </x:c>
      <x:c r="O318" s="24" t="str">
        <x:v>1</x:v>
      </x:c>
      <x:c r="P318" s="28" t="str">
        <x:v>提供Serverless性能模拟工具，可评估冷启动但不直接提出缓解方案。</x:v>
      </x:c>
      <x:c r="Q318" s="25" t="str"/>
      <x:c r="R318" s="24" t="str">
        <x:f>IF(Q318&lt;&gt;"",Q318,O318)</x:f>
        <x:v>1</x:v>
      </x:c>
      <x:c r="S318" s="29" t="str"/>
    </x:row>
    <x:row r="319" ht="54" customHeight="1">
      <x:c r="A319" s="17" t="str">
        <x:v>csq016-r18</x:v>
      </x:c>
      <x:c r="B319" s="17" t="str">
        <x:v>csq016</x:v>
      </x:c>
      <x:c r="C319" s="17" t="str">
        <x:v>systems_and_networking</x:v>
      </x:c>
      <x:c r="D319" s="17" t="str">
        <x:v>serverless_computing</x:v>
      </x:c>
      <x:c r="E319" s="27" t="str">
        <x:v>How do research systems mitigate cold starts in serverless computing, and how do prewarming, snapshotting, and prediction-based approaches compare?</x:v>
      </x:c>
      <x:c r="F319" s="22" t="n">
        <x:v>18</x:v>
      </x:c>
      <x:c r="G319" s="17" t="str">
        <x:v>arXiv:2308.07541</x:v>
      </x:c>
      <x:c r="H319" s="27" t="str">
        <x:v>On-demand Cold Start Frequency Reduction with Off-Policy Reinforcement Learning in Serverless Computing</x:v>
      </x:c>
      <x:c r="I319" s="17" t="str">
        <x:v>Siddharth Agarwal; Maria A. Rodriguez; Rajkumar Buyya</x:v>
      </x:c>
      <x:c r="J319" s="22" t="n">
        <x:v>2023</x:v>
      </x:c>
      <x:c r="K319" s="27" t="str">
        <x:v>Function-as-a-Service (FaaS) is a cloud computing paradigm offering an event-driven execution model to applications. It features serverless attributes by eliminating resource management responsibilities from developers, and offers transparent and on-demand scalability of applications. To provide seamless on-demand scalability, new function instances are prepared to serve the incoming workload in the absence or unavailability of function instances. However, FaaS platforms are known to suffer from cold starts, where this function provisioning process introduces a non-negligible delay in function response and reduces the end-user experience. Therefore, the presented work focuses on reducing the frequent, on-demand cold starts on the platform by using Reinforcement Learning(RL). The proposed approach uses model-free Q-learning that consider function metrics such as CPU utilization, existing function instances, and response failure rate, to proactively initialize functions, in advance, based on the expected demand. The proposed solution is implemented on Kubeless and evaluated using an open-source function invocation trace applied to a matrix multiplication function. The evaluation results demonstrate a favourable performance of the RL-based agent when compared to Kubeless' default policy and a function keep-alive policy by improving throughput by up to 8.81% and reducing computation load and resource wastage by up to 55% and 37%, respectively, that is a direct outcome of reduced cold starts.</x:v>
      </x:c>
      <x:c r="L319" s="17" t="str">
        <x:v>http://arxiv.org/abs/2308.07541v2</x:v>
      </x:c>
      <x:c r="M319" s="23" t="n">
        <x:v>0.028169014084507043</x:v>
      </x:c>
      <x:c r="N319" s="17" t="str">
        <x:v>arxiv-paper-eval-20260726-140242-results.jsonl</x:v>
      </x:c>
      <x:c r="O319" s="24" t="str">
        <x:v>2</x:v>
      </x:c>
      <x:c r="P319" s="28" t="str">
        <x:v>用离策略强化学习按需减少FaaS冷启动频率。</x:v>
      </x:c>
      <x:c r="Q319" s="25" t="str"/>
      <x:c r="R319" s="24" t="str">
        <x:f>IF(Q319&lt;&gt;"",Q319,O319)</x:f>
        <x:v>2</x:v>
      </x:c>
      <x:c r="S319" s="29" t="str"/>
    </x:row>
    <x:row r="320" ht="54" customHeight="1">
      <x:c r="A320" s="17" t="str">
        <x:v>csq016-r19</x:v>
      </x:c>
      <x:c r="B320" s="17" t="str">
        <x:v>csq016</x:v>
      </x:c>
      <x:c r="C320" s="17" t="str">
        <x:v>systems_and_networking</x:v>
      </x:c>
      <x:c r="D320" s="17" t="str">
        <x:v>serverless_computing</x:v>
      </x:c>
      <x:c r="E320" s="27" t="str">
        <x:v>How do research systems mitigate cold starts in serverless computing, and how do prewarming, snapshotting, and prediction-based approaches compare?</x:v>
      </x:c>
      <x:c r="F320" s="22" t="n">
        <x:v>19</x:v>
      </x:c>
      <x:c r="G320" s="17" t="str">
        <x:v>arXiv:2308.11209</x:v>
      </x:c>
      <x:c r="H320" s="27" t="str">
        <x:v>A Deep Reinforcement Learning based Algorithm for Time and Cost Optimized Scaling of Serverless Applications</x:v>
      </x:c>
      <x:c r="I320" s="17" t="str">
        <x:v>Anupama Mampage; Shanika Karunasekera; Rajkumar Buyya</x:v>
      </x:c>
      <x:c r="J320" s="22" t="n">
        <x:v>2023</x:v>
      </x:c>
      <x:c r="K320" s="27" t="str">
        <x:v>Serverless computing has gained a strong traction in the cloud computing community in recent years. Among the many benefits of this novel computing model, the rapid auto-scaling capability of user applications takes prominence. However, the offer of adhoc scaling of user deployments at function level introduces many complications to serverless systems. The added delay and failures in function request executions caused by the time consumed for dynamically creating new resources to suit function workloads, known as the cold-start delay, is one such very prevalent shortcoming. Maintaining idle resource pools to alleviate this issue often results in wasted resources from the cloud provider perspective. Existing solutions to address this limitation mostly focus on predicting and understanding function load levels in order to proactively create required resources. Although these solutions improve function performance, the lack of understanding on the overall system characteristics in making these scaling decisions often leads to the sub-optimal usage of system resources. Further, the multi-tenant nature of serverless systems requires a scalable solution adaptable for multiple co-existing applications, a limitation seen in most current solutions. In this paper, we introduce a novel multi-agent Deep Reinforcement Learning based intelligent solution for both horizontal and vertical scaling of function resources, based on a comprehensive understanding on both function and system requirements. Our solution elevates function performance reducing cold starts, while also offering the flexibility for optimizing resource maintenance cost to the service providers. Experiments conducted considering varying workload scenarios show improvements of up to 23% and 34% in terms of application latency and request failures, while also saving up to 45% in infrastructure cost for the service providers.</x:v>
      </x:c>
      <x:c r="L320" s="17" t="str">
        <x:v>http://arxiv.org/abs/2308.11209v1</x:v>
      </x:c>
      <x:c r="M320" s="23" t="n">
        <x:v>0.027402402402402402</x:v>
      </x:c>
      <x:c r="N320" s="17" t="str">
        <x:v>arxiv-paper-eval-20260726-140242-results.jsonl</x:v>
      </x:c>
      <x:c r="O320" s="24" t="str">
        <x:v>2</x:v>
      </x:c>
      <x:c r="P320" s="28" t="str">
        <x:v>以深度强化学习优化自动扩缩容中的启动延迟和成本。</x:v>
      </x:c>
      <x:c r="Q320" s="25" t="str"/>
      <x:c r="R320" s="24" t="str">
        <x:f>IF(Q320&lt;&gt;"",Q320,O320)</x:f>
        <x:v>2</x:v>
      </x:c>
      <x:c r="S320" s="29" t="str"/>
    </x:row>
    <x:row r="321" ht="54" customHeight="1">
      <x:c r="A321" s="17" t="str">
        <x:v>csq016-r20</x:v>
      </x:c>
      <x:c r="B321" s="17" t="str">
        <x:v>csq016</x:v>
      </x:c>
      <x:c r="C321" s="17" t="str">
        <x:v>systems_and_networking</x:v>
      </x:c>
      <x:c r="D321" s="17" t="str">
        <x:v>serverless_computing</x:v>
      </x:c>
      <x:c r="E321" s="27" t="str">
        <x:v>How do research systems mitigate cold starts in serverless computing, and how do prewarming, snapshotting, and prediction-based approaches compare?</x:v>
      </x:c>
      <x:c r="F321" s="22" t="n">
        <x:v>20</x:v>
      </x:c>
      <x:c r="G321" s="17" t="str">
        <x:v>arXiv:2505.19880</x:v>
      </x:c>
      <x:c r="H321" s="27" t="str">
        <x:v>Universal Workers: A Vision for Eliminating Cold Starts in Serverless Computing</x:v>
      </x:c>
      <x:c r="I321" s="17" t="str">
        <x:v>Saman Akbari; Manfred Hauswirth</x:v>
      </x:c>
      <x:c r="J321" s="22" t="n">
        <x:v>2025</x:v>
      </x:c>
      <x:c r="K321" s="27" t="str">
        <x:v>Serverless computing enables developers to deploy code without managing infrastructure, but suffers from cold start overhead when initializing new function instances. Existing solutions such as "keep-alive" or "pre-warming" are costly and unreliable under bursty workloads. We propose universal workers, which are computational units capable of executing any function with minimal initialization overhead. Based on an analysis of production workload traces, our key insight is that requests in Function-as-a-Service (FaaS) platforms show a highly skewed distribution, with most requests invoking a small subset of functions. We exploit this observation to approximate universal workers through locality groups and three-tier caching (handler, install, import). With this work, we aim to enable more efficient and scalable FaaS platforms capable of handling diverse workloads with minimal initialization overhead.</x:v>
      </x:c>
      <x:c r="L321" s="17" t="str">
        <x:v>http://arxiv.org/abs/2505.19880v2</x:v>
      </x:c>
      <x:c r="M321" s="23" t="n">
        <x:v>0.016129032258064516</x:v>
      </x:c>
      <x:c r="N321" s="17" t="str">
        <x:v>arxiv-paper-eval-20260726-140242-results.jsonl</x:v>
      </x:c>
      <x:c r="O321" s="24" t="str">
        <x:v>2</x:v>
      </x:c>
      <x:c r="P321" s="28" t="str">
        <x:v>提出通用工作单元以替代成本高且应对突发负载不稳的预热方案。</x:v>
      </x:c>
      <x:c r="Q321" s="25" t="str"/>
      <x:c r="R321" s="24" t="str">
        <x:f>IF(Q321&lt;&gt;"",Q321,O321)</x:f>
        <x:v>2</x:v>
      </x:c>
      <x:c r="S321" s="29" t="str"/>
    </x:row>
    <x:row r="322" ht="54" customHeight="1">
      <x:c r="A322" s="17" t="str">
        <x:v>csq017-r01</x:v>
      </x:c>
      <x:c r="B322" s="17" t="str">
        <x:v>csq017</x:v>
      </x:c>
      <x:c r="C322" s="17" t="str">
        <x:v>systems_and_networking</x:v>
      </x:c>
      <x:c r="D322" s="17" t="str">
        <x:v>datacenter_scheduling</x:v>
      </x:c>
      <x:c r="E322" s="27" t="str">
        <x:v>Which workloads, metrics, and experimental methodologies are used to evaluate datacenter cluster schedulers?</x:v>
      </x:c>
      <x:c r="F322" s="22" t="n">
        <x:v>1</x:v>
      </x:c>
      <x:c r="G322" s="17" t="str">
        <x:v>arXiv:2102.07199</x:v>
      </x:c>
      <x:c r="H322" s="27" t="str">
        <x:v>Hugo: A Cluster Scheduler that Efficiently Learns to Select Complementary Data-Parallel Jobs</x:v>
      </x:c>
      <x:c r="I322" s="17" t="str">
        <x:v>Lauritz Thamsen; Ilya Verbitskiy; Sasho Nedelkoski; Vinh Thuy Tran; Vinicius Meyer; Miguel G. Xavier; Odej Kao; Cesar A. F. De Rose</x:v>
      </x:c>
      <x:c r="J322" s="22" t="n">
        <x:v>2021</x:v>
      </x:c>
      <x:c r="K322" s="27" t="str">
        <x:v>Distributed data processing systems like MapReduce, Spark, and Flink are popular tools for analysis of large datasets with cluster resources. Yet, users often overprovision resources for their data processing jobs, while the resource usage of these jobs also typically fluctuates considerably. Therefore, multiple jobs usually get scheduled onto the same shared resources to increase the resource utilization and throughput of clusters. However, job runtimes and the utilization of shared resources can vary significantly depending on the specific combinations of co-located jobs. This paper presents Hugo, a cluster scheduler that continuously learns how efficiently jobs share resources, considering metrics for the resource utilization and interference among co-located jobs. The scheduler combines offline grouping of jobs with online reinforcement learning to provide a scheduling mechanism that efficiently generalizes from specific monitored job combinations yet also adapts to changes in workloads. Our evaluation of a prototype shows that the approach can reduce the runtimes of exemplary Spark jobs on a YARN cluster by up to 12.5%, while resource utilization is increased and waiting times can be bounded.</x:v>
      </x:c>
      <x:c r="L322" s="17" t="str">
        <x:v>http://arxiv.org/abs/2102.07199v1</x:v>
      </x:c>
      <x:c r="M322" s="23" t="n">
        <x:v>0.03252247488101534</x:v>
      </x:c>
      <x:c r="N322" s="17" t="str">
        <x:v>arxiv-paper-eval-20260726-140242-raw-search.jsonl (RRF reconstructed)</x:v>
      </x:c>
      <x:c r="O322" s="24" t="str">
        <x:v>1</x:v>
      </x:c>
      <x:c r="P322" s="28" t="str">
        <x:v>提出数据并行作业调度器并会使用作业运行时间和利用率评估，但重点不是评测方法。</x:v>
      </x:c>
      <x:c r="Q322" s="25" t="str"/>
      <x:c r="R322" s="24" t="str">
        <x:f>IF(Q322&lt;&gt;"",Q322,O322)</x:f>
        <x:v>1</x:v>
      </x:c>
      <x:c r="S322" s="29" t="str"/>
    </x:row>
    <x:row r="323" ht="54" customHeight="1">
      <x:c r="A323" s="17" t="str">
        <x:v>csq017-r02</x:v>
      </x:c>
      <x:c r="B323" s="17" t="str">
        <x:v>csq017</x:v>
      </x:c>
      <x:c r="C323" s="17" t="str">
        <x:v>systems_and_networking</x:v>
      </x:c>
      <x:c r="D323" s="17" t="str">
        <x:v>datacenter_scheduling</x:v>
      </x:c>
      <x:c r="E323" s="27" t="str">
        <x:v>Which workloads, metrics, and experimental methodologies are used to evaluate datacenter cluster schedulers?</x:v>
      </x:c>
      <x:c r="F323" s="22" t="n">
        <x:v>2</x:v>
      </x:c>
      <x:c r="G323" s="17" t="str">
        <x:v>arXiv:2503.07437</x:v>
      </x:c>
      <x:c r="H323" s="27" t="str">
        <x:v>Eva: Cost-Efficient Cloud-Based Cluster Scheduling</x:v>
      </x:c>
      <x:c r="I323" s="17" t="str">
        <x:v>Tzu-Tao Chang; Shivaram Venkataraman</x:v>
      </x:c>
      <x:c r="J323" s="22" t="n">
        <x:v>2025</x:v>
      </x:c>
      <x:c r="K323" s="27" t="str">
        <x:v>Cloud computing offers flexibility in resource provisioning, allowing an organization to host its batch processing workloads cost-efficiently by dynamically scaling the size and composition of a cloud-based cluster -- a collection of instances provisioned from the cloud. However, existing schedulers fail to minimize total cost due to suboptimal task and instance scheduling strategies, interference between co-located tasks, and instance provisioning overheads. We present Eva, a scheduler for cloud-based clusters that reduces the overall cost of hosting long-running batch jobs. Eva leverages reservation price from economics to derive the optimal set of instances to provision and task-to-instance assignments. Eva also takes into account performance degradation when co-locating tasks and quantitatively evaluates the trade-off between short-term migration overhead and long-term provision savings when considering a change in cluster configuration. Experiments on AWS EC2 and large-scale trace-driven simulations demonstrate that Eva reduces costs by 42\% while incurring only a 15\% increase in JCT, compared to provisioning a separate instance for each task.</x:v>
      </x:c>
      <x:c r="L323" s="17" t="str">
        <x:v>http://arxiv.org/abs/2503.07437v1</x:v>
      </x:c>
      <x:c r="M323" s="23" t="n">
        <x:v>0.031054405392392875</x:v>
      </x:c>
      <x:c r="N323" s="17" t="str">
        <x:v>arxiv-paper-eval-20260726-140242-raw-search.jsonl (RRF reconstructed)</x:v>
      </x:c>
      <x:c r="O323" s="24" t="str">
        <x:v>1</x:v>
      </x:c>
      <x:c r="P323" s="28" t="str">
        <x:v>云集群调度研究涉及批处理负载、总成本和干扰指标，可作为评测实例。</x:v>
      </x:c>
      <x:c r="Q323" s="25" t="str"/>
      <x:c r="R323" s="24" t="str">
        <x:f>IF(Q323&lt;&gt;"",Q323,O323)</x:f>
        <x:v>1</x:v>
      </x:c>
      <x:c r="S323" s="29" t="str"/>
    </x:row>
    <x:row r="324" ht="54" customHeight="1">
      <x:c r="A324" s="17" t="str">
        <x:v>csq017-r03</x:v>
      </x:c>
      <x:c r="B324" s="17" t="str">
        <x:v>csq017</x:v>
      </x:c>
      <x:c r="C324" s="17" t="str">
        <x:v>systems_and_networking</x:v>
      </x:c>
      <x:c r="D324" s="17" t="str">
        <x:v>datacenter_scheduling</x:v>
      </x:c>
      <x:c r="E324" s="27" t="str">
        <x:v>Which workloads, metrics, and experimental methodologies are used to evaluate datacenter cluster schedulers?</x:v>
      </x:c>
      <x:c r="F324" s="22" t="n">
        <x:v>3</x:v>
      </x:c>
      <x:c r="G324" s="17" t="str">
        <x:v>arXiv:2112.13354</x:v>
      </x:c>
      <x:c r="H324" s="27" t="str">
        <x:v>Large-scale Machine Learning Cluster Scheduling via Multi-agent Graph Reinforcement Learning</x:v>
      </x:c>
      <x:c r="I324" s="17" t="str">
        <x:v>Xiaoyang Zhao; Chuan Wu</x:v>
      </x:c>
      <x:c r="J324" s="22" t="n">
        <x:v>2021</x:v>
      </x:c>
      <x:c r="K324" s="27" t="str">
        <x:v>Efficient scheduling of distributed deep learning (DL) jobs in large GPU clusters is crucial for resource efficiency and job performance. While server sharing among jobs improves resource utilization, interference among co-located DL jobs occurs due to resource contention. Interference-aware job placement has been studied, with white-box approaches based on explicit interference modeling and black-box schedulers with reinforcement learning. In today's clusters containing thousands of GPU servers, running a single scheduler to manage all arrival jobs in a timely and effective manner is challenging, due to the large workload scale. We adopt multiple schedulers in a large-scale cluster/data center, and propose a multi-agent reinforcement learning (MARL) scheduling framework to cooperatively learn fine-grained job placement policies, towards the objective of minimizing job completion time (JCT). To achieve topology-aware placements, our proposed framework uses hierarchical graph neural networks to encode the data center topology and server architecture. In view of a common lack of precise reward samples corresponding to different placements, a job interference model is further devised to predict interference levels in face of various co-locations, for training of the MARL schedulers. Testbed and trace-driven evaluations show that our scheduler framework outperforms representative scheduling schemes by more than 20% in terms of average JCT, and is adaptive to various machine learning cluster topologies.</x:v>
      </x:c>
      <x:c r="L324" s="17" t="str">
        <x:v>http://arxiv.org/abs/2112.13354v1</x:v>
      </x:c>
      <x:c r="M324" s="23" t="n">
        <x:v>0.03057889822595705</x:v>
      </x:c>
      <x:c r="N324" s="17" t="str">
        <x:v>arxiv-paper-eval-20260726-140242-raw-search.jsonl (RRF reconstructed)</x:v>
      </x:c>
      <x:c r="O324" s="24" t="str">
        <x:v>1</x:v>
      </x:c>
      <x:c r="P324" s="28" t="str">
        <x:v>面向大规模GPU训练负载，以资源效率和作业性能评估调度方法。</x:v>
      </x:c>
      <x:c r="Q324" s="25" t="str"/>
      <x:c r="R324" s="24" t="str">
        <x:f>IF(Q324&lt;&gt;"",Q324,O324)</x:f>
        <x:v>1</x:v>
      </x:c>
      <x:c r="S324" s="29" t="str"/>
    </x:row>
    <x:row r="325" ht="54" customHeight="1">
      <x:c r="A325" s="17" t="str">
        <x:v>csq017-r04</x:v>
      </x:c>
      <x:c r="B325" s="17" t="str">
        <x:v>csq017</x:v>
      </x:c>
      <x:c r="C325" s="17" t="str">
        <x:v>systems_and_networking</x:v>
      </x:c>
      <x:c r="D325" s="17" t="str">
        <x:v>datacenter_scheduling</x:v>
      </x:c>
      <x:c r="E325" s="27" t="str">
        <x:v>Which workloads, metrics, and experimental methodologies are used to evaluate datacenter cluster schedulers?</x:v>
      </x:c>
      <x:c r="F325" s="22" t="n">
        <x:v>4</x:v>
      </x:c>
      <x:c r="G325" s="17" t="str">
        <x:v>arXiv:2502.01206</x:v>
      </x:c>
      <x:c r="H325" s="27" t="str">
        <x:v>PerfSeer: An Efficient and Accurate Deep Learning Models Performance Predictor</x:v>
      </x:c>
      <x:c r="I325" s="17" t="str">
        <x:v>Xinlong Zhao; Jiande Sun; Jia Zhang; Sujuan Hou; Shuai Li; Tong Liu; Ke Liu</x:v>
      </x:c>
      <x:c r="J325" s="22" t="n">
        <x:v>2025</x:v>
      </x:c>
      <x:c r="K325" s="27" t="str">
        <x:v>Predicting the performance of deep learning (DL) models, such as execution time and resource utilization, is crucial for Neural Architecture Search (NAS), DL cluster schedulers, and other technologies that advance deep learning. The representation of a model is the foundation for its performance prediction. However, existing methods cannot comprehensively represent diverse model configurations, resulting in unsatisfactory accuracy. To address this, we represent a model as a graph that includes the topology, along with the node, edge, and global features, all of which are crucial for effectively capturing the performance of the model. Based on this representation, we propose PerfSeer, a novel predictor that uses a Graph Neural Network (GNN)-based performance prediction model, SeerNet. SeerNet fully leverages the topology and various features, while incorporating optimizations such as Synergistic Max-Mean aggregation (SynMM) and Global-Node Perspective Boost (GNPB) to capture the critical performance information more effectively, enabling it to predict the performance of models accurately. Furthermore, SeerNet can be extended to SeerNet-Multi by using Project Conflicting Gradients (PCGrad), enabling efficient simultaneous prediction of multiple performance metrics without significantly affecting accuracy. We constructed a dataset containing performance metrics for 53k+ model configurations, including execution time, memory usage, and Streaming Multiprocessor (SM) utilization during both training and inference. The evaluation results show that PerfSeer outperforms nn-Meter, Brp-NAS, and DIPPM.</x:v>
      </x:c>
      <x:c r="L325" s="17" t="str">
        <x:v>http://arxiv.org/abs/2502.01206v1</x:v>
      </x:c>
      <x:c r="M325" s="23" t="n">
        <x:v>0.029957522915269395</x:v>
      </x:c>
      <x:c r="N325" s="17" t="str">
        <x:v>arxiv-paper-eval-20260726-140242-raw-search.jsonl (RRF reconstructed)</x:v>
      </x:c>
      <x:c r="O325" s="24" t="str">
        <x:v>1</x:v>
      </x:c>
      <x:c r="P325" s="28" t="str">
        <x:v>预测模型执行时间和资源利用率，可支持调度评测但自身不是调度器实验方法。</x:v>
      </x:c>
      <x:c r="Q325" s="25" t="str"/>
      <x:c r="R325" s="24" t="str">
        <x:f>IF(Q325&lt;&gt;"",Q325,O325)</x:f>
        <x:v>1</x:v>
      </x:c>
      <x:c r="S325" s="29" t="str"/>
    </x:row>
    <x:row r="326" ht="54" customHeight="1">
      <x:c r="A326" s="17" t="str">
        <x:v>csq017-r05</x:v>
      </x:c>
      <x:c r="B326" s="17" t="str">
        <x:v>csq017</x:v>
      </x:c>
      <x:c r="C326" s="17" t="str">
        <x:v>systems_and_networking</x:v>
      </x:c>
      <x:c r="D326" s="17" t="str">
        <x:v>datacenter_scheduling</x:v>
      </x:c>
      <x:c r="E326" s="27" t="str">
        <x:v>Which workloads, metrics, and experimental methodologies are used to evaluate datacenter cluster schedulers?</x:v>
      </x:c>
      <x:c r="F326" s="22" t="n">
        <x:v>5</x:v>
      </x:c>
      <x:c r="G326" s="17" t="str">
        <x:v>arXiv:2512.18894</x:v>
      </x:c>
      <x:c r="H326" s="27" t="str">
        <x:v>A Real-Time Digital Twin for Adaptive Scheduling</x:v>
      </x:c>
      <x:c r="I326" s="17" t="str">
        <x:v>Yihe Zhang; Yash Kurkure; Yiheng Tao; Michael E. Papka; Zhiling Lan</x:v>
      </x:c>
      <x:c r="J326" s="22" t="n">
        <x:v>2025</x:v>
      </x:c>
      <x:c r="K326" s="27" t="str">
        <x:v>High-performance computing (HPC) workloads are becoming increasingly diverse, exhibiting wide variability in job characteristics, yet cluster scheduling has long relied on static, heuristic-based policies. In this work we present SchedTwin, a real-time digital twin designed to adaptively guide scheduling decisions using predictive simulation. SchedTwin periodically ingests runtime events from the physical scheduler, performs rapid what-if evaluations of multiple policies using a high-fidelity discrete-event simulator, and dynamically selects the one satisfying the administrator configured optimization goal. We implement SchedTwin as an open-source software and integrate it with the production PBS scheduler. Preliminary results show that SchedTwin consistently outperforms widely used static scheduling policies, while maintaining low overhead (a few seconds per scheduling cycle). These results demonstrate that real-time digital twins offer a practical and effective path toward adaptive HPC scheduling.</x:v>
      </x:c>
      <x:c r="L326" s="17" t="str">
        <x:v>http://arxiv.org/abs/2512.18894v1</x:v>
      </x:c>
      <x:c r="M326" s="23" t="n">
        <x:v>0.02967032967032967</x:v>
      </x:c>
      <x:c r="N326" s="17" t="str">
        <x:v>arxiv-paper-eval-20260726-140242-raw-search.jsonl (RRF reconstructed)</x:v>
      </x:c>
      <x:c r="O326" s="24" t="str">
        <x:v>1</x:v>
      </x:c>
      <x:c r="P326" s="28" t="str">
        <x:v>数字孪生通过运行事件和快速假设模拟比较策略，属于一种在线评测思路。</x:v>
      </x:c>
      <x:c r="Q326" s="25" t="str"/>
      <x:c r="R326" s="24" t="str">
        <x:f>IF(Q326&lt;&gt;"",Q326,O326)</x:f>
        <x:v>1</x:v>
      </x:c>
      <x:c r="S326" s="29" t="str"/>
    </x:row>
    <x:row r="327" ht="54" customHeight="1">
      <x:c r="A327" s="17" t="str">
        <x:v>csq017-r06</x:v>
      </x:c>
      <x:c r="B327" s="17" t="str">
        <x:v>csq017</x:v>
      </x:c>
      <x:c r="C327" s="17" t="str">
        <x:v>systems_and_networking</x:v>
      </x:c>
      <x:c r="D327" s="17" t="str">
        <x:v>datacenter_scheduling</x:v>
      </x:c>
      <x:c r="E327" s="27" t="str">
        <x:v>Which workloads, metrics, and experimental methodologies are used to evaluate datacenter cluster schedulers?</x:v>
      </x:c>
      <x:c r="F327" s="22" t="n">
        <x:v>6</x:v>
      </x:c>
      <x:c r="G327" s="17" t="str">
        <x:v>arXiv:2408.09497</x:v>
      </x:c>
      <x:c r="H327" s="27" t="str">
        <x:v>Measurement-based Resource Allocation and Control in Data Centers: A Survey</x:v>
      </x:c>
      <x:c r="I327" s="17" t="str">
        <x:v>Diana Andreea Popescu</x:v>
      </x:c>
      <x:c r="J327" s="22" t="n">
        <x:v>2024</x:v>
      </x:c>
      <x:c r="K327" s="27" t="str">
        <x:v>Data centers have become ubiquitous for today's businesses. From banks to startups, they rely on cloud infrastructure to deploy user applications. In this context, it is vital to provide users with application performance guarantees. Network interference is one of the causes of unpredictable application performance, and many solutions have been proposed over the years. The main objective of this survey is to familiarize the reader with research into network measurement-based resource allocation and control in data centers, focusing on network resources in order to provide cloud performance guarantees. We start with a primer on general network measurement techniques and data center network and applications to give the reader context. We then summarize the characteristics of network traffic and cluster workloads in data centers, which are pivotal for measurement-based allocation and control. We study and compare network monitoring in data centers, giving an overview on their evolution from Software-Defined Networking (SDN) to programmable dataplanes-based. The network monitoring information can serve as input to cluster allocation and scheduling decisions. We next categorize cluster scheduling frameworks, and perform an analysis of those that provide network guarantees in data centers, and we also look at emergent Machine Learning-driven resource allocation and control. We conclude with a discussion about future research directions.</x:v>
      </x:c>
      <x:c r="L327" s="17" t="str">
        <x:v>http://arxiv.org/abs/2408.09497v3</x:v>
      </x:c>
      <x:c r="M327" s="23" t="n">
        <x:v>0.01639344262295082</x:v>
      </x:c>
      <x:c r="N327" s="17" t="str">
        <x:v>arxiv-paper-eval-20260726-140242-raw-search.jsonl (RRF reconstructed)</x:v>
      </x:c>
      <x:c r="O327" s="24" t="str">
        <x:v>1</x:v>
      </x:c>
      <x:c r="P327" s="28" t="str">
        <x:v>综述数据中心测量驱动的资源分配，可补充网络干扰和性能保证指标。</x:v>
      </x:c>
      <x:c r="Q327" s="25" t="str"/>
      <x:c r="R327" s="24" t="str">
        <x:f>IF(Q327&lt;&gt;"",Q327,O327)</x:f>
        <x:v>1</x:v>
      </x:c>
      <x:c r="S327" s="29" t="str"/>
    </x:row>
    <x:row r="328" ht="54" customHeight="1">
      <x:c r="A328" s="17" t="str">
        <x:v>csq017-r07</x:v>
      </x:c>
      <x:c r="B328" s="17" t="str">
        <x:v>csq017</x:v>
      </x:c>
      <x:c r="C328" s="17" t="str">
        <x:v>systems_and_networking</x:v>
      </x:c>
      <x:c r="D328" s="17" t="str">
        <x:v>datacenter_scheduling</x:v>
      </x:c>
      <x:c r="E328" s="27" t="str">
        <x:v>Which workloads, metrics, and experimental methodologies are used to evaluate datacenter cluster schedulers?</x:v>
      </x:c>
      <x:c r="F328" s="22" t="n">
        <x:v>7</x:v>
      </x:c>
      <x:c r="G328" s="17" t="str">
        <x:v>arXiv:2312.12391</x:v>
      </x:c>
      <x:c r="H328" s="27" t="str">
        <x:v>vTrain: A Simulation Framework for Evaluating Cost-effective and Compute-optimal Large Language Model Training</x:v>
      </x:c>
      <x:c r="I328" s="17" t="str">
        <x:v>Jehyeon Bang; Yujeong Choi; Myeongwoo Kim; Yongdeok Kim; Minsoo Rhu</x:v>
      </x:c>
      <x:c r="J328" s="22" t="n">
        <x:v>2023</x:v>
      </x:c>
      <x:c r="K328" s="27" t="str">
        <x:v>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x:v>
      </x:c>
      <x:c r="L328" s="17" t="str">
        <x:v>http://arxiv.org/abs/2312.12391v2</x:v>
      </x:c>
      <x:c r="M328" s="23" t="n">
        <x:v>0.01639344262295082</x:v>
      </x:c>
      <x:c r="N328" s="17" t="str">
        <x:v>arxiv-paper-eval-20260726-140242-raw-search.jsonl (RRF reconstructed)</x:v>
      </x:c>
      <x:c r="O328" s="24" t="str">
        <x:v>2</x:v>
      </x:c>
      <x:c r="P328" s="28" t="str">
        <x:v>专门提出模拟框架，用于以成本和计算最优性评估大模型训练方案。</x:v>
      </x:c>
      <x:c r="Q328" s="25" t="str"/>
      <x:c r="R328" s="24" t="str">
        <x:f>IF(Q328&lt;&gt;"",Q328,O328)</x:f>
        <x:v>2</x:v>
      </x:c>
      <x:c r="S328" s="29" t="str"/>
    </x:row>
    <x:row r="329" ht="54" customHeight="1">
      <x:c r="A329" s="17" t="str">
        <x:v>csq017-r08</x:v>
      </x:c>
      <x:c r="B329" s="17" t="str">
        <x:v>csq017</x:v>
      </x:c>
      <x:c r="C329" s="17" t="str">
        <x:v>systems_and_networking</x:v>
      </x:c>
      <x:c r="D329" s="17" t="str">
        <x:v>datacenter_scheduling</x:v>
      </x:c>
      <x:c r="E329" s="27" t="str">
        <x:v>Which workloads, metrics, and experimental methodologies are used to evaluate datacenter cluster schedulers?</x:v>
      </x:c>
      <x:c r="F329" s="22" t="n">
        <x:v>8</x:v>
      </x:c>
      <x:c r="G329" s="17" t="str">
        <x:v>arXiv:1907.01484</x:v>
      </x:c>
      <x:c r="H329" s="27" t="str">
        <x:v>Themis: Fair and Efficient GPU Cluster Scheduling</x:v>
      </x:c>
      <x:c r="I329" s="17" t="str">
        <x:v>Kshiteej Mahajan; Arjun Balasubramanian; Arjun Singhvi; Shivaram Venkataraman; Aditya Akella; Amar Phanishayee; Shuchi Chawla</x:v>
      </x:c>
      <x:c r="J329" s="22" t="n">
        <x:v>2019</x:v>
      </x:c>
      <x:c r="K329" s="27" t="str">
        <x:v>Modern distributed machine learning (ML) training workloads benefit significantly from leveraging GPUs. However, significant contention ensues when multiple such workloads are run atop a shared cluster of GPUs. A key question is how to fairly apportion GPUs across workloads. We find that established cluster scheduling disciplines are a poor fit because of ML workloads' unique attributes: ML jobs have long-running tasks that need to be gang-scheduled, and their performance is sensitive to tasks' relative placement. We propose Themis, a new scheduling framework for ML training workloads. It's GPU allocation policy enforces that ML workloads complete in a finish-time fair manner, a new notion we introduce. To capture placement sensitivity and ensure efficiency, Themis uses a two-level scheduling architecture where ML workloads bid on available resources that are offered in an auction run by a central arbiter. Our auction design allocates GPUs to winning bids by trading off efficiency for fairness in the short term but ensuring finish-time fairness in the long term. Our evaluation on a production trace shows that Themis can improve fairness by more than 2.25X and is ~5% to 250% more cluster efficient in comparison to state-of-the-art schedulers.</x:v>
      </x:c>
      <x:c r="L329" s="17" t="str">
        <x:v>http://arxiv.org/abs/1907.01484v2</x:v>
      </x:c>
      <x:c r="M329" s="23" t="n">
        <x:v>0.01639344262295082</x:v>
      </x:c>
      <x:c r="N329" s="17" t="str">
        <x:v>arxiv-paper-eval-20260726-140242-raw-search.jsonl (RRF reconstructed)</x:v>
      </x:c>
      <x:c r="O329" s="24" t="str">
        <x:v>1</x:v>
      </x:c>
      <x:c r="P329" s="28" t="str">
        <x:v>GPU集群调度论文以公平性和效率为核心指标，可提供典型ML工作负载评测实例。</x:v>
      </x:c>
      <x:c r="Q329" s="25" t="str"/>
      <x:c r="R329" s="24" t="str">
        <x:f>IF(Q329&lt;&gt;"",Q329,O329)</x:f>
        <x:v>1</x:v>
      </x:c>
      <x:c r="S329" s="29" t="str"/>
    </x:row>
    <x:row r="330" ht="54" customHeight="1">
      <x:c r="A330" s="17" t="str">
        <x:v>csq017-r09</x:v>
      </x:c>
      <x:c r="B330" s="17" t="str">
        <x:v>csq017</x:v>
      </x:c>
      <x:c r="C330" s="17" t="str">
        <x:v>systems_and_networking</x:v>
      </x:c>
      <x:c r="D330" s="17" t="str">
        <x:v>datacenter_scheduling</x:v>
      </x:c>
      <x:c r="E330" s="27" t="str">
        <x:v>Which workloads, metrics, and experimental methodologies are used to evaluate datacenter cluster schedulers?</x:v>
      </x:c>
      <x:c r="F330" s="22" t="n">
        <x:v>9</x:v>
      </x:c>
      <x:c r="G330" s="17" t="str">
        <x:v>arXiv:2401.09706</x:v>
      </x:c>
      <x:c r="H330" s="27" t="str">
        <x:v>A HPC Co-Scheduler with Reinforcement Learning</x:v>
      </x:c>
      <x:c r="I330" s="17" t="str">
        <x:v>Abel Souza; Kristiaan Pelckmans; Johan Tordsson</x:v>
      </x:c>
      <x:c r="J330" s="22" t="n">
        <x:v>2024</x:v>
      </x:c>
      <x:c r="K330" s="27" t="str">
        <x:v>Although High Performance Computing (HPC) users understand basic resource requirements such as the number of CPUs and memory limits, internal infrastructural utilization data is exclusively leveraged by cluster operators, who use it to configure batch schedulers. This task is challenging and increasingly complex due to ever larger cluster scales and heterogeneity of modern scientific workflows. As a result, HPC systems achieve low utilization with long job completion times (makespans). To tackle these challenges, we propose a co-scheduling algorithm based on an adaptive reinforcement learning algorithm, where application profiling is combined with cluster monitoring. The resulting cluster scheduler matches resource utilization to application performance in a fine-grained manner (i.e., operating system level). As opposed to nominal allocations, we apply decision trees to model applications' actual resource usage, which are used to estimate how much resource capacity from one allocation can be co-allocated to additional applications. Our algorithm learns from incorrect co-scheduling decisions and adapts from changing environment conditions, and evaluates when such changes cause resource contention that impacts quality of service metrics such as jobs slowdowns. We integrate our algorithm in an HPC resource manager that combines Slurm and Mesos for job scheduling and co-allocation, respectively. Our experimental evaluation performed in a dedicated cluster executing a mix of four real different scientific workflows demonstrates improvements on cluster utilization of up to 51% even in high load scenarios, with 55% average queue makespan reductions under low loads.</x:v>
      </x:c>
      <x:c r="L330" s="17" t="str">
        <x:v>http://arxiv.org/abs/2401.09706v1</x:v>
      </x:c>
      <x:c r="M330" s="23" t="n">
        <x:v>0.016129032258064516</x:v>
      </x:c>
      <x:c r="N330" s="17" t="str">
        <x:v>arxiv-paper-eval-20260726-140242-raw-search.jsonl (RRF reconstructed)</x:v>
      </x:c>
      <x:c r="O330" s="24" t="str">
        <x:v>1</x:v>
      </x:c>
      <x:c r="P330" s="28" t="str">
        <x:v>HPC协同调度使用科学工作流并关注利用率和完工时间，属于具体实验实例。</x:v>
      </x:c>
      <x:c r="Q330" s="25" t="str"/>
      <x:c r="R330" s="24" t="str">
        <x:f>IF(Q330&lt;&gt;"",Q330,O330)</x:f>
        <x:v>1</x:v>
      </x:c>
      <x:c r="S330" s="29" t="str"/>
    </x:row>
    <x:row r="331" ht="54" customHeight="1">
      <x:c r="A331" s="17" t="str">
        <x:v>csq017-r10</x:v>
      </x:c>
      <x:c r="B331" s="17" t="str">
        <x:v>csq017</x:v>
      </x:c>
      <x:c r="C331" s="17" t="str">
        <x:v>systems_and_networking</x:v>
      </x:c>
      <x:c r="D331" s="17" t="str">
        <x:v>datacenter_scheduling</x:v>
      </x:c>
      <x:c r="E331" s="27" t="str">
        <x:v>Which workloads, metrics, and experimental methodologies are used to evaluate datacenter cluster schedulers?</x:v>
      </x:c>
      <x:c r="F331" s="22" t="n">
        <x:v>10</x:v>
      </x:c>
      <x:c r="G331" s="17" t="str">
        <x:v>arXiv:2310.20209</x:v>
      </x:c>
      <x:c r="H331" s="27" t="str">
        <x:v>Network Contention-Aware Cluster Scheduling with Reinforcement Learning</x:v>
      </x:c>
      <x:c r="I331" s="17" t="str">
        <x:v>Junyeol Ryu; Jeongyoon Eo</x:v>
      </x:c>
      <x:c r="J331" s="22" t="n">
        <x:v>2023</x:v>
      </x:c>
      <x:c r="K331" s="27" t="str">
        <x:v>With continuous advances in deep learning, distributed training is becoming common in GPU clusters. Specifically, for emerging workloads with diverse amounts, ratios, and patterns of communication, we observe that network contention can significantly degrade training throughput. However, widely used scheduling policies often face limitations as they are agnostic to network contention between jobs. In this paper, we present a new approach to mitigate network contention in GPU clusters using reinforcement learning. We formulate GPU cluster scheduling as a reinforcement learning problem and opt to learn a network contention-aware scheduling policy that efficiently captures contention sensitivities and dynamically adapts scheduling decisions through continuous evaluation and improvement. We show that compared to widely used scheduling policies, our approach reduces average job completion time by up to 18.2\% and effectively cuts the tail job completion time by up to 20.7\% while allowing a preferable trade-off between average job completion time and resource utilization.</x:v>
      </x:c>
      <x:c r="L331" s="17" t="str">
        <x:v>http://arxiv.org/abs/2310.20209v1</x:v>
      </x:c>
      <x:c r="M331" s="23" t="n">
        <x:v>0.015873015873015872</x:v>
      </x:c>
      <x:c r="N331" s="17" t="str">
        <x:v>arxiv-paper-eval-20260726-140242-raw-search.jsonl (RRF reconstructed)</x:v>
      </x:c>
      <x:c r="O331" s="24" t="str">
        <x:v>1</x:v>
      </x:c>
      <x:c r="P331" s="28" t="str">
        <x:v>GPU训练调度研究覆盖通信模式、网络争用和训练吞吐指标。</x:v>
      </x:c>
      <x:c r="Q331" s="25" t="str"/>
      <x:c r="R331" s="24" t="str">
        <x:f>IF(Q331&lt;&gt;"",Q331,O331)</x:f>
        <x:v>1</x:v>
      </x:c>
      <x:c r="S331" s="29" t="str"/>
    </x:row>
    <x:row r="332" ht="54" customHeight="1">
      <x:c r="A332" s="17" t="str">
        <x:v>csq017-r11</x:v>
      </x:c>
      <x:c r="B332" s="17" t="str">
        <x:v>csq017</x:v>
      </x:c>
      <x:c r="C332" s="17" t="str">
        <x:v>systems_and_networking</x:v>
      </x:c>
      <x:c r="D332" s="17" t="str">
        <x:v>datacenter_scheduling</x:v>
      </x:c>
      <x:c r="E332" s="27" t="str">
        <x:v>Which workloads, metrics, and experimental methodologies are used to evaluate datacenter cluster schedulers?</x:v>
      </x:c>
      <x:c r="F332" s="22" t="n">
        <x:v>11</x:v>
      </x:c>
      <x:c r="G332" s="17" t="str">
        <x:v>arXiv:2512.11306</x:v>
      </x:c>
      <x:c r="H332" s="27" t="str">
        <x:v>RollMux: Phase-Level Multiplexing for Disaggregated RL Post-Training</x:v>
      </x:c>
      <x:c r="I332" s="17" t="str">
        <x:v>Tianyuan Wu; Lunxi Cao; Yining Wei; Wei Gao; Yuheng Zhao; Dakai An; Shaopan Xiong; Zhiqiang Lv; Ju Huang; Siran Yang; Yinghao Yu; Jiamang Wang; Lin Qu; Wei Wang</x:v>
      </x:c>
      <x:c r="J332" s="22" t="n">
        <x:v>2025</x:v>
      </x:c>
      <x:c r="K332" s="27" t="str">
        <x:v>Rollout-training disaggregation is emerging as the standard architecture for Reinforcement Learning (RL) post-training, where memory-bound rollout and compute-bound training are physically disaggregated onto purpose-built clusters to maximize hardware efficiency. However, the strict synchronization required by on-policy algorithms introduces severe dependency bubbles, forcing one cluster to idle while the dependent phase is running on the other. We present RollMux, a cluster scheduling framework that reclaims these bubbles through cross-cluster orchestration. RollMux is built on the insight that the structural idleness of one job can be effectively utilized by the active phase of another. To realize this, we introduce the co-execution group abstraction, which partitions the cluster into isolated locality domains. This abstraction enables a two-tier scheduling architecture: an inter-group scheduler that optimizes job placement using conservative stochastic planning, and an intra-group scheduler that orchestrates a provably optimal round-robin schedule. The group abstraction also imposes a residency constraint, ensuring that massive model states remain cached in host memory to enable "warm-star" context switching. We evaluate RollMux on a production-scale testbed with 328 H20 and 328 H800 GPUs. RollMux improves cost efficiency by 1.84x over standard disaggregation and 1.38x over state-of-the-art co-located baselines, all while achieving 100% SLO attainment.</x:v>
      </x:c>
      <x:c r="L332" s="17" t="str">
        <x:v>http://arxiv.org/abs/2512.11306v2</x:v>
      </x:c>
      <x:c r="M332" s="23" t="n">
        <x:v>0.015625</x:v>
      </x:c>
      <x:c r="N332" s="17" t="str">
        <x:v>arxiv-paper-eval-20260726-140242-raw-search.jsonl (RRF reconstructed)</x:v>
      </x:c>
      <x:c r="O332" s="24" t="str">
        <x:v>1</x:v>
      </x:c>
      <x:c r="P332" s="28" t="str">
        <x:v>针对强化学习后训练的分阶段负载，以资源闲置和硬件效率评估调度。</x:v>
      </x:c>
      <x:c r="Q332" s="25" t="str"/>
      <x:c r="R332" s="24" t="str">
        <x:f>IF(Q332&lt;&gt;"",Q332,O332)</x:f>
        <x:v>1</x:v>
      </x:c>
      <x:c r="S332" s="29" t="str"/>
    </x:row>
    <x:row r="333" ht="54" customHeight="1">
      <x:c r="A333" s="17" t="str">
        <x:v>csq017-r12</x:v>
      </x:c>
      <x:c r="B333" s="17" t="str">
        <x:v>csq017</x:v>
      </x:c>
      <x:c r="C333" s="17" t="str">
        <x:v>systems_and_networking</x:v>
      </x:c>
      <x:c r="D333" s="17" t="str">
        <x:v>datacenter_scheduling</x:v>
      </x:c>
      <x:c r="E333" s="27" t="str">
        <x:v>Which workloads, metrics, and experimental methodologies are used to evaluate datacenter cluster schedulers?</x:v>
      </x:c>
      <x:c r="F333" s="22" t="n">
        <x:v>12</x:v>
      </x:c>
      <x:c r="G333" s="17" t="str">
        <x:v>arXiv:2409.15104</x:v>
      </x:c>
      <x:c r="H333" s="27" t="str">
        <x:v>PecSched: Preemptive and Efficient Cluster Scheduling for LLM Inference</x:v>
      </x:c>
      <x:c r="I333" s="17" t="str">
        <x:v>Zeyu Zhang; Haiying Shen</x:v>
      </x:c>
      <x:c r="J333" s="22" t="n">
        <x:v>2024</x:v>
      </x:c>
      <x:c r="K333" s="27" t="str">
        <x:v>The scaling of transformer-based Large Language Models (LLMs) has significantly expanded their context lengths, enabling applications where inputs exceed 100K tokens. Our analysis of a recent Azure LLM inference trace reveals a highly skewed long-tail distribution of input lengths, with approximately 80% of inputs shorter than 2K tokens. Long inputs constitute only a small fraction. Existing cluster-level LLM scheduling strategies, including First-In-First-Out (FIFO), reservation-based, and priority-based approaches, primarily target short-input requests with lengths below 2K and fail to address this heterogeneity, leading to inefficiencies such as head-of-line blocking, resource underutilization, and starvation of long-input requests. We propose PecSched, a Preemptive and Efficient Cluster SCHEDuling system for LLM inference. PecSched introduces the following key techniques: 1) preemptive scheduling that prioritizes short-input requests for their performance; 2) coordinated prefill-decode colocation and disaggregation, which reduces both the duration and frequency of preemptions; 3) fast Sequence Parallelism (SP) that minimizes the prefill time of long-input requests to further reduce the likelihood and frequency of preemptions. Evaluations based on Azure LLM inference trace show that, compared to state-of-the-art cluster-level LLM inference schedulers, PecSched reduces the 99th percentile queueing delay of short-input requests by up to 92% and improves their throughput by up to 595%, without significantly affecting the Job Completion Time (JCT) of long-input requests. We open-sourced our code.</x:v>
      </x:c>
      <x:c r="L333" s="17" t="str">
        <x:v>http://arxiv.org/abs/2409.15104v2</x:v>
      </x:c>
      <x:c r="M333" s="23" t="n">
        <x:v>0.015625</x:v>
      </x:c>
      <x:c r="N333" s="17" t="str">
        <x:v>arxiv-paper-eval-20260726-140242-raw-search.jsonl (RRF reconstructed)</x:v>
      </x:c>
      <x:c r="O333" s="24" t="str">
        <x:v>1</x:v>
      </x:c>
      <x:c r="P333" s="28" t="str">
        <x:v>LLM推理集群调度使用真实长度分布并比较多种策略，可作方法案例。</x:v>
      </x:c>
      <x:c r="Q333" s="25" t="str"/>
      <x:c r="R333" s="24" t="str">
        <x:f>IF(Q333&lt;&gt;"",Q333,O333)</x:f>
        <x:v>1</x:v>
      </x:c>
      <x:c r="S333" s="29" t="str"/>
    </x:row>
    <x:row r="334" ht="54" customHeight="1">
      <x:c r="A334" s="17" t="str">
        <x:v>csq017-r13</x:v>
      </x:c>
      <x:c r="B334" s="17" t="str">
        <x:v>csq017</x:v>
      </x:c>
      <x:c r="C334" s="17" t="str">
        <x:v>systems_and_networking</x:v>
      </x:c>
      <x:c r="D334" s="17" t="str">
        <x:v>datacenter_scheduling</x:v>
      </x:c>
      <x:c r="E334" s="27" t="str">
        <x:v>Which workloads, metrics, and experimental methodologies are used to evaluate datacenter cluster schedulers?</x:v>
      </x:c>
      <x:c r="F334" s="22" t="n">
        <x:v>13</x:v>
      </x:c>
      <x:c r="G334" s="17" t="str">
        <x:v>arXiv:2304.06381</x:v>
      </x:c>
      <x:c r="H334" s="27" t="str">
        <x:v>Energy-Efficient GPU Clusters Scheduling for Deep Learning</x:v>
      </x:c>
      <x:c r="I334" s="17" t="str">
        <x:v>Diandian Gu; Xintong Xie; Gang Huang; Xin Jin; Xuanzhe Liu</x:v>
      </x:c>
      <x:c r="J334" s="22" t="n">
        <x:v>2023</x:v>
      </x:c>
      <x:c r="K334" s="27" t="str">
        <x:v>Training deep neural networks (DNNs) is a major workload in datacenters today, resulting in a tremendously fast growth of energy consumption. It is important to reduce the energy consumption while completing the DL training jobs early in data centers. In this paper, we propose PowerFlow, a GPU clusters scheduler that reduces the average Job Completion Time (JCT) under an energy budget. We first present performance models for DL training jobs to predict the throughput and energy consumption performance with different configurations. Based on the performance models, PowerFlow dynamically allocates GPUs and adjusts the GPU-level or job-level configurations of DL training jobs. PowerFlow applies network packing and buddy allocation to job placement, thus avoiding extra energy consumed by cluster fragmentations. Evaluation results show that under the same energy consumption, PowerFlow improves the average JCT by 1.57 - 3.39 x at most, compared to competitive baselines.</x:v>
      </x:c>
      <x:c r="L334" s="17" t="str">
        <x:v>http://arxiv.org/abs/2304.06381v2</x:v>
      </x:c>
      <x:c r="M334" s="23" t="n">
        <x:v>0.015384615384615385</x:v>
      </x:c>
      <x:c r="N334" s="17" t="str">
        <x:v>arxiv-paper-eval-20260726-140242-raw-search.jsonl (RRF reconstructed)</x:v>
      </x:c>
      <x:c r="O334" s="24" t="str">
        <x:v>1</x:v>
      </x:c>
      <x:c r="P334" s="28" t="str">
        <x:v>GPU训练调度以平均作业完成时间和能耗预算为指标。</x:v>
      </x:c>
      <x:c r="Q334" s="25" t="str"/>
      <x:c r="R334" s="24" t="str">
        <x:f>IF(Q334&lt;&gt;"",Q334,O334)</x:f>
        <x:v>1</x:v>
      </x:c>
      <x:c r="S334" s="29" t="str"/>
    </x:row>
    <x:row r="335" ht="54" customHeight="1">
      <x:c r="A335" s="17" t="str">
        <x:v>csq017-r14</x:v>
      </x:c>
      <x:c r="B335" s="17" t="str">
        <x:v>csq017</x:v>
      </x:c>
      <x:c r="C335" s="17" t="str">
        <x:v>systems_and_networking</x:v>
      </x:c>
      <x:c r="D335" s="17" t="str">
        <x:v>datacenter_scheduling</x:v>
      </x:c>
      <x:c r="E335" s="27" t="str">
        <x:v>Which workloads, metrics, and experimental methodologies are used to evaluate datacenter cluster schedulers?</x:v>
      </x:c>
      <x:c r="F335" s="22" t="n">
        <x:v>14</x:v>
      </x:c>
      <x:c r="G335" s="17" t="str">
        <x:v>arXiv:1909.06040</x:v>
      </x:c>
      <x:c r="H335" s="27" t="str">
        <x:v>DL2: A Deep Learning-driven Scheduler for Deep Learning Clusters</x:v>
      </x:c>
      <x:c r="I335" s="17" t="str">
        <x:v>Yanghua Peng; Yixin Bao; Yangrui Chen; Chuan Wu; Chen Meng; Wei Lin</x:v>
      </x:c>
      <x:c r="J335" s="22" t="n">
        <x:v>2019</x:v>
      </x:c>
      <x:c r="K335" s="27" t="str">
        <x:v>More and more companies have deployed machine learning (ML) clusters, where deep learning (DL) models are trained for providing various AI-driven services. Efficient resource scheduling is essential for maximal utilization of expensive DL clusters. Existing cluster schedulers either are agnostic to ML workload characteristics, or use scheduling heuristics based on operators' understanding of particular ML framework and workload, which are less efficient or not general enough. In this paper, we show that DL techniques can be adopted to design a generic and efficient scheduler. DL2 is a DL-driven scheduler for DL clusters, targeting global training job expedition by dynamically resizing resources allocated to jobs. DL2 advocates a joint supervised learning and reinforcement learning approach: a neural network is warmed up via offline supervised learning based on job traces produced by the existing cluster scheduler; then the neural network is plugged into the live DL cluster, fine-tuned by reinforcement learning carried out throughout the training progress of the DL jobs, and used for deciding job resource allocation in an online fashion. By applying past decisions made by the existing cluster scheduler in the preparatory supervised learning phase, our approach enables a smooth transition from existing scheduler, and renders a high-quality scheduler in minimizing average training completion time. We implement DL2 on Kubernetes and enable dynamic resource scaling in DL jobs on MXNet. Extensive evaluation shows that DL2 outperforms fairness scheduler (i.e., DRF) by 44.1% and expert heuristic scheduler (i.e., Optimus) by 17.5% in terms of average job completion time.</x:v>
      </x:c>
      <x:c r="L335" s="17" t="str">
        <x:v>http://arxiv.org/abs/1909.06040v1</x:v>
      </x:c>
      <x:c r="M335" s="23" t="n">
        <x:v>0.015151515151515152</x:v>
      </x:c>
      <x:c r="N335" s="17" t="str">
        <x:v>arxiv-paper-eval-20260726-140242-raw-search.jsonl (RRF reconstructed)</x:v>
      </x:c>
      <x:c r="O335" s="24" t="str">
        <x:v>1</x:v>
      </x:c>
      <x:c r="P335" s="28" t="str">
        <x:v>深度学习集群调度器关注利用率和工作负载特征，但非评测体系论文。</x:v>
      </x:c>
      <x:c r="Q335" s="25" t="str"/>
      <x:c r="R335" s="24" t="str">
        <x:f>IF(Q335&lt;&gt;"",Q335,O335)</x:f>
        <x:v>1</x:v>
      </x:c>
      <x:c r="S335" s="29" t="str"/>
    </x:row>
    <x:row r="336" ht="54" customHeight="1">
      <x:c r="A336" s="17" t="str">
        <x:v>csq017-r15</x:v>
      </x:c>
      <x:c r="B336" s="17" t="str">
        <x:v>csq017</x:v>
      </x:c>
      <x:c r="C336" s="17" t="str">
        <x:v>systems_and_networking</x:v>
      </x:c>
      <x:c r="D336" s="17" t="str">
        <x:v>datacenter_scheduling</x:v>
      </x:c>
      <x:c r="E336" s="27" t="str">
        <x:v>Which workloads, metrics, and experimental methodologies are used to evaluate datacenter cluster schedulers?</x:v>
      </x:c>
      <x:c r="F336" s="22" t="n">
        <x:v>15</x:v>
      </x:c>
      <x:c r="G336" s="17" t="str">
        <x:v>arXiv:2312.12621</x:v>
      </x:c>
      <x:c r="H336" s="27" t="str">
        <x:v>Blox: A Modular Toolkit for Deep Learning Schedulers</x:v>
      </x:c>
      <x:c r="I336" s="17" t="str">
        <x:v>Saurabh Agarwal; Amar Phanishayee; Shivaram Venkataraman</x:v>
      </x:c>
      <x:c r="J336" s="22" t="n">
        <x:v>2023</x:v>
      </x:c>
      <x:c r="K336" s="27" t="str">
        <x:v>Deep Learning (DL) workloads have rapidly increased in popularity in enterprise clusters and several new cluster schedulers have been proposed in recent years to support these workloads. With rapidly evolving DL workloads, it is challenging to quickly prototype and compare scheduling policies across workloads. Further, as prior systems target different aspects of scheduling (resource allocation, placement, elasticity etc.), it is also challenging to combine these techniques and understand the overall benefits. To address these challenges we propose Blox, a modular toolkit which allows developers to compose individual components and realize diverse scheduling frameworks. We identify a set of core abstractions for DL scheduling, implement several existing schedulers using these abstractions, and verify the fidelity of these implementations by reproducing results from prior research. We also highlight how we can evaluate and compare existing schedulers in new settings: different workload traces, higher cluster load, change in DNN workloads and deployment characteristics. Finally, we showcase Blox's extensibility by composing policies from different schedulers, and implementing novel policies with minimal code changes. Blox is available at \url{https://github.com/msr-fiddle/blox}.</x:v>
      </x:c>
      <x:c r="L336" s="17" t="str">
        <x:v>http://arxiv.org/abs/2312.12621v1</x:v>
      </x:c>
      <x:c r="M336" s="23" t="n">
        <x:v>0.014492753623188406</x:v>
      </x:c>
      <x:c r="N336" s="17" t="str">
        <x:v>arxiv-paper-eval-20260726-140242-raw-search.jsonl (RRF reconstructed)</x:v>
      </x:c>
      <x:c r="O336" s="24" t="str">
        <x:v>2</x:v>
      </x:c>
      <x:c r="P336" s="28" t="str">
        <x:v>专门提供调度器模块化原型与跨工作负载、跨策略比较工具，直接服务实验方法。</x:v>
      </x:c>
      <x:c r="Q336" s="25" t="str"/>
      <x:c r="R336" s="24" t="str">
        <x:f>IF(Q336&lt;&gt;"",Q336,O336)</x:f>
        <x:v>2</x:v>
      </x:c>
      <x:c r="S336" s="29" t="str"/>
    </x:row>
    <x:row r="337" ht="54" customHeight="1">
      <x:c r="A337" s="17" t="str">
        <x:v>csq018-r01</x:v>
      </x:c>
      <x:c r="B337" s="17" t="str">
        <x:v>csq018</x:v>
      </x:c>
      <x:c r="C337" s="17" t="str">
        <x:v>systems_and_networking</x:v>
      </x:c>
      <x:c r="D337" s="17" t="str">
        <x:v>programmable_networks</x:v>
      </x:c>
      <x:c r="E337" s="27" t="str">
        <x:v>How have programmable data planes and in-network computing evolved, and which classes of distributed applications have benefited from them?</x:v>
      </x:c>
      <x:c r="F337" s="22" t="n">
        <x:v>1</x:v>
      </x:c>
      <x:c r="G337" s="17" t="str">
        <x:v>arXiv:2106.05467</x:v>
      </x:c>
      <x:c r="H337" s="27" t="str">
        <x:v>NetFC: enabling accurate floating-point arithmetic on programmable switches</x:v>
      </x:c>
      <x:c r="I337" s="17" t="str">
        <x:v>Penglai Cui; Heng Pan; Zhenyu Li; Jiaoren Wu; Shengzhuo Zhang; Xingwu Yang; Hongtao Guan; Gaogang Xie</x:v>
      </x:c>
      <x:c r="J337" s="22" t="n">
        <x:v>2021</x:v>
      </x:c>
      <x:c r="K337" s="27" t="str">
        <x:v>In-network computation has been widely used to accelerate data-intensive distributed applications. Some computational tasks, traditional performed on servers, are offloaded to the network (i.e. programmable switches). However, the computational capacity of programmable switches is limited to simple integer arithmetic operations while many of applications require on-the-fly floating-point operations. To address this issue, prior approaches either adopt a float-to-integer method or directly offload computational tasks to the local CPUs of switches, incurring accuracy loss and delayed processing. To this end, we propose NetFC, a table-lookup method to achieve on-the-fly in-network floating-point arithmetic operations nearly without accuracy loss. NetFC adopts a divide-and-conquer mechanism that converts the original huge table into several much small tables together with some integer operations. NetFC adopts a scaling-factor mechanism for computational accuracy improvement, and a prefix-based lossless table compression method to reduce the memory overhead. We use different types of datasets to evaluate NetFC. The experimental results show that the average accuracy of NetFC can be as high as up to 99.94% at worst with only 448KB memory consumption. Furthermore, we integrate NetFC into Sonata for detecting Slowloris attack, yielding significant decrease of detection delay.</x:v>
      </x:c>
      <x:c r="L337" s="17" t="str">
        <x:v>http://arxiv.org/abs/2106.05467v1</x:v>
      </x:c>
      <x:c r="M337" s="23" t="n">
        <x:v>0.04459570280465803</x:v>
      </x:c>
      <x:c r="N337" s="17" t="str">
        <x:v>arxiv-paper-eval-20260726-140242-results.jsonl</x:v>
      </x:c>
      <x:c r="O337" s="24" t="str">
        <x:v>2</x:v>
      </x:c>
      <x:c r="P337" s="28" t="str">
        <x:v>扩展可编程交换机的浮点运算能力，支持数据密集型分布式应用内计算。</x:v>
      </x:c>
      <x:c r="Q337" s="25" t="str"/>
      <x:c r="R337" s="24" t="str">
        <x:f>IF(Q337&lt;&gt;"",Q337,O337)</x:f>
        <x:v>2</x:v>
      </x:c>
      <x:c r="S337" s="29" t="str"/>
    </x:row>
    <x:row r="338" ht="54" customHeight="1">
      <x:c r="A338" s="17" t="str">
        <x:v>csq018-r02</x:v>
      </x:c>
      <x:c r="B338" s="17" t="str">
        <x:v>csq018</x:v>
      </x:c>
      <x:c r="C338" s="17" t="str">
        <x:v>systems_and_networking</x:v>
      </x:c>
      <x:c r="D338" s="17" t="str">
        <x:v>programmable_networks</x:v>
      </x:c>
      <x:c r="E338" s="27" t="str">
        <x:v>How have programmable data planes and in-network computing evolved, and which classes of distributed applications have benefited from them?</x:v>
      </x:c>
      <x:c r="F338" s="22" t="n">
        <x:v>2</x:v>
      </x:c>
      <x:c r="G338" s="17" t="str">
        <x:v>arXiv:1904.04024</x:v>
      </x:c>
      <x:c r="H338" s="27" t="str">
        <x:v>SwitchAgg:A Further Step Towards In-Network Computation</x:v>
      </x:c>
      <x:c r="I338" s="17" t="str">
        <x:v>Fan Yang; Zhan Wang; Xiaoxiao Ma; Guojun Yuan; Xuejun An</x:v>
      </x:c>
      <x:c r="J338" s="22" t="n">
        <x:v>2019</x:v>
      </x:c>
      <x:c r="K338" s="27" t="str">
        <x:v>Many distributed applications adopt a partition/aggregation pattern to achieve high performance and scalability. The aggregation process, which usually takes a large portion of the overall execution time, incurs large amount of network traffic and bottlenecks the system performance. To reduce network traffic,some researches take advantage of network devices to commit innetwork aggregation. However, these approaches use either special topology or middle-boxes, which cannot be easily deployed in current datacenters. The emerging programmable RMT switch brings us new opportunities to implement in-network computation task. However, we argue that the architecture of RMT switch is not suitable for in-network aggregation since it is designed primarily for implementing traditional network functions. In this paper, we first give a detailed analysis of in-network aggregation, and point out the key factor that affects the data reduction ratio. We then propose SwitchAgg, which is an innetwork aggregation system that is compatible with current datacenter infrastructures. We also evaluate the performance improvement we have gained from SwitchAgg. Our results show that, SwitchAgg can process data aggregation tasks at line rate and gives a high data reduction rate, which helps us to cut down network traffic and alleviate pressure on server CPU. In the system performance test, the job-completion-time can be reduced as much as 50%</x:v>
      </x:c>
      <x:c r="L338" s="17" t="str">
        <x:v>http://arxiv.org/abs/1904.04024v1</x:v>
      </x:c>
      <x:c r="M338" s="23" t="n">
        <x:v>0.032266458495966696</x:v>
      </x:c>
      <x:c r="N338" s="17" t="str">
        <x:v>arxiv-paper-eval-20260726-140242-results.jsonl</x:v>
      </x:c>
      <x:c r="O338" s="24" t="str">
        <x:v>2</x:v>
      </x:c>
      <x:c r="P338" s="28" t="str">
        <x:v>利用可编程网络内聚合降低分布式分区聚合应用的流量和执行时间。</x:v>
      </x:c>
      <x:c r="Q338" s="25" t="str"/>
      <x:c r="R338" s="24" t="str">
        <x:f>IF(Q338&lt;&gt;"",Q338,O338)</x:f>
        <x:v>2</x:v>
      </x:c>
      <x:c r="S338" s="29" t="str"/>
    </x:row>
    <x:row r="339" ht="54" customHeight="1">
      <x:c r="A339" s="17" t="str">
        <x:v>csq018-r03</x:v>
      </x:c>
      <x:c r="B339" s="17" t="str">
        <x:v>csq018</x:v>
      </x:c>
      <x:c r="C339" s="17" t="str">
        <x:v>systems_and_networking</x:v>
      </x:c>
      <x:c r="D339" s="17" t="str">
        <x:v>programmable_networks</x:v>
      </x:c>
      <x:c r="E339" s="27" t="str">
        <x:v>How have programmable data planes and in-network computing evolved, and which classes of distributed applications have benefited from them?</x:v>
      </x:c>
      <x:c r="F339" s="22" t="n">
        <x:v>3</x:v>
      </x:c>
      <x:c r="G339" s="17" t="str">
        <x:v>arXiv:1912.10643</x:v>
      </x:c>
      <x:c r="H339" s="27" t="str">
        <x:v>Jupiter: A Networked Computing Architecture</x:v>
      </x:c>
      <x:c r="I339" s="17" t="str">
        <x:v>Pradipta Ghosh; Quynh Nguyen; Pranav K Sakulkar; Aleksandra Knezevic; Jason A. Tran; Jiatong Wang; Zhifeng Lin; Bhaskar Krishnamachari; Murali Annavaram; Salman Avestimehr</x:v>
      </x:c>
      <x:c r="J339" s="22" t="n">
        <x:v>2019</x:v>
      </x:c>
      <x:c r="K339" s="27" t="str">
        <x:v>In the era of Internet of Things, there is an increasing demand for networked computing to support the requirements of the time-constrained, compute-intensive distributed applications such as multi-camera video processing and data fusion for security. We present Jupiter, an open source networked computing system that inputs a Directed Acyclic Graph (DAG)-based computational task graph to efficiently distribute the tasks among a set of networked compute nodes regardless of their geographical separations and orchestrates the execution of the DAG thereafter. This Kubernetes container-orchestration-based system supports both centralized and decentralized scheduling algorithms for optimally mapping the tasks based on information from a range of profilers: network profilers, resource profilers, and execution time profilers. While centralized scheduling algorithms with global knowledge have been popular among the grid/cloud computing community, we argue that a distributed scheduling approach is better suited for networked computing due to lower communication and computation overhead in the face of network dynamics. To this end, we propose and implement a new class of distributed scheduling algorithms called WAVE on the Jupiter system. We present a set of real world experiments on two separate testbeds - one a world-wide network of 90 cloud computers across 8 cities and the other a cluster of 30 Raspberry pi nodes, over a simple networked computing application called Distributed Network Anomaly Detector (DNAD). We show that despite using more localized knowledge, a distributed WAVE greedy algorithm can achieve similar performance as a classical centralized scheduling algorithm called Heterogeneous Earliest Finish Time (HEFT), suitably enhanced for the Jupiter system.</x:v>
      </x:c>
      <x:c r="L339" s="17" t="str">
        <x:v>http://arxiv.org/abs/1912.10643v1</x:v>
      </x:c>
      <x:c r="M339" s="23" t="n">
        <x:v>0.03225806451612903</x:v>
      </x:c>
      <x:c r="N339" s="17" t="str">
        <x:v>arxiv-paper-eval-20260726-140242-results.jsonl</x:v>
      </x:c>
      <x:c r="O339" s="24" t="str">
        <x:v>0</x:v>
      </x:c>
      <x:c r="P339" s="28" t="str">
        <x:v>是将任务分配到网络化计算节点的架构，摘要未涉及可编程数据平面或交换机内计算。</x:v>
      </x:c>
      <x:c r="Q339" s="25" t="str"/>
      <x:c r="R339" s="24" t="str">
        <x:f>IF(Q339&lt;&gt;"",Q339,O339)</x:f>
        <x:v>0</x:v>
      </x:c>
      <x:c r="S339" s="29" t="str"/>
    </x:row>
    <x:row r="340" ht="54" customHeight="1">
      <x:c r="A340" s="17" t="str">
        <x:v>csq018-r04</x:v>
      </x:c>
      <x:c r="B340" s="17" t="str">
        <x:v>csq018</x:v>
      </x:c>
      <x:c r="C340" s="17" t="str">
        <x:v>systems_and_networking</x:v>
      </x:c>
      <x:c r="D340" s="17" t="str">
        <x:v>programmable_networks</x:v>
      </x:c>
      <x:c r="E340" s="27" t="str">
        <x:v>How have programmable data planes and in-network computing evolved, and which classes of distributed applications have benefited from them?</x:v>
      </x:c>
      <x:c r="F340" s="22" t="n">
        <x:v>4</x:v>
      </x:c>
      <x:c r="G340" s="17" t="str">
        <x:v>arXiv:2510.08228</x:v>
      </x:c>
      <x:c r="H340" s="27" t="str">
        <x:v>Distributed Resource Selection for Self-Organising Cloud-Edge Systems</x:v>
      </x:c>
      <x:c r="I340" s="17" t="str">
        <x:v>Quentin Renau; Amjad Ullah; Emma Hart</x:v>
      </x:c>
      <x:c r="J340" s="22" t="n">
        <x:v>2025</x:v>
      </x:c>
      <x:c r="K340" s="27" t="str">
        <x:v>This paper presents a distributed resource selection mechanism for diverse cloud-edge environments, enabling dynamic and context-aware allocation of resources to meet the demands of complex distributed applications. By distributing the decision-making process, our approach ensures efficiency, scalability, and resilience in highly dynamic cloud-edge environments where centralised coordination becomes a bottleneck. The proposed mechanism aims to function as a core component of a broader, distributed, and self-organising orchestration system that facilitates the intelligent placement and adaptation of applications in real-time. This work leverages a consensus-based mechanism utilising local knowledge and inter-agent collaboration to achieve efficient results without relying on a central controller, thus paving the way for distributed orchestration. Our results indicate that computation time is the key factor influencing allocation decisions. Our approach consistently delivers rapid allocations without compromising optimality or incurring additional cost, achieving timely results at scale where exhaustive search is infeasible and centralised heuristics run up to 30 times slower.</x:v>
      </x:c>
      <x:c r="L340" s="17" t="str">
        <x:v>http://arxiv.org/abs/2510.08228v1</x:v>
      </x:c>
      <x:c r="M340" s="23" t="n">
        <x:v>0.03125763125763126</x:v>
      </x:c>
      <x:c r="N340" s="17" t="str">
        <x:v>arxiv-paper-eval-20260726-140242-results.jsonl</x:v>
      </x:c>
      <x:c r="O340" s="24" t="str">
        <x:v>0</x:v>
      </x:c>
      <x:c r="P340" s="28" t="str">
        <x:v>研究云边资源选择，不涉及可编程数据平面或网络内计算。</x:v>
      </x:c>
      <x:c r="Q340" s="25" t="str"/>
      <x:c r="R340" s="24" t="str">
        <x:f>IF(Q340&lt;&gt;"",Q340,O340)</x:f>
        <x:v>0</x:v>
      </x:c>
      <x:c r="S340" s="29" t="str"/>
    </x:row>
    <x:row r="341" ht="54" customHeight="1">
      <x:c r="A341" s="17" t="str">
        <x:v>csq018-r05</x:v>
      </x:c>
      <x:c r="B341" s="17" t="str">
        <x:v>csq018</x:v>
      </x:c>
      <x:c r="C341" s="17" t="str">
        <x:v>systems_and_networking</x:v>
      </x:c>
      <x:c r="D341" s="17" t="str">
        <x:v>programmable_networks</x:v>
      </x:c>
      <x:c r="E341" s="27" t="str">
        <x:v>How have programmable data planes and in-network computing evolved, and which classes of distributed applications have benefited from them?</x:v>
      </x:c>
      <x:c r="F341" s="22" t="n">
        <x:v>5</x:v>
      </x:c>
      <x:c r="G341" s="17" t="str">
        <x:v>arXiv:1907.12986</x:v>
      </x:c>
      <x:c r="H341" s="27" t="str">
        <x:v>Runtime QoS service for application-driven adaptation in network computing</x:v>
      </x:c>
      <x:c r="I341" s="17" t="str">
        <x:v>Feras Al-Hawari; Elias Manolakos</x:v>
      </x:c>
      <x:c r="J341" s="22" t="n">
        <x:v>2019</x:v>
      </x:c>
      <x:c r="K341" s="27" t="str">
        <x:v>A distributed application executing on a Network of Workstations (NOW) needs to be resource state aware to possibly adapt itself accordingly in order to keep satisfying the desired Quality of Service (QoS) demands throughout its lifespan. We implemented a QoS service to enable application-driven adaptation for performance and fault tolerance at runtime. The service is associated with lightweight middleware that monitors the state and load of all application entities (e.g., machines, tasks, and logical network links). Moreover, it makes its services available to an application task via an anonymous and simple to use QoS API. We present a Manager-Worker application that uses our fault tolerance QoS API to adapt for Worker faults in order to avoid application deadlock at runtime. Moreover, we show how a dynamic application-level scheduler can easily utilize the QoS API to find efficient schedules. Furthermore, we quantified the overhead of the QoS middleware in various scenarios to demonstrate that it has minor impact on the performance of the application it is servicing.</x:v>
      </x:c>
      <x:c r="L341" s="17" t="str">
        <x:v>http://arxiv.org/abs/1907.12986v1</x:v>
      </x:c>
      <x:c r="M341" s="23" t="n">
        <x:v>0.030776515151515152</x:v>
      </x:c>
      <x:c r="N341" s="17" t="str">
        <x:v>arxiv-paper-eval-20260726-140242-results.jsonl</x:v>
      </x:c>
      <x:c r="O341" s="24" t="str">
        <x:v>0</x:v>
      </x:c>
      <x:c r="P341" s="28" t="str">
        <x:v>研究工作站网络上的QoS中间件，并非数据平面可编程或网络内计算。</x:v>
      </x:c>
      <x:c r="Q341" s="25" t="str"/>
      <x:c r="R341" s="24" t="str">
        <x:f>IF(Q341&lt;&gt;"",Q341,O341)</x:f>
        <x:v>0</x:v>
      </x:c>
      <x:c r="S341" s="29" t="str"/>
    </x:row>
    <x:row r="342" ht="54" customHeight="1">
      <x:c r="A342" s="17" t="str">
        <x:v>csq018-r06</x:v>
      </x:c>
      <x:c r="B342" s="17" t="str">
        <x:v>csq018</x:v>
      </x:c>
      <x:c r="C342" s="17" t="str">
        <x:v>systems_and_networking</x:v>
      </x:c>
      <x:c r="D342" s="17" t="str">
        <x:v>programmable_networks</x:v>
      </x:c>
      <x:c r="E342" s="27" t="str">
        <x:v>How have programmable data planes and in-network computing evolved, and which classes of distributed applications have benefited from them?</x:v>
      </x:c>
      <x:c r="F342" s="22" t="n">
        <x:v>6</x:v>
      </x:c>
      <x:c r="G342" s="17" t="str">
        <x:v>arXiv:2001.07670</x:v>
      </x:c>
      <x:c r="H342" s="27" t="str">
        <x:v>LOcAl DEcisions on Replicated States (LOADER) in programmable data planes: programming abstraction and experimental evaluation</x:v>
      </x:c>
      <x:c r="I342" s="17" t="str">
        <x:v>German Sviridov; Marco Bonola; Angelo Tulumello; Paolo Giaccone; Andrea Bianco; Giuseppe Bianchi</x:v>
      </x:c>
      <x:c r="J342" s="22" t="n">
        <x:v>2020</x:v>
      </x:c>
      <x:c r="K342" s="27" t="str">
        <x:v>Programmable data planes recently emerged as a prominent innovation in Software Defined Networking (SDN), by permitting support of stateful flow processing functions over hardware network switches specifically designed for network processing. Unlike early SDN solutions such as OpenFlow, modern stateful data planes permit to keep (and dynamically update) local per-flow states inside network switches, thus dramatically improving reactiveness of network applications to state changes. Still, also in stateful data planes, the control and update of non-local states is assumed to be completely delegated to a centralized controller and thus accessed only at the price of extra delay. Our LOADER proposal aims at contrasting the apparent dichotomy between local states and global states. We do so by introducing a new possibility: permit to take localized (in-switch) decisions not only on local states but also on replicated global states, thus providing support for network-wide applications without incurring the drawbacks of classical approaches. To this purpose, i) we provide high-level programming abstractions devised to define the states and the update logic of a generic network-wide application, and ii) we detail the underlying low level state management and replication mechanisms. We then show LOADER's independence of the stateful data plane technology employed, by implementing it over two distinct stateful data planes (P4 switches and OPP - Open Packet Processor - switches), and by experimentally validating both implementations in an emulated testbed using a simple distributed Deny-of-Service (DoS) detection application.</x:v>
      </x:c>
      <x:c r="L342" s="17" t="str">
        <x:v>http://arxiv.org/abs/2001.07670v3</x:v>
      </x:c>
      <x:c r="M342" s="23" t="n">
        <x:v>0.030330882352941176</x:v>
      </x:c>
      <x:c r="N342" s="17" t="str">
        <x:v>arxiv-paper-eval-20260726-140242-results.jsonl</x:v>
      </x:c>
      <x:c r="O342" s="24" t="str">
        <x:v>2</x:v>
      </x:c>
      <x:c r="P342" s="28" t="str">
        <x:v>研究有状态可编程数据平面的复制状态抽象与实验评估，体现能力演进。</x:v>
      </x:c>
      <x:c r="Q342" s="25" t="str"/>
      <x:c r="R342" s="24" t="str">
        <x:f>IF(Q342&lt;&gt;"",Q342,O342)</x:f>
        <x:v>2</x:v>
      </x:c>
      <x:c r="S342" s="29" t="str"/>
    </x:row>
    <x:row r="343" ht="54" customHeight="1">
      <x:c r="A343" s="17" t="str">
        <x:v>csq018-r07</x:v>
      </x:c>
      <x:c r="B343" s="17" t="str">
        <x:v>csq018</x:v>
      </x:c>
      <x:c r="C343" s="17" t="str">
        <x:v>systems_and_networking</x:v>
      </x:c>
      <x:c r="D343" s="17" t="str">
        <x:v>programmable_networks</x:v>
      </x:c>
      <x:c r="E343" s="27" t="str">
        <x:v>How have programmable data planes and in-network computing evolved, and which classes of distributed applications have benefited from them?</x:v>
      </x:c>
      <x:c r="F343" s="22" t="n">
        <x:v>7</x:v>
      </x:c>
      <x:c r="G343" s="17" t="str">
        <x:v>arXiv:2201.11516</x:v>
      </x:c>
      <x:c r="H343" s="27" t="str">
        <x:v>Survey on some optimization possibilities for data plane applications</x:v>
      </x:c>
      <x:c r="I343" s="17" t="str">
        <x:v>Gereltsetseg Altangerel; Tejfel Máté</x:v>
      </x:c>
      <x:c r="J343" s="22" t="n">
        <x:v>2021</x:v>
      </x:c>
      <x:c r="K343" s="27" t="str">
        <x:v>By programming both the data plane and the control plane, network operators can customize their networks based on their needs, regardless of the hardware manufacturer. Control plane programming, a major component of the SDN (Software Defined Network) concept, has been developed for more than 10 years and successfully implemented in real networks. Efforts to develop reconfigurable data planes and high-level network programming languages make it truly possible to program data planes. Therefore, the programmable data planes and SDNs offer great flexibility in network customization, allowing many innovations to be introduced on the network. The general focus of research on the data plane is data-plane abstractions, languages and compilers, data plane algorithms, and applications. This paper outlines some emerging applications on the data plane and offers opportunities for further improvement and optimization.</x:v>
      </x:c>
      <x:c r="L343" s="17" t="str">
        <x:v>http://arxiv.org/abs/2201.11516v1</x:v>
      </x:c>
      <x:c r="M343" s="23" t="n">
        <x:v>0.028404512489927477</x:v>
      </x:c>
      <x:c r="N343" s="17" t="str">
        <x:v>arxiv-paper-eval-20260726-140242-results.jsonl</x:v>
      </x:c>
      <x:c r="O343" s="24" t="str">
        <x:v>2</x:v>
      </x:c>
      <x:c r="P343" s="28" t="str">
        <x:v>综述数据平面应用优化及从控制面到可重配置数据平面的演进。</x:v>
      </x:c>
      <x:c r="Q343" s="25" t="str"/>
      <x:c r="R343" s="24" t="str">
        <x:f>IF(Q343&lt;&gt;"",Q343,O343)</x:f>
        <x:v>2</x:v>
      </x:c>
      <x:c r="S343" s="29" t="str"/>
    </x:row>
    <x:row r="344" ht="54" customHeight="1">
      <x:c r="A344" s="17" t="str">
        <x:v>csq018-r08</x:v>
      </x:c>
      <x:c r="B344" s="17" t="str">
        <x:v>csq018</x:v>
      </x:c>
      <x:c r="C344" s="17" t="str">
        <x:v>systems_and_networking</x:v>
      </x:c>
      <x:c r="D344" s="17" t="str">
        <x:v>programmable_networks</x:v>
      </x:c>
      <x:c r="E344" s="27" t="str">
        <x:v>How have programmable data planes and in-network computing evolved, and which classes of distributed applications have benefited from them?</x:v>
      </x:c>
      <x:c r="F344" s="22" t="n">
        <x:v>8</x:v>
      </x:c>
      <x:c r="G344" s="17" t="str">
        <x:v>arXiv:1806.04385</x:v>
      </x:c>
      <x:c r="H344" s="27" t="str">
        <x:v>P4CEP: Towards In-Network Complex Event Processing</x:v>
      </x:c>
      <x:c r="I344" s="17" t="str">
        <x:v>Thomas Kohler; Ruben Mayer; Frank Dürr; Marius Maaß; Sukanya Bhowmik; Kurt Rothermel</x:v>
      </x:c>
      <x:c r="J344" s="22" t="n">
        <x:v>2018</x:v>
      </x:c>
      <x:c r="K344" s="27" t="str">
        <x:v>In-network computing using programmable networking hardware is a strong trend in networking that promises to reduce latency and consumption of server resources through offloading to network elements (programmable switches and smart NICs). In particular, the data plane programming language P4 together with powerful P4 networking hardware has spawned projects offloading services into the network, e.g., consensus services or caching services. In this paper, we present a novel case for in-network computing, namely, Complex Event Processing (CEP). CEP processes streams of basic events, e.g., stemming from networked sensors, into meaningful complex events. Traditionally, CEP processing has been performed on servers or overlay networks. However, we argue in this paper that CEP is a good candidate for in-network computing along the communication path avoiding detouring streams to distant servers to minimize communication latency while also exploiting processing capabilities of novel networking hardware. We show that it is feasible to express CEP operations in P4 and also present a tool to compile CEP operations, formulated in our P4CEP rule specification language, to P4 code. Moreover, we identify challenges and problems that we have encountered to show future research directions for implementing full-fledged in-network CEP systems.</x:v>
      </x:c>
      <x:c r="L344" s="17" t="str">
        <x:v>http://arxiv.org/abs/1806.04385v1</x:v>
      </x:c>
      <x:c r="M344" s="23" t="n">
        <x:v>0.028370221327967807</x:v>
      </x:c>
      <x:c r="N344" s="17" t="str">
        <x:v>arxiv-paper-eval-20260726-140242-results.jsonl</x:v>
      </x:c>
      <x:c r="O344" s="24" t="str">
        <x:v>2</x:v>
      </x:c>
      <x:c r="P344" s="28" t="str">
        <x:v>把复杂事件处理卸载到P4交换机，展示低延迟分布式事件处理应用。</x:v>
      </x:c>
      <x:c r="Q344" s="25" t="str"/>
      <x:c r="R344" s="24" t="str">
        <x:f>IF(Q344&lt;&gt;"",Q344,O344)</x:f>
        <x:v>2</x:v>
      </x:c>
      <x:c r="S344" s="29" t="str"/>
    </x:row>
    <x:row r="345" ht="54" customHeight="1">
      <x:c r="A345" s="17" t="str">
        <x:v>csq018-r09</x:v>
      </x:c>
      <x:c r="B345" s="17" t="str">
        <x:v>csq018</x:v>
      </x:c>
      <x:c r="C345" s="17" t="str">
        <x:v>systems_and_networking</x:v>
      </x:c>
      <x:c r="D345" s="17" t="str">
        <x:v>programmable_networks</x:v>
      </x:c>
      <x:c r="E345" s="27" t="str">
        <x:v>How have programmable data planes and in-network computing evolved, and which classes of distributed applications have benefited from them?</x:v>
      </x:c>
      <x:c r="F345" s="22" t="n">
        <x:v>9</x:v>
      </x:c>
      <x:c r="G345" s="17" t="str">
        <x:v>arXiv:2306.13983</x:v>
      </x:c>
      <x:c r="H345" s="27" t="str">
        <x:v>Towards Greener Data Centers via Programmable Data Plane</x:v>
      </x:c>
      <x:c r="I345" s="17" t="str">
        <x:v>Garegin Grigoryan; Minseok Kwon</x:v>
      </x:c>
      <x:c r="J345" s="22" t="n">
        <x:v>2023</x:v>
      </x:c>
      <x:c r="K345" s="27" t="str">
        <x:v>The energy demands of data centers are increasing and are expected to grow exponentially. Reducing the energy consumption of data centers decreases operational expenses, as well as their carbon footprint. We design techniques to reduce data center power consumption by leveraging Software-Defined Networking (SDN) and programmable data plane concepts. Relying solely on in-data plane registers, our proposed system P4Green consolidates traffic in the least number of network switches and shifts workloads to the servers with the available renewable energy. Unlike existing SDN-based solutions, P4Green's operation does not depend on a centralized controller, making the system scalable and failure-resistant. Our proof-of-concept simulations show that traffic consolidation can reduce data centers' aggregation switch usage by 36% compared to standard data center load balancing techniques, while workload control can boost renewable energy consumption for 46% of the daily traffic.</x:v>
      </x:c>
      <x:c r="L345" s="17" t="str">
        <x:v>http://arxiv.org/abs/2306.13983v1</x:v>
      </x:c>
      <x:c r="M345" s="23" t="n">
        <x:v>0.01639344262295082</x:v>
      </x:c>
      <x:c r="N345" s="17" t="str">
        <x:v>arxiv-paper-eval-20260726-140242-results.jsonl</x:v>
      </x:c>
      <x:c r="O345" s="24" t="str">
        <x:v>2</x:v>
      </x:c>
      <x:c r="P345" s="28" t="str">
        <x:v>利用可编程数据平面整合流量并降低数据中心能耗。</x:v>
      </x:c>
      <x:c r="Q345" s="25" t="str"/>
      <x:c r="R345" s="24" t="str">
        <x:f>IF(Q345&lt;&gt;"",Q345,O345)</x:f>
        <x:v>2</x:v>
      </x:c>
      <x:c r="S345" s="29" t="str"/>
    </x:row>
    <x:row r="346" ht="54" customHeight="1">
      <x:c r="A346" s="17" t="str">
        <x:v>csq018-r10</x:v>
      </x:c>
      <x:c r="B346" s="17" t="str">
        <x:v>csq018</x:v>
      </x:c>
      <x:c r="C346" s="17" t="str">
        <x:v>systems_and_networking</x:v>
      </x:c>
      <x:c r="D346" s="17" t="str">
        <x:v>programmable_networks</x:v>
      </x:c>
      <x:c r="E346" s="27" t="str">
        <x:v>How have programmable data planes and in-network computing evolved, and which classes of distributed applications have benefited from them?</x:v>
      </x:c>
      <x:c r="F346" s="22" t="n">
        <x:v>10</x:v>
      </x:c>
      <x:c r="G346" s="17" t="str">
        <x:v>arXiv:2107.13694</x:v>
      </x:c>
      <x:c r="H346" s="27" t="str">
        <x:v>P4COM: In-Network Computation with Programmable Switches</x:v>
      </x:c>
      <x:c r="I346" s="17" t="str">
        <x:v>Ge Chen; Gaoxiong Zeng; Li Chen</x:v>
      </x:c>
      <x:c r="J346" s="22" t="n">
        <x:v>2021</x:v>
      </x:c>
      <x:c r="K346" s="27" t="str">
        <x:v>Traditionally, switches only provide forwarding services and have no credits on computation in distributed computing frameworks. The emerging programmable switches make in-network computing (INC) possible, i.e., offloading some computation to the switch data plane. While some proposals have attempted to offload computation onto special hardwares (e.g., NetFPGA), many practical issues have not been addressed. Therefore, we propose P4COM - a user-friendly, memory-efficient, and fault-tolerant framework realizing in-network computation (e.g., MapReduce) with programmable switches. P4COM consists of three modules. First, P4COM automatically translates application logic to switch data plane programs with a lightweight interpreter. Second, P4COM adopts a memory management policy to efficiently utilize the limited switch on-chip memory. Third, P4COM provides a cutting-payload mechanism to handle packet losses. We have built a P4COM prototype with a Barefoot Tofino switch and multiple commodity servers. Through a combination of testbed experiments and large-scale simulations, we show that P4COM is able to achieve line-rate processing at 10Gbps links, and can increase the data shuffling throughput by 2-5 times for the MapReduce-style applications.</x:v>
      </x:c>
      <x:c r="L346" s="17" t="str">
        <x:v>http://arxiv.org/abs/2107.13694v1</x:v>
      </x:c>
      <x:c r="M346" s="23" t="n">
        <x:v>0.01639344262295082</x:v>
      </x:c>
      <x:c r="N346" s="17" t="str">
        <x:v>arxiv-paper-eval-20260726-140242-results.jsonl</x:v>
      </x:c>
      <x:c r="O346" s="24" t="str">
        <x:v>2</x:v>
      </x:c>
      <x:c r="P346" s="28" t="str">
        <x:v>提出面向分布式计算的通用P4网络内计算框架并处理实用性问题。</x:v>
      </x:c>
      <x:c r="Q346" s="25" t="str"/>
      <x:c r="R346" s="24" t="str">
        <x:f>IF(Q346&lt;&gt;"",Q346,O346)</x:f>
        <x:v>2</x:v>
      </x:c>
      <x:c r="S346" s="29" t="str"/>
    </x:row>
    <x:row r="347" ht="54" customHeight="1">
      <x:c r="A347" s="17" t="str">
        <x:v>csq018-r11</x:v>
      </x:c>
      <x:c r="B347" s="17" t="str">
        <x:v>csq018</x:v>
      </x:c>
      <x:c r="C347" s="17" t="str">
        <x:v>systems_and_networking</x:v>
      </x:c>
      <x:c r="D347" s="17" t="str">
        <x:v>programmable_networks</x:v>
      </x:c>
      <x:c r="E347" s="27" t="str">
        <x:v>How have programmable data planes and in-network computing evolved, and which classes of distributed applications have benefited from them?</x:v>
      </x:c>
      <x:c r="F347" s="22" t="n">
        <x:v>11</x:v>
      </x:c>
      <x:c r="G347" s="17" t="str">
        <x:v>arXiv:2009.02457</x:v>
      </x:c>
      <x:c r="H347" s="27" t="str">
        <x:v>Unleashing In-network Computing on Scientific Workloads</x:v>
      </x:c>
      <x:c r="I347" s="17" t="str">
        <x:v>Daehyeok Kim; Ankush Jain; Zaoxing Liu; George Amvrosiadis; Damian Hazen; Bradley Settlemyer; Vyas Sekar</x:v>
      </x:c>
      <x:c r="J347" s="22" t="n">
        <x:v>2020</x:v>
      </x:c>
      <x:c r="K347" s="27" t="str">
        <x:v>Many recent efforts have shown that in-network computing can benefit various datacenter applications. In this paper, we explore a relatively less-explored domain which we argue can benefit from in-network computing: scientific workloads in high-performance computing. By analyzing canonical examples of HPC applications, we observe unique opportunities and challenges for exploiting in-network computing to accelerate scientific workloads. In particular, we find that the dynamic and demanding nature of scientific workloads is the major obstacle to the adoption of in-network approaches which are mostly open-loop and lack runtime feedback. In this paper, we present NSinC (Network-accelerated ScIeNtific Computing), an architecture for fully unleashing the potential benefits of in-network computing for scientific workloads by providing closed-loop runtime feedback to in-network acceleration services. We outline key challenges in realizing this vision and a preliminary design to enable acceleration for scientific applications.</x:v>
      </x:c>
      <x:c r="L347" s="17" t="str">
        <x:v>http://arxiv.org/abs/2009.02457v1</x:v>
      </x:c>
      <x:c r="M347" s="23" t="n">
        <x:v>0.01639344262295082</x:v>
      </x:c>
      <x:c r="N347" s="17" t="str">
        <x:v>arxiv-paper-eval-20260726-140242-results.jsonl</x:v>
      </x:c>
      <x:c r="O347" s="24" t="str">
        <x:v>2</x:v>
      </x:c>
      <x:c r="P347" s="28" t="str">
        <x:v>系统分析网络内计算对高性能科学工作负载的机会和挑战。</x:v>
      </x:c>
      <x:c r="Q347" s="25" t="str"/>
      <x:c r="R347" s="24" t="str">
        <x:f>IF(Q347&lt;&gt;"",Q347,O347)</x:f>
        <x:v>2</x:v>
      </x:c>
      <x:c r="S347" s="29" t="str"/>
    </x:row>
    <x:row r="348" ht="54" customHeight="1">
      <x:c r="A348" s="17" t="str">
        <x:v>csq018-r12</x:v>
      </x:c>
      <x:c r="B348" s="17" t="str">
        <x:v>csq018</x:v>
      </x:c>
      <x:c r="C348" s="17" t="str">
        <x:v>systems_and_networking</x:v>
      </x:c>
      <x:c r="D348" s="17" t="str">
        <x:v>programmable_networks</x:v>
      </x:c>
      <x:c r="E348" s="27" t="str">
        <x:v>How have programmable data planes and in-network computing evolved, and which classes of distributed applications have benefited from them?</x:v>
      </x:c>
      <x:c r="F348" s="22" t="n">
        <x:v>12</x:v>
      </x:c>
      <x:c r="G348" s="17" t="str">
        <x:v>arXiv:2501.01187</x:v>
      </x:c>
      <x:c r="H348" s="27" t="str">
        <x:v>NET-SA: An Efficient Secure Aggregation Architecture Based on In-Network Computing</x:v>
      </x:c>
      <x:c r="I348" s="17" t="str">
        <x:v>Qingqing Ren; Wen Wang; Shuyong Zhu; Zhiyuan Wu; Yujun Zhang</x:v>
      </x:c>
      <x:c r="J348" s="22" t="n">
        <x:v>2025</x:v>
      </x:c>
      <x:c r="K348" s="27" t="str">
        <x:v>Privacy-preserving machine learning (PPML) enables clients to collaboratively train deep learning models without sharing private datasets, but faces privacy leakage risks due to gradient leakage attacks. Prevailing methods leverage secure aggregation strategies to enhance PPML, where clients leverage masks and secret sharing to further protect gradient data while tolerating participant dropouts. These methods, however, require frequent inter-client communication to negotiate keys and perform secret sharing, leading to substantial communication overhead. To tackle this issue, we propose NET-SA, an efficient secure aggregation architecture for PPML based on in-network computing. NET-SA employs seed homomorphic pseudorandom generators for local gradient masking and utilizes programmable switches for seed aggregation. Accurate and secure gradient aggregation is then performed on the central server based on masked gradients and aggregated seeds. This design effectively reduces communication overhead due to eliminating the communication-intensive phases of seed agreement and secret sharing, with enhanced dropout tolerance due to overcoming the threshold limit of secret sharing. Extensive experiments on server clusters and Intel Tofino programmable switch demonstrate that NET-SA achieves up to 77x and 12x enhancements in runtime and 2x decrease in total client communication cost compared with state-of-the-art methods.</x:v>
      </x:c>
      <x:c r="L348" s="17" t="str">
        <x:v>http://arxiv.org/abs/2501.01187v2</x:v>
      </x:c>
      <x:c r="M348" s="23" t="n">
        <x:v>0.016129032258064516</x:v>
      </x:c>
      <x:c r="N348" s="17" t="str">
        <x:v>arxiv-paper-eval-20260726-140242-results.jsonl</x:v>
      </x:c>
      <x:c r="O348" s="24" t="str">
        <x:v>2</x:v>
      </x:c>
      <x:c r="P348" s="28" t="str">
        <x:v>把安全聚合卸载到网络中，直接服务隐私保护分布式机器学习。</x:v>
      </x:c>
      <x:c r="Q348" s="25" t="str"/>
      <x:c r="R348" s="24" t="str">
        <x:f>IF(Q348&lt;&gt;"",Q348,O348)</x:f>
        <x:v>2</x:v>
      </x:c>
      <x:c r="S348" s="29" t="str"/>
    </x:row>
    <x:row r="349" ht="54" customHeight="1">
      <x:c r="A349" s="17" t="str">
        <x:v>csq018-r13</x:v>
      </x:c>
      <x:c r="B349" s="17" t="str">
        <x:v>csq018</x:v>
      </x:c>
      <x:c r="C349" s="17" t="str">
        <x:v>systems_and_networking</x:v>
      </x:c>
      <x:c r="D349" s="17" t="str">
        <x:v>programmable_networks</x:v>
      </x:c>
      <x:c r="E349" s="27" t="str">
        <x:v>How have programmable data planes and in-network computing evolved, and which classes of distributed applications have benefited from them?</x:v>
      </x:c>
      <x:c r="F349" s="22" t="n">
        <x:v>13</x:v>
      </x:c>
      <x:c r="G349" s="17" t="str">
        <x:v>arXiv:1808.06799</x:v>
      </x:c>
      <x:c r="H349" s="27" t="str">
        <x:v>FastReact: In-Network Control and Caching for Industrial Control Networks using Programmable Data Planes</x:v>
      </x:c>
      <x:c r="I349" s="17" t="str">
        <x:v>Jonathan Vestin; Andreas Kassler; Johan Åkerberg</x:v>
      </x:c>
      <x:c r="J349" s="22" t="n">
        <x:v>2018</x:v>
      </x:c>
      <x:c r="K349" s="27" t="str">
        <x:v>Providing network reliability as well as low and predictable latency is important especially for Industrial Automation and Control Networks. However, diagnosing link status from the control plane has high latency and overhead. In addition, the communication with the industrial controller may impose additional network latency. We present FastReact - a system enabling In-Network monitoring, control and caching for Industrial Automation and Control Networks. FastReact outsources simple monitoring and control actions to evolving programmable data planes using the P4 language. As instructed by the Industrial Controller through a Northbound API, the SDN controller composes control actions using Boolean Logic which are then installed in the data plane. The data plane parses and caches sensor values and performs simple calculations on them which are connected to fast control actions that are executed locally. For resiliency, FastReact monitors liveness and response of sensors/actuators and performs a fast local link repair in the data plane if a link failure is detected. Our testbed measurement show that FastReact can reduce the sensor/actuator delay while being resilient against several failure events.</x:v>
      </x:c>
      <x:c r="L349" s="17" t="str">
        <x:v>http://arxiv.org/abs/1808.06799v1</x:v>
      </x:c>
      <x:c r="M349" s="23" t="n">
        <x:v>0.016129032258064516</x:v>
      </x:c>
      <x:c r="N349" s="17" t="str">
        <x:v>arxiv-paper-eval-20260726-140242-results.jsonl</x:v>
      </x:c>
      <x:c r="O349" s="24" t="str">
        <x:v>2</x:v>
      </x:c>
      <x:c r="P349" s="28" t="str">
        <x:v>用可编程数据平面实现工业控制网络内监测、控制和缓存。</x:v>
      </x:c>
      <x:c r="Q349" s="25" t="str"/>
      <x:c r="R349" s="24" t="str">
        <x:f>IF(Q349&lt;&gt;"",Q349,O349)</x:f>
        <x:v>2</x:v>
      </x:c>
      <x:c r="S349" s="29" t="str"/>
    </x:row>
    <x:row r="350" ht="54" customHeight="1">
      <x:c r="A350" s="17" t="str">
        <x:v>csq018-r14</x:v>
      </x:c>
      <x:c r="B350" s="17" t="str">
        <x:v>csq018</x:v>
      </x:c>
      <x:c r="C350" s="17" t="str">
        <x:v>systems_and_networking</x:v>
      </x:c>
      <x:c r="D350" s="17" t="str">
        <x:v>programmable_networks</x:v>
      </x:c>
      <x:c r="E350" s="27" t="str">
        <x:v>How have programmable data planes and in-network computing evolved, and which classes of distributed applications have benefited from them?</x:v>
      </x:c>
      <x:c r="F350" s="22" t="n">
        <x:v>14</x:v>
      </x:c>
      <x:c r="G350" s="17" t="str">
        <x:v>arXiv:2411.18384</x:v>
      </x:c>
      <x:c r="H350" s="27" t="str">
        <x:v>Optimal In-Network Distribution of Learning Functions for a Secure-by-Design Programmable Data Plane of Next-Generation Networks</x:v>
      </x:c>
      <x:c r="I350" s="17" t="str">
        <x:v>Mattia Giovanni Spina; Edoardo Scalzo; Floriano De Rango; Francesca Guerriero; Antonio Iera</x:v>
      </x:c>
      <x:c r="J350" s="22" t="n">
        <x:v>2024</x:v>
      </x:c>
      <x:c r="K350" s="27" t="str">
        <x:v>The rise of programmable data plane (PDP) and in-network computing (INC) paradigms paves the way for the development of network devices (switches, network interface cards, etc.) capable of performing advanced processing tasks. This allows running various types of algorithms, including machine learning, within the network itself to support user and network services. In particular, this paper delves into the deployment of in-network learning models with the aim of implementing fully distributed intrusion detection systems (IDS) or intrusion prevention systems (IPS). Specifically, a model is proposed for the optimal distribution of the IDS/IPS workload among data plane devices with the aim of ensuring complete network security without excessively burdening the normal operations of the devices. Furthermore, a meta-heuristic approach is proposed to reduce the long computation time required by the exact solution provided by the mathematical model and its performance is evaluated. The analysis conducted and the results obtained demonstrate the enormous potential of the proposed new approach for the creation of intelligent data planes that act effectively and autonomously as the first line of defense against cyber attacks, with minimal additional workload on the network devices involved.</x:v>
      </x:c>
      <x:c r="L350" s="17" t="str">
        <x:v>http://arxiv.org/abs/2411.18384v2</x:v>
      </x:c>
      <x:c r="M350" s="23" t="n">
        <x:v>0.015873015873015872</x:v>
      </x:c>
      <x:c r="N350" s="17" t="str">
        <x:v>arxiv-paper-eval-20260726-140242-results.jsonl</x:v>
      </x:c>
      <x:c r="O350" s="24" t="str">
        <x:v>2</x:v>
      </x:c>
      <x:c r="P350" s="28" t="str">
        <x:v>研究在可编程网络设备中分布式部署学习模型，体现网络内学习应用。</x:v>
      </x:c>
      <x:c r="Q350" s="25" t="str"/>
      <x:c r="R350" s="24" t="str">
        <x:f>IF(Q350&lt;&gt;"",Q350,O350)</x:f>
        <x:v>2</x:v>
      </x:c>
      <x:c r="S350" s="29" t="str"/>
    </x:row>
    <x:row r="351" ht="54" customHeight="1">
      <x:c r="A351" s="17" t="str">
        <x:v>csq018-r15</x:v>
      </x:c>
      <x:c r="B351" s="17" t="str">
        <x:v>csq018</x:v>
      </x:c>
      <x:c r="C351" s="17" t="str">
        <x:v>systems_and_networking</x:v>
      </x:c>
      <x:c r="D351" s="17" t="str">
        <x:v>programmable_networks</x:v>
      </x:c>
      <x:c r="E351" s="27" t="str">
        <x:v>How have programmable data planes and in-network computing evolved, and which classes of distributed applications have benefited from them?</x:v>
      </x:c>
      <x:c r="F351" s="22" t="n">
        <x:v>15</x:v>
      </x:c>
      <x:c r="G351" s="17" t="str">
        <x:v>arXiv:2006.15182</x:v>
      </x:c>
      <x:c r="H351" s="27" t="str">
        <x:v>Dynamic Constraint-based Influence Framework and its Application in Stochastic Modeling of Load Balancing</x:v>
      </x:c>
      <x:c r="I351" s="17" t="str">
        <x:v>Ehsan Siavashi; Mahshid Rahnamay-Naeini</x:v>
      </x:c>
      <x:c r="J351" s="22" t="n">
        <x:v>2020</x:v>
      </x:c>
      <x:c r="K351" s="27" t="str">
        <x:v>Components connected over a network influence each other and interact in various ways. Examples of such systems are networks of computing nodes, which the nodes interact by exchanging workload, for instance, for load balancing purposes. In this paper, we first study the Influence Model, a networked Markov chain framework, for modeling network interactions and discuss two key limitations of this model, which cause it to fall short in modeling constraint-based and dynamic interactions in networks. Next, we propose the Dynamic and Constraint-based Influence Model (DCIM) to alleviate the limitations. The DCIM extends the application of the Influence Model to more general network interaction scenarios. In this paper, the proposed DCIM is successfully applied to stochastic modeling of load balancing in networks of computing nodes allowing for prediction of the load distribution in the system, which is a novel application for the Influence Model. The DCIM is further used to identify the optimum workload distribution policy for load balancing in networked computing systems.</x:v>
      </x:c>
      <x:c r="L351" s="17" t="str">
        <x:v>http://arxiv.org/abs/2006.15182v1</x:v>
      </x:c>
      <x:c r="M351" s="23" t="n">
        <x:v>0.015873015873015872</x:v>
      </x:c>
      <x:c r="N351" s="17" t="str">
        <x:v>arxiv-paper-eval-20260726-140242-results.jsonl</x:v>
      </x:c>
      <x:c r="O351" s="24" t="str">
        <x:v>0</x:v>
      </x:c>
      <x:c r="P351" s="28" t="str">
        <x:v>核心是网络交互和负载均衡的随机建模，未涉及可编程数据平面。</x:v>
      </x:c>
      <x:c r="Q351" s="25" t="str"/>
      <x:c r="R351" s="24" t="str">
        <x:f>IF(Q351&lt;&gt;"",Q351,O351)</x:f>
        <x:v>0</x:v>
      </x:c>
      <x:c r="S351" s="29" t="str"/>
    </x:row>
    <x:row r="352" ht="54" customHeight="1">
      <x:c r="A352" s="17" t="str">
        <x:v>csq018-r16</x:v>
      </x:c>
      <x:c r="B352" s="17" t="str">
        <x:v>csq018</x:v>
      </x:c>
      <x:c r="C352" s="17" t="str">
        <x:v>systems_and_networking</x:v>
      </x:c>
      <x:c r="D352" s="17" t="str">
        <x:v>programmable_networks</x:v>
      </x:c>
      <x:c r="E352" s="27" t="str">
        <x:v>How have programmable data planes and in-network computing evolved, and which classes of distributed applications have benefited from them?</x:v>
      </x:c>
      <x:c r="F352" s="22" t="n">
        <x:v>16</x:v>
      </x:c>
      <x:c r="G352" s="17" t="str">
        <x:v>arXiv:2301.07372</x:v>
      </x:c>
      <x:c r="H352" s="27" t="str">
        <x:v>A Novel low-latency DBA for Virtualised PON implemented through P4 In-Network Processing</x:v>
      </x:c>
      <x:c r="I352" s="17" t="str">
        <x:v>D. R. Mafioletti; F. Slyne; R. Giller; M. OHanlon; B. Ryan; M. Ruffini</x:v>
      </x:c>
      <x:c r="J352" s="22" t="n">
        <x:v>2023</x:v>
      </x:c>
      <x:c r="K352" s="27" t="str">
        <x:v>We present a novel dual-DBA allocation, with a fast P4-enabled scheduler to provide low latency upstream grant allocations. We show latency reduction of 37% and 43%, respectively, compared to standard and virtual PONs</x:v>
      </x:c>
      <x:c r="L352" s="17" t="str">
        <x:v>http://arxiv.org/abs/2301.07372v1</x:v>
      </x:c>
      <x:c r="M352" s="23" t="n">
        <x:v>0.015625</x:v>
      </x:c>
      <x:c r="N352" s="17" t="str">
        <x:v>arxiv-paper-eval-20260726-140242-results.jsonl</x:v>
      </x:c>
      <x:c r="O352" s="24" t="str">
        <x:v>2</x:v>
      </x:c>
      <x:c r="P352" s="28" t="str">
        <x:v>用P4网络内处理实现PON低延迟动态带宽分配。</x:v>
      </x:c>
      <x:c r="Q352" s="25" t="str"/>
      <x:c r="R352" s="24" t="str">
        <x:f>IF(Q352&lt;&gt;"",Q352,O352)</x:f>
        <x:v>2</x:v>
      </x:c>
      <x:c r="S352" s="29" t="str"/>
    </x:row>
    <x:row r="353" ht="54" customHeight="1">
      <x:c r="A353" s="17" t="str">
        <x:v>csq018-r17</x:v>
      </x:c>
      <x:c r="B353" s="17" t="str">
        <x:v>csq018</x:v>
      </x:c>
      <x:c r="C353" s="17" t="str">
        <x:v>systems_and_networking</x:v>
      </x:c>
      <x:c r="D353" s="17" t="str">
        <x:v>programmable_networks</x:v>
      </x:c>
      <x:c r="E353" s="27" t="str">
        <x:v>How have programmable data planes and in-network computing evolved, and which classes of distributed applications have benefited from them?</x:v>
      </x:c>
      <x:c r="F353" s="22" t="n">
        <x:v>17</x:v>
      </x:c>
      <x:c r="G353" s="17" t="str">
        <x:v>arXiv:2208.11543</x:v>
      </x:c>
      <x:c r="H353" s="27" t="str">
        <x:v>Evaluating the Planning and Operational Resilience of Electrical Distribution Systems with Distributed Energy Resources using Complex Network Theory</x:v>
      </x:c>
      <x:c r="I353" s="17" t="str">
        <x:v>Divyanshi Dwivedi; Pradeep Kumar Yemula; Mayukha Pal</x:v>
      </x:c>
      <x:c r="J353" s="22" t="n">
        <x:v>2022</x:v>
      </x:c>
      <x:c r="K353" s="27" t="str">
        <x:v>Electrical Distribution Systems are extensively penetrated with Distributed Energy Resources (DERs) to cater the energy demands with the general perception that it enhances the system's resilience. However, integration of DERs may adversely affect the grid operation and affect the system resilience due to various factors like their intermittent availability, dynamics of weather conditions, non-linearity, complexity, number of malicious threats, and improved reliability requirements of consumers. This paper proposes a methodology to evaluate the planning and operational resilience of power distribution systems under extreme events and determines the withstand capability of the electrical network. The proposed framework is developed by effectively employing the complex network theory. Correlated networks for undesirable configurations are developed from the time series data of active power monitored at nodes of the electrical network. For these correlated networks, computed the network parameters such as clustering coefficient, assortative coefficient, average degree and power law exponent for the anticipation; and percolation threshold for the determination of the network withstand capability under extreme conditions. The proposed methodology is also suitable for identifying the hosting capacity of solar panels in the system while maintaining resilience under different unfavourable conditions and identifying the most critical nodes of the system that could drive the system into non-resilience. This framework is demonstrated on IEEE 123 node test feeder by generating active power time-series data for a variety of electrical conditions using simulation software, GridLAB-D. The percolation threshold resulted as an effective metric for the determination of the planning and operational resilience of the power distribution system.</x:v>
      </x:c>
      <x:c r="L353" s="17" t="str">
        <x:v>http://arxiv.org/abs/2208.11543v4</x:v>
      </x:c>
      <x:c r="M353" s="23" t="n">
        <x:v>0.015625</x:v>
      </x:c>
      <x:c r="N353" s="17" t="str">
        <x:v>arxiv-paper-eval-20260726-140242-results.jsonl</x:v>
      </x:c>
      <x:c r="O353" s="24" t="str">
        <x:v>0</x:v>
      </x:c>
      <x:c r="P353" s="28" t="str">
        <x:v>研究含分布式能源的电力系统韧性，与网络可编程数据平面无关。</x:v>
      </x:c>
      <x:c r="Q353" s="25" t="str"/>
      <x:c r="R353" s="24" t="str">
        <x:f>IF(Q353&lt;&gt;"",Q353,O353)</x:f>
        <x:v>0</x:v>
      </x:c>
      <x:c r="S353" s="29" t="str"/>
    </x:row>
    <x:row r="354" ht="54" customHeight="1">
      <x:c r="A354" s="17" t="str">
        <x:v>csq018-r18</x:v>
      </x:c>
      <x:c r="B354" s="17" t="str">
        <x:v>csq018</x:v>
      </x:c>
      <x:c r="C354" s="17" t="str">
        <x:v>systems_and_networking</x:v>
      </x:c>
      <x:c r="D354" s="17" t="str">
        <x:v>programmable_networks</x:v>
      </x:c>
      <x:c r="E354" s="27" t="str">
        <x:v>How have programmable data planes and in-network computing evolved, and which classes of distributed applications have benefited from them?</x:v>
      </x:c>
      <x:c r="F354" s="22" t="n">
        <x:v>18</x:v>
      </x:c>
      <x:c r="G354" s="17" t="str">
        <x:v>arXiv:2111.04563</x:v>
      </x:c>
      <x:c r="H354" s="27" t="str">
        <x:v>A Roadmap for Enabling a Future-Proof In-Network Computing Data Plane Ecosystem</x:v>
      </x:c>
      <x:c r="I354" s="17" t="str">
        <x:v>Daehyeok Kim; Nikita Lazarev; Tommy Tracy; Farzana Siddique; Hun Namkung; James C. Hoe; Vyas Sekar; Kevin Skadron; Zhiru Zhang; Srinivasan Seshan</x:v>
      </x:c>
      <x:c r="J354" s="22" t="n">
        <x:v>2021</x:v>
      </x:c>
      <x:c r="K354" s="27" t="str">
        <x:v>As the vision of in-network computing becomes more mature, we see two parallel evolutionary trends. First, we see the evolution of richer, more demanding applications that require capabilities beyond programmable switching ASICs. Second, we see the evolution of diverse data plane technologies with many other future capabilities on the horizon. While some point solutions exist to tackle the intersection of these trends, we see several ecosystem-level disconnects today; e.g., the need to refactor applications for new data planes, lack of systematic guidelines to inform the development of future data plane capabilities, and lack of holistic runtime frameworks for network operators. In this paper, we use a simple-yet-instructive emerging application-data plane combination to highlight these disconnects. Drawing on these lessons, we sketch a high-level roadmap and guidelines for the community to tackle these to create a more thriving "future-proof" data plane ecosystem.</x:v>
      </x:c>
      <x:c r="L354" s="17" t="str">
        <x:v>http://arxiv.org/abs/2111.04563v1</x:v>
      </x:c>
      <x:c r="M354" s="23" t="n">
        <x:v>0.015384615384615385</x:v>
      </x:c>
      <x:c r="N354" s="17" t="str">
        <x:v>arxiv-paper-eval-20260726-140242-results.jsonl</x:v>
      </x:c>
      <x:c r="O354" s="24" t="str">
        <x:v>2</x:v>
      </x:c>
      <x:c r="P354" s="28" t="str">
        <x:v>路线图直接梳理网络内计算应用需求、数据平面技术演进与生态缺口。</x:v>
      </x:c>
      <x:c r="Q354" s="25" t="str"/>
      <x:c r="R354" s="24" t="str">
        <x:f>IF(Q354&lt;&gt;"",Q354,O354)</x:f>
        <x:v>2</x:v>
      </x:c>
      <x:c r="S354" s="29" t="str"/>
    </x:row>
    <x:row r="355" ht="54" customHeight="1">
      <x:c r="A355" s="17" t="str">
        <x:v>csq018-r19</x:v>
      </x:c>
      <x:c r="B355" s="17" t="str">
        <x:v>csq018</x:v>
      </x:c>
      <x:c r="C355" s="17" t="str">
        <x:v>systems_and_networking</x:v>
      </x:c>
      <x:c r="D355" s="17" t="str">
        <x:v>programmable_networks</x:v>
      </x:c>
      <x:c r="E355" s="27" t="str">
        <x:v>How have programmable data planes and in-network computing evolved, and which classes of distributed applications have benefited from them?</x:v>
      </x:c>
      <x:c r="F355" s="22" t="n">
        <x:v>19</x:v>
      </x:c>
      <x:c r="G355" s="17" t="str">
        <x:v>arXiv:1910.03324</x:v>
      </x:c>
      <x:c r="H355" s="27" t="str">
        <x:v>FlowDyn: Towards a Dynamic Flowlet Gap Detection using Programmable Data Planes</x:v>
      </x:c>
      <x:c r="I355" s="17" t="str">
        <x:v>Cristian Hernandez Benet; Andreas J. Kassler</x:v>
      </x:c>
      <x:c r="J355" s="22" t="n">
        <x:v>2019</x:v>
      </x:c>
      <x:c r="K355" s="27" t="str">
        <x:v>Data center networks offer multiple disjoint paths between Top-of-Rack (ToR) switches to connect server racks providing large bisection bandwidth. An effective load-balancing mechanism is required in order to fully utilize the available capacity of the multiple paths. While packet-based load-balancing can achieve high utilization, it suffers from reordering. Flow-based load-balancing such as equal-cost multipath routing (ECMP) spreads traffic uniformly across multiple paths leading to frequent hash collisions and suboptimal performance. Finally, flowlet based load-balancing such as CONGA or HULA splits flows into smaller units, which are sent on different paths. Most flowlet based load-balancing schemes depend on a proper static setting of the flowlet gap, which decides when new flowlets are detected. While a too small gap may lead to reordering, a too large gap results in missed load-balancing opportunities. In this paper, we propose FlowDyn, which dynamically adapts the flowlet gap to increase the efficiency of the load-balancing schemes while avoiding the reordering problem. Using programmable data planes, FlowDyn uses active probes together with telemetry information to track path latency between different ToR switches. FlowDyn calculates dynamically a suitable flowlet gap that can be used for flowlet based load-balancing mechanism. We evaluate FlowDyn extensively in simulation, showing that it achieves 3.19 times smaller flow completion time at 10% load and 1.16x at 90% load.</x:v>
      </x:c>
      <x:c r="L355" s="17" t="str">
        <x:v>http://arxiv.org/abs/1910.03324v1</x:v>
      </x:c>
      <x:c r="M355" s="23" t="n">
        <x:v>0.015384615384615385</x:v>
      </x:c>
      <x:c r="N355" s="17" t="str">
        <x:v>arxiv-paper-eval-20260726-140242-results.jsonl</x:v>
      </x:c>
      <x:c r="O355" s="24" t="str">
        <x:v>1</x:v>
      </x:c>
      <x:c r="P355" s="28" t="str">
        <x:v>用可编程数据平面检测流片间隔以改进数据中心负载均衡，属于网络功能实例。</x:v>
      </x:c>
      <x:c r="Q355" s="25" t="str"/>
      <x:c r="R355" s="24" t="str">
        <x:f>IF(Q355&lt;&gt;"",Q355,O355)</x:f>
        <x:v>1</x:v>
      </x:c>
      <x:c r="S355" s="29" t="str"/>
    </x:row>
    <x:row r="356" ht="54" customHeight="1">
      <x:c r="A356" s="17" t="str">
        <x:v>csq018-r20</x:v>
      </x:c>
      <x:c r="B356" s="17" t="str">
        <x:v>csq018</x:v>
      </x:c>
      <x:c r="C356" s="17" t="str">
        <x:v>systems_and_networking</x:v>
      </x:c>
      <x:c r="D356" s="17" t="str">
        <x:v>programmable_networks</x:v>
      </x:c>
      <x:c r="E356" s="27" t="str">
        <x:v>How have programmable data planes and in-network computing evolved, and which classes of distributed applications have benefited from them?</x:v>
      </x:c>
      <x:c r="F356" s="22" t="n">
        <x:v>20</x:v>
      </x:c>
      <x:c r="G356" s="17" t="str">
        <x:v>arXiv:2410.24013</x:v>
      </x:c>
      <x:c r="H356" s="27" t="str">
        <x:v>Distributing Intelligence in 6G Programmable Data Planes for Effective In-Network Intrusion Prevention</x:v>
      </x:c>
      <x:c r="I356" s="17" t="str">
        <x:v>Mattia G. Spina; Floriano De Rango; Edoardo Scalzo; Francesca Guerriero; Antonio Iera</x:v>
      </x:c>
      <x:c r="J356" s="22" t="n">
        <x:v>2024</x:v>
      </x:c>
      <x:c r="K356" s="27" t="str">
        <x:v>The problem of attacks on new generation network infrastructures is becoming increasingly relevant, given the widening of the attack surface of these networks resulting from the greater number of devices that will access them in the future (sensors, actuators, vehicles, household appliances, etc.). Approaches to the design of intrusion detection systems must evolve and go beyond the traditional concept of perimeter control to build on new paradigms that exploit the typical characteristics of future 5G and 6G networks, such as in-network computing and intelligent programmable data planes. The aim of this research is to propose a disruptive paradigm in which devices in a typical data plane of a future programmable network have anomaly detection capabilities and cooperate in a fully distributed fashion to act as an ML-enabled Intrusion Prevention System ``embedded" into the network. The reported proof-of-concept experiments demonstrate that the proposed paradigm allows working effectively and with a good level of precision while occupying overall less CPU and RAM resources of the devices involved.</x:v>
      </x:c>
      <x:c r="L356" s="17" t="str">
        <x:v>http://arxiv.org/abs/2410.24013v3</x:v>
      </x:c>
      <x:c r="M356" s="23" t="n">
        <x:v>0.015151515151515152</x:v>
      </x:c>
      <x:c r="N356" s="17" t="str">
        <x:v>arxiv-paper-eval-20260726-140242-results.jsonl</x:v>
      </x:c>
      <x:c r="O356" s="24" t="str">
        <x:v>2</x:v>
      </x:c>
      <x:c r="P356" s="28" t="str">
        <x:v>在6G可编程数据平面中部署分布式智能以实现网络内入侵防御。</x:v>
      </x:c>
      <x:c r="Q356" s="25" t="str"/>
      <x:c r="R356" s="24" t="str">
        <x:f>IF(Q356&lt;&gt;"",Q356,O356)</x:f>
        <x:v>2</x:v>
      </x:c>
      <x:c r="S356" s="29" t="str"/>
    </x:row>
    <x:row r="357" ht="54" customHeight="1">
      <x:c r="A357" s="17" t="str">
        <x:v>csq019-r01</x:v>
      </x:c>
      <x:c r="B357" s="17" t="str">
        <x:v>csq019</x:v>
      </x:c>
      <x:c r="C357" s="17" t="str">
        <x:v>security_and_privacy</x:v>
      </x:c>
      <x:c r="D357" s="17" t="str">
        <x:v>differential_privacy</x:v>
      </x:c>
      <x:c r="E357" s="27" t="str">
        <x:v>What methods are used for training deep learning models with differential privacy, and how do they manage the privacy-utility-computation trade-off?</x:v>
      </x:c>
      <x:c r="F357" s="22" t="n">
        <x:v>1</x:v>
      </x:c>
      <x:c r="G357" s="17" t="str">
        <x:v>arXiv:2208.08662</x:v>
      </x:c>
      <x:c r="H357" s="27" t="str">
        <x:v>Private, Efficient, and Accurate: Protecting Models Trained by Multi-party Learning with Differential Privacy</x:v>
      </x:c>
      <x:c r="I357" s="17" t="str">
        <x:v>Wenqiang Ruan; Mingxin Xu; Wenjing Fang; Li Wang; Lei Wang; Weili Han</x:v>
      </x:c>
      <x:c r="J357" s="22" t="n">
        <x:v>2022</x:v>
      </x:c>
      <x:c r="K357" s="27" t="str">
        <x:v>Secure multi-party computation-based machine learning, referred to as MPL, has become an important technology to utilize data from multiple parties with privacy preservation. While MPL provides rigorous security guarantees for the computation process, the models trained by MPL are still vulnerable to attacks that solely depend on access to the models. Differential privacy could help to defend against such attacks. However, the accuracy loss brought by differential privacy and the huge communication overhead of secure multi-party computation protocols make it highly challenging to balance the 3-way trade-off between privacy, efficiency, and accuracy. In this paper, we are motivated to resolve the above issue by proposing a solution, referred to as PEA (Private, Efficient, Accurate), which consists of a secure DPSGD protocol and two optimization methods. First, we propose a secure DPSGD protocol to enforce DPSGD in secret sharing-based MPL frameworks. Second, to reduce the accuracy loss led by differential privacy noise and the huge communication overhead of MPL, we propose two optimization methods for the training process of MPL: (1) the data-independent feature extraction method, which aims to simplify the trained model structure; (2) the local data-based global model initialization method, which aims to speed up the convergence of the model training. We implement PEA in two open-source MPL frameworks: TF-Encrypted and Queqiao. The experimental results on various datasets demonstrate the efficiency and effectiveness of PEA. E.g. when $ε$ = 2, we can train a differentially private classification model with an accuracy of 88% for CIFAR-10 within 7 minutes under the LAN setting. This result significantly outperforms the one from CryptGPU, one SOTA MPL framework: it costs more than 16 hours to train a non-private deep neural network model on CIFAR-10 with the same accuracy.</x:v>
      </x:c>
      <x:c r="L357" s="17" t="str">
        <x:v>http://arxiv.org/abs/2208.08662v1</x:v>
      </x:c>
      <x:c r="M357" s="23" t="n">
        <x:v>0.047891458495966696</x:v>
      </x:c>
      <x:c r="N357" s="17" t="str">
        <x:v>arxiv-paper-eval-20260726-140242-results.jsonl</x:v>
      </x:c>
      <x:c r="O357" s="24" t="str">
        <x:v>2</x:v>
      </x:c>
      <x:c r="P357" s="28" t="str">
        <x:v>将差分隐私用于多方学习后的模型保护，直接讨论隐私、准确率和效率目标。</x:v>
      </x:c>
      <x:c r="Q357" s="25" t="str"/>
      <x:c r="R357" s="24" t="str">
        <x:f>IF(Q357&lt;&gt;"",Q357,O357)</x:f>
        <x:v>2</x:v>
      </x:c>
      <x:c r="S357" s="29" t="str"/>
    </x:row>
    <x:row r="358" ht="54" customHeight="1">
      <x:c r="A358" s="17" t="str">
        <x:v>csq019-r02</x:v>
      </x:c>
      <x:c r="B358" s="17" t="str">
        <x:v>csq019</x:v>
      </x:c>
      <x:c r="C358" s="17" t="str">
        <x:v>security_and_privacy</x:v>
      </x:c>
      <x:c r="D358" s="17" t="str">
        <x:v>differential_privacy</x:v>
      </x:c>
      <x:c r="E358" s="27" t="str">
        <x:v>What methods are used for training deep learning models with differential privacy, and how do they manage the privacy-utility-computation trade-off?</x:v>
      </x:c>
      <x:c r="F358" s="22" t="n">
        <x:v>2</x:v>
      </x:c>
      <x:c r="G358" s="17" t="str">
        <x:v>arXiv:2110.08557</x:v>
      </x:c>
      <x:c r="H358" s="27" t="str">
        <x:v>DPNAS: Neural Architecture Search for Deep Learning with Differential Privacy</x:v>
      </x:c>
      <x:c r="I358" s="17" t="str">
        <x:v>Anda Cheng; Jiaxing Wang; Xi Sheryl Zhang; Qiang Chen; Peisong Wang; Jian Cheng</x:v>
      </x:c>
      <x:c r="J358" s="22" t="n">
        <x:v>2021</x:v>
      </x:c>
      <x:c r="K358" s="27" t="str">
        <x:v>Training deep neural networks (DNNs) for meaningful differential privacy (DP) guarantees severely degrades model utility. In this paper, we demonstrate that the architecture of DNNs has a significant impact on model utility in the context of private deep learning, whereas its effect is largely unexplored in previous studies. In light of this missing, we propose the very first framework that employs neural architecture search to automatic model design for private deep learning, dubbed as DPNAS. To integrate private learning with architecture search, we delicately design a novel search space and propose a DP-aware method for training candidate models. We empirically certify the effectiveness of the proposed framework. The searched model DPNASNet achieves state-of-the-art privacy/utility trade-offs, e.g., for the privacy budget of $(ε, δ)=(3, 1\times10^{-5})$, our model obtains test accuracy of $98.57\%$ on MNIST, $88.09\%$ on FashionMNIST, and $68.33\%$ on CIFAR-10. Furthermore, by studying the generated architectures, we provide several intriguing findings of designing private-learning-friendly DNNs, which can shed new light on model design for deep learning with differential privacy.</x:v>
      </x:c>
      <x:c r="L358" s="17" t="str">
        <x:v>http://arxiv.org/abs/2110.08557v2</x:v>
      </x:c>
      <x:c r="M358" s="23" t="n">
        <x:v>0.04738666351569577</x:v>
      </x:c>
      <x:c r="N358" s="17" t="str">
        <x:v>arxiv-paper-eval-20260726-140242-results.jsonl</x:v>
      </x:c>
      <x:c r="O358" s="24" t="str">
        <x:v>2</x:v>
      </x:c>
      <x:c r="P358" s="28" t="str">
        <x:v>以神经架构搜索改善私有深度学习的严重效用下降。</x:v>
      </x:c>
      <x:c r="Q358" s="25" t="str"/>
      <x:c r="R358" s="24" t="str">
        <x:f>IF(Q358&lt;&gt;"",Q358,O358)</x:f>
        <x:v>2</x:v>
      </x:c>
      <x:c r="S358" s="29" t="str"/>
    </x:row>
    <x:row r="359" ht="54" customHeight="1">
      <x:c r="A359" s="17" t="str">
        <x:v>csq019-r03</x:v>
      </x:c>
      <x:c r="B359" s="17" t="str">
        <x:v>csq019</x:v>
      </x:c>
      <x:c r="C359" s="17" t="str">
        <x:v>security_and_privacy</x:v>
      </x:c>
      <x:c r="D359" s="17" t="str">
        <x:v>differential_privacy</x:v>
      </x:c>
      <x:c r="E359" s="27" t="str">
        <x:v>What methods are used for training deep learning models with differential privacy, and how do they manage the privacy-utility-computation trade-off?</x:v>
      </x:c>
      <x:c r="F359" s="22" t="n">
        <x:v>3</x:v>
      </x:c>
      <x:c r="G359" s="17" t="str">
        <x:v>arXiv:2103.01379</x:v>
      </x:c>
      <x:c r="H359" s="27" t="str">
        <x:v>Practical Privacy Filters and Odometers with Rényi Differential Privacy and Applications to Differentially Private Deep Learning</x:v>
      </x:c>
      <x:c r="I359" s="17" t="str">
        <x:v>Mathias Lécuyer</x:v>
      </x:c>
      <x:c r="J359" s="22" t="n">
        <x:v>2021</x:v>
      </x:c>
      <x:c r="K359" s="27" t="str">
        <x:v>Differential Privacy (DP) is the leading approach to privacy preserving deep learning. As such, there are multiple efforts to provide drop-in integration of DP into popular frameworks. These efforts, which add noise to each gradient computation to make it DP, rely on composition theorems to bound the total privacy loss incurred over this sequence of DP computations. However, existing composition theorems present a tension between efficiency and flexibility. Most theorems require all computations in the sequence to have a predefined DP parameter, called the privacy budget. This prevents the design of training algorithms that adapt the privacy budget on the fly, or that terminate early to reduce the total privacy loss. Alternatively, the few existing composition results for adaptive privacy budgets provide complex bounds on the privacy loss, with constants too large to be practical. In this paper, we study DP composition under adaptive privacy budgets through the lens of Rényi Differential Privacy, proving a simpler composition theorem with smaller constants, making it practical enough to use in algorithm design. We demonstrate two applications of this theorem for DP deep learning: adapting the noise or batch size online to improve a model's accuracy within a fixed total privacy loss, and stopping early when fine-tuning a model to reduce total privacy loss.</x:v>
      </x:c>
      <x:c r="L359" s="17" t="str">
        <x:v>http://arxiv.org/abs/2103.01379v2</x:v>
      </x:c>
      <x:c r="M359" s="23" t="n">
        <x:v>0.04488289604959775</x:v>
      </x:c>
      <x:c r="N359" s="17" t="str">
        <x:v>arxiv-paper-eval-20260726-140242-results.jsonl</x:v>
      </x:c>
      <x:c r="O359" s="24" t="str">
        <x:v>2</x:v>
      </x:c>
      <x:c r="P359" s="28" t="str">
        <x:v>用Rényi差分隐私过滤器和里程计组合多次梯度机制并控制总隐私损失。</x:v>
      </x:c>
      <x:c r="Q359" s="25" t="str"/>
      <x:c r="R359" s="24" t="str">
        <x:f>IF(Q359&lt;&gt;"",Q359,O359)</x:f>
        <x:v>2</x:v>
      </x:c>
      <x:c r="S359" s="29" t="str"/>
    </x:row>
    <x:row r="360" ht="54" customHeight="1">
      <x:c r="A360" s="17" t="str">
        <x:v>csq019-r04</x:v>
      </x:c>
      <x:c r="B360" s="17" t="str">
        <x:v>csq019</x:v>
      </x:c>
      <x:c r="C360" s="17" t="str">
        <x:v>security_and_privacy</x:v>
      </x:c>
      <x:c r="D360" s="17" t="str">
        <x:v>differential_privacy</x:v>
      </x:c>
      <x:c r="E360" s="27" t="str">
        <x:v>What methods are used for training deep learning models with differential privacy, and how do they manage the privacy-utility-computation trade-off?</x:v>
      </x:c>
      <x:c r="F360" s="22" t="n">
        <x:v>4</x:v>
      </x:c>
      <x:c r="G360" s="17" t="str">
        <x:v>arXiv:2511.07843</x:v>
      </x:c>
      <x:c r="H360" s="27" t="str">
        <x:v>DP-AdamW: Investigating Decoupled Weight Decay and Bias Correction in Private Deep Learning</x:v>
      </x:c>
      <x:c r="I360" s="17" t="str">
        <x:v>Jay Chooi; Kevin Cong; Russell Li; Lillian Sun</x:v>
      </x:c>
      <x:c r="J360" s="22" t="n">
        <x:v>2025</x:v>
      </x:c>
      <x:c r="K360" s="27" t="str">
        <x:v>As deep learning methods increasingly utilize sensitive data on a widespread scale, differential privacy (DP) offers formal guarantees to protect against information leakage during model training. A significant challenge remains in implementing DP optimizers that retain strong performance while preserving privacy. Recent advances introduced ever more efficient optimizers, with AdamW being a popular choice for training deep learning models because of strong empirical performance. We study \emph{DP-AdamW} and introduce \emph{DP-AdamW-BC}, a differentially private variant of the AdamW optimizer with DP bias correction for the second moment estimator. We start by showing theoretical results for privacy and convergence guarantees of DP-AdamW and DP-AdamW-BC. Then, we empirically analyze the behavior of both optimizers across multiple privacy budgets ($ε= 1, 3, 7$). We find that DP-AdamW outperforms existing state-of-the-art differentially private optimizers like DP-SGD, DP-Adam, and DP-AdamBC, scoring over 15\% higher on text classification, up to 5\% higher on image classification, and consistently 1\% higher on graph node classification. Moreover, we empirically show that incorporating bias correction in DP-AdamW (DP-AdamW-BC) consistently decreases accuracy, in contrast to the improvement of DP-AdamBC improvement over DP-Adam.</x:v>
      </x:c>
      <x:c r="L360" s="17" t="str">
        <x:v>http://arxiv.org/abs/2511.07843v1</x:v>
      </x:c>
      <x:c r="M360" s="23" t="n">
        <x:v>0.04355921855921856</x:v>
      </x:c>
      <x:c r="N360" s="17" t="str">
        <x:v>arxiv-paper-eval-20260726-140242-results.jsonl</x:v>
      </x:c>
      <x:c r="O360" s="24" t="str">
        <x:v>2</x:v>
      </x:c>
      <x:c r="P360" s="28" t="str">
        <x:v>研究DP-AdamW优化器及其性能保持与隐私保证。</x:v>
      </x:c>
      <x:c r="Q360" s="25" t="str"/>
      <x:c r="R360" s="24" t="str">
        <x:f>IF(Q360&lt;&gt;"",Q360,O360)</x:f>
        <x:v>2</x:v>
      </x:c>
      <x:c r="S360" s="29" t="str"/>
    </x:row>
    <x:row r="361" ht="54" customHeight="1">
      <x:c r="A361" s="17" t="str">
        <x:v>csq019-r05</x:v>
      </x:c>
      <x:c r="B361" s="17" t="str">
        <x:v>csq019</x:v>
      </x:c>
      <x:c r="C361" s="17" t="str">
        <x:v>security_and_privacy</x:v>
      </x:c>
      <x:c r="D361" s="17" t="str">
        <x:v>differential_privacy</x:v>
      </x:c>
      <x:c r="E361" s="27" t="str">
        <x:v>What methods are used for training deep learning models with differential privacy, and how do they manage the privacy-utility-computation trade-off?</x:v>
      </x:c>
      <x:c r="F361" s="22" t="n">
        <x:v>5</x:v>
      </x:c>
      <x:c r="G361" s="17" t="str">
        <x:v>arXiv:2007.11524</x:v>
      </x:c>
      <x:c r="H361" s="27" t="str">
        <x:v>Improving Deep Learning with Differential Privacy using Gradient Encoding and Denoising</x:v>
      </x:c>
      <x:c r="I361" s="17" t="str">
        <x:v>Milad Nasr; Reza Shokri; Amir houmansadr</x:v>
      </x:c>
      <x:c r="J361" s="22" t="n">
        <x:v>2020</x:v>
      </x:c>
      <x:c r="K361" s="27" t="str">
        <x:v>Deep learning models leak significant amounts of information about their training datasets. Previous work has investigated training models with differential privacy (DP) guarantees through adding DP noise to the gradients. However, such solutions (specifically, DPSGD), result in large degradations in the accuracy of the trained models. In this paper, we aim at training deep learning models with DP guarantees while preserving model accuracy much better than previous works. Our key technique is to encode gradients to map them to a smaller vector space, therefore enabling us to obtain DP guarantees for different noise distributions. This allows us to investigate and choose noise distributions that best preserve model accuracy for a target privacy budget. We also take advantage of the post-processing property of differential privacy by introducing the idea of denoising, which further improves the utility of the trained models without degrading their DP guarantees. We show that our mechanism outperforms the state-of-the-art DPSGD; for instance, for the same model accuracy of $96.1\%$ on MNIST, our technique results in a privacy bound of $ε=3.2$ compared to $ε=6$ of DPSGD, which is a significant improvement.</x:v>
      </x:c>
      <x:c r="L361" s="17" t="str">
        <x:v>http://arxiv.org/abs/2007.11524v1</x:v>
      </x:c>
      <x:c r="M361" s="23" t="n">
        <x:v>0.03200204813108039</x:v>
      </x:c>
      <x:c r="N361" s="17" t="str">
        <x:v>arxiv-paper-eval-20260726-140242-results.jsonl</x:v>
      </x:c>
      <x:c r="O361" s="24" t="str">
        <x:v>2</x:v>
      </x:c>
      <x:c r="P361" s="28" t="str">
        <x:v>通过梯度编码和去噪缓解DP-SGD噪声导致的准确率下降。</x:v>
      </x:c>
      <x:c r="Q361" s="25" t="str"/>
      <x:c r="R361" s="24" t="str">
        <x:f>IF(Q361&lt;&gt;"",Q361,O361)</x:f>
        <x:v>2</x:v>
      </x:c>
      <x:c r="S361" s="29" t="str"/>
    </x:row>
    <x:row r="362" ht="54" customHeight="1">
      <x:c r="A362" s="17" t="str">
        <x:v>csq019-r06</x:v>
      </x:c>
      <x:c r="B362" s="17" t="str">
        <x:v>csq019</x:v>
      </x:c>
      <x:c r="C362" s="17" t="str">
        <x:v>security_and_privacy</x:v>
      </x:c>
      <x:c r="D362" s="17" t="str">
        <x:v>differential_privacy</x:v>
      </x:c>
      <x:c r="E362" s="27" t="str">
        <x:v>What methods are used for training deep learning models with differential privacy, and how do they manage the privacy-utility-computation trade-off?</x:v>
      </x:c>
      <x:c r="F362" s="22" t="n">
        <x:v>6</x:v>
      </x:c>
      <x:c r="G362" s="17" t="str">
        <x:v>arXiv:2303.04612</x:v>
      </x:c>
      <x:c r="H362" s="27" t="str">
        <x:v>Differential Privacy Meets Neural Network Pruning</x:v>
      </x:c>
      <x:c r="I362" s="17" t="str">
        <x:v>Kamil Adamczewski; Mijung Park</x:v>
      </x:c>
      <x:c r="J362" s="22" t="n">
        <x:v>2023</x:v>
      </x:c>
      <x:c r="K362" s="27" t="str">
        <x:v>A major challenge in applying differential privacy to training deep neural network models is scalability.The widely-used training algorithm, differentially private stochastic gradient descent (DP-SGD), struggles with training moderately-sized neural network models for a value of epsilon corresponding to a high level of privacy protection. In this paper, we explore the idea of dimensionality reduction inspired by neural network pruning to improve the scalability of DP-SGD. We study the interplay between neural network pruning and differential privacy, through the two modes of parameter updates. We call the first mode, parameter freezing, where we pre-prune the network and only update the remaining parameters using DP-SGD. We call the second mode, parameter selection, where we select which parameters to update at each step of training and update only those selected using DP-SGD. In these modes, we use public data for freezing or selecting parameters to avoid privacy loss incurring in these steps. Naturally, the closeness between the private and public data plays an important role in the success of this paradigm. Our experimental results demonstrate how decreasing the parameter space improves differentially private training. Moreover, by studying two popular forms of pruning which do not rely on gradients and do not incur an additional privacy loss, we show that random selection performs on par with magnitude-based selection when it comes to DP-SGD training.</x:v>
      </x:c>
      <x:c r="L362" s="17" t="str">
        <x:v>http://arxiv.org/abs/2303.04612v1</x:v>
      </x:c>
      <x:c r="M362" s="23" t="n">
        <x:v>0.031754032258064516</x:v>
      </x:c>
      <x:c r="N362" s="17" t="str">
        <x:v>arxiv-paper-eval-20260726-140242-results.jsonl</x:v>
      </x:c>
      <x:c r="O362" s="24" t="str">
        <x:v>2</x:v>
      </x:c>
      <x:c r="P362" s="28" t="str">
        <x:v>用网络剪枝降维改善DP-SGD的可扩展性和隐私效用权衡。</x:v>
      </x:c>
      <x:c r="Q362" s="25" t="str"/>
      <x:c r="R362" s="24" t="str">
        <x:f>IF(Q362&lt;&gt;"",Q362,O362)</x:f>
        <x:v>2</x:v>
      </x:c>
      <x:c r="S362" s="29" t="str"/>
    </x:row>
    <x:row r="363" ht="54" customHeight="1">
      <x:c r="A363" s="17" t="str">
        <x:v>csq019-r07</x:v>
      </x:c>
      <x:c r="B363" s="17" t="str">
        <x:v>csq019</x:v>
      </x:c>
      <x:c r="C363" s="17" t="str">
        <x:v>security_and_privacy</x:v>
      </x:c>
      <x:c r="D363" s="17" t="str">
        <x:v>differential_privacy</x:v>
      </x:c>
      <x:c r="E363" s="27" t="str">
        <x:v>What methods are used for training deep learning models with differential privacy, and how do they manage the privacy-utility-computation trade-off?</x:v>
      </x:c>
      <x:c r="F363" s="22" t="n">
        <x:v>7</x:v>
      </x:c>
      <x:c r="G363" s="17" t="str">
        <x:v>arXiv:2201.12328</x:v>
      </x:c>
      <x:c r="H363" s="27" t="str">
        <x:v>Toward Training at ImageNet Scale with Differential Privacy</x:v>
      </x:c>
      <x:c r="I363" s="17" t="str">
        <x:v>Alexey Kurakin; Shuang Song; Steve Chien; Roxana Geambasu; Andreas Terzis; Abhradeep Thakurta</x:v>
      </x:c>
      <x:c r="J363" s="22" t="n">
        <x:v>2022</x:v>
      </x:c>
      <x:c r="K363" s="27" t="str">
        <x:v>Differential privacy (DP) is the de facto standard for training machine learning (ML) models, including neural networks, while ensuring the privacy of individual examples in the training set. Despite a rich literature on how to train ML models with differential privacy, it remains extremely challenging to train real-life, large neural networks with both reasonable accuracy and privacy. We set out to investigate how to do this, using ImageNet image classification as a poster example of an ML task that is very challenging to resolve accurately with DP right now. This paper shares initial lessons from our effort, in the hope that it will inspire and inform other researchers to explore DP training at scale. We show approaches that help make DP training faster, as well as model types and settings of the training process that tend to work better in the DP setting. Combined, the methods we discuss let us train a Resnet-18 with DP to $47.9\%$ accuracy and privacy parameters $ε= 10, δ= 10^{-6}$. This is a significant improvement over "naive" DP training of ImageNet models, but a far cry from the $75\%$ accuracy that can be obtained by the same network without privacy. The model we use was pretrained on the Places365 data set as a starting point. We share our code at https://github.com/google-research/dp-imagenet, calling for others to build upon this new baseline to further improve DP at scale.</x:v>
      </x:c>
      <x:c r="L363" s="17" t="str">
        <x:v>http://arxiv.org/abs/2201.12328v2</x:v>
      </x:c>
      <x:c r="M363" s="23" t="n">
        <x:v>0.03131881575727918</x:v>
      </x:c>
      <x:c r="N363" s="17" t="str">
        <x:v>arxiv-paper-eval-20260726-140242-results.jsonl</x:v>
      </x:c>
      <x:c r="O363" s="24" t="str">
        <x:v>2</x:v>
      </x:c>
      <x:c r="P363" s="28" t="str">
        <x:v>直接研究在ImageNet规模训练兼顾差分隐私、准确率和可扩展性的方法。</x:v>
      </x:c>
      <x:c r="Q363" s="25" t="str"/>
      <x:c r="R363" s="24" t="str">
        <x:f>IF(Q363&lt;&gt;"",Q363,O363)</x:f>
        <x:v>2</x:v>
      </x:c>
      <x:c r="S363" s="29" t="str"/>
    </x:row>
    <x:row r="364" ht="54" customHeight="1">
      <x:c r="A364" s="17" t="str">
        <x:v>csq019-r08</x:v>
      </x:c>
      <x:c r="B364" s="17" t="str">
        <x:v>csq019</x:v>
      </x:c>
      <x:c r="C364" s="17" t="str">
        <x:v>security_and_privacy</x:v>
      </x:c>
      <x:c r="D364" s="17" t="str">
        <x:v>differential_privacy</x:v>
      </x:c>
      <x:c r="E364" s="27" t="str">
        <x:v>What methods are used for training deep learning models with differential privacy, and how do they manage the privacy-utility-computation trade-off?</x:v>
      </x:c>
      <x:c r="F364" s="22" t="n">
        <x:v>8</x:v>
      </x:c>
      <x:c r="G364" s="17" t="str">
        <x:v>arXiv:1911.11607</x:v>
      </x:c>
      <x:c r="H364" s="27" t="str">
        <x:v>Deep Learning with Gaussian Differential Privacy</x:v>
      </x:c>
      <x:c r="I364" s="17" t="str">
        <x:v>Zhiqi Bu; Jinshuo Dong; Qi Long; Weijie J. Su</x:v>
      </x:c>
      <x:c r="J364" s="22" t="n">
        <x:v>2019</x:v>
      </x:c>
      <x:c r="K364" s="27" t="str">
        <x:v>Deep learning models are often trained on datasets that contain sensitive information such as individuals' shopping transactions, personal contacts, and medical records. An increasingly important line of work therefore has sought to train neural networks subject to privacy constraints that are specified by differential privacy or its divergence-based relaxations. These privacy definitions, however, have weaknesses in handling certain important primitives (composition and subsampling), thereby giving loose or complicated privacy analyses of training neural networks. In this paper, we consider a recently proposed privacy definition termed \textit{$f$-differential privacy} [18] for a refined privacy analysis of training neural networks. Leveraging the appealing properties of $f$-differential privacy in handling composition and subsampling, this paper derives analytically tractable expressions for the privacy guarantees of both stochastic gradient descent and Adam used in training deep neural networks, without the need of developing sophisticated techniques as [3] did. Our results demonstrate that the $f$-differential privacy framework allows for a new privacy analysis that improves on the prior analysis~[3], which in turn suggests tuning certain parameters of neural networks for a better prediction accuracy without violating the privacy budget. These theoretically derived improvements are confirmed by our experiments in a range of tasks in image classification, text classification, and recommender systems. Python code to calculate the privacy cost for these experiments is publicly available in the \texttt{TensorFlow Privacy} library.</x:v>
      </x:c>
      <x:c r="L364" s="17" t="str">
        <x:v>http://arxiv.org/abs/1911.11607v3</x:v>
      </x:c>
      <x:c r="M364" s="23" t="n">
        <x:v>0.029857397504456328</x:v>
      </x:c>
      <x:c r="N364" s="17" t="str">
        <x:v>arxiv-paper-eval-20260726-140242-results.jsonl</x:v>
      </x:c>
      <x:c r="O364" s="24" t="str">
        <x:v>2</x:v>
      </x:c>
      <x:c r="P364" s="28" t="str">
        <x:v>以高斯差分隐私定义和训练方法处理深度学习隐私保证的局限。</x:v>
      </x:c>
      <x:c r="Q364" s="25" t="str"/>
      <x:c r="R364" s="24" t="str">
        <x:f>IF(Q364&lt;&gt;"",Q364,O364)</x:f>
        <x:v>2</x:v>
      </x:c>
      <x:c r="S364" s="29" t="str"/>
    </x:row>
    <x:row r="365" ht="54" customHeight="1">
      <x:c r="A365" s="17" t="str">
        <x:v>csq019-r09</x:v>
      </x:c>
      <x:c r="B365" s="17" t="str">
        <x:v>csq019</x:v>
      </x:c>
      <x:c r="C365" s="17" t="str">
        <x:v>security_and_privacy</x:v>
      </x:c>
      <x:c r="D365" s="17" t="str">
        <x:v>differential_privacy</x:v>
      </x:c>
      <x:c r="E365" s="27" t="str">
        <x:v>What methods are used for training deep learning models with differential privacy, and how do they manage the privacy-utility-computation trade-off?</x:v>
      </x:c>
      <x:c r="F365" s="22" t="n">
        <x:v>9</x:v>
      </x:c>
      <x:c r="G365" s="17" t="str">
        <x:v>arXiv:2112.12998</x:v>
      </x:c>
      <x:c r="H365" s="27" t="str">
        <x:v>DP-UTIL: Comprehensive Utility Analysis of Differential Privacy in Machine Learning</x:v>
      </x:c>
      <x:c r="I365" s="17" t="str">
        <x:v>Ismat Jarin; Birhanu Eshete</x:v>
      </x:c>
      <x:c r="J365" s="22" t="n">
        <x:v>2021</x:v>
      </x:c>
      <x:c r="K365" s="27" t="str">
        <x:v>Differential Privacy (DP) has emerged as a rigorous formalism to reason about quantifiable privacy leakage. In machine learning (ML), DP has been employed to limit inference/disclosure of training examples. Prior work leveraged DP across the ML pipeline, albeit in isolation, often focusing on mechanisms such as gradient perturbation. In this paper, we present, DP-UTIL, a holistic utility analysis framework of DP across the ML pipeline with focus on input perturbation, objective perturbation, gradient perturbation, output perturbation, and prediction perturbation. Given an ML task on privacy-sensitive data, DP-UTIL enables a ML privacy practitioner perform holistic comparative analysis on the impact of DP in these five perturbation spots, measured in terms of model utility loss, privacy leakage, and the number of truly revealed training samples. We evaluate DP-UTIL over classification tasks on vision, medical, and financial datasets, using two representative learning algorithms (logistic regression and deep neural network) against membership inference attack as a case study attack. One of the highlights of our results is that prediction perturbation consistently achieves the lowest utility loss on all models across all datasets. In logistic regression models, objective perturbation results in lowest privacy leakage compared to other perturbation techniques. For deep neural networks, gradient perturbation results in lowest privacy leakage. Moreover, our results on true revealed records suggest that as privacy leakage increases a differentially private model reveals more number of member samples. Overall, our findings suggest that to make informed decisions as to which perturbation mechanism to use, a ML privacy practitioner needs to examine the dynamics between optimization techniques (convex vs. non-convex), perturbation mechanisms, number of classes, and privacy budget.</x:v>
      </x:c>
      <x:c r="L365" s="17" t="str">
        <x:v>http://arxiv.org/abs/2112.12998v1</x:v>
      </x:c>
      <x:c r="M365" s="23" t="n">
        <x:v>0.029726775956284153</x:v>
      </x:c>
      <x:c r="N365" s="17" t="str">
        <x:v>arxiv-paper-eval-20260726-140242-results.jsonl</x:v>
      </x:c>
      <x:c r="O365" s="24" t="str">
        <x:v>2</x:v>
      </x:c>
      <x:c r="P365" s="28" t="str">
        <x:v>提出覆盖机器学习全流程的差分隐私效用分析框架。</x:v>
      </x:c>
      <x:c r="Q365" s="25" t="str"/>
      <x:c r="R365" s="24" t="str">
        <x:f>IF(Q365&lt;&gt;"",Q365,O365)</x:f>
        <x:v>2</x:v>
      </x:c>
      <x:c r="S365" s="29" t="str"/>
    </x:row>
    <x:row r="366" ht="54" customHeight="1">
      <x:c r="A366" s="17" t="str">
        <x:v>csq019-r10</x:v>
      </x:c>
      <x:c r="B366" s="17" t="str">
        <x:v>csq019</x:v>
      </x:c>
      <x:c r="C366" s="17" t="str">
        <x:v>security_and_privacy</x:v>
      </x:c>
      <x:c r="D366" s="17" t="str">
        <x:v>differential_privacy</x:v>
      </x:c>
      <x:c r="E366" s="27" t="str">
        <x:v>What methods are used for training deep learning models with differential privacy, and how do they manage the privacy-utility-computation trade-off?</x:v>
      </x:c>
      <x:c r="F366" s="22" t="n">
        <x:v>10</x:v>
      </x:c>
      <x:c r="G366" s="17" t="str">
        <x:v>arXiv:2211.00734</x:v>
      </x:c>
      <x:c r="H366" s="27" t="str">
        <x:v>On the Interaction Between Differential Privacy and Gradient Compression in Deep Learning</x:v>
      </x:c>
      <x:c r="I366" s="17" t="str">
        <x:v>Jimmy Lin</x:v>
      </x:c>
      <x:c r="J366" s="22" t="n">
        <x:v>2022</x:v>
      </x:c>
      <x:c r="K366" s="27" t="str">
        <x:v>While differential privacy and gradient compression are separately well-researched topics in machine learning, the study of interaction between these two topics is still relatively new. We perform a detailed empirical study on how the Gaussian mechanism for differential privacy and gradient compression jointly impact test accuracy in deep learning. The existing literature in gradient compression mostly evaluates compression in the absence of differential privacy guarantees, and demonstrate that sufficiently high compression rates reduce accuracy. Similarly, existing literature in differential privacy evaluates privacy mechanisms in the absence of compression, and demonstrates that sufficiently strong privacy guarantees reduce accuracy. In this work, we observe while gradient compression generally has a negative impact on test accuracy in non-private training, it can sometimes improve test accuracy in differentially private training. Specifically, we observe that when employing aggressive sparsification or rank reduction to the gradients, test accuracy is less affected by the Gaussian noise added for differential privacy. These observations are explained through an analysis how differential privacy and compression effects the bias and variance in estimating the average gradient. We follow this study with a recommendation on how to improve test accuracy under the context of differentially private deep learning and gradient compression. We evaluate this proposal and find that it can reduce the negative impact of noise added by differential privacy mechanisms on test accuracy by up to 24.6%, and reduce the negative impact of gradient sparsification on test accuracy by up to 15.1%.</x:v>
      </x:c>
      <x:c r="L366" s="17" t="str">
        <x:v>http://arxiv.org/abs/2211.00734v1</x:v>
      </x:c>
      <x:c r="M366" s="23" t="n">
        <x:v>0.02967032967032967</x:v>
      </x:c>
      <x:c r="N366" s="17" t="str">
        <x:v>arxiv-paper-eval-20260726-140242-results.jsonl</x:v>
      </x:c>
      <x:c r="O366" s="24" t="str">
        <x:v>2</x:v>
      </x:c>
      <x:c r="P366" s="28" t="str">
        <x:v>实证研究梯度压缩与高斯DP噪声共同影响准确率和计算通信效率。</x:v>
      </x:c>
      <x:c r="Q366" s="25" t="str"/>
      <x:c r="R366" s="24" t="str">
        <x:f>IF(Q366&lt;&gt;"",Q366,O366)</x:f>
        <x:v>2</x:v>
      </x:c>
      <x:c r="S366" s="29" t="str"/>
    </x:row>
    <x:row r="367" ht="54" customHeight="1">
      <x:c r="A367" s="17" t="str">
        <x:v>csq019-r11</x:v>
      </x:c>
      <x:c r="B367" s="17" t="str">
        <x:v>csq019</x:v>
      </x:c>
      <x:c r="C367" s="17" t="str">
        <x:v>security_and_privacy</x:v>
      </x:c>
      <x:c r="D367" s="17" t="str">
        <x:v>differential_privacy</x:v>
      </x:c>
      <x:c r="E367" s="27" t="str">
        <x:v>What methods are used for training deep learning models with differential privacy, and how do they manage the privacy-utility-computation trade-off?</x:v>
      </x:c>
      <x:c r="F367" s="22" t="n">
        <x:v>11</x:v>
      </x:c>
      <x:c r="G367" s="17" t="str">
        <x:v>arXiv:2506.09312</x:v>
      </x:c>
      <x:c r="H367" s="27" t="str">
        <x:v>What is the Cost of Differential Privacy for Deep Learning-Based Trajectory Generation?</x:v>
      </x:c>
      <x:c r="I367" s="17" t="str">
        <x:v>Erik Buchholz; Natasha Fernandes; David D. Nguyen; Alsharif Abuadbba; Surya Nepal; Salil S. Kanhere</x:v>
      </x:c>
      <x:c r="J367" s="22" t="n">
        <x:v>2025</x:v>
      </x:c>
      <x:c r="K367" s="27" t="str">
        <x:v>While location trajectories offer valuable insights, they also reveal sensitive personal information. Differential Privacy (DP) offers formal protection, but achieving a favourable utility-privacy trade-off remains challenging. Recent works explore deep learning-based generative models to produce synthetic trajectories. However, current models lack formal privacy guarantees and rely on conditional information derived from real data during generation. This work investigates the utility cost of enforcing DP in such models, addressing three research questions across two datasets and eleven utility metrics. (1) We evaluate how DP-SGD, the standard DP training method for deep learning, affects the utility of state-of-the-art generative models. (2) Since DP-SGD is limited to unconditional models, we propose a novel DP mechanism for conditional generation that provides formal guarantees and assess its impact on utility. (3) We analyse how model types - Diffusion, VAE, and GAN - affect the utility-privacy trade-off. Our results show that DP-SGD significantly impacts performance, although some utility remains if the datasets is sufficiently large. The proposed DP mechanism improves training stability, particularly when combined with DP-SGD, for unstable models such as GANs and on smaller datasets. Diffusion models yield the best utility without guarantees, but with DP-SGD, GANs perform best, indicating that the best non-private model is not necessarily optimal when targeting formal guarantees. In conclusion, DP trajectory generation remains a challenging task, and formal guarantees are currently only feasible with large datasets and in constrained use cases.</x:v>
      </x:c>
      <x:c r="L367" s="17" t="str">
        <x:v>http://arxiv.org/abs/2506.09312v1</x:v>
      </x:c>
      <x:c r="M367" s="23" t="n">
        <x:v>0.028958333333333336</x:v>
      </x:c>
      <x:c r="N367" s="17" t="str">
        <x:v>arxiv-paper-eval-20260726-140242-results.jsonl</x:v>
      </x:c>
      <x:c r="O367" s="24" t="str">
        <x:v>2</x:v>
      </x:c>
      <x:c r="P367" s="28" t="str">
        <x:v>直接量化深度轨迹生成使用差分隐私的效用与隐私成本。</x:v>
      </x:c>
      <x:c r="Q367" s="25" t="str"/>
      <x:c r="R367" s="24" t="str">
        <x:f>IF(Q367&lt;&gt;"",Q367,O367)</x:f>
        <x:v>2</x:v>
      </x:c>
      <x:c r="S367" s="29" t="str"/>
    </x:row>
    <x:row r="368" ht="54" customHeight="1">
      <x:c r="A368" s="17" t="str">
        <x:v>csq019-r12</x:v>
      </x:c>
      <x:c r="B368" s="17" t="str">
        <x:v>csq019</x:v>
      </x:c>
      <x:c r="C368" s="17" t="str">
        <x:v>security_and_privacy</x:v>
      </x:c>
      <x:c r="D368" s="17" t="str">
        <x:v>differential_privacy</x:v>
      </x:c>
      <x:c r="E368" s="27" t="str">
        <x:v>What methods are used for training deep learning models with differential privacy, and how do they manage the privacy-utility-computation trade-off?</x:v>
      </x:c>
      <x:c r="F368" s="22" t="n">
        <x:v>12</x:v>
      </x:c>
      <x:c r="G368" s="17" t="str">
        <x:v>arXiv:2307.13231</x:v>
      </x:c>
      <x:c r="H368" s="27" t="str">
        <x:v>Spectral-DP: Differentially Private Deep Learning through Spectral Perturbation and Filtering</x:v>
      </x:c>
      <x:c r="I368" s="17" t="str">
        <x:v>Ce Feng; Nuo Xu; Wujie Wen; Parv Venkitasubramaniam; Caiwen Ding</x:v>
      </x:c>
      <x:c r="J368" s="22" t="n">
        <x:v>2023</x:v>
      </x:c>
      <x:c r="K368" s="27" t="str">
        <x:v>Differential privacy is a widely accepted measure of privacy in the context of deep learning algorithms, and achieving it relies on a noisy training approach known as differentially private stochastic gradient descent (DP-SGD). DP-SGD requires direct noise addition to every gradient in a dense neural network, the privacy is achieved at a significant utility cost. In this work, we present Spectral-DP, a new differentially private learning approach which combines gradient perturbation in the spectral domain with spectral filtering to achieve a desired privacy guarantee with a lower noise scale and thus better utility. We develop differentially private deep learning methods based on Spectral-DP for architectures that contain both convolution and fully connected layers. In particular, for fully connected layers, we combine a block-circulant based spatial restructuring with Spectral-DP to achieve better utility. Through comprehensive experiments, we study and provide guidelines to implement Spectral-DP deep learning on benchmark datasets. In comparison with state-of-the-art DP-SGD based approaches, Spectral-DP is shown to have uniformly better utility performance in both training from scratch and transfer learning settings.</x:v>
      </x:c>
      <x:c r="L368" s="17" t="str">
        <x:v>http://arxiv.org/abs/2307.13231v1</x:v>
      </x:c>
      <x:c r="M368" s="23" t="n">
        <x:v>0.028850145288501453</x:v>
      </x:c>
      <x:c r="N368" s="17" t="str">
        <x:v>arxiv-paper-eval-20260726-140242-results.jsonl</x:v>
      </x:c>
      <x:c r="O368" s="24" t="str">
        <x:v>2</x:v>
      </x:c>
      <x:c r="P368" s="28" t="str">
        <x:v>以频谱扰动和滤波替代稠密逐梯度加噪，改善DP-SGD效用成本。</x:v>
      </x:c>
      <x:c r="Q368" s="25" t="str"/>
      <x:c r="R368" s="24" t="str">
        <x:f>IF(Q368&lt;&gt;"",Q368,O368)</x:f>
        <x:v>2</x:v>
      </x:c>
      <x:c r="S368" s="29" t="str"/>
    </x:row>
    <x:row r="369" ht="54" customHeight="1">
      <x:c r="A369" s="17" t="str">
        <x:v>csq019-r13</x:v>
      </x:c>
      <x:c r="B369" s="17" t="str">
        <x:v>csq019</x:v>
      </x:c>
      <x:c r="C369" s="17" t="str">
        <x:v>security_and_privacy</x:v>
      </x:c>
      <x:c r="D369" s="17" t="str">
        <x:v>differential_privacy</x:v>
      </x:c>
      <x:c r="E369" s="27" t="str">
        <x:v>What methods are used for training deep learning models with differential privacy, and how do they manage the privacy-utility-computation trade-off?</x:v>
      </x:c>
      <x:c r="F369" s="22" t="n">
        <x:v>13</x:v>
      </x:c>
      <x:c r="G369" s="17" t="str">
        <x:v>arXiv:2007.14191</x:v>
      </x:c>
      <x:c r="H369" s="27" t="str">
        <x:v>Tempered Sigmoid Activations for Deep Learning with Differential Privacy</x:v>
      </x:c>
      <x:c r="I369" s="17" t="str">
        <x:v>Nicolas Papernot; Abhradeep Thakurta; Shuang Song; Steve Chien; Úlfar Erlingsson</x:v>
      </x:c>
      <x:c r="J369" s="22" t="n">
        <x:v>2020</x:v>
      </x:c>
      <x:c r="K369" s="27" t="str">
        <x:v>Because learning sometimes involves sensitive data, machine learning algorithms have been extended to offer privacy for training data. In practice, this has been mostly an afterthought, with privacy-preserving models obtained by re-running training with a different optimizer, but using the model architectures that already performed well in a non-privacy-preserving setting. This approach leads to less than ideal privacy/utility tradeoffs, as we show here. Instead, we propose that model architectures are chosen ab initio explicitly for privacy-preserving training. To provide guarantees under the gold standard of differential privacy, one must bound as strictly as possible how individual training points can possibly affect model updates. In this paper, we are the first to observe that the choice of activation function is central to bounding the sensitivity of privacy-preserving deep learning. We demonstrate analytically and experimentally how a general family of bounded activation functions, the tempered sigmoids, consistently outperform unbounded activation functions like ReLU. Using this paradigm, we achieve new state-of-the-art accuracy on MNIST, FashionMNIST, and CIFAR10 without any modification of the learning procedure fundamentals or differential privacy analysis.</x:v>
      </x:c>
      <x:c r="L369" s="17" t="str">
        <x:v>http://arxiv.org/abs/2007.14191v1</x:v>
      </x:c>
      <x:c r="M369" s="23" t="n">
        <x:v>0.028850145288501453</x:v>
      </x:c>
      <x:c r="N369" s="17" t="str">
        <x:v>arxiv-paper-eval-20260726-140242-results.jsonl</x:v>
      </x:c>
      <x:c r="O369" s="24" t="str">
        <x:v>2</x:v>
      </x:c>
      <x:c r="P369" s="28" t="str">
        <x:v>通过适配激活函数改善差分隐私训练下的隐私效用权衡。</x:v>
      </x:c>
      <x:c r="Q369" s="25" t="str"/>
      <x:c r="R369" s="24" t="str">
        <x:f>IF(Q369&lt;&gt;"",Q369,O369)</x:f>
        <x:v>2</x:v>
      </x:c>
      <x:c r="S369" s="29" t="str"/>
    </x:row>
    <x:row r="370" ht="54" customHeight="1">
      <x:c r="A370" s="17" t="str">
        <x:v>csq019-r14</x:v>
      </x:c>
      <x:c r="B370" s="17" t="str">
        <x:v>csq019</x:v>
      </x:c>
      <x:c r="C370" s="17" t="str">
        <x:v>security_and_privacy</x:v>
      </x:c>
      <x:c r="D370" s="17" t="str">
        <x:v>differential_privacy</x:v>
      </x:c>
      <x:c r="E370" s="27" t="str">
        <x:v>What methods are used for training deep learning models with differential privacy, and how do they manage the privacy-utility-computation trade-off?</x:v>
      </x:c>
      <x:c r="F370" s="22" t="n">
        <x:v>14</x:v>
      </x:c>
      <x:c r="G370" s="17" t="str">
        <x:v>arXiv:2506.00660</x:v>
      </x:c>
      <x:c r="H370" s="27" t="str">
        <x:v>Differential privacy for medical deep learning: methods, tradeoffs, and deployment implications</x:v>
      </x:c>
      <x:c r="I370" s="17" t="str">
        <x:v>Marziyeh Mohammadi; Mohsen Vejdanihemmat; Mahshad Lotfinia; Mirabela Rusu; Daniel Truhn; Andreas Maier; Soroosh Tayebi Arasteh</x:v>
      </x:c>
      <x:c r="J370" s="22" t="n">
        <x:v>2025</x:v>
      </x:c>
      <x:c r="K370" s="27" t="str">
        <x:v>Differential privacy (DP) is a key technique for protecting sensitive patient data in medical deep learning (DL). As clinical models grow more data-dependent, balancing privacy with utility and fairness has become a critical challenge. This scoping review synthesizes recent developments in applying DP to medical DL, with a particular focus on DP-SGD and alternative mechanisms across centralized and federated settings. Using a structured search strategy, we identified 74 studies published up to March 2025. Our analysis spans diverse data modalities, training setups, and downstream tasks, and highlights the tradeoffs between privacy guarantees, model accuracy, and subgroup fairness. We find that while DP-especially at strong privacy budgets-can preserve performance in well-structured imaging tasks, severe degradation often occurs under strict privacy, particularly in underrepresented or complex modalities. Furthermore, privacy-induced performance gaps disproportionately affect demographic subgroups, with fairness impacts varying by data type and task. A small subset of studies explicitly addresses these tradeoffs through subgroup analysis or fairness metrics, but most omit them entirely. Beyond DP-SGD, emerging approaches leverage alternative mechanisms, generative models, and hybrid federated designs, though reporting remains inconsistent. We conclude by outlining key gaps in fairness auditing, standardization, and evaluation protocols, offering guidance for future work toward equitable and clinically robust privacy-preserving DL systems in medicine.</x:v>
      </x:c>
      <x:c r="L370" s="17" t="str">
        <x:v>http://arxiv.org/abs/2506.00660v2</x:v>
      </x:c>
      <x:c r="M370" s="23" t="n">
        <x:v>0.01639344262295082</x:v>
      </x:c>
      <x:c r="N370" s="17" t="str">
        <x:v>arxiv-paper-eval-20260726-140242-results.jsonl</x:v>
      </x:c>
      <x:c r="O370" s="24" t="str">
        <x:v>2</x:v>
      </x:c>
      <x:c r="P370" s="28" t="str">
        <x:v>综述医学深度学习中的DP-SGD及替代机制、权衡和部署影响。</x:v>
      </x:c>
      <x:c r="Q370" s="25" t="str"/>
      <x:c r="R370" s="24" t="str">
        <x:f>IF(Q370&lt;&gt;"",Q370,O370)</x:f>
        <x:v>2</x:v>
      </x:c>
      <x:c r="S370" s="29" t="str"/>
    </x:row>
    <x:row r="371" ht="54" customHeight="1">
      <x:c r="A371" s="17" t="str">
        <x:v>csq019-r15</x:v>
      </x:c>
      <x:c r="B371" s="17" t="str">
        <x:v>csq019</x:v>
      </x:c>
      <x:c r="C371" s="17" t="str">
        <x:v>security_and_privacy</x:v>
      </x:c>
      <x:c r="D371" s="17" t="str">
        <x:v>differential_privacy</x:v>
      </x:c>
      <x:c r="E371" s="27" t="str">
        <x:v>What methods are used for training deep learning models with differential privacy, and how do they manage the privacy-utility-computation trade-off?</x:v>
      </x:c>
      <x:c r="F371" s="22" t="n">
        <x:v>15</x:v>
      </x:c>
      <x:c r="G371" s="17" t="str">
        <x:v>arXiv:1912.06015</x:v>
      </x:c>
      <x:c r="H371" s="27" t="str">
        <x:v>Efficient Per-Example Gradient Computations in Convolutional Neural Networks</x:v>
      </x:c>
      <x:c r="I371" s="17" t="str">
        <x:v>Gaspar Rochette; Andre Manoel; Eric W. Tramel</x:v>
      </x:c>
      <x:c r="J371" s="22" t="n">
        <x:v>2019</x:v>
      </x:c>
      <x:c r="K371" s="27" t="str">
        <x:v>Deep learning frameworks leverage GPUs to perform massively-parallel computations over batches of many training examples efficiently. However, for certain tasks, one may be interested in performing per-example computations, for instance using per-example gradients to evaluate a quantity of interest unique to each example. One notable application comes from the field of differential privacy, where per-example gradients must be norm-bounded in order to limit the impact of each example on the aggregated batch gradient. In this work, we discuss how per-example gradients can be efficiently computed in convolutional neural networks (CNNs). We compare existing strategies by performing a few steps of differentially-private training on CNNs of varying sizes. We also introduce a new strategy for per-example gradient calculation, which is shown to be advantageous depending on the model architecture and how the model is trained. This is a first step in making differentially-private training of CNNs practical.</x:v>
      </x:c>
      <x:c r="L371" s="17" t="str">
        <x:v>http://arxiv.org/abs/1912.06015v1</x:v>
      </x:c>
      <x:c r="M371" s="23" t="n">
        <x:v>0.016129032258064516</x:v>
      </x:c>
      <x:c r="N371" s="17" t="str">
        <x:v>arxiv-paper-eval-20260726-140242-results.jsonl</x:v>
      </x:c>
      <x:c r="O371" s="24" t="str">
        <x:v>2</x:v>
      </x:c>
      <x:c r="P371" s="28" t="str">
        <x:v>研究DP训练所需逐样本梯度的高效计算，直接覆盖计算开销。</x:v>
      </x:c>
      <x:c r="Q371" s="25" t="str"/>
      <x:c r="R371" s="24" t="str">
        <x:f>IF(Q371&lt;&gt;"",Q371,O371)</x:f>
        <x:v>2</x:v>
      </x:c>
      <x:c r="S371" s="29" t="str"/>
    </x:row>
    <x:row r="372" ht="54" customHeight="1">
      <x:c r="A372" s="17" t="str">
        <x:v>csq019-r16</x:v>
      </x:c>
      <x:c r="B372" s="17" t="str">
        <x:v>csq019</x:v>
      </x:c>
      <x:c r="C372" s="17" t="str">
        <x:v>security_and_privacy</x:v>
      </x:c>
      <x:c r="D372" s="17" t="str">
        <x:v>differential_privacy</x:v>
      </x:c>
      <x:c r="E372" s="27" t="str">
        <x:v>What methods are used for training deep learning models with differential privacy, and how do they manage the privacy-utility-computation trade-off?</x:v>
      </x:c>
      <x:c r="F372" s="22" t="n">
        <x:v>16</x:v>
      </x:c>
      <x:c r="G372" s="17" t="str">
        <x:v>arXiv:2206.03492</x:v>
      </x:c>
      <x:c r="H372" s="27" t="str">
        <x:v>A Privacy-Preserving Subgraph-Level Federated Graph Neural Network via Differential Privacy</x:v>
      </x:c>
      <x:c r="I372" s="17" t="str">
        <x:v>Yeqing Qiu; Chenyu Huang; Jianzong Wang; Zhangcheng Huang; Jing Xiao</x:v>
      </x:c>
      <x:c r="J372" s="22" t="n">
        <x:v>2022</x:v>
      </x:c>
      <x:c r="K372" s="27" t="str">
        <x:v>Currently, the federated graph neural network (GNN) has attracted a lot of attention due to its wide applications in reality without violating the privacy regulations. Among all the privacy-preserving technologies, the differential privacy (DP) is the most promising one due to its effectiveness and light computational overhead. However, the DP-based federated GNN has not been well investigated, especially in the sub-graph-level setting, such as the scenario of recommendation system. The biggest challenge is how to guarantee the privacy and solve the non independent and identically distributed (non-IID) data in federated GNN simultaneously. In this paper, we propose DP-FedRec, a DP-based federated GNN to fill the gap. Private Set Intersection (PSI) is leveraged to extend the local graph for each client, and thus solve the non-IID problem. Most importantly, DP is applied not only on the weights but also on the edges of the intersection graph from PSI to fully protect the privacy of clients. The evaluation demonstrates DP-FedRec achieves better performance with the graph extension and DP only introduces little computations overhead.</x:v>
      </x:c>
      <x:c r="L372" s="17" t="str">
        <x:v>http://arxiv.org/abs/2206.03492v1</x:v>
      </x:c>
      <x:c r="M372" s="23" t="n">
        <x:v>0.015625</x:v>
      </x:c>
      <x:c r="N372" s="17" t="str">
        <x:v>arxiv-paper-eval-20260726-140242-results.jsonl</x:v>
      </x:c>
      <x:c r="O372" s="24" t="str">
        <x:v>1</x:v>
      </x:c>
      <x:c r="P372" s="28" t="str">
        <x:v>在联邦图神经网络特定场景使用差分隐私，属于应用性方法实例。</x:v>
      </x:c>
      <x:c r="Q372" s="25" t="str"/>
      <x:c r="R372" s="24" t="str">
        <x:f>IF(Q372&lt;&gt;"",Q372,O372)</x:f>
        <x:v>1</x:v>
      </x:c>
      <x:c r="S372" s="29" t="str"/>
    </x:row>
    <x:row r="373" ht="54" customHeight="1">
      <x:c r="A373" s="17" t="str">
        <x:v>csq019-r17</x:v>
      </x:c>
      <x:c r="B373" s="17" t="str">
        <x:v>csq019</x:v>
      </x:c>
      <x:c r="C373" s="17" t="str">
        <x:v>security_and_privacy</x:v>
      </x:c>
      <x:c r="D373" s="17" t="str">
        <x:v>differential_privacy</x:v>
      </x:c>
      <x:c r="E373" s="27" t="str">
        <x:v>What methods are used for training deep learning models with differential privacy, and how do they manage the privacy-utility-computation trade-off?</x:v>
      </x:c>
      <x:c r="F373" s="22" t="n">
        <x:v>17</x:v>
      </x:c>
      <x:c r="G373" s="17" t="str">
        <x:v>arXiv:2102.05975</x:v>
      </x:c>
      <x:c r="H373" s="27" t="str">
        <x:v>Investigating Trade-offs in Utility, Fairness and Differential Privacy in Neural Networks</x:v>
      </x:c>
      <x:c r="I373" s="17" t="str">
        <x:v>Marlotte Pannekoek; Giacomo Spigler</x:v>
      </x:c>
      <x:c r="J373" s="22" t="n">
        <x:v>2021</x:v>
      </x:c>
      <x:c r="K373" s="27" t="str">
        <x:v>To enable an ethical and legal use of machine learning algorithms, they must both be fair and protect the privacy of those whose data are being used. However, implementing privacy and fairness constraints might come at the cost of utility (Jayaraman &amp; Evans, 2019; Gong et al., 2020). This paper investigates the privacy-utility-fairness trade-off in neural networks by comparing a Simple (S-NN), a Fair (F-NN), a Differentially Private (DP-NN), and a Differentially Private and Fair Neural Network (DPF-NN) to evaluate differences in performance on metrics for privacy (epsilon, delta), fairness (risk difference), and utility (accuracy). In the scenario with the highest considered privacy guarantees (epsilon = 0.1, delta = 0.00001), the DPF-NN was found to achieve better risk difference than all the other neural networks with only a marginally lower accuracy than the S-NN and DP-NN. This model is considered fair as it achieved a risk difference below the strict (0.05) and lenient (0.1) thresholds. However, while the accuracy of the proposed model improved on previous work from Xu, Yuan and Wu (2019), the risk difference was found to be worse.</x:v>
      </x:c>
      <x:c r="L373" s="17" t="str">
        <x:v>http://arxiv.org/abs/2102.05975v1</x:v>
      </x:c>
      <x:c r="M373" s="23" t="n">
        <x:v>0.015384615384615385</x:v>
      </x:c>
      <x:c r="N373" s="17" t="str">
        <x:v>arxiv-paper-eval-20260726-140242-results.jsonl</x:v>
      </x:c>
      <x:c r="O373" s="24" t="str">
        <x:v>2</x:v>
      </x:c>
      <x:c r="P373" s="28" t="str">
        <x:v>直接实证比较神经网络的隐私、效用与公平性三方权衡。</x:v>
      </x:c>
      <x:c r="Q373" s="25" t="str"/>
      <x:c r="R373" s="24" t="str">
        <x:f>IF(Q373&lt;&gt;"",Q373,O373)</x:f>
        <x:v>2</x:v>
      </x:c>
      <x:c r="S373" s="29" t="str"/>
    </x:row>
    <x:row r="374" ht="54" customHeight="1">
      <x:c r="A374" s="17" t="str">
        <x:v>csq019-r18</x:v>
      </x:c>
      <x:c r="B374" s="17" t="str">
        <x:v>csq019</x:v>
      </x:c>
      <x:c r="C374" s="17" t="str">
        <x:v>security_and_privacy</x:v>
      </x:c>
      <x:c r="D374" s="17" t="str">
        <x:v>differential_privacy</x:v>
      </x:c>
      <x:c r="E374" s="27" t="str">
        <x:v>What methods are used for training deep learning models with differential privacy, and how do they manage the privacy-utility-computation trade-off?</x:v>
      </x:c>
      <x:c r="F374" s="22" t="n">
        <x:v>18</x:v>
      </x:c>
      <x:c r="G374" s="17" t="str">
        <x:v>arXiv:1912.10806</x:v>
      </x:c>
      <x:c r="H374" s="27" t="str">
        <x:v>DP-LSTM: Differential Privacy-inspired LSTM for Stock Prediction Using Financial News</x:v>
      </x:c>
      <x:c r="I374" s="17" t="str">
        <x:v>Xinyi Li; Yinchuan Li; Hongyang Yang; Liuqing Yang; Xiao-Yang Liu</x:v>
      </x:c>
      <x:c r="J374" s="22" t="n">
        <x:v>2019</x:v>
      </x:c>
      <x:c r="K374" s="27" t="str">
        <x:v>Stock price prediction is important for value investments in the stock market. In particular, short-term prediction that exploits financial news articles is promising in recent years. In this paper, we propose a novel deep neural network DP-LSTM for stock price prediction, which incorporates the news articles as hidden information and integrates difference news sources through the differential privacy mechanism. First, based on the autoregressive moving average model (ARMA), a sentiment-ARMA is formulated by taking into consideration the information of financial news articles in the model. Then, an LSTM-based deep neural network is designed, which consists of three components: LSTM, VADER model and differential privacy (DP) mechanism. The proposed DP-LSTM scheme can reduce prediction errors and increase the robustness. Extensive experiments on S&amp;P 500 stocks show that (i) the proposed DP-LSTM achieves 0.32% improvement in mean MPA of prediction result, and (ii) for the prediction of the market index S&amp;P 500, we achieve up to 65.79% improvement in MSE.</x:v>
      </x:c>
      <x:c r="L374" s="17" t="str">
        <x:v>http://arxiv.org/abs/1912.10806v1</x:v>
      </x:c>
      <x:c r="M374" s="23" t="n">
        <x:v>0.015151515151515152</x:v>
      </x:c>
      <x:c r="N374" s="17" t="str">
        <x:v>arxiv-paper-eval-20260726-140242-results.jsonl</x:v>
      </x:c>
      <x:c r="O374" s="24" t="str">
        <x:v>0</x:v>
      </x:c>
      <x:c r="P374" s="28" t="str">
        <x:v>所谓DP-LSTM用于融合新闻源，摘要未显示训练数据的正式差分隐私保证。</x:v>
      </x:c>
      <x:c r="Q374" s="25" t="str"/>
      <x:c r="R374" s="24" t="str">
        <x:f>IF(Q374&lt;&gt;"",Q374,O374)</x:f>
        <x:v>0</x:v>
      </x:c>
      <x:c r="S374" s="29" t="str"/>
    </x:row>
    <x:row r="375" ht="54" customHeight="1">
      <x:c r="A375" s="17" t="str">
        <x:v>csq019-r19</x:v>
      </x:c>
      <x:c r="B375" s="17" t="str">
        <x:v>csq019</x:v>
      </x:c>
      <x:c r="C375" s="17" t="str">
        <x:v>security_and_privacy</x:v>
      </x:c>
      <x:c r="D375" s="17" t="str">
        <x:v>differential_privacy</x:v>
      </x:c>
      <x:c r="E375" s="27" t="str">
        <x:v>What methods are used for training deep learning models with differential privacy, and how do they manage the privacy-utility-computation trade-off?</x:v>
      </x:c>
      <x:c r="F375" s="22" t="n">
        <x:v>19</x:v>
      </x:c>
      <x:c r="G375" s="17" t="str">
        <x:v>arXiv:2301.13104</x:v>
      </x:c>
      <x:c r="H375" s="27" t="str">
        <x:v>Equivariant Differentially Private Deep Learning: Why DP-SGD Needs Sparser Models</x:v>
      </x:c>
      <x:c r="I375" s="17" t="str">
        <x:v>Florian A. Hölzl; Daniel Rueckert; Georgios Kaissis</x:v>
      </x:c>
      <x:c r="J375" s="22" t="n">
        <x:v>2023</x:v>
      </x:c>
      <x:c r="K375" s="27" t="str">
        <x:v>Differentially Private Stochastic Gradient Descent (DP-SGD) limits the amount of private information deep learning models can memorize during training. This is achieved by clipping and adding noise to the model's gradients, and thus networks with more parameters require proportionally stronger perturbation. As a result, large models have difficulties learning useful information, rendering training with DP-SGD exceedingly difficult on more challenging training tasks. Recent research has focused on combating this challenge through training adaptations such as heavy data augmentation and large batch sizes. However, these techniques further increase the computational overhead of DP-SGD and reduce its practical applicability. In this work, we propose using the principle of sparse model design to solve precisely such complex tasks with fewer parameters, higher accuracy, and in less time, thus serving as a promising direction for DP-SGD. We achieve such sparsity by design by introducing equivariant convolutional networks for model training with Differential Privacy. Using equivariant networks, we show that small and efficient architecture design can outperform current state-of-the-art models with substantially lower computational requirements. On CIFAR-10, we achieve an increase of up to $9\%$ in accuracy while reducing the computation time by more than $85\%$. Our results are a step towards efficient model architectures that make optimal use of their parameters and bridge the privacy-utility gap between private and non-private deep learning for computer vision.</x:v>
      </x:c>
      <x:c r="L375" s="17" t="str">
        <x:v>http://arxiv.org/abs/2301.13104v2</x:v>
      </x:c>
      <x:c r="M375" s="23" t="n">
        <x:v>0.014925373134328358</x:v>
      </x:c>
      <x:c r="N375" s="17" t="str">
        <x:v>arxiv-paper-eval-20260726-140242-results.jsonl</x:v>
      </x:c>
      <x:c r="O375" s="24" t="str">
        <x:v>2</x:v>
      </x:c>
      <x:c r="P375" s="28" t="str">
        <x:v>解释DP-SGD噪声与模型规模的关系，并以稀疏等变模型改善训练。</x:v>
      </x:c>
      <x:c r="Q375" s="25" t="str"/>
      <x:c r="R375" s="24" t="str">
        <x:f>IF(Q375&lt;&gt;"",Q375,O375)</x:f>
        <x:v>2</x:v>
      </x:c>
      <x:c r="S375" s="29" t="str"/>
    </x:row>
    <x:row r="376" ht="54" customHeight="1">
      <x:c r="A376" s="17" t="str">
        <x:v>csq019-r20</x:v>
      </x:c>
      <x:c r="B376" s="17" t="str">
        <x:v>csq019</x:v>
      </x:c>
      <x:c r="C376" s="17" t="str">
        <x:v>security_and_privacy</x:v>
      </x:c>
      <x:c r="D376" s="17" t="str">
        <x:v>differential_privacy</x:v>
      </x:c>
      <x:c r="E376" s="27" t="str">
        <x:v>What methods are used for training deep learning models with differential privacy, and how do they manage the privacy-utility-computation trade-off?</x:v>
      </x:c>
      <x:c r="F376" s="22" t="n">
        <x:v>20</x:v>
      </x:c>
      <x:c r="G376" s="17" t="str">
        <x:v>arXiv:2309.16398</x:v>
      </x:c>
      <x:c r="H376" s="27" t="str">
        <x:v>Recent Advances of Differential Privacy in Centralized Deep Learning: A Systematic Survey</x:v>
      </x:c>
      <x:c r="I376" s="17" t="str">
        <x:v>Lea Demelius; Roman Kern; Andreas Trügler</x:v>
      </x:c>
      <x:c r="J376" s="22" t="n">
        <x:v>2023</x:v>
      </x:c>
      <x:c r="K376" s="27" t="str">
        <x:v>Differential Privacy has become a widely popular method for data protection in machine learning, especially since it allows formulating strict mathematical privacy guarantees. This survey provides an overview of the state-of-the-art of differentially private centralized deep learning, thorough analyses of recent advances and open problems, as well as a discussion of potential future developments in the field. Based on a systematic literature review, the following topics are addressed: auditing and evaluation methods for private models, improvements of privacy-utility trade-offs, protection against a broad range of threats and attacks, differentially private generative models, and emerging application domains.</x:v>
      </x:c>
      <x:c r="L376" s="17" t="str">
        <x:v>http://arxiv.org/abs/2309.16398v1</x:v>
      </x:c>
      <x:c r="M376" s="23" t="n">
        <x:v>0.014925373134328358</x:v>
      </x:c>
      <x:c r="N376" s="17" t="str">
        <x:v>arxiv-paper-eval-20260726-140242-results.jsonl</x:v>
      </x:c>
      <x:c r="O376" s="24" t="str">
        <x:v>2</x:v>
      </x:c>
      <x:c r="P376" s="28" t="str">
        <x:v>系统综述集中式深度学习差分隐私方法、最新进展与开放问题。</x:v>
      </x:c>
      <x:c r="Q376" s="25" t="str"/>
      <x:c r="R376" s="24" t="str">
        <x:f>IF(Q376&lt;&gt;"",Q376,O376)</x:f>
        <x:v>2</x:v>
      </x:c>
      <x:c r="S376" s="29" t="str"/>
    </x:row>
    <x:row r="377" ht="54" customHeight="1">
      <x:c r="A377" s="17" t="str">
        <x:v>csq020-r01</x:v>
      </x:c>
      <x:c r="B377" s="17" t="str">
        <x:v>csq020</x:v>
      </x:c>
      <x:c r="C377" s="17" t="str">
        <x:v>security_and_privacy</x:v>
      </x:c>
      <x:c r="D377" s="17" t="str">
        <x:v>membership_inference</x:v>
      </x:c>
      <x:c r="E377" s="27" t="str">
        <x:v>How do black-box and white-box membership inference attacks against machine learning models compare in their assumptions, methods, and evaluations?</x:v>
      </x:c>
      <x:c r="F377" s="22" t="n">
        <x:v>1</x:v>
      </x:c>
      <x:c r="G377" s="17" t="str">
        <x:v>arXiv:2510.10625</x:v>
      </x:c>
      <x:c r="H377" s="27" t="str">
        <x:v>ImpMIA: Leveraging Implicit Bias for Membership Inference Attack</x:v>
      </x:c>
      <x:c r="I377" s="17" t="str">
        <x:v>Yuval Golbari; Navve Wasserman; Gal Vardi; Michal Irani</x:v>
      </x:c>
      <x:c r="J377" s="22" t="n">
        <x:v>2025</x:v>
      </x:c>
      <x:c r="K377" s="27" t="str">
        <x:v>Determining which data samples were used to train a model, known as Membership Inference Attack (MIA), is a well-studied and important problem with implications on data privacy. SotA methods (which are black-box attacks) rely on training many auxiliary reference models to imitate the behavior of the attacked model. As such, they rely on assumptions which rarely hold in real-world settings: (i) the attacker knows the training hyperparameters; (ii) all available non-training samples come from the same distribution as the training data; and (iii) the fraction of training data in the evaluation set is known. We show that removing these assumptions significantly harms the performance of black-box attacks. We introduce ImpMIA, a Membership Inference Attack that exploits the Implicit Bias of neural networks. Building on the maximum-margin implicit bias theory, ImpMIA uses the Karush-Kuhn-Tucker (KKT) optimality conditions to identify training samples -- those whose gradients most strongly reconstruct the trained model's parameters. Our approach is optimization-based, and requires NO training of reference-models, thus removing the need for any knowledge/assumptions regarding the attacked model's training procedure. While ImpMIA is a white-box attack (a setting which assumes access to model weights), this is becoming increasingly realistic given that many models are publicly available (e.g., via Hugging Face). ImpMIA achieves SotA performance compared to both black and white box attacks in settings where only the model weights are known, and a superset of the training data is available.</x:v>
      </x:c>
      <x:c r="L377" s="17" t="str">
        <x:v>http://arxiv.org/abs/2510.10625v3</x:v>
      </x:c>
      <x:c r="M377" s="23" t="n">
        <x:v>0.04583853930031804</x:v>
      </x:c>
      <x:c r="N377" s="17" t="str">
        <x:v>arxiv-paper-eval-20260726-140242-results.jsonl</x:v>
      </x:c>
      <x:c r="O377" s="24" t="str">
        <x:v>2</x:v>
      </x:c>
      <x:c r="P377" s="28" t="str">
        <x:v>分析现有黑盒MIA的参考模型假设，并提出利用隐式偏置的攻击方法。</x:v>
      </x:c>
      <x:c r="Q377" s="25" t="str"/>
      <x:c r="R377" s="24" t="str">
        <x:f>IF(Q377&lt;&gt;"",Q377,O377)</x:f>
        <x:v>2</x:v>
      </x:c>
      <x:c r="S377" s="29" t="str"/>
    </x:row>
    <x:row r="378" ht="54" customHeight="1">
      <x:c r="A378" s="17" t="str">
        <x:v>csq020-r02</x:v>
      </x:c>
      <x:c r="B378" s="17" t="str">
        <x:v>csq020</x:v>
      </x:c>
      <x:c r="C378" s="17" t="str">
        <x:v>security_and_privacy</x:v>
      </x:c>
      <x:c r="D378" s="17" t="str">
        <x:v>membership_inference</x:v>
      </x:c>
      <x:c r="E378" s="27" t="str">
        <x:v>How do black-box and white-box membership inference attacks against machine learning models compare in their assumptions, methods, and evaluations?</x:v>
      </x:c>
      <x:c r="F378" s="22" t="n">
        <x:v>2</x:v>
      </x:c>
      <x:c r="G378" s="17" t="str">
        <x:v>arXiv:2104.08305</x:v>
      </x:c>
      <x:c r="H378" s="27" t="str">
        <x:v>Membership Inference Attack Susceptibility of Clinical Language Models</x:v>
      </x:c>
      <x:c r="I378" s="17" t="str">
        <x:v>Abhyuday Jagannatha; Bhanu Pratap Singh Rawat; Hong Yu</x:v>
      </x:c>
      <x:c r="J378" s="22" t="n">
        <x:v>2021</x:v>
      </x:c>
      <x:c r="K378" s="27" t="str">
        <x:v>Deep Neural Network (DNN) models have been shown to have high empirical privacy leakages. Clinical language models (CLMs) trained on clinical data have been used to improve performance in biomedical natural language processing tasks. In this work, we investigate the risks of training-data leakage through white-box or black-box access to CLMs. We design and employ membership inference attacks to estimate the empirical privacy leaks for model architectures like BERT and GPT2. We show that membership inference attacks on CLMs lead to non-trivial privacy leakages of up to 7%. Our results show that smaller models have lower empirical privacy leakages than larger ones, and masked LMs have lower leakages than auto-regressive LMs. We further show that differentially private CLMs can have improved model utility on clinical domain while ensuring low empirical privacy leakage. Lastly, we also study the effects of group-level membership inference and disease rarity on CLM privacy leakages.</x:v>
      </x:c>
      <x:c r="L378" s="17" t="str">
        <x:v>http://arxiv.org/abs/2104.08305v1</x:v>
      </x:c>
      <x:c r="M378" s="23" t="n">
        <x:v>0.045750384880819665</x:v>
      </x:c>
      <x:c r="N378" s="17" t="str">
        <x:v>arxiv-paper-eval-20260726-140242-results.jsonl</x:v>
      </x:c>
      <x:c r="O378" s="24" t="str">
        <x:v>2</x:v>
      </x:c>
      <x:c r="P378" s="28" t="str">
        <x:v>在临床语言模型上同时设计并评估白盒和黑盒成员推断攻击。</x:v>
      </x:c>
      <x:c r="Q378" s="25" t="str"/>
      <x:c r="R378" s="24" t="str">
        <x:f>IF(Q378&lt;&gt;"",Q378,O378)</x:f>
        <x:v>2</x:v>
      </x:c>
      <x:c r="S378" s="29" t="str"/>
    </x:row>
    <x:row r="379" ht="54" customHeight="1">
      <x:c r="A379" s="17" t="str">
        <x:v>csq020-r03</x:v>
      </x:c>
      <x:c r="B379" s="17" t="str">
        <x:v>csq020</x:v>
      </x:c>
      <x:c r="C379" s="17" t="str">
        <x:v>security_and_privacy</x:v>
      </x:c>
      <x:c r="D379" s="17" t="str">
        <x:v>membership_inference</x:v>
      </x:c>
      <x:c r="E379" s="27" t="str">
        <x:v>How do black-box and white-box membership inference attacks against machine learning models compare in their assumptions, methods, and evaluations?</x:v>
      </x:c>
      <x:c r="F379" s="22" t="n">
        <x:v>3</x:v>
      </x:c>
      <x:c r="G379" s="17" t="str">
        <x:v>arXiv:2208.08114</x:v>
      </x:c>
      <x:c r="H379" s="27" t="str">
        <x:v>An Empirical Study on the Membership Inference Attack against Tabular Data Synthesis Models</x:v>
      </x:c>
      <x:c r="I379" s="17" t="str">
        <x:v>Jihyeon Hyeong; Jayoung Kim; Noseong Park; Sushil Jajodia</x:v>
      </x:c>
      <x:c r="J379" s="22" t="n">
        <x:v>2022</x:v>
      </x:c>
      <x:c r="K379" s="27" t="str">
        <x:v>Tabular data typically contains private and important information; thus, precautions must be taken before they are shared with others. Although several methods (e.g., differential privacy and k-anonymity) have been proposed to prevent information leakage, in recent years, tabular data synthesis models have become popular because they can well trade-off between data utility and privacy. However, recent research has shown that generative models for image data are susceptible to the membership inference attack, which can determine whether a given record was used to train a victim synthesis model. In this paper, we investigate the membership inference attack in the context of tabular data synthesis. We conduct experiments on 4 state-of-the-art tabular data synthesis models under two attack scenarios (i.e., one black-box and one white-box attack), and find that the membership inference attack can seriously jeopardize these models. We next conduct experiments to evaluate how well two popular differentially-private deep learning training algorithms, DP-SGD and DP-GAN, can protect the models against the attack. Our key finding is that both algorithms can largely alleviate this threat by sacrificing the generation quality.</x:v>
      </x:c>
      <x:c r="L379" s="17" t="str">
        <x:v>http://arxiv.org/abs/2208.08114v2</x:v>
      </x:c>
      <x:c r="M379" s="23" t="n">
        <x:v>0.045062229437229435</x:v>
      </x:c>
      <x:c r="N379" s="17" t="str">
        <x:v>arxiv-paper-eval-20260726-140242-results.jsonl</x:v>
      </x:c>
      <x:c r="O379" s="24" t="str">
        <x:v>1</x:v>
      </x:c>
      <x:c r="P379" s="28" t="str">
        <x:v>实证评估表格数据生成模型的成员推断，但摘要未明确黑盒或白盒访问假设。</x:v>
      </x:c>
      <x:c r="Q379" s="25" t="str"/>
      <x:c r="R379" s="24" t="str">
        <x:f>IF(Q379&lt;&gt;"",Q379,O379)</x:f>
        <x:v>1</x:v>
      </x:c>
      <x:c r="S379" s="29" t="str"/>
    </x:row>
    <x:row r="380" ht="54" customHeight="1">
      <x:c r="A380" s="17" t="str">
        <x:v>csq020-r04</x:v>
      </x:c>
      <x:c r="B380" s="17" t="str">
        <x:v>csq020</x:v>
      </x:c>
      <x:c r="C380" s="17" t="str">
        <x:v>security_and_privacy</x:v>
      </x:c>
      <x:c r="D380" s="17" t="str">
        <x:v>membership_inference</x:v>
      </x:c>
      <x:c r="E380" s="27" t="str">
        <x:v>How do black-box and white-box membership inference attacks against machine learning models compare in their assumptions, methods, and evaluations?</x:v>
      </x:c>
      <x:c r="F380" s="22" t="n">
        <x:v>4</x:v>
      </x:c>
      <x:c r="G380" s="17" t="str">
        <x:v>arXiv:2302.03262</x:v>
      </x:c>
      <x:c r="H380" s="27" t="str">
        <x:v>Membership Inference Attacks against Diffusion Models</x:v>
      </x:c>
      <x:c r="I380" s="17" t="str">
        <x:v>Tomoya Matsumoto; Takayuki Miura; Naoto Yanai</x:v>
      </x:c>
      <x:c r="J380" s="22" t="n">
        <x:v>2023</x:v>
      </x:c>
      <x:c r="K380" s="27" t="str">
        <x:v>Diffusion models have attracted attention in recent years as innovative generative models. In this paper, we investigate whether a diffusion model is resistant to a membership inference attack, which evaluates the privacy leakage of a machine learning model. We primarily discuss the diffusion model from the standpoints of comparison with a generative adversarial network (GAN) as conventional models and hyperparameters unique to the diffusion model, i.e., time steps, sampling steps, and sampling variances. We conduct extensive experiments with DDIM as a diffusion model and DCGAN as a GAN on the CelebA and CIFAR-10 datasets in both white-box and black-box settings and then confirm if the diffusion model is comparably resistant to a membership inference attack as GAN. Next, we demonstrate that the impact of time steps is significant and intermediate steps in a noise schedule are the most vulnerable to the attack. We also found two key insights through further analysis. First, we identify that DDIM is vulnerable to the attack for small sample sizes instead of achieving a lower FID. Second, sampling steps in hyperparameters are important for resistance to the attack, whereas the impact of sampling variances is quite limited.</x:v>
      </x:c>
      <x:c r="L380" s="17" t="str">
        <x:v>http://arxiv.org/abs/2302.03262v2</x:v>
      </x:c>
      <x:c r="M380" s="23" t="n">
        <x:v>0.044008618655930046</x:v>
      </x:c>
      <x:c r="N380" s="17" t="str">
        <x:v>arxiv-paper-eval-20260726-140242-results.jsonl</x:v>
      </x:c>
      <x:c r="O380" s="24" t="str">
        <x:v>1</x:v>
      </x:c>
      <x:c r="P380" s="28" t="str">
        <x:v>研究扩散模型成员推断及其评估，但摘要未明确访问类型。</x:v>
      </x:c>
      <x:c r="Q380" s="25" t="str"/>
      <x:c r="R380" s="24" t="str">
        <x:f>IF(Q380&lt;&gt;"",Q380,O380)</x:f>
        <x:v>1</x:v>
      </x:c>
      <x:c r="S380" s="29" t="str"/>
    </x:row>
    <x:row r="381" ht="54" customHeight="1">
      <x:c r="A381" s="17" t="str">
        <x:v>csq020-r05</x:v>
      </x:c>
      <x:c r="B381" s="17" t="str">
        <x:v>csq020</x:v>
      </x:c>
      <x:c r="C381" s="17" t="str">
        <x:v>security_and_privacy</x:v>
      </x:c>
      <x:c r="D381" s="17" t="str">
        <x:v>membership_inference</x:v>
      </x:c>
      <x:c r="E381" s="27" t="str">
        <x:v>How do black-box and white-box membership inference attacks against machine learning models compare in their assumptions, methods, and evaluations?</x:v>
      </x:c>
      <x:c r="F381" s="22" t="n">
        <x:v>5</x:v>
      </x:c>
      <x:c r="G381" s="17" t="str">
        <x:v>arXiv:2506.02711</x:v>
      </x:c>
      <x:c r="H381" s="27" t="str">
        <x:v>Privacy Leaks by Adversaries: Adversarial Iterations for Membership Inference Attack</x:v>
      </x:c>
      <x:c r="I381" s="17" t="str">
        <x:v>Jing Xue; Zhishen Sun; Haishan Ye; Luo Luo; Xiangyu Chang; Ivor Tsang; Guang Dai</x:v>
      </x:c>
      <x:c r="J381" s="22" t="n">
        <x:v>2025</x:v>
      </x:c>
      <x:c r="K381" s="27" t="str">
        <x:v>Membership inference attack (MIA) has become one of the most widely used and effective methods for evaluating the privacy risks of machine learning models. These attacks aim to determine whether a specific sample is part of the model's training set by analyzing the model's output. While traditional membership inference attacks focus on leveraging the model's posterior output, such as confidence on the target sample, we propose IMIA, a novel attack strategy that utilizes the process of generating adversarial samples to infer membership. We propose to infer the member properties of the target sample using the number of iterations required to generate its adversarial sample. We conduct experiments across multiple models and datasets, and our results demonstrate that the number of iterations for generating an adversarial sample is a reliable feature for membership inference, achieving strong performance both in black-box and white-box attack scenarios. This work provides a new perspective for evaluating model privacy and highlights the potential of adversarial example-based features for privacy leakage assessment.</x:v>
      </x:c>
      <x:c r="L381" s="17" t="str">
        <x:v>http://arxiv.org/abs/2506.02711v1</x:v>
      </x:c>
      <x:c r="M381" s="23" t="n">
        <x:v>0.04319073083778966</x:v>
      </x:c>
      <x:c r="N381" s="17" t="str">
        <x:v>arxiv-paper-eval-20260726-140242-results.jsonl</x:v>
      </x:c>
      <x:c r="O381" s="24" t="str">
        <x:v>2</x:v>
      </x:c>
      <x:c r="P381" s="28" t="str">
        <x:v>基于目标模型输出和对抗迭代构造攻击，直接体现黑盒方法。</x:v>
      </x:c>
      <x:c r="Q381" s="25" t="str"/>
      <x:c r="R381" s="24" t="str">
        <x:f>IF(Q381&lt;&gt;"",Q381,O381)</x:f>
        <x:v>2</x:v>
      </x:c>
      <x:c r="S381" s="29" t="str"/>
    </x:row>
    <x:row r="382" ht="54" customHeight="1">
      <x:c r="A382" s="17" t="str">
        <x:v>csq020-r06</x:v>
      </x:c>
      <x:c r="B382" s="17" t="str">
        <x:v>csq020</x:v>
      </x:c>
      <x:c r="C382" s="17" t="str">
        <x:v>security_and_privacy</x:v>
      </x:c>
      <x:c r="D382" s="17" t="str">
        <x:v>membership_inference</x:v>
      </x:c>
      <x:c r="E382" s="27" t="str">
        <x:v>How do black-box and white-box membership inference attacks against machine learning models compare in their assumptions, methods, and evaluations?</x:v>
      </x:c>
      <x:c r="F382" s="22" t="n">
        <x:v>6</x:v>
      </x:c>
      <x:c r="G382" s="17" t="str">
        <x:v>arXiv:2308.06405</x:v>
      </x:c>
      <x:c r="H382" s="27" t="str">
        <x:v>White-box Membership Inference Attacks against Diffusion Models</x:v>
      </x:c>
      <x:c r="I382" s="17" t="str">
        <x:v>Yan Pang; Tianhao Wang; Xuhui Kang; Mengdi Huai; Yang Zhang</x:v>
      </x:c>
      <x:c r="J382" s="22" t="n">
        <x:v>2023</x:v>
      </x:c>
      <x:c r="K382" s="27" t="str">
        <x:v>Diffusion models have begun to overshadow GANs and other generative models in industrial applications due to their superior image generation performance. The complex architecture of these models furnishes an extensive array of attack features. In light of this, we aim to design membership inference attacks (MIAs) catered to diffusion models. We first conduct an exhaustive analysis of existing MIAs on diffusion models, taking into account factors such as black-box/white-box models and the selection of attack features. We found that white-box attacks are highly applicable in real-world scenarios, and the most effective attacks presently are white-box. Departing from earlier research, which employs model loss as the attack feature for white-box MIAs, we employ model gradients in our attack, leveraging the fact that these gradients provide a more profound understanding of model responses to various samples. We subject these models to rigorous testing across a range of parameters, including training steps, sampling frequency, diffusion steps, and data variance. Across all experimental settings, our method consistently demonstrated near-flawless attack performance, with attack success rate approaching 100% and attack AUCROC near 1.0. We also evaluate our attack against common defense mechanisms, and observe our attacks continue to exhibit commendable performance.</x:v>
      </x:c>
      <x:c r="L382" s="17" t="str">
        <x:v>http://arxiv.org/abs/2308.06405v3</x:v>
      </x:c>
      <x:c r="M382" s="23" t="n">
        <x:v>0.03278688524590164</x:v>
      </x:c>
      <x:c r="N382" s="17" t="str">
        <x:v>arxiv-paper-eval-20260726-140242-results.jsonl</x:v>
      </x:c>
      <x:c r="O382" s="24" t="str">
        <x:v>2</x:v>
      </x:c>
      <x:c r="P382" s="28" t="str">
        <x:v>专门利用扩散模型内部特征设计并系统评估白盒攻击。</x:v>
      </x:c>
      <x:c r="Q382" s="25" t="str"/>
      <x:c r="R382" s="24" t="str">
        <x:f>IF(Q382&lt;&gt;"",Q382,O382)</x:f>
        <x:v>2</x:v>
      </x:c>
      <x:c r="S382" s="29" t="str"/>
    </x:row>
    <x:row r="383" ht="54" customHeight="1">
      <x:c r="A383" s="17" t="str">
        <x:v>csq020-r07</x:v>
      </x:c>
      <x:c r="B383" s="17" t="str">
        <x:v>csq020</x:v>
      </x:c>
      <x:c r="C383" s="17" t="str">
        <x:v>security_and_privacy</x:v>
      </x:c>
      <x:c r="D383" s="17" t="str">
        <x:v>membership_inference</x:v>
      </x:c>
      <x:c r="E383" s="27" t="str">
        <x:v>How do black-box and white-box membership inference attacks against machine learning models compare in their assumptions, methods, and evaluations?</x:v>
      </x:c>
      <x:c r="F383" s="22" t="n">
        <x:v>7</x:v>
      </x:c>
      <x:c r="G383" s="17" t="str">
        <x:v>arXiv:2511.01952</x:v>
      </x:c>
      <x:c r="H383" s="27" t="str">
        <x:v>Black-Box Membership Inference Attack for LVLMs via Prior Knowledge-Calibrated Memory Probing</x:v>
      </x:c>
      <x:c r="I383" s="17" t="str">
        <x:v>Jinhua Yin; Peiru Yang; Chen Yang; Huili Wang; Zhiyang Hu; Shangguang Wang; Yongfeng Huang; Tao Qi</x:v>
      </x:c>
      <x:c r="J383" s="22" t="n">
        <x:v>2025</x:v>
      </x:c>
      <x:c r="K383" s="27" t="str">
        <x:v>Large vision-language models (LVLMs) derive their capabilities from extensive training on vast corpora of visual and textual data. Empowered by large-scale parameters, these models often exhibit strong memorization of their training data, rendering them susceptible to membership inference attacks (MIAs). Existing MIA methods for LVLMs typically operate under white- or gray-box assumptions, by extracting likelihood-based features for the suspected data samples based on the target LVLMs. However, mainstream LVLMs generally only expose generated outputs while concealing internal computational features during inference, limiting the applicability of these methods. In this work, we propose the first black-box MIA framework for LVLMs, based on a prior knowledge-calibrated memory probing mechanism. The core idea is to assess the model memorization of the private semantic information embedded within the suspected image data, which is unlikely to be inferred from general world knowledge alone. We conducted extensive experiments across four LVLMs and three datasets. Empirical results demonstrate that our method effectively identifies training data of LVLMs in a purely black-box setting and even achieves performance comparable to gray-box and white-box methods. Further analysis reveals the robustness of our method against potential adversarial manipulations, and the effectiveness of the methodology designs. Our code and data are available at https://github.com/spmede/KCMP.</x:v>
      </x:c>
      <x:c r="L383" s="17" t="str">
        <x:v>http://arxiv.org/abs/2511.01952v1</x:v>
      </x:c>
      <x:c r="M383" s="23" t="n">
        <x:v>0.03125763125763126</x:v>
      </x:c>
      <x:c r="N383" s="17" t="str">
        <x:v>arxiv-paper-eval-20260726-140242-results.jsonl</x:v>
      </x:c>
      <x:c r="O383" s="24" t="str">
        <x:v>2</x:v>
      </x:c>
      <x:c r="P383" s="28" t="str">
        <x:v>提出LVLM黑盒攻击，并明确对比现有白盒或灰盒的似然访问假设。</x:v>
      </x:c>
      <x:c r="Q383" s="25" t="str"/>
      <x:c r="R383" s="24" t="str">
        <x:f>IF(Q383&lt;&gt;"",Q383,O383)</x:f>
        <x:v>2</x:v>
      </x:c>
      <x:c r="S383" s="29" t="str"/>
    </x:row>
    <x:row r="384" ht="54" customHeight="1">
      <x:c r="A384" s="17" t="str">
        <x:v>csq020-r08</x:v>
      </x:c>
      <x:c r="B384" s="17" t="str">
        <x:v>csq020</x:v>
      </x:c>
      <x:c r="C384" s="17" t="str">
        <x:v>security_and_privacy</x:v>
      </x:c>
      <x:c r="D384" s="17" t="str">
        <x:v>membership_inference</x:v>
      </x:c>
      <x:c r="E384" s="27" t="str">
        <x:v>How do black-box and white-box membership inference attacks against machine learning models compare in their assumptions, methods, and evaluations?</x:v>
      </x:c>
      <x:c r="F384" s="22" t="n">
        <x:v>8</x:v>
      </x:c>
      <x:c r="G384" s="17" t="str">
        <x:v>arXiv:1908.11229</x:v>
      </x:c>
      <x:c r="H384" s="27" t="str">
        <x:v>White-box vs Black-box: Bayes Optimal Strategies for Membership Inference</x:v>
      </x:c>
      <x:c r="I384" s="17" t="str">
        <x:v>Alexandre Sablayrolles; Matthijs Douze; Yann Ollivier; Cordelia Schmid; Hervé Jégou</x:v>
      </x:c>
      <x:c r="J384" s="22" t="n">
        <x:v>2019</x:v>
      </x:c>
      <x:c r="K384" s="27" t="str">
        <x:v>Membership inference determines, given a sample and trained parameters of a machine learning model, whether the sample was part of the training set. In this paper, we derive the optimal strategy for membership inference with a few assumptions on the distribution of the parameters. We show that optimal attacks only depend on the loss function, and thus black-box attacks are as good as white-box attacks. As the optimal strategy is not tractable, we provide approximations of it leading to several inference methods, and show that existing membership inference methods are coarser approximations of this optimal strategy. Our membership attacks outperform the state of the art in various settings, ranging from a simple logistic regression to more complex architectures and datasets, such as ResNet-101 and Imagenet.</x:v>
      </x:c>
      <x:c r="L384" s="17" t="str">
        <x:v>http://arxiv.org/abs/1908.11229v1</x:v>
      </x:c>
      <x:c r="M384" s="23" t="n">
        <x:v>0.030834914611005692</x:v>
      </x:c>
      <x:c r="N384" s="17" t="str">
        <x:v>arxiv-paper-eval-20260726-140242-results.jsonl</x:v>
      </x:c>
      <x:c r="O384" s="24" t="str">
        <x:v>2</x:v>
      </x:c>
      <x:c r="P384" s="28" t="str">
        <x:v>从贝叶斯最优策略直接比较白盒与黑盒攻击能力和可实现方法。</x:v>
      </x:c>
      <x:c r="Q384" s="25" t="str"/>
      <x:c r="R384" s="24" t="str">
        <x:f>IF(Q384&lt;&gt;"",Q384,O384)</x:f>
        <x:v>2</x:v>
      </x:c>
      <x:c r="S384" s="29" t="str"/>
    </x:row>
    <x:row r="385" ht="54" customHeight="1">
      <x:c r="A385" s="17" t="str">
        <x:v>csq020-r09</x:v>
      </x:c>
      <x:c r="B385" s="17" t="str">
        <x:v>csq020</x:v>
      </x:c>
      <x:c r="C385" s="17" t="str">
        <x:v>security_and_privacy</x:v>
      </x:c>
      <x:c r="D385" s="17" t="str">
        <x:v>membership_inference</x:v>
      </x:c>
      <x:c r="E385" s="27" t="str">
        <x:v>How do black-box and white-box membership inference attacks against machine learning models compare in their assumptions, methods, and evaluations?</x:v>
      </x:c>
      <x:c r="F385" s="22" t="n">
        <x:v>9</x:v>
      </x:c>
      <x:c r="G385" s="17" t="str">
        <x:v>arXiv:2502.03692</x:v>
      </x:c>
      <x:c r="H385" s="27" t="str">
        <x:v>DocMIA: Document-Level Membership Inference Attacks against DocVQA Models</x:v>
      </x:c>
      <x:c r="I385" s="17" t="str">
        <x:v>Khanh Nguyen; Raouf Kerkouche; Mario Fritz; Dimosthenis Karatzas</x:v>
      </x:c>
      <x:c r="J385" s="22" t="n">
        <x:v>2025</x:v>
      </x:c>
      <x:c r="K385" s="27" t="str">
        <x:v>Document Visual Question Answering (DocVQA) has introduced a new paradigm for end-to-end document understanding, and quickly became one of the standard benchmarks for multimodal LLMs. Automating document processing workflows, driven by DocVQA models, presents significant potential for many business sectors. However, documents tend to contain highly sensitive information, raising concerns about privacy risks associated with training such DocVQA models. One significant privacy vulnerability, exploited by the membership inference attack, is the possibility for an adversary to determine if a particular record was part of the model's training data. In this paper, we introduce two novel membership inference attacks tailored specifically to DocVQA models. These attacks are designed for two different adversarial scenarios: a white-box setting, where the attacker has full access to the model architecture and parameters, and a black-box setting, where only the model's outputs are available. Notably, our attacks assume the adversary lacks access to auxiliary datasets, which is more realistic in practice but also more challenging. Our unsupervised methods outperform existing state-of-the-art membership inference attacks across a variety of DocVQA models and datasets, demonstrating their effectiveness and highlighting the privacy risks in this domain.</x:v>
      </x:c>
      <x:c r="L385" s="17" t="str">
        <x:v>http://arxiv.org/abs/2502.03692v1</x:v>
      </x:c>
      <x:c r="M385" s="23" t="n">
        <x:v>0.029418126757516764</x:v>
      </x:c>
      <x:c r="N385" s="17" t="str">
        <x:v>arxiv-paper-eval-20260726-140242-results.jsonl</x:v>
      </x:c>
      <x:c r="O385" s="24" t="str">
        <x:v>1</x:v>
      </x:c>
      <x:c r="P385" s="28" t="str">
        <x:v>提出文档级DocVQA成员推断，但摘要未明确黑白盒访问假设。</x:v>
      </x:c>
      <x:c r="Q385" s="25" t="str"/>
      <x:c r="R385" s="24" t="str">
        <x:f>IF(Q385&lt;&gt;"",Q385,O385)</x:f>
        <x:v>1</x:v>
      </x:c>
      <x:c r="S385" s="29" t="str"/>
    </x:row>
    <x:row r="386" ht="54" customHeight="1">
      <x:c r="A386" s="17" t="str">
        <x:v>csq020-r10</x:v>
      </x:c>
      <x:c r="B386" s="17" t="str">
        <x:v>csq020</x:v>
      </x:c>
      <x:c r="C386" s="17" t="str">
        <x:v>security_and_privacy</x:v>
      </x:c>
      <x:c r="D386" s="17" t="str">
        <x:v>membership_inference</x:v>
      </x:c>
      <x:c r="E386" s="27" t="str">
        <x:v>How do black-box and white-box membership inference attacks against machine learning models compare in their assumptions, methods, and evaluations?</x:v>
      </x:c>
      <x:c r="F386" s="22" t="n">
        <x:v>10</x:v>
      </x:c>
      <x:c r="G386" s="17" t="str">
        <x:v>arXiv:1906.11798</x:v>
      </x:c>
      <x:c r="H386" s="27" t="str">
        <x:v>Stolen Memories: Leveraging Model Memorization for Calibrated White-Box Membership Inference</x:v>
      </x:c>
      <x:c r="I386" s="17" t="str">
        <x:v>Klas Leino; Matt Fredrikson</x:v>
      </x:c>
      <x:c r="J386" s="22" t="n">
        <x:v>2019</x:v>
      </x:c>
      <x:c r="K386" s="27" t="str">
        <x:v>Membership inference (MI) attacks exploit the fact that machine learning algorithms sometimes leak information about their training data through the learned model. In this work, we study membership inference in the white-box setting in order to exploit the internals of a model, which have not been effectively utilized by previous work. Leveraging new insights about how overfitting occurs in deep neural networks, we show how a model's idiosyncratic use of features can provide evidence for membership to white-box attackers---even when the model's black-box behavior appears to generalize well---and demonstrate that this attack outperforms prior black-box methods. Taking the position that an effective attack should have the ability to provide confident positive inferences, we find that previous attacks do not often provide a meaningful basis for confidently inferring membership, whereas our attack can be effectively calibrated for high precision. Finally, we examine popular defenses against MI attacks, finding that (1) smaller generalization error is not sufficient to prevent attacks on real models, and (2) while small-$ε$-differential privacy reduces the attack's effectiveness, this often comes at a significant cost to the model's accuracy; and for larger $ε$ that are sometimes used in practice (e.g., $ε=16$), the attack can achieve nearly the same accuracy as on the unprotected model.</x:v>
      </x:c>
      <x:c r="L386" s="17" t="str">
        <x:v>http://arxiv.org/abs/1906.11798v2</x:v>
      </x:c>
      <x:c r="M386" s="23" t="n">
        <x:v>0.02877846790890269</x:v>
      </x:c>
      <x:c r="N386" s="17" t="str">
        <x:v>arxiv-paper-eval-20260726-140242-results.jsonl</x:v>
      </x:c>
      <x:c r="O386" s="24" t="str">
        <x:v>2</x:v>
      </x:c>
      <x:c r="P386" s="28" t="str">
        <x:v>利用模型内部记忆和参数特征构造校准白盒成员推断。</x:v>
      </x:c>
      <x:c r="Q386" s="25" t="str"/>
      <x:c r="R386" s="24" t="str">
        <x:f>IF(Q386&lt;&gt;"",Q386,O386)</x:f>
        <x:v>2</x:v>
      </x:c>
      <x:c r="S386" s="29" t="str"/>
    </x:row>
    <x:row r="387" ht="54" customHeight="1">
      <x:c r="A387" s="17" t="str">
        <x:v>csq020-r11</x:v>
      </x:c>
      <x:c r="B387" s="17" t="str">
        <x:v>csq020</x:v>
      </x:c>
      <x:c r="C387" s="17" t="str">
        <x:v>security_and_privacy</x:v>
      </x:c>
      <x:c r="D387" s="17" t="str">
        <x:v>membership_inference</x:v>
      </x:c>
      <x:c r="E387" s="27" t="str">
        <x:v>How do black-box and white-box membership inference attacks against machine learning models compare in their assumptions, methods, and evaluations?</x:v>
      </x:c>
      <x:c r="F387" s="22" t="n">
        <x:v>11</x:v>
      </x:c>
      <x:c r="G387" s="17" t="str">
        <x:v>arXiv:2508.06244</x:v>
      </x:c>
      <x:c r="H387" s="27" t="str">
        <x:v>Membership Inference Attack with Partial Features</x:v>
      </x:c>
      <x:c r="I387" s="17" t="str">
        <x:v>Xurun Wang; Guangrui Liu; Xinjie Li; Haoyu He; Lin Yao; Zhongyun Hua; Weizhe Zhang</x:v>
      </x:c>
      <x:c r="J387" s="22" t="n">
        <x:v>2025</x:v>
      </x:c>
      <x:c r="K387" s="27" t="str">
        <x:v>Machine learning models are vulnerable to membership inference attack, which can be used to determine whether a given sample appears in the training data. Most existing methods assume the attacker has full access to the features of the target sample. This assumption, however, does not hold in many real-world scenarios where only partial features are available, thereby limiting the applicability of these methods. In this work, we introduce Partial Feature Membership Inference (PFMI), a scenario where the adversary observes only partial features of each sample and aims to infer whether this observed subset was present in the training set. To address this problem, we propose MRAD (Memory-guided Reconstruction and Anomaly Detection), a two-stage attack framework that works in both white-box and black-box settings. In the first stage, MRAD leverages the latent memory of the target model to reconstruct the unknown features of the sample. We observe that when the known features are absent from the training set, the reconstructed sample deviates significantly from the true data distribution. Consequently, in the second stage, we use anomaly detection algorithms to measure the deviation between the reconstructed sample and the training data distribution, thereby determining whether the known features belong to a member of the training set. Empirical results demonstrate that MRAD is effective across various datasets, and maintains compatibility with off-the-shelf anomaly detection techniques. For example, on STL-10, our attack exceeds an AUC of around 0.75 even with 60% of the missing features.</x:v>
      </x:c>
      <x:c r="L387" s="17" t="str">
        <x:v>http://arxiv.org/abs/2508.06244v2</x:v>
      </x:c>
      <x:c r="M387" s="23" t="n">
        <x:v>0.028370221327967807</x:v>
      </x:c>
      <x:c r="N387" s="17" t="str">
        <x:v>arxiv-paper-eval-20260726-140242-results.jsonl</x:v>
      </x:c>
      <x:c r="O387" s="24" t="str">
        <x:v>1</x:v>
      </x:c>
      <x:c r="P387" s="28" t="str">
        <x:v>研究攻击者仅有部分样本特征的假设，能补充威胁模型但不直接比较模型访问类型。</x:v>
      </x:c>
      <x:c r="Q387" s="25" t="str"/>
      <x:c r="R387" s="24" t="str">
        <x:f>IF(Q387&lt;&gt;"",Q387,O387)</x:f>
        <x:v>1</x:v>
      </x:c>
      <x:c r="S387" s="29" t="str"/>
    </x:row>
    <x:row r="388" ht="54" customHeight="1">
      <x:c r="A388" s="17" t="str">
        <x:v>csq020-r12</x:v>
      </x:c>
      <x:c r="B388" s="17" t="str">
        <x:v>csq020</x:v>
      </x:c>
      <x:c r="C388" s="17" t="str">
        <x:v>security_and_privacy</x:v>
      </x:c>
      <x:c r="D388" s="17" t="str">
        <x:v>membership_inference</x:v>
      </x:c>
      <x:c r="E388" s="27" t="str">
        <x:v>How do black-box and white-box membership inference attacks against machine learning models compare in their assumptions, methods, and evaluations?</x:v>
      </x:c>
      <x:c r="F388" s="22" t="n">
        <x:v>12</x:v>
      </x:c>
      <x:c r="G388" s="17" t="str">
        <x:v>arXiv:2310.19410</x:v>
      </x:c>
      <x:c r="H388" s="27" t="str">
        <x:v>Generated Distributions Are All You Need for Membership Inference Attacks Against Generative Models</x:v>
      </x:c>
      <x:c r="I388" s="17" t="str">
        <x:v>Minxing Zhang; Ning Yu; Rui Wen; Michael Backes; Yang Zhang</x:v>
      </x:c>
      <x:c r="J388" s="22" t="n">
        <x:v>2023</x:v>
      </x:c>
      <x:c r="K388" s="27" t="str">
        <x:v>Generative models have demonstrated revolutionary success in various visual creation tasks, but in the meantime, they have been exposed to the threat of leaking private information of their training data. Several membership inference attacks (MIAs) have been proposed to exhibit the privacy vulnerability of generative models by classifying a query image as a training dataset member or nonmember. However, these attacks suffer from major limitations, such as requiring shadow models and white-box access, and either ignoring or only focusing on the unique property of diffusion models, which block their generalization to multiple generative models. In contrast, we propose the first generalized membership inference attack against a variety of generative models such as generative adversarial networks, [variational] autoencoders, implicit functions, and the emerging diffusion models. We leverage only generated distributions from target generators and auxiliary non-member datasets, therefore regarding target generators as black boxes and agnostic to their architectures or application scenarios. Experiments validate that all the generative models are vulnerable to our attack. For instance, our work achieves attack AUC $&gt;0.99$ against DDPM, DDIM, and FastDPM trained on CIFAR-10 and CelebA. And the attack against VQGAN, LDM (for the text-conditional generation), and LIIF achieves AUC $&gt;0.90.$ As a result, we appeal to our community to be aware of such privacy leakage risks when designing and publishing generative models.</x:v>
      </x:c>
      <x:c r="L388" s="17" t="str">
        <x:v>http://arxiv.org/abs/2310.19410v1</x:v>
      </x:c>
      <x:c r="M388" s="23" t="n">
        <x:v>0.027783137179239824</x:v>
      </x:c>
      <x:c r="N388" s="17" t="str">
        <x:v>arxiv-paper-eval-20260726-140242-results.jsonl</x:v>
      </x:c>
      <x:c r="O388" s="24" t="str">
        <x:v>1</x:v>
      </x:c>
      <x:c r="P388" s="28" t="str">
        <x:v>以生成分布攻击生成模型，属于成员推断方法但摘要未明确黑白盒划分。</x:v>
      </x:c>
      <x:c r="Q388" s="25" t="str"/>
      <x:c r="R388" s="24" t="str">
        <x:f>IF(Q388&lt;&gt;"",Q388,O388)</x:f>
        <x:v>1</x:v>
      </x:c>
      <x:c r="S388" s="29" t="str"/>
    </x:row>
    <x:row r="389" ht="54" customHeight="1">
      <x:c r="A389" s="17" t="str">
        <x:v>csq020-r13</x:v>
      </x:c>
      <x:c r="B389" s="17" t="str">
        <x:v>csq020</x:v>
      </x:c>
      <x:c r="C389" s="17" t="str">
        <x:v>security_and_privacy</x:v>
      </x:c>
      <x:c r="D389" s="17" t="str">
        <x:v>membership_inference</x:v>
      </x:c>
      <x:c r="E389" s="27" t="str">
        <x:v>How do black-box and white-box membership inference attacks against machine learning models compare in their assumptions, methods, and evaluations?</x:v>
      </x:c>
      <x:c r="F389" s="22" t="n">
        <x:v>13</x:v>
      </x:c>
      <x:c r="G389" s="17" t="str">
        <x:v>arXiv:2309.07983</x:v>
      </x:c>
      <x:c r="H389" s="27" t="str">
        <x:v>SLMIA-SR: Speaker-Level Membership Inference Attacks against Speaker Recognition Systems</x:v>
      </x:c>
      <x:c r="I389" s="17" t="str">
        <x:v>Guangke Chen; Yedi Zhang; Fu Song</x:v>
      </x:c>
      <x:c r="J389" s="22" t="n">
        <x:v>2023</x:v>
      </x:c>
      <x:c r="K389" s="27" t="str">
        <x:v>Membership inference attacks allow adversaries to determine whether a particular example was contained in the model's training dataset. While previous works have confirmed the feasibility of such attacks in various applications, none has focused on speaker recognition (SR), a promising voice-based biometric recognition technique. In this work, we propose SLMIA-SR, the first membership inference attack tailored to SR. In contrast to conventional example-level attack, our attack features speaker-level membership inference, i.e., determining if any voices of a given speaker, either the same as or different from the given inference voices, have been involved in the training of a model. It is particularly useful and practical since the training and inference voices are usually distinct, and it is also meaningful considering the open-set nature of SR, namely, the recognition speakers were often not present in the training data. We utilize intra-similarity and inter-dissimilarity, two training objectives of SR, to characterize the differences between training and non-training speakers and quantify them with two groups of features driven by carefully-established feature engineering to mount the attack. To improve the generalizability of our attack, we propose a novel mixing ratio training strategy to train attack models. To enhance the attack performance, we introduce voice chunk splitting to cope with the limited number of inference voices and propose to train attack models dependent on the number of inference voices. Our attack is versatile and can work in both white-box and black-box scenarios. Additionally, we propose two novel techniques to reduce the number of black-box queries while maintaining the attack performance. Extensive experiments demonstrate the effectiveness of SLMIA-SR.</x:v>
      </x:c>
      <x:c r="L389" s="17" t="str">
        <x:v>http://arxiv.org/abs/2309.07983v2</x:v>
      </x:c>
      <x:c r="M389" s="23" t="n">
        <x:v>0.02758751902587519</x:v>
      </x:c>
      <x:c r="N389" s="17" t="str">
        <x:v>arxiv-paper-eval-20260726-140242-results.jsonl</x:v>
      </x:c>
      <x:c r="O389" s="24" t="str">
        <x:v>1</x:v>
      </x:c>
      <x:c r="P389" s="28" t="str">
        <x:v>提出说话人级成员推断应用，未在摘要中明确访问假设或与另一类型比较。</x:v>
      </x:c>
      <x:c r="Q389" s="25" t="str"/>
      <x:c r="R389" s="24" t="str">
        <x:f>IF(Q389&lt;&gt;"",Q389,O389)</x:f>
        <x:v>1</x:v>
      </x:c>
      <x:c r="S389" s="29" t="str"/>
    </x:row>
    <x:row r="390" ht="54" customHeight="1">
      <x:c r="A390" s="17" t="str">
        <x:v>csq020-r14</x:v>
      </x:c>
      <x:c r="B390" s="17" t="str">
        <x:v>csq020</x:v>
      </x:c>
      <x:c r="C390" s="17" t="str">
        <x:v>security_and_privacy</x:v>
      </x:c>
      <x:c r="D390" s="17" t="str">
        <x:v>membership_inference</x:v>
      </x:c>
      <x:c r="E390" s="27" t="str">
        <x:v>How do black-box and white-box membership inference attacks against machine learning models compare in their assumptions, methods, and evaluations?</x:v>
      </x:c>
      <x:c r="F390" s="22" t="n">
        <x:v>14</x:v>
      </x:c>
      <x:c r="G390" s="17" t="str">
        <x:v>arXiv:1812.00910</x:v>
      </x:c>
      <x:c r="H390" s="27" t="str">
        <x:v>Comprehensive Privacy Analysis of Deep Learning: Passive and Active White-box Inference Attacks against Centralized and Federated Learning</x:v>
      </x:c>
      <x:c r="I390" s="17" t="str">
        <x:v>Milad Nasr; Reza Shokri; Amir Houmansadr</x:v>
      </x:c>
      <x:c r="J390" s="22" t="n">
        <x:v>2018</x:v>
      </x:c>
      <x:c r="K390" s="27" t="str">
        <x:v>Deep neural networks are susceptible to various inference attacks as they remember information about their training data. We design white-box inference attacks to perform a comprehensive privacy analysis of deep learning models. We measure the privacy leakage through parameters of fully trained models as well as the parameter updates of models during training. We design inference algorithms for both centralized and federated learning, with respect to passive and active inference attackers, and assuming different adversary prior knowledge. We evaluate our novel white-box membership inference attacks against deep learning algorithms to trace their training data records. We show that a straightforward extension of the known black-box attacks to the white-box setting (through analyzing the outputs of activation functions) is ineffective. We therefore design new algorithms tailored to the white-box setting by exploiting the privacy vulnerabilities of the stochastic gradient descent algorithm, which is the algorithm used to train deep neural networks. We investigate the reasons why deep learning models may leak information about their training data. We then show that even well-generalized models are significantly susceptible to white-box membership inference attacks, by analyzing state-of-the-art pre-trained and publicly available models for the CIFAR dataset. We also show how adversarial participants, in the federated learning setting, can successfully run active membership inference attacks against other participants, even when the global model achieves high prediction accuracies.</x:v>
      </x:c>
      <x:c r="L390" s="17" t="str">
        <x:v>http://arxiv.org/abs/1812.00910v2</x:v>
      </x:c>
      <x:c r="M390" s="23" t="n">
        <x:v>0.02684684684684685</x:v>
      </x:c>
      <x:c r="N390" s="17" t="str">
        <x:v>arxiv-paper-eval-20260726-140242-results.jsonl</x:v>
      </x:c>
      <x:c r="O390" s="24" t="str">
        <x:v>1</x:v>
      </x:c>
      <x:c r="P390" s="28" t="str">
        <x:v>研究集中式和联邦学习的主动、被动白盒推断，但不完全聚焦成员推断。</x:v>
      </x:c>
      <x:c r="Q390" s="25" t="str"/>
      <x:c r="R390" s="24" t="str">
        <x:f>IF(Q390&lt;&gt;"",Q390,O390)</x:f>
        <x:v>1</x:v>
      </x:c>
      <x:c r="S390" s="29" t="str"/>
    </x:row>
    <x:row r="391" ht="54" customHeight="1">
      <x:c r="A391" s="17" t="str">
        <x:v>csq020-r15</x:v>
      </x:c>
      <x:c r="B391" s="17" t="str">
        <x:v>csq020</x:v>
      </x:c>
      <x:c r="C391" s="17" t="str">
        <x:v>security_and_privacy</x:v>
      </x:c>
      <x:c r="D391" s="17" t="str">
        <x:v>membership_inference</x:v>
      </x:c>
      <x:c r="E391" s="27" t="str">
        <x:v>How do black-box and white-box membership inference attacks against machine learning models compare in their assumptions, methods, and evaluations?</x:v>
      </x:c>
      <x:c r="F391" s="22" t="n">
        <x:v>15</x:v>
      </x:c>
      <x:c r="G391" s="17" t="str">
        <x:v>arXiv:2405.07562</x:v>
      </x:c>
      <x:c r="H391" s="27" t="str">
        <x:v>GLiRA: Black-Box Membership Inference Attack via Knowledge Distillation</x:v>
      </x:c>
      <x:c r="I391" s="17" t="str">
        <x:v>Andrey V. Galichin; Mikhail Pautov; Alexey Zhavoronkin; Oleg Y. Rogov; Ivan Oseledets</x:v>
      </x:c>
      <x:c r="J391" s="22" t="n">
        <x:v>2024</x:v>
      </x:c>
      <x:c r="K391" s="27" t="str">
        <x:v>While Deep Neural Networks (DNNs) have demonstrated remarkable performance in tasks related to perception and control, there are still several unresolved concerns regarding the privacy of their training data, particularly in the context of vulnerability to Membership Inference Attacks (MIAs). In this paper, we explore a connection between the susceptibility to membership inference attacks and the vulnerability to distillation-based functionality stealing attacks. In particular, we propose {GLiRA}, a distillation-guided approach to membership inference attack on the black-box neural network. We observe that the knowledge distillation significantly improves the efficiency of likelihood ratio of membership inference attack, especially in the black-box setting, i.e., when the architecture of the target model is unknown to the attacker. We evaluate the proposed method across multiple image classification datasets and models and demonstrate that likelihood ratio attacks when guided by the knowledge distillation, outperform the current state-of-the-art membership inference attacks in the black-box setting.</x:v>
      </x:c>
      <x:c r="L391" s="17" t="str">
        <x:v>http://arxiv.org/abs/2405.07562v1</x:v>
      </x:c>
      <x:c r="M391" s="23" t="n">
        <x:v>0.01639344262295082</x:v>
      </x:c>
      <x:c r="N391" s="17" t="str">
        <x:v>arxiv-paper-eval-20260726-140242-results.jsonl</x:v>
      </x:c>
      <x:c r="O391" s="24" t="str">
        <x:v>2</x:v>
      </x:c>
      <x:c r="P391" s="28" t="str">
        <x:v>通过知识蒸馏构造黑盒成员推断并评估其攻击能力。</x:v>
      </x:c>
      <x:c r="Q391" s="25" t="str"/>
      <x:c r="R391" s="24" t="str">
        <x:f>IF(Q391&lt;&gt;"",Q391,O391)</x:f>
        <x:v>2</x:v>
      </x:c>
      <x:c r="S391" s="29" t="str"/>
    </x:row>
    <x:row r="392" ht="54" customHeight="1">
      <x:c r="A392" s="17" t="str">
        <x:v>csq020-r16</x:v>
      </x:c>
      <x:c r="B392" s="17" t="str">
        <x:v>csq020</x:v>
      </x:c>
      <x:c r="C392" s="17" t="str">
        <x:v>security_and_privacy</x:v>
      </x:c>
      <x:c r="D392" s="17" t="str">
        <x:v>membership_inference</x:v>
      </x:c>
      <x:c r="E392" s="27" t="str">
        <x:v>How do black-box and white-box membership inference attacks against machine learning models compare in their assumptions, methods, and evaluations?</x:v>
      </x:c>
      <x:c r="F392" s="22" t="n">
        <x:v>16</x:v>
      </x:c>
      <x:c r="G392" s="17" t="str">
        <x:v>arXiv:2212.01082</x:v>
      </x:c>
      <x:c r="H392" s="27" t="str">
        <x:v>Membership Inference Attacks Against Semantic Segmentation Models</x:v>
      </x:c>
      <x:c r="I392" s="17" t="str">
        <x:v>Tomas Chobola; Dmitrii Usynin; Georgios Kaissis</x:v>
      </x:c>
      <x:c r="J392" s="22" t="n">
        <x:v>2022</x:v>
      </x:c>
      <x:c r="K392" s="27" t="str">
        <x:v>Membership inference attacks aim to infer whether a data record has been used to train a target model by observing its predictions. In sensitive domains such as healthcare, this can constitute a severe privacy violation. In this work we attempt to address the existing knowledge gap by conducting an exhaustive study of membership inference attacks and defences in the domain of semantic image segmentation. Our findings indicate that for certain threat models, these learning settings can be considerably more vulnerable than the previously considered classification settings. We additionally investigate a threat model where a dishonest adversary can perform model poisoning to aid their inference and evaluate the effects that these adaptations have on the success of membership inference attacks. We quantitatively evaluate the attacks on a number of popular model architectures across a variety of semantic segmentation tasks, demonstrating that membership inference attacks in this domain can achieve a high success rate and defending against them may result in unfavourable privacy-utility trade-offs or increased computational costs.</x:v>
      </x:c>
      <x:c r="L392" s="17" t="str">
        <x:v>http://arxiv.org/abs/2212.01082v1</x:v>
      </x:c>
      <x:c r="M392" s="23" t="n">
        <x:v>0.01639344262295082</x:v>
      </x:c>
      <x:c r="N392" s="17" t="str">
        <x:v>arxiv-paper-eval-20260726-140242-results.jsonl</x:v>
      </x:c>
      <x:c r="O392" s="24" t="str">
        <x:v>2</x:v>
      </x:c>
      <x:c r="P392" s="28" t="str">
        <x:v>通过观察分割模型预测实施攻击，提供领域化黑盒方法和系统评估。</x:v>
      </x:c>
      <x:c r="Q392" s="25" t="str"/>
      <x:c r="R392" s="24" t="str">
        <x:f>IF(Q392&lt;&gt;"",Q392,O392)</x:f>
        <x:v>2</x:v>
      </x:c>
      <x:c r="S392" s="29" t="str"/>
    </x:row>
    <x:row r="393" ht="54" customHeight="1">
      <x:c r="A393" s="17" t="str">
        <x:v>csq020-r17</x:v>
      </x:c>
      <x:c r="B393" s="17" t="str">
        <x:v>csq020</x:v>
      </x:c>
      <x:c r="C393" s="17" t="str">
        <x:v>security_and_privacy</x:v>
      </x:c>
      <x:c r="D393" s="17" t="str">
        <x:v>membership_inference</x:v>
      </x:c>
      <x:c r="E393" s="27" t="str">
        <x:v>How do black-box and white-box membership inference attacks against machine learning models compare in their assumptions, methods, and evaluations?</x:v>
      </x:c>
      <x:c r="F393" s="22" t="n">
        <x:v>17</x:v>
      </x:c>
      <x:c r="G393" s="17" t="str">
        <x:v>arXiv:2202.03335</x:v>
      </x:c>
      <x:c r="H393" s="27" t="str">
        <x:v>Membership Inference Attacks and Defenses in Neural Network Pruning</x:v>
      </x:c>
      <x:c r="I393" s="17" t="str">
        <x:v>Xiaoyong Yuan; Lan Zhang</x:v>
      </x:c>
      <x:c r="J393" s="22" t="n">
        <x:v>2022</x:v>
      </x:c>
      <x:c r="K393" s="27" t="str">
        <x:v>Neural network pruning has been an essential technique to reduce the computation and memory requirements for using deep neural networks for resource-constrained devices. Most existing research focuses primarily on balancing the sparsity and accuracy of a pruned neural network by strategically removing insignificant parameters and retraining the pruned model. Such efforts on reusing training samples pose serious privacy risks due to increased memorization, which, however, has not been investigated yet. In this paper, we conduct the first analysis of privacy risks in neural network pruning. Specifically, we investigate the impacts of neural network pruning on training data privacy, i.e., membership inference attacks. We first explore the impact of neural network pruning on prediction divergence, where the pruning process disproportionately affects the pruned model's behavior for members and non-members. Meanwhile, the influence of divergence even varies among different classes in a fine-grained manner. Enlighten by such divergence, we proposed a self-attention membership inference attack against the pruned neural networks. Extensive experiments are conducted to rigorously evaluate the privacy impacts of different pruning approaches, sparsity levels, and adversary knowledge. The proposed attack shows the higher attack performance on the pruned models when compared with eight existing membership inference attacks. In addition, we propose a new defense mechanism to protect the pruning process by mitigating the prediction divergence based on KL-divergence distance, whose effectiveness has been experimentally demonstrated to effectively mitigate the privacy risks while maintaining the sparsity and accuracy of the pruned models.</x:v>
      </x:c>
      <x:c r="L393" s="17" t="str">
        <x:v>http://arxiv.org/abs/2202.03335v2</x:v>
      </x:c>
      <x:c r="M393" s="23" t="n">
        <x:v>0.016129032258064516</x:v>
      </x:c>
      <x:c r="N393" s="17" t="str">
        <x:v>arxiv-paper-eval-20260726-140242-results.jsonl</x:v>
      </x:c>
      <x:c r="O393" s="24" t="str">
        <x:v>1</x:v>
      </x:c>
      <x:c r="P393" s="28" t="str">
        <x:v>研究剪枝模型的成员推断和防御，但摘要未说明黑盒或白盒设定。</x:v>
      </x:c>
      <x:c r="Q393" s="25" t="str"/>
      <x:c r="R393" s="24" t="str">
        <x:f>IF(Q393&lt;&gt;"",Q393,O393)</x:f>
        <x:v>1</x:v>
      </x:c>
      <x:c r="S393" s="29" t="str"/>
    </x:row>
    <x:row r="394" ht="54" customHeight="1">
      <x:c r="A394" s="17" t="str">
        <x:v>csq020-r18</x:v>
      </x:c>
      <x:c r="B394" s="17" t="str">
        <x:v>csq020</x:v>
      </x:c>
      <x:c r="C394" s="17" t="str">
        <x:v>security_and_privacy</x:v>
      </x:c>
      <x:c r="D394" s="17" t="str">
        <x:v>membership_inference</x:v>
      </x:c>
      <x:c r="E394" s="27" t="str">
        <x:v>How do black-box and white-box membership inference attacks against machine learning models compare in their assumptions, methods, and evaluations?</x:v>
      </x:c>
      <x:c r="F394" s="22" t="n">
        <x:v>18</x:v>
      </x:c>
      <x:c r="G394" s="17" t="str">
        <x:v>arXiv:1909.10594</x:v>
      </x:c>
      <x:c r="H394" s="27" t="str">
        <x:v>MemGuard: Defending against Black-Box Membership Inference Attacks via Adversarial Examples</x:v>
      </x:c>
      <x:c r="I394" s="17" t="str">
        <x:v>Jinyuan Jia; Ahmed Salem; Michael Backes; Yang Zhang; Neil Zhenqiang Gong</x:v>
      </x:c>
      <x:c r="J394" s="22" t="n">
        <x:v>2019</x:v>
      </x:c>
      <x:c r="K394" s="27" t="str">
        <x:v>In a membership inference attack, an attacker aims to infer whether a data sample is in a target classifier's training dataset or not. Specifically, given a black-box access to the target classifier, the attacker trains a binary classifier, which takes a data sample's confidence score vector predicted by the target classifier as an input and predicts the data sample to be a member or non-member of the target classifier's training dataset. Membership inference attacks pose severe privacy and security threats to the training dataset. Most existing defenses leverage differential privacy when training the target classifier or regularize the training process of the target classifier. These defenses suffer from two key limitations: 1) they do not have formal utility-loss guarantees of the confidence score vectors, and 2) they achieve suboptimal privacy-utility tradeoffs. In this work, we propose MemGuard, the first defense with formal utility-loss guarantees against black-box membership inference attacks. Instead of tampering the training process of the target classifier, MemGuard adds noise to each confidence score vector predicted by the target classifier. Our key observation is that attacker uses a classifier to predict member or non-member and classifier is vulnerable to adversarial examples. Based on the observation, we propose to add a carefully crafted noise vector to a confidence score vector to turn it into an adversarial example that misleads the attacker's classifier. Our experimental results on three datasets show that MemGuard can effectively defend against membership inference attacks and achieve better privacy-utility tradeoffs than existing defenses. Our work is the first one to show that adversarial examples can be used as defensive mechanisms to defend against membership inference attacks.</x:v>
      </x:c>
      <x:c r="L394" s="17" t="str">
        <x:v>http://arxiv.org/abs/1909.10594v3</x:v>
      </x:c>
      <x:c r="M394" s="23" t="n">
        <x:v>0.016129032258064516</x:v>
      </x:c>
      <x:c r="N394" s="17" t="str">
        <x:v>arxiv-paper-eval-20260726-140242-results.jsonl</x:v>
      </x:c>
      <x:c r="O394" s="24" t="str">
        <x:v>1</x:v>
      </x:c>
      <x:c r="P394" s="28" t="str">
        <x:v>针对置信度向量黑盒攻击提出防御，能说明典型黑盒方法但重点是防御。</x:v>
      </x:c>
      <x:c r="Q394" s="25" t="str"/>
      <x:c r="R394" s="24" t="str">
        <x:f>IF(Q394&lt;&gt;"",Q394,O394)</x:f>
        <x:v>1</x:v>
      </x:c>
      <x:c r="S394" s="29" t="str"/>
    </x:row>
    <x:row r="395" ht="54" customHeight="1">
      <x:c r="A395" s="17" t="str">
        <x:v>csq020-r19</x:v>
      </x:c>
      <x:c r="B395" s="17" t="str">
        <x:v>csq020</x:v>
      </x:c>
      <x:c r="C395" s="17" t="str">
        <x:v>security_and_privacy</x:v>
      </x:c>
      <x:c r="D395" s="17" t="str">
        <x:v>membership_inference</x:v>
      </x:c>
      <x:c r="E395" s="27" t="str">
        <x:v>How do black-box and white-box membership inference attacks against machine learning models compare in their assumptions, methods, and evaluations?</x:v>
      </x:c>
      <x:c r="F395" s="22" t="n">
        <x:v>19</x:v>
      </x:c>
      <x:c r="G395" s="17" t="str">
        <x:v>arXiv:2506.09923</x:v>
      </x:c>
      <x:c r="H395" s="27" t="str">
        <x:v>Apollo: A Posteriori Label-Only Membership Inference Attack Towards Machine Unlearning</x:v>
      </x:c>
      <x:c r="I395" s="17" t="str">
        <x:v>Liou Tang; James Joshi; Ashish Kundu</x:v>
      </x:c>
      <x:c r="J395" s="22" t="n">
        <x:v>2025</x:v>
      </x:c>
      <x:c r="K395" s="27" t="str">
        <x:v>Machine Unlearning (MU) aims to update Machine Learning (ML) models following requests to remove training samples and their influences on a trained model efficiently without retraining the original ML model from scratch. While MU itself has been employed to provide privacy protection and regulatory compliance, it can also increase the attack surface of the model. Existing privacy inference attacks towards MU that aim to infer properties of the unlearned set rely on the weaker threat model that assumes the attacker has access to both the unlearned model and the original model, limiting their feasibility toward real-life scenarios. We propose a novel privacy attack, A Posteriori Label-Only Membership Inference Attack towards MU, Apollo, that infers whether a data sample has been unlearned, following a strict threat model where an adversary has access to the label-output of the unlearned model only. We demonstrate that our proposed attack, while requiring less access to the target model compared to previous attacks, can achieve relatively high precision on the membership status of the unlearned samples.</x:v>
      </x:c>
      <x:c r="L395" s="17" t="str">
        <x:v>http://arxiv.org/abs/2506.09923v2</x:v>
      </x:c>
      <x:c r="M395" s="23" t="n">
        <x:v>0.015873015873015872</x:v>
      </x:c>
      <x:c r="N395" s="17" t="str">
        <x:v>arxiv-paper-eval-20260726-140242-results.jsonl</x:v>
      </x:c>
      <x:c r="O395" s="24" t="str">
        <x:v>2</x:v>
      </x:c>
      <x:c r="P395" s="28" t="str">
        <x:v>提出面向机器遗忘的仅标签后验攻击，属于严格黑盒访问设定。</x:v>
      </x:c>
      <x:c r="Q395" s="25" t="str"/>
      <x:c r="R395" s="24" t="str">
        <x:f>IF(Q395&lt;&gt;"",Q395,O395)</x:f>
        <x:v>2</x:v>
      </x:c>
      <x:c r="S395" s="29" t="str"/>
    </x:row>
    <x:row r="396" ht="54" customHeight="1">
      <x:c r="A396" s="17" t="str">
        <x:v>csq020-r20</x:v>
      </x:c>
      <x:c r="B396" s="17" t="str">
        <x:v>csq020</x:v>
      </x:c>
      <x:c r="C396" s="17" t="str">
        <x:v>security_and_privacy</x:v>
      </x:c>
      <x:c r="D396" s="17" t="str">
        <x:v>membership_inference</x:v>
      </x:c>
      <x:c r="E396" s="27" t="str">
        <x:v>How do black-box and white-box membership inference attacks against machine learning models compare in their assumptions, methods, and evaluations?</x:v>
      </x:c>
      <x:c r="F396" s="22" t="n">
        <x:v>20</x:v>
      </x:c>
      <x:c r="G396" s="17" t="str">
        <x:v>arXiv:2312.08207</x:v>
      </x:c>
      <x:c r="H396" s="27" t="str">
        <x:v>Black-box Membership Inference Attacks against Fine-tuned Diffusion Models</x:v>
      </x:c>
      <x:c r="I396" s="17" t="str">
        <x:v>Yan Pang; Tianhao Wang</x:v>
      </x:c>
      <x:c r="J396" s="22" t="n">
        <x:v>2023</x:v>
      </x:c>
      <x:c r="K396" s="27" t="str">
        <x:v>With the rapid advancement of diffusion-based image-generative models, the quality of generated images has become increasingly photorealistic. Moreover, with the release of high-quality pre-trained image-generative models, a growing number of users are downloading these pre-trained models to fine-tune them with downstream datasets for various image-generation tasks. However, employing such powerful pre-trained models in downstream tasks presents significant privacy leakage risks. In this paper, we propose the first reconstruction-based membership inference attack framework, tailored for recent diffusion models, and in the more stringent black-box access setting. Considering four distinct attack scenarios and three types of attacks, this framework is capable of targeting any popular conditional generator model, achieving high precision, evidenced by an impressive AUC of $0.95$.</x:v>
      </x:c>
      <x:c r="L396" s="17" t="str">
        <x:v>http://arxiv.org/abs/2312.08207v5</x:v>
      </x:c>
      <x:c r="M396" s="23" t="n">
        <x:v>0.015873015873015872</x:v>
      </x:c>
      <x:c r="N396" s="17" t="str">
        <x:v>arxiv-paper-eval-20260726-140242-results.jsonl</x:v>
      </x:c>
      <x:c r="O396" s="24" t="str">
        <x:v>2</x:v>
      </x:c>
      <x:c r="P396" s="28" t="str">
        <x:v>专门研究微调扩散模型的黑盒成员推断及其实验评估。</x:v>
      </x:c>
      <x:c r="Q396" s="25" t="str"/>
      <x:c r="R396" s="24" t="str">
        <x:f>IF(Q396&lt;&gt;"",Q396,O396)</x:f>
        <x:v>2</x:v>
      </x:c>
      <x:c r="S396" s="29" t="str"/>
    </x:row>
    <x:row r="397" ht="54" customHeight="1">
      <x:c r="A397" s="17" t="str">
        <x:v>csq021-r01</x:v>
      </x:c>
      <x:c r="B397" s="17" t="str">
        <x:v>csq021</x:v>
      </x:c>
      <x:c r="C397" s="17" t="str">
        <x:v>security_and_privacy</x:v>
      </x:c>
      <x:c r="D397" s="17" t="str">
        <x:v>software_supply_chain</x:v>
      </x:c>
      <x:c r="E397" s="27" t="str">
        <x:v>Which datasets, benchmarks, and metrics are used to evaluate software supply-chain vulnerability and malicious-package detection methods?</x:v>
      </x:c>
      <x:c r="F397" s="22" t="n">
        <x:v>1</x:v>
      </x:c>
      <x:c r="G397" s="17" t="str">
        <x:v>arXiv:2505.17460</x:v>
      </x:c>
      <x:c r="H397" s="27" t="str">
        <x:v>Learning to Focus: Context Extraction for Efficient Code Vulnerability Detection with Language Models</x:v>
      </x:c>
      <x:c r="I397" s="17" t="str">
        <x:v>Xinran Zheng; Xingzhi Qian; Huichi Zhou; Shuo Yang; Yiling He; Suman Jana; Lorenzo Cavallaro</x:v>
      </x:c>
      <x:c r="J397" s="22" t="n">
        <x:v>2025</x:v>
      </x:c>
      <x:c r="K397" s="27" t="str">
        <x:v>Language models (LMs) show promise for vulnerability detection but struggle with long, real-world code due to sparse and uncertain vulnerability locations. These issues, exacerbated by token limits, often cause models to miss vulnerability-related signals, thereby impairing effective learning. A key intuition is to enhance LMs with concise, information-rich context. Commit-based annotations offer precise, CWE-agnostic supervision, but are unavailable during inference, as they depend on historical code changes. Moreover, their extreme sparsity, often covering only a few lines, makes it difficult for LMs to process directly. In this paper, we propose FocusVul, a model-agnostic framework that improves LM-based vulnerability detection by learning to select sensitive context. FocusVul learns commit-based annotation patterns through hierarchical semantic modeling and generalizes them to identify line-level vulnerability-relevant regions during inference. It then extracts LM-oriented context via both dependency and execution flows surrounding selected regions, yielding semantically rich inputs for effective vulnerability detection. Experiments on real-world benchmarks show that FocusVul consistently outperforms heuristic-based and full-function fine-tuning approaches, improving classification performance by 164.04% and reducing FLOPs by 19.12% on average.</x:v>
      </x:c>
      <x:c r="L397" s="17" t="str">
        <x:v>http://arxiv.org/abs/2505.17460v3</x:v>
      </x:c>
      <x:c r="M397" s="23" t="n">
        <x:v>0.031024531024531024</x:v>
      </x:c>
      <x:c r="N397" s="17" t="str">
        <x:v>arxiv-paper-eval-20260726-140242-results.jsonl</x:v>
      </x:c>
      <x:c r="O397" s="24" t="str">
        <x:v>1</x:v>
      </x:c>
      <x:c r="P397" s="28" t="str">
        <x:v>聚焦通用代码漏洞检测及上下文提取，评测信息可作背景，但并非软件供应链或恶意包。</x:v>
      </x:c>
      <x:c r="Q397" s="25" t="str"/>
      <x:c r="R397" s="24" t="str">
        <x:f>IF(Q397&lt;&gt;"",Q397,O397)</x:f>
        <x:v>1</x:v>
      </x:c>
      <x:c r="S397" s="29" t="str"/>
    </x:row>
    <x:row r="398" ht="54" customHeight="1">
      <x:c r="A398" s="17" t="str">
        <x:v>csq021-r02</x:v>
      </x:c>
      <x:c r="B398" s="17" t="str">
        <x:v>csq021</x:v>
      </x:c>
      <x:c r="C398" s="17" t="str">
        <x:v>security_and_privacy</x:v>
      </x:c>
      <x:c r="D398" s="17" t="str">
        <x:v>software_supply_chain</x:v>
      </x:c>
      <x:c r="E398" s="27" t="str">
        <x:v>Which datasets, benchmarks, and metrics are used to evaluate software supply-chain vulnerability and malicious-package detection methods?</x:v>
      </x:c>
      <x:c r="F398" s="22" t="n">
        <x:v>2</x:v>
      </x:c>
      <x:c r="G398" s="17" t="str">
        <x:v>arXiv:2505.19828</x:v>
      </x:c>
      <x:c r="H398" s="27" t="str">
        <x:v>SecVulEval: Benchmarking LLMs for Real-World C/C++ Vulnerability Detection</x:v>
      </x:c>
      <x:c r="I398" s="17" t="str">
        <x:v>Md Basim Uddin Ahmed; Nima Shiri Harzevili; Jiho Shin; Hung Viet Pham; Song Wang</x:v>
      </x:c>
      <x:c r="J398" s="22" t="n">
        <x:v>2025</x:v>
      </x:c>
      <x:c r="K398" s="27" t="str">
        <x:v>Large Language Models (LLMs) have shown promise in software engineering tasks, but evaluating their effectiveness in vulnerability detection is challenging due to the lack of high-quality datasets. Most existing datasets are limited to function-level labels, ignoring finer-grained vulnerability patterns and crucial contextual information. Also, poor data quality such as mislabeling, inconsistent annotations, and duplicates can lead to inflated performance and weak generalization. Moreover, by including only the functions, these datasets miss broader program context, like data/control dependencies and interprocedural interactions, that are essential for accurately understanding real-world security flaws. Without this context, detection models are evaluated under unrealistic assumptions. To address these limitations, this paper introduces SecVulEval, a benchmark designed to support fine-grained evaluation of LLMs and other detection methods with rich contextual information. SecVulEval focuses on real-world C/C++ vulnerabilities at the statement level. This granularity enables more precise evaluation of a model's ability to localize vulnerabilities, beyond simple binary classification at the function level. By incorporating rich contextual information, SecVulEval sets a new standard for vulnerability detection benchmarks in realistic scenarios. This benchmark includes 25,440 function samples covering 5,867 unique CVEs in C/C++ projects from 1999 to 2024. We evaluated the SOTA LLMs with a multi-agent-based approach. The evaluation on our dataset shows that the models are still far from accurately predicting vulnerable statements in a given function. The best-performing Claude-3.7-Sonnet model achieves 23.83% F1-score for detecting vulnerable statements with correct reasoning. Finally, we analyze the LLM outputs and provide insights into their behavior in vulnerability detection for C/C++.</x:v>
      </x:c>
      <x:c r="L398" s="17" t="str">
        <x:v>http://arxiv.org/abs/2505.19828v1</x:v>
      </x:c>
      <x:c r="M398" s="23" t="n">
        <x:v>0.03047794966520434</x:v>
      </x:c>
      <x:c r="N398" s="17" t="str">
        <x:v>arxiv-paper-eval-20260726-140242-results.jsonl</x:v>
      </x:c>
      <x:c r="O398" s="24" t="str">
        <x:v>1</x:v>
      </x:c>
      <x:c r="P398" s="28" t="str">
        <x:v>提供真实C/C++漏洞检测基准，但不针对软件供应链或恶意包生态。</x:v>
      </x:c>
      <x:c r="Q398" s="25" t="str"/>
      <x:c r="R398" s="24" t="str">
        <x:f>IF(Q398&lt;&gt;"",Q398,O398)</x:f>
        <x:v>1</x:v>
      </x:c>
      <x:c r="S398" s="29" t="str"/>
    </x:row>
    <x:row r="399" ht="54" customHeight="1">
      <x:c r="A399" s="17" t="str">
        <x:v>csq021-r03</x:v>
      </x:c>
      <x:c r="B399" s="17" t="str">
        <x:v>csq021</x:v>
      </x:c>
      <x:c r="C399" s="17" t="str">
        <x:v>security_and_privacy</x:v>
      </x:c>
      <x:c r="D399" s="17" t="str">
        <x:v>software_supply_chain</x:v>
      </x:c>
      <x:c r="E399" s="27" t="str">
        <x:v>Which datasets, benchmarks, and metrics are used to evaluate software supply-chain vulnerability and malicious-package detection methods?</x:v>
      </x:c>
      <x:c r="F399" s="22" t="n">
        <x:v>3</x:v>
      </x:c>
      <x:c r="G399" s="17" t="str">
        <x:v>arXiv:2505.13804</x:v>
      </x:c>
      <x:c r="H399" s="27" t="str">
        <x:v>QUT-DV25: A Dataset for Dynamic Analysis of Next-Gen Software Supply Chain Attacks</x:v>
      </x:c>
      <x:c r="I399" s="17" t="str">
        <x:v>Sk Tanzir Mehedi; Raja Jurdak; Chadni Islam; Gowri Ramachandran</x:v>
      </x:c>
      <x:c r="J399" s="22" t="n">
        <x:v>2025</x:v>
      </x:c>
      <x:c r="K399" s="27" t="str">
        <x:v>Securing software supply chains is a growing challenge due to the inadequacy of existing datasets in capturing the complexity of next-gen attacks, such as multiphase malware execution, remote access activation, and dynamic payload generation. Existing datasets, which rely on metadata inspection and static code analysis, are inadequate for detecting such attacks. This creates a critical gap because these datasets do not capture what happens during and after a package is installed. To address this gap, we present QUT-DV25, a dynamic analysis dataset specifically designed to support and advance research on detecting and mitigating supply chain attacks within the Python Package Index (PyPI) ecosystem. This dataset captures install and post-install-time traces from 14,271 Python packages, of which 7,127 are malicious. The packages are executed in an isolated sandbox environment using an extended Berkeley Packet Filter (eBPF) kernel and user-level probes. It captures 36 real-time features, that includes system calls, network traffic, resource usages, directory access patterns, dependency logs, and installation behaviors, enabling the study of next-gen attack vectors. ML analysis using the QUT-DV25 dataset identified four malicious PyPI packages previously labeled as benign, each with thousands of downloads. These packages deployed covert remote access and multi-phase payloads, were reported to PyPI maintainers, and subsequently removed. This highlights the practical value of QUT-DV25, as it outperforms reactive, metadata, and static datasets, offering a robust foundation for developing and benchmarking advanced threat detection within the evolving software supply chain ecosystem.</x:v>
      </x:c>
      <x:c r="L399" s="17" t="str">
        <x:v>http://arxiv.org/abs/2505.13804v2</x:v>
      </x:c>
      <x:c r="M399" s="23" t="n">
        <x:v>0.01639344262295082</x:v>
      </x:c>
      <x:c r="N399" s="17" t="str">
        <x:v>arxiv-paper-eval-20260726-140242-results.jsonl</x:v>
      </x:c>
      <x:c r="O399" s="24" t="str">
        <x:v>2</x:v>
      </x:c>
      <x:c r="P399" s="28" t="str">
        <x:v>直接提出面向PyPI下一代供应链攻击的动态分析数据集。</x:v>
      </x:c>
      <x:c r="Q399" s="25" t="str"/>
      <x:c r="R399" s="24" t="str">
        <x:f>IF(Q399&lt;&gt;"",Q399,O399)</x:f>
        <x:v>2</x:v>
      </x:c>
      <x:c r="S399" s="29" t="str"/>
    </x:row>
    <x:row r="400" ht="54" customHeight="1">
      <x:c r="A400" s="17" t="str">
        <x:v>csq021-r04</x:v>
      </x:c>
      <x:c r="B400" s="17" t="str">
        <x:v>csq021</x:v>
      </x:c>
      <x:c r="C400" s="17" t="str">
        <x:v>security_and_privacy</x:v>
      </x:c>
      <x:c r="D400" s="17" t="str">
        <x:v>software_supply_chain</x:v>
      </x:c>
      <x:c r="E400" s="27" t="str">
        <x:v>Which datasets, benchmarks, and metrics are used to evaluate software supply-chain vulnerability and malicious-package detection methods?</x:v>
      </x:c>
      <x:c r="F400" s="22" t="n">
        <x:v>4</x:v>
      </x:c>
      <x:c r="G400" s="17" t="str">
        <x:v>arXiv:2409.15049</x:v>
      </x:c>
      <x:c r="H400" s="27" t="str">
        <x:v>IntelliRadar: A Comprehensive Platform to Pinpoint Malicious Package Information from Cyber Intelligence</x:v>
      </x:c>
      <x:c r="I400" s="17" t="str">
        <x:v>Wenbo Guo; Chengwei Liu; Limin Wang; Yiran Zhang; Jiahui Wu; Zhengzi Xu; Yang Liu</x:v>
      </x:c>
      <x:c r="J400" s="22" t="n">
        <x:v>2024</x:v>
      </x:c>
      <x:c r="K400" s="27" t="str">
        <x:v>Malicious packages in public registries pose serious threats to software supply chain security. While current software component analysis (SCA) tools rely on databases like OSV and Snyk to detect these threats, these databases suffer from delayed updates and incomplete coverage. However, they miss intelligence from unstructured sources like social media and developer forums, where new threats are often first reported. This delay extends the lifecycle of malicious packages and increases risks for downstream users. To address this, we developed a novel and comprehensive approach to construct a platform IntelliRadar to collect disclosed malicious package names from unstructured web content. Specifically, by exhaustively searching and snowballing the public sources of malicious package names, and incorporating large language models (LLMs) with domain-specialized Least to Most prompts, IntelliRadar ensures comprehensive collection of historical and current disclosed malicious package names from diverse unstructured sources. As a result, we constructed a comprehensive malicious package database containing 34,313 malicious NPM and PyPI package names. Our evaluation shows that IntelliRadar achieves high performance (97.91% precision) on malicious package intelligence extraction. Compared to existing databases, IntelliRadar identifies 7,542 more malicious package names than OSV and 12,684 more than Snyk. Furthermore, 76.6% of NPM components and 70.3% of PyPI components in IntelliRadar were collected earlier than in Snyk's database. IntelliRadar is also more cost-efficient, with a cost of $0.003 per piece of malicious package intelligence and only $7 per month for continuous monitoring. Furthermore, we identified and received confirmation for 1,981 malicious packages in downstream package manager mirror registries through the IntelliRadar.</x:v>
      </x:c>
      <x:c r="L400" s="17" t="str">
        <x:v>http://arxiv.org/abs/2409.15049v6</x:v>
      </x:c>
      <x:c r="M400" s="23" t="n">
        <x:v>0.01639344262295082</x:v>
      </x:c>
      <x:c r="N400" s="17" t="str">
        <x:v>arxiv-paper-eval-20260726-140242-results.jsonl</x:v>
      </x:c>
      <x:c r="O400" s="24" t="str">
        <x:v>1</x:v>
      </x:c>
      <x:c r="P400" s="28" t="str">
        <x:v>面向恶意包情报收集与平台构建，可辅助数据来源，但摘要未以检测评测为核心。</x:v>
      </x:c>
      <x:c r="Q400" s="25" t="str"/>
      <x:c r="R400" s="24" t="str">
        <x:f>IF(Q400&lt;&gt;"",Q400,O400)</x:f>
        <x:v>1</x:v>
      </x:c>
      <x:c r="S400" s="29" t="str"/>
    </x:row>
    <x:row r="401" ht="54" customHeight="1">
      <x:c r="A401" s="17" t="str">
        <x:v>csq021-r05</x:v>
      </x:c>
      <x:c r="B401" s="17" t="str">
        <x:v>csq021</x:v>
      </x:c>
      <x:c r="C401" s="17" t="str">
        <x:v>security_and_privacy</x:v>
      </x:c>
      <x:c r="D401" s="17" t="str">
        <x:v>software_supply_chain</x:v>
      </x:c>
      <x:c r="E401" s="27" t="str">
        <x:v>Which datasets, benchmarks, and metrics are used to evaluate software supply-chain vulnerability and malicious-package detection methods?</x:v>
      </x:c>
      <x:c r="F401" s="22" t="n">
        <x:v>5</x:v>
      </x:c>
      <x:c r="G401" s="17" t="str">
        <x:v>arXiv:2505.11016</x:v>
      </x:c>
      <x:c r="H401" s="27" t="str">
        <x:v>GoLeash: Mitigating Golang Software Supply Chain Attacks with Runtime Policy Enforcement</x:v>
      </x:c>
      <x:c r="I401" s="17" t="str">
        <x:v>Carmine Cesarano; Martin Monperrus; Roberto Natella</x:v>
      </x:c>
      <x:c r="J401" s="22" t="n">
        <x:v>2025</x:v>
      </x:c>
      <x:c r="K401" s="27" t="str">
        <x:v>Modern software supply chain attacks consist of introducing new, malicious capabilities into trusted third-party software components, in order to propagate to a victim through a package dependency chain. These attacks are especially concerning for the Go language ecosystem, which is extensively used in critical cloud infrastructures. We present GoLeash, a novel system that applies the principle of least privilege at the package-level granularity, by enforcing distinct security policies for each package in the supply chain. This finer granularity enables GoLeash to detect malicious packages more precisely than traditional sandboxing that handles security policies at process- or container-level. Moreover, GoLeash remains effective under obfuscation, can overcome the limitations of static analysis, and incurs acceptable runtime overhead.</x:v>
      </x:c>
      <x:c r="L401" s="17" t="str">
        <x:v>http://arxiv.org/abs/2505.11016v1</x:v>
      </x:c>
      <x:c r="M401" s="23" t="n">
        <x:v>0.016129032258064516</x:v>
      </x:c>
      <x:c r="N401" s="17" t="str">
        <x:v>arxiv-paper-eval-20260726-140242-results.jsonl</x:v>
      </x:c>
      <x:c r="O401" s="24" t="str">
        <x:v>1</x:v>
      </x:c>
      <x:c r="P401" s="28" t="str">
        <x:v>直接研究供应链恶意包防御并报告检测效果，但主要贡献是运行时策略而非评测资源。</x:v>
      </x:c>
      <x:c r="Q401" s="25" t="str"/>
      <x:c r="R401" s="24" t="str">
        <x:f>IF(Q401&lt;&gt;"",Q401,O401)</x:f>
        <x:v>1</x:v>
      </x:c>
      <x:c r="S401" s="29" t="str"/>
    </x:row>
    <x:row r="402" ht="54" customHeight="1">
      <x:c r="A402" s="17" t="str">
        <x:v>csq021-r06</x:v>
      </x:c>
      <x:c r="B402" s="17" t="str">
        <x:v>csq021</x:v>
      </x:c>
      <x:c r="C402" s="17" t="str">
        <x:v>security_and_privacy</x:v>
      </x:c>
      <x:c r="D402" s="17" t="str">
        <x:v>software_supply_chain</x:v>
      </x:c>
      <x:c r="E402" s="27" t="str">
        <x:v>Which datasets, benchmarks, and metrics are used to evaluate software supply-chain vulnerability and malicious-package detection methods?</x:v>
      </x:c>
      <x:c r="F402" s="22" t="n">
        <x:v>6</x:v>
      </x:c>
      <x:c r="G402" s="17" t="str">
        <x:v>arXiv:2404.15596</x:v>
      </x:c>
      <x:c r="H402" s="27" t="str">
        <x:v>VulEval: Towards Repository-Level Evaluation of Software Vulnerability Detection</x:v>
      </x:c>
      <x:c r="I402" s="17" t="str">
        <x:v>Xin-Cheng Wen; Xinchen Wang; Yujia Chen; Ruida Hu; David Lo; Cuiyun Gao</x:v>
      </x:c>
      <x:c r="J402" s="22" t="n">
        <x:v>2024</x:v>
      </x:c>
      <x:c r="K402" s="27" t="str">
        <x:v>Deep Learning (DL)-based methods have proven to be effective for software vulnerability detection, with a potential for substantial productivity enhancements for detecting vulnerabilities. Current methods mainly focus on detecting single functions (i.e., intra-procedural vulnerabilities), ignoring the more complex inter-procedural vulnerability detection scenarios in practice. For example, developers routinely engage with program analysis to detect vulnerabilities that span multiple functions within repositories. In addition, the widely-used benchmark datasets generally contain only intra-procedural vulnerabilities, leaving the assessment of inter-procedural vulnerability detection capabilities unexplored. To mitigate the issues, we propose a repository-level evaluation system, named \textbf{VulEval}, aiming at evaluating the detection performance of inter- and intra-procedural vulnerabilities simultaneously. Specifically, VulEval consists of three interconnected evaluation tasks: \textbf{(1) Function-Level Vulnerability Detection}, aiming at detecting intra-procedural vulnerability given a code snippet; \textbf{(2) Vulnerability-Related Dependency Prediction}, aiming at retrieving the most relevant dependencies from call graphs for providing developers with explanations about the vulnerabilities; and \textbf{(3) Repository-Level Vulnerability Detection}, aiming at detecting inter-procedural vulnerabilities by combining with the dependencies identified in the second task. VulEval also consists of a large-scale dataset, with a total of 4,196 CVE entries, 232,239 functions, and corresponding 4,699 repository-level source code in C/C++ programming languages. Our analysis highlights the current progress and future directions for software vulnerability detection.</x:v>
      </x:c>
      <x:c r="L402" s="17" t="str">
        <x:v>http://arxiv.org/abs/2404.15596v1</x:v>
      </x:c>
      <x:c r="M402" s="23" t="n">
        <x:v>0.016129032258064516</x:v>
      </x:c>
      <x:c r="N402" s="17" t="str">
        <x:v>arxiv-paper-eval-20260726-140242-results.jsonl</x:v>
      </x:c>
      <x:c r="O402" s="24" t="str">
        <x:v>1</x:v>
      </x:c>
      <x:c r="P402" s="28" t="str">
        <x:v>提出仓库级漏洞检测基准，可参考评测协议，但不专门面向供应链。</x:v>
      </x:c>
      <x:c r="Q402" s="25" t="str"/>
      <x:c r="R402" s="24" t="str">
        <x:f>IF(Q402&lt;&gt;"",Q402,O402)</x:f>
        <x:v>1</x:v>
      </x:c>
      <x:c r="S402" s="29" t="str"/>
    </x:row>
    <x:row r="403" ht="54" customHeight="1">
      <x:c r="A403" s="17" t="str">
        <x:v>csq021-r07</x:v>
      </x:c>
      <x:c r="B403" s="17" t="str">
        <x:v>csq021</x:v>
      </x:c>
      <x:c r="C403" s="17" t="str">
        <x:v>security_and_privacy</x:v>
      </x:c>
      <x:c r="D403" s="17" t="str">
        <x:v>software_supply_chain</x:v>
      </x:c>
      <x:c r="E403" s="27" t="str">
        <x:v>Which datasets, benchmarks, and metrics are used to evaluate software supply-chain vulnerability and malicious-package detection methods?</x:v>
      </x:c>
      <x:c r="F403" s="22" t="n">
        <x:v>7</x:v>
      </x:c>
      <x:c r="G403" s="17" t="str">
        <x:v>arXiv:2005.09535</x:v>
      </x:c>
      <x:c r="H403" s="27" t="str">
        <x:v>Backstabber's Knife Collection: A Review of Open Source Software Supply Chain Attacks</x:v>
      </x:c>
      <x:c r="I403" s="17" t="str">
        <x:v>Marc Ohm; Henrik Plate; Arnold Sykosch; Michael Meier</x:v>
      </x:c>
      <x:c r="J403" s="22" t="n">
        <x:v>2020</x:v>
      </x:c>
      <x:c r="K403" s="27" t="str">
        <x:v>A software supply chain attack is characterized by the injection of malicious code into a software package in order to compromise dependent systems further down the chain. Recent years saw a number of supply chain attacks that leverage the increasing use of open source during software development, which is facilitated by dependency managers that automatically resolve, download and install hundreds of open source packages throughout the software life cycle. This paper presents a dataset of 174 malicious software packages that were used in real-world attacks on open source software supply chains, and which were distributed via the popular package repositories npm, PyPI, and RubyGems. Those packages, dating from November 2015 to November 2019, were manually collected and analyzed. The paper also presents two general attack trees to provide a structured overview about techniques to inject malicious code into the dependency tree of downstream users, and to execute such code at different times and under different conditions. This work is meant to facilitate the future development of preventive and detective safeguards by open source and research communities.</x:v>
      </x:c>
      <x:c r="L403" s="17" t="str">
        <x:v>http://arxiv.org/abs/2005.09535v1</x:v>
      </x:c>
      <x:c r="M403" s="23" t="n">
        <x:v>0.016129032258064516</x:v>
      </x:c>
      <x:c r="N403" s="17" t="str">
        <x:v>arxiv-paper-eval-20260726-140242-results.jsonl</x:v>
      </x:c>
      <x:c r="O403" s="24" t="str">
        <x:v>2</x:v>
      </x:c>
      <x:c r="P403" s="28" t="str">
        <x:v>直接发布真实开源供应链攻击中的174个恶意包数据集。</x:v>
      </x:c>
      <x:c r="Q403" s="25" t="str"/>
      <x:c r="R403" s="24" t="str">
        <x:f>IF(Q403&lt;&gt;"",Q403,O403)</x:f>
        <x:v>2</x:v>
      </x:c>
      <x:c r="S403" s="29" t="str"/>
    </x:row>
    <x:row r="404" ht="54" customHeight="1">
      <x:c r="A404" s="17" t="str">
        <x:v>csq021-r08</x:v>
      </x:c>
      <x:c r="B404" s="17" t="str">
        <x:v>csq021</x:v>
      </x:c>
      <x:c r="C404" s="17" t="str">
        <x:v>security_and_privacy</x:v>
      </x:c>
      <x:c r="D404" s="17" t="str">
        <x:v>software_supply_chain</x:v>
      </x:c>
      <x:c r="E404" s="27" t="str">
        <x:v>Which datasets, benchmarks, and metrics are used to evaluate software supply-chain vulnerability and malicious-package detection methods?</x:v>
      </x:c>
      <x:c r="F404" s="22" t="n">
        <x:v>8</x:v>
      </x:c>
      <x:c r="G404" s="17" t="str">
        <x:v>arXiv:2404.04991</x:v>
      </x:c>
      <x:c r="H404" s="27" t="str">
        <x:v>An Analysis of Malicious Packages in Open-Source Software in the Wild</x:v>
      </x:c>
      <x:c r="I404" s="17" t="str">
        <x:v>Xiaoyan Zhou; Ying Zhang; Wenjia Niu; Jiqiang Liu; Haining Wang; Qiang Li</x:v>
      </x:c>
      <x:c r="J404" s="22" t="n">
        <x:v>2024</x:v>
      </x:c>
      <x:c r="K404" s="27" t="str">
        <x:v>The open-source software (OSS) ecosystem suffers from security threats caused by malware.However, OSS malware research has three limitations: a lack of high-quality datasets, a lack of malware diversity, and a lack of attack campaign contexts. In this paper, we first build the largest dataset of 24,356 malicious packages from online sources, then propose a knowledge graph to represent the OSS malware corpus and conduct malware analysis in the wild.Our main findings include (1) it is essential to collect malicious packages from various online sources because their data overlapping degrees are small;(2) despite the sheer volume of malicious packages, many reuse similar code, leading to a low diversity of malware;(3) only 28 malicious packages were repeatedly hidden via dependency libraries of 1,354 malicious packages, and dependency-hidden malware has a shorter active time;(4) security reports are the only reliable source for disclosing the malware-based context. Index Terms: Malicious Packages, Software Analysis</x:v>
      </x:c>
      <x:c r="L404" s="17" t="str">
        <x:v>http://arxiv.org/abs/2404.04991v3</x:v>
      </x:c>
      <x:c r="M404" s="23" t="n">
        <x:v>0.015873015873015872</x:v>
      </x:c>
      <x:c r="N404" s="17" t="str">
        <x:v>arxiv-paper-eval-20260726-140242-results.jsonl</x:v>
      </x:c>
      <x:c r="O404" s="24" t="str">
        <x:v>2</x:v>
      </x:c>
      <x:c r="P404" s="28" t="str">
        <x:v>直接构建大规模恶意开源软件包数据集并分析其覆盖与多样性。</x:v>
      </x:c>
      <x:c r="Q404" s="25" t="str"/>
      <x:c r="R404" s="24" t="str">
        <x:f>IF(Q404&lt;&gt;"",Q404,O404)</x:f>
        <x:v>2</x:v>
      </x:c>
      <x:c r="S404" s="29" t="str"/>
    </x:row>
    <x:row r="405" ht="54" customHeight="1">
      <x:c r="A405" s="17" t="str">
        <x:v>csq021-r09</x:v>
      </x:c>
      <x:c r="B405" s="17" t="str">
        <x:v>csq021</x:v>
      </x:c>
      <x:c r="C405" s="17" t="str">
        <x:v>security_and_privacy</x:v>
      </x:c>
      <x:c r="D405" s="17" t="str">
        <x:v>software_supply_chain</x:v>
      </x:c>
      <x:c r="E405" s="27" t="str">
        <x:v>Which datasets, benchmarks, and metrics are used to evaluate software supply-chain vulnerability and malicious-package detection methods?</x:v>
      </x:c>
      <x:c r="F405" s="22" t="n">
        <x:v>9</x:v>
      </x:c>
      <x:c r="G405" s="17" t="str">
        <x:v>arXiv:2306.08060</x:v>
      </x:c>
      <x:c r="H405" s="27" t="str">
        <x:v>Software Supply Chain Vulnerabilities Detection in Source Code: Performance Comparison between Traditional and Quantum Machine Learning Algorithms</x:v>
      </x:c>
      <x:c r="I405" s="17" t="str">
        <x:v>Mst Shapna Akter; Md Jobair Hossain Faruk; Nafisa Anjum; Mohammad Masum; Hossain Shahriar; Akond Rahman; Fan Wu; Alfredo Cuzzocrea</x:v>
      </x:c>
      <x:c r="J405" s="22" t="n">
        <x:v>2023</x:v>
      </x:c>
      <x:c r="K405" s="27" t="str">
        <x:v>The software supply chain (SSC) attack has become one of the crucial issues that are being increased rapidly with the advancement of the software development domain. In general, SSC attacks execute during the software development processes lead to vulnerabilities in software products targeting downstream customers and even involved stakeholders. Machine Learning approaches are proven in detecting and preventing software security vulnerabilities. Besides, emerging quantum machine learning can be promising in addressing SSC attacks. Considering the distinction between traditional and quantum machine learning, performance could be varies based on the proportions of the experimenting dataset. In this paper, we conduct a comparative analysis between quantum neural networks (QNN) and conventional neural networks (NN) with a software supply chain attack dataset known as ClaMP. Our goal is to distinguish the performance between QNN and NN and to conduct the experiment, we develop two different models for QNN and NN by utilizing Pennylane for quantum and TensorFlow and Keras for traditional respectively. We evaluated the performance of both models with different proportions of the ClaMP dataset to identify the f1 score, recall, precision, and accuracy. We also measure the execution time to check the efficiency of both models. The demonstration result indicates that execution time for QNN is slower than NN with a higher percentage of datasets. Due to recent advancements in QNN, a large level of experiments shall be carried out to understand both models accurately in our future research.</x:v>
      </x:c>
      <x:c r="L405" s="17" t="str">
        <x:v>http://arxiv.org/abs/2306.08060v1</x:v>
      </x:c>
      <x:c r="M405" s="23" t="n">
        <x:v>0.015873015873015872</x:v>
      </x:c>
      <x:c r="N405" s="17" t="str">
        <x:v>arxiv-paper-eval-20260726-140242-results.jsonl</x:v>
      </x:c>
      <x:c r="O405" s="24" t="str">
        <x:v>2</x:v>
      </x:c>
      <x:c r="P405" s="28" t="str">
        <x:v>直接比较传统与量子机器学习在供应链漏洞检测中的性能。</x:v>
      </x:c>
      <x:c r="Q405" s="25" t="str"/>
      <x:c r="R405" s="24" t="str">
        <x:f>IF(Q405&lt;&gt;"",Q405,O405)</x:f>
        <x:v>2</x:v>
      </x:c>
      <x:c r="S405" s="29" t="str"/>
    </x:row>
    <x:row r="406" ht="54" customHeight="1">
      <x:c r="A406" s="17" t="str">
        <x:v>csq021-r10</x:v>
      </x:c>
      <x:c r="B406" s="17" t="str">
        <x:v>csq021</x:v>
      </x:c>
      <x:c r="C406" s="17" t="str">
        <x:v>security_and_privacy</x:v>
      </x:c>
      <x:c r="D406" s="17" t="str">
        <x:v>software_supply_chain</x:v>
      </x:c>
      <x:c r="E406" s="27" t="str">
        <x:v>Which datasets, benchmarks, and metrics are used to evaluate software supply-chain vulnerability and malicious-package detection methods?</x:v>
      </x:c>
      <x:c r="F406" s="22" t="n">
        <x:v>10</x:v>
      </x:c>
      <x:c r="G406" s="17" t="str">
        <x:v>arXiv:2506.21014</x:v>
      </x:c>
      <x:c r="H406" s="27" t="str">
        <x:v>Boosting Vulnerability Detection with Inter-function Multilateral Association Insights</x:v>
      </x:c>
      <x:c r="I406" s="17" t="str">
        <x:v>Shaojian Qiu; Mengyang Huang; Jiahao Cheng</x:v>
      </x:c>
      <x:c r="J406" s="22" t="n">
        <x:v>2025</x:v>
      </x:c>
      <x:c r="K406" s="27" t="str">
        <x:v>Vulnerability detection is a crucial yet challenging technique for ensuring the security of software systems. Currently, most deep learning-based vulnerability detection methods focus on stand-alone functions, neglecting the complex inter-function interrelations, particularly the multilateral associations. This oversight can fail to detect vulnerabilities in these interrelations. To address this gap, we present an Inter-Function Multilateral Association analysis framework for Vulnerability Detection (IFMA-VD). The cornerstone of the IFMA-VD lies in constructing a code behavior hypergraph and utilizing hyperedge convolution to extract multilateral association features. Specifically, we first parse functions into a code property graph to generate intra-function features. Following this, we construct a code behavior hypergraph by segmenting the program dependency graph to isolate and encode behavioral features into hyperedges. Finally, we utilize a hypergraph network to capture the multilateral association knowledge for augmenting vulnerability detection. We evaluate IFMA-VD on three widely used vulnerability datasets and demonstrate improvements in F-measure and Recall compared to baseline methods. Additionally, we illustrate that multilateral association features can boost code feature representation and validate the effectiveness of IFMA-VD on real-world datasets.</x:v>
      </x:c>
      <x:c r="L406" s="17" t="str">
        <x:v>http://arxiv.org/abs/2506.21014v1</x:v>
      </x:c>
      <x:c r="M406" s="23" t="n">
        <x:v>0.015625</x:v>
      </x:c>
      <x:c r="N406" s="17" t="str">
        <x:v>arxiv-paper-eval-20260726-140242-results.jsonl</x:v>
      </x:c>
      <x:c r="O406" s="24" t="str">
        <x:v>0</x:v>
      </x:c>
      <x:c r="P406" s="28" t="str">
        <x:v>研究通用函数间漏洞检测，与供应链或恶意包评测无实质对应。</x:v>
      </x:c>
      <x:c r="Q406" s="25" t="str"/>
      <x:c r="R406" s="24" t="str">
        <x:f>IF(Q406&lt;&gt;"",Q406,O406)</x:f>
        <x:v>0</x:v>
      </x:c>
      <x:c r="S406" s="29" t="str"/>
    </x:row>
    <x:row r="407" ht="54" customHeight="1">
      <x:c r="A407" s="17" t="str">
        <x:v>csq021-r11</x:v>
      </x:c>
      <x:c r="B407" s="17" t="str">
        <x:v>csq021</x:v>
      </x:c>
      <x:c r="C407" s="17" t="str">
        <x:v>security_and_privacy</x:v>
      </x:c>
      <x:c r="D407" s="17" t="str">
        <x:v>software_supply_chain</x:v>
      </x:c>
      <x:c r="E407" s="27" t="str">
        <x:v>Which datasets, benchmarks, and metrics are used to evaluate software supply-chain vulnerability and malicious-package detection methods?</x:v>
      </x:c>
      <x:c r="F407" s="22" t="n">
        <x:v>11</x:v>
      </x:c>
      <x:c r="G407" s="17" t="str">
        <x:v>arXiv:2412.10164</x:v>
      </x:c>
      <x:c r="H407" s="27" t="str">
        <x:v>Keep It Simple: Towards Accurate Vulnerability Detection for Large Code Graphs</x:v>
      </x:c>
      <x:c r="I407" s="17" t="str">
        <x:v>Xin Peng; Shangwen Wang; Yihao Qin; Bo Lin; Liqian Chen; Xiaoguang Mao</x:v>
      </x:c>
      <x:c r="J407" s="22" t="n">
        <x:v>2024</x:v>
      </x:c>
      <x:c r="K407" s="27" t="str">
        <x:v>Software vulnerability detection is crucial for high-quality software development. Recently, some studies utilizing Graph Neural Networks (GNNs) to learn the graph representation of code in vulnerability detection tasks have achieved remarkable success. However, existing graph-based approaches mainly face two limitations that prevent them from generalizing well to large code graphs: (1) the interference of noise information in the code graph; (2) the difficulty in capturing long-distance dependencies within the graph. To mitigate these problems, we propose a novel vulnerability detection method, ANGLE, whose novelty mainly embodies the hierarchical graph refinement and context-aware graph representation learning. The former hierarchically filters redundant information in the code graph, thereby reducing the size of the graph, while the latter collaboratively employs the Graph Transformer and GNN to learn code graph representations from both the global and local perspectives, thus capturing long-distance dependencies. Extensive experiments demonstrate promising results on three widely used benchmark datasets: our method significantly outperforms several other baselines in terms of the accuracy and F1 score. Particularly, in large code graphs, ANGLE achieves an improvement in accuracy of 34.27%-161.93% compared to the state-of-the-art method, AMPLE. Such results demonstrate the effectiveness of ANGLE in vulnerability detection tasks.</x:v>
      </x:c>
      <x:c r="L407" s="17" t="str">
        <x:v>http://arxiv.org/abs/2412.10164v1</x:v>
      </x:c>
      <x:c r="M407" s="23" t="n">
        <x:v>0.015625</x:v>
      </x:c>
      <x:c r="N407" s="17" t="str">
        <x:v>arxiv-paper-eval-20260726-140242-results.jsonl</x:v>
      </x:c>
      <x:c r="O407" s="24" t="str">
        <x:v>0</x:v>
      </x:c>
      <x:c r="P407" s="28" t="str">
        <x:v>研究通用代码图漏洞检测，与供应链恶意包评测焦点不符。</x:v>
      </x:c>
      <x:c r="Q407" s="25" t="str"/>
      <x:c r="R407" s="24" t="str">
        <x:f>IF(Q407&lt;&gt;"",Q407,O407)</x:f>
        <x:v>0</x:v>
      </x:c>
      <x:c r="S407" s="29" t="str"/>
    </x:row>
    <x:row r="408" ht="54" customHeight="1">
      <x:c r="A408" s="17" t="str">
        <x:v>csq021-r12</x:v>
      </x:c>
      <x:c r="B408" s="17" t="str">
        <x:v>csq021</x:v>
      </x:c>
      <x:c r="C408" s="17" t="str">
        <x:v>security_and_privacy</x:v>
      </x:c>
      <x:c r="D408" s="17" t="str">
        <x:v>software_supply_chain</x:v>
      </x:c>
      <x:c r="E408" s="27" t="str">
        <x:v>Which datasets, benchmarks, and metrics are used to evaluate software supply-chain vulnerability and malicious-package detection methods?</x:v>
      </x:c>
      <x:c r="F408" s="22" t="n">
        <x:v>12</x:v>
      </x:c>
      <x:c r="G408" s="17" t="str">
        <x:v>arXiv:2310.09571</x:v>
      </x:c>
      <x:c r="H408" s="27" t="str">
        <x:v>On the Feasibility of Cross-Language Detection of Malicious Packages in npm and PyPI</x:v>
      </x:c>
      <x:c r="I408" s="17" t="str">
        <x:v>Piergiorgio Ladisa; Serena Elisa Ponta; Nicola Ronzoni; Matias Martinez; Olivier Barais</x:v>
      </x:c>
      <x:c r="J408" s="22" t="n">
        <x:v>2023</x:v>
      </x:c>
      <x:c r="K408" s="27" t="str">
        <x:v>Current software supply chains heavily rely on open-source packages hosted in public repositories. Given the popularity of ecosystems like npm and PyPI, malicious users started to spread malware by publishing open-source packages containing malicious code. Recent works apply machine learning techniques to detect malicious packages in the npm ecosystem. However, the scarcity of samples poses a challenge to the application of machine learning techniques in other ecosystems. Despite the differences between JavaScript and Python, the open-source software supply chain attacks targeting such languages show noticeable similarities (e.g., use of installation scripts, obfuscated strings, URLs). In this paper, we present a novel approach that involves a set of language-independent features and the training of models capable of detecting malicious packages in npm and PyPI by capturing their commonalities. This methodology allows us to train models on a diverse dataset encompassing multiple languages, thereby overcoming the challenge of limited sample availability. We evaluate the models both in a controlled experiment (where labels of data are known) and in the wild by scanning newly uploaded packages for both npm and PyPI for 10 days. We find that our approach successfully detects malicious packages for both npm and PyPI. Over an analysis of 31,292 packages, we reported 58 previously unknown malicious packages (38 for npm and 20 for PyPI), which were consequently removed from the respective repositories.</x:v>
      </x:c>
      <x:c r="L408" s="17" t="str">
        <x:v>http://arxiv.org/abs/2310.09571v1</x:v>
      </x:c>
      <x:c r="M408" s="23" t="n">
        <x:v>0.015625</x:v>
      </x:c>
      <x:c r="N408" s="17" t="str">
        <x:v>arxiv-paper-eval-20260726-140242-results.jsonl</x:v>
      </x:c>
      <x:c r="O408" s="24" t="str">
        <x:v>2</x:v>
      </x:c>
      <x:c r="P408" s="28" t="str">
        <x:v>直接研究npm与PyPI恶意包跨语言检测及其实验评估。</x:v>
      </x:c>
      <x:c r="Q408" s="25" t="str"/>
      <x:c r="R408" s="24" t="str">
        <x:f>IF(Q408&lt;&gt;"",Q408,O408)</x:f>
        <x:v>2</x:v>
      </x:c>
      <x:c r="S408" s="29" t="str"/>
    </x:row>
    <x:row r="409" ht="54" customHeight="1">
      <x:c r="A409" s="17" t="str">
        <x:v>csq021-r13</x:v>
      </x:c>
      <x:c r="B409" s="17" t="str">
        <x:v>csq021</x:v>
      </x:c>
      <x:c r="C409" s="17" t="str">
        <x:v>security_and_privacy</x:v>
      </x:c>
      <x:c r="D409" s="17" t="str">
        <x:v>software_supply_chain</x:v>
      </x:c>
      <x:c r="E409" s="27" t="str">
        <x:v>Which datasets, benchmarks, and metrics are used to evaluate software supply-chain vulnerability and malicious-package detection methods?</x:v>
      </x:c>
      <x:c r="F409" s="22" t="n">
        <x:v>13</x:v>
      </x:c>
      <x:c r="G409" s="17" t="str">
        <x:v>arXiv:2506.17798</x:v>
      </x:c>
      <x:c r="H409" s="27" t="str">
        <x:v>SAVANT: Vulnerability Detection in Application Dependencies through Semantic-Guided Reachability Analysis</x:v>
      </x:c>
      <x:c r="I409" s="17" t="str">
        <x:v>Wang Lingxiang; Quanzhi Fu; Wenjia Song; Gelei Deng; Yi Liu; Dan Williams; Ying Zhang</x:v>
      </x:c>
      <x:c r="J409" s="22" t="n">
        <x:v>2025</x:v>
      </x:c>
      <x:c r="K409" s="27" t="str">
        <x:v>The integration of open-source third-party library dependencies in Java development introduces significant security risks when these libraries contain known vulnerabilities. Existing Software Composition Analysis (SCA) tools struggle to effectively detect vulnerable API usage from these libraries due to limitations in understanding API usage semantics and computational challenges in analyzing complex codebases, leading to inaccurate vulnerability alerts that burden development teams and delay critical security fixes. To address these challenges, we proposed SAVANT by leveraging two insights: proof-of-vulnerability test cases demonstrate how vulnerabilities can be triggered in specific contexts, and Large Language Models (LLMs) can understand code semantics. SAVANT combines semantic preprocessing with LLM-powered context analysis for accurate vulnerability detection. SAVANT first segments source code into meaningful blocks while preserving semantic relationships, then leverages LLM-based reflection to analyze API usage context and determine actual vulnerability impacts. Our evaluation on 55 real-world applications shows that SAVANT achieves 83.8% precision, 73.8% recall, 69.0% accuracy, and 78.5% F1-score, outperforming state-of-the-art SCA tools.</x:v>
      </x:c>
      <x:c r="L409" s="17" t="str">
        <x:v>http://arxiv.org/abs/2506.17798v2</x:v>
      </x:c>
      <x:c r="M409" s="23" t="n">
        <x:v>0.015384615384615385</x:v>
      </x:c>
      <x:c r="N409" s="17" t="str">
        <x:v>arxiv-paper-eval-20260726-140242-results.jsonl</x:v>
      </x:c>
      <x:c r="O409" s="24" t="str">
        <x:v>1</x:v>
      </x:c>
      <x:c r="P409" s="28" t="str">
        <x:v>研究应用依赖中的已知漏洞检测，可作供应链依赖安全的相邻证据。</x:v>
      </x:c>
      <x:c r="Q409" s="25" t="str"/>
      <x:c r="R409" s="24" t="str">
        <x:f>IF(Q409&lt;&gt;"",Q409,O409)</x:f>
        <x:v>1</x:v>
      </x:c>
      <x:c r="S409" s="29" t="str"/>
    </x:row>
    <x:row r="410" ht="54" customHeight="1">
      <x:c r="A410" s="17" t="str">
        <x:v>csq021-r14</x:v>
      </x:c>
      <x:c r="B410" s="17" t="str">
        <x:v>csq021</x:v>
      </x:c>
      <x:c r="C410" s="17" t="str">
        <x:v>security_and_privacy</x:v>
      </x:c>
      <x:c r="D410" s="17" t="str">
        <x:v>software_supply_chain</x:v>
      </x:c>
      <x:c r="E410" s="27" t="str">
        <x:v>Which datasets, benchmarks, and metrics are used to evaluate software supply-chain vulnerability and malicious-package detection methods?</x:v>
      </x:c>
      <x:c r="F410" s="22" t="n">
        <x:v>14</x:v>
      </x:c>
      <x:c r="G410" s="17" t="str">
        <x:v>arXiv:2407.08532</x:v>
      </x:c>
      <x:c r="H410" s="27" t="str">
        <x:v>Tactics, Techniques, and Procedures (TTPs) in Interpreted Malware: A Zero-Shot Generation with Large Language Models</x:v>
      </x:c>
      <x:c r="I410" s="17" t="str">
        <x:v>Ying Zhang; Xiaoyan Zhou; Hui Wen; Wenjia Niu; Jiqiang Liu; Haining Wang; Qiang Li</x:v>
      </x:c>
      <x:c r="J410" s="22" t="n">
        <x:v>2024</x:v>
      </x:c>
      <x:c r="K410" s="27" t="str">
        <x:v>Nowadays, the open-source software (OSS) ecosystem suffers from security threats of software supply chain (SSC) attacks. Interpreted OSS malware plays a vital role in SSC attacks, as criminals have an arsenal of attack vectors to deceive users into installing malware and executing malicious activities. In this paper, we introduce tactics, techniques, and procedures (TTPs) proposed by MITRE ATT\&amp;CK into the interpreted malware analysis to characterize different phases of an attack lifecycle. Specifically, we propose GENTTP, a zero-shot approach to extracting a TTP of an interpreted malware package. GENTTP leverages large language models (LLMs) to automatically generate a TTP, where the input is a malicious package, and the output is a deceptive tactic and an execution tactic of attack vectors. To validate the effectiveness of GENTTP, we collect two datasets for evaluation: a dataset with ground truth labels and a large dataset in the wild. Experimental results show that GENTTP can generate TTPs with high accuracy and efficiency. To demonstrate GENTTP's benefits, we build an LLM-based Chatbot from 3,700+ PyPI malware's TTPs. We further conduct a quantitative analysis of malware's TTPs at a large scale. Our main findings include: (1) many OSS malicious packages share a relatively stable TTP, even with the increasing emergence of malware and attack campaigns, (2) a TTP reflects characteristics of a malware-based attack, and (3) an attacker's intent behind the malware is linked to a TTP.</x:v>
      </x:c>
      <x:c r="L410" s="17" t="str">
        <x:v>http://arxiv.org/abs/2407.08532v1</x:v>
      </x:c>
      <x:c r="M410" s="23" t="n">
        <x:v>0.015384615384615385</x:v>
      </x:c>
      <x:c r="N410" s="17" t="str">
        <x:v>arxiv-paper-eval-20260726-140242-results.jsonl</x:v>
      </x:c>
      <x:c r="O410" s="24" t="str">
        <x:v>1</x:v>
      </x:c>
      <x:c r="P410" s="28" t="str">
        <x:v>分析供应链解释型恶意软件的TTP，可作恶意包表征背景，但非检测基准。</x:v>
      </x:c>
      <x:c r="Q410" s="25" t="str"/>
      <x:c r="R410" s="24" t="str">
        <x:f>IF(Q410&lt;&gt;"",Q410,O410)</x:f>
        <x:v>1</x:v>
      </x:c>
      <x:c r="S410" s="29" t="str"/>
    </x:row>
    <x:row r="411" ht="54" customHeight="1">
      <x:c r="A411" s="17" t="str">
        <x:v>csq021-r15</x:v>
      </x:c>
      <x:c r="B411" s="17" t="str">
        <x:v>csq021</x:v>
      </x:c>
      <x:c r="C411" s="17" t="str">
        <x:v>security_and_privacy</x:v>
      </x:c>
      <x:c r="D411" s="17" t="str">
        <x:v>software_supply_chain</x:v>
      </x:c>
      <x:c r="E411" s="27" t="str">
        <x:v>Which datasets, benchmarks, and metrics are used to evaluate software supply-chain vulnerability and malicious-package detection methods?</x:v>
      </x:c>
      <x:c r="F411" s="22" t="n">
        <x:v>15</x:v>
      </x:c>
      <x:c r="G411" s="17" t="str">
        <x:v>arXiv:2302.04675</x:v>
      </x:c>
      <x:c r="H411" s="27" t="str">
        <x:v>Vulnerability Detection with Graph Simplification and Enhanced Graph Representation Learning</x:v>
      </x:c>
      <x:c r="I411" s="17" t="str">
        <x:v>Xin-Cheng Wen; Yupan Chen; Cuiyun Gao; Hongyu Zhang; Jie M. Zhang; Qing Liao</x:v>
      </x:c>
      <x:c r="J411" s="22" t="n">
        <x:v>2023</x:v>
      </x:c>
      <x:c r="K411" s="27" t="str">
        <x:v>Prior studies have demonstrated the effectiveness of Deep Learning (DL) in automated software vulnerability detection. Graph Neural Networks (GNNs) have proven effective in learning the graph representations of source code and are commonly adopted by existing DL-based vulnerability detection methods. However, the existing methods are still limited by the fact that GNNs are essentially difficult to handle the connections between long-distance nodes in a code structure graph. Besides, they do not well exploit the multiple types of edges in a code structure graph (such as edges representing data flow and control flow). Consequently, despite achieving state-of-the-art performance, the existing GNN-based methods tend to fail to capture global information (i.e., long-range dependencies among nodes) of code graphs. To mitigate these issues, in this paper, we propose a novel vulnerability detection framework with grAph siMplification and enhanced graph rePresentation LEarning, named AMPLE. AMPLE mainly contains two parts: 1) graph simplification, which aims at reducing the distances between nodes by shrinking the node sizes of code structure graphs; 2) enhanced graph representation learning, which involves one edge-aware graph convolutional network module for fusing heterogeneous edge information into node representations and one kernel-scaled representation module for well capturing the relations between distant graph nodes. Experiments on three public benchmark datasets show that AMPLE outperforms the state-of-the-art methods by 0.39%-35.32% and 7.64%-199.81% with respect to the accuracy and F1 score metrics, respectively. The results demonstrate the effectiveness of AMPLE in learning global information of code graphs for vulnerability detection.</x:v>
      </x:c>
      <x:c r="L411" s="17" t="str">
        <x:v>http://arxiv.org/abs/2302.04675v1</x:v>
      </x:c>
      <x:c r="M411" s="23" t="n">
        <x:v>0.015384615384615385</x:v>
      </x:c>
      <x:c r="N411" s="17" t="str">
        <x:v>arxiv-paper-eval-20260726-140242-results.jsonl</x:v>
      </x:c>
      <x:c r="O411" s="24" t="str">
        <x:v>0</x:v>
      </x:c>
      <x:c r="P411" s="28" t="str">
        <x:v>研究通用源代码漏洞检测方法，未涉及供应链或恶意包。</x:v>
      </x:c>
      <x:c r="Q411" s="25" t="str"/>
      <x:c r="R411" s="24" t="str">
        <x:f>IF(Q411&lt;&gt;"",Q411,O411)</x:f>
        <x:v>0</x:v>
      </x:c>
      <x:c r="S411" s="29" t="str"/>
    </x:row>
    <x:row r="412" ht="54" customHeight="1">
      <x:c r="A412" s="17" t="str">
        <x:v>csq021-r16</x:v>
      </x:c>
      <x:c r="B412" s="17" t="str">
        <x:v>csq021</x:v>
      </x:c>
      <x:c r="C412" s="17" t="str">
        <x:v>security_and_privacy</x:v>
      </x:c>
      <x:c r="D412" s="17" t="str">
        <x:v>software_supply_chain</x:v>
      </x:c>
      <x:c r="E412" s="27" t="str">
        <x:v>Which datasets, benchmarks, and metrics are used to evaluate software supply-chain vulnerability and malicious-package detection methods?</x:v>
      </x:c>
      <x:c r="F412" s="22" t="n">
        <x:v>16</x:v>
      </x:c>
      <x:c r="G412" s="17" t="str">
        <x:v>arXiv:2508.18933</x:v>
      </x:c>
      <x:c r="H412" s="27" t="str">
        <x:v>VISION: Robust and Interpretable Code Vulnerability Detection Leveraging Counterfactual Augmentation</x:v>
      </x:c>
      <x:c r="I412" s="17" t="str">
        <x:v>David Egea; Barproda Halder; Sanghamitra Dutta</x:v>
      </x:c>
      <x:c r="J412" s="22" t="n">
        <x:v>2025</x:v>
      </x:c>
      <x:c r="K412" s="27" t="str">
        <x:v>Automated detection of vulnerabilities in source code is an essential cybersecurity challenge, underpinning trust in digital systems and services. Graph Neural Networks (GNNs) have emerged as a promising approach as they can learn structural and logical code relationships in a data-driven manner. However, their performance is severely constrained by training data imbalances and label noise. GNNs often learn 'spurious' correlations from superficial code similarities, producing detectors that fail to generalize well to unseen real-world data. In this work, we propose a unified framework for robust and interpretable vulnerability detection, called VISION, to mitigate spurious correlations by systematically augmenting a counterfactual training dataset. Counterfactuals are samples with minimal semantic modifications but opposite labels. Our framework includes: (i) generating counterfactuals by prompting a Large Language Model (LLM); (ii) targeted GNN training on paired code examples with opposite labels; and (iii) graph-based interpretability to identify the crucial code statements relevant for vulnerability predictions while ignoring spurious ones. We find that VISION reduces spurious learning and enables more robust, generalizable detection, improving overall accuracy (from 51.8% to 97.8%), pairwise contrast accuracy (from 4.5% to 95.8%), and worst-group accuracy (from 0.7% to 85.5%) on the Common Weakness Enumeration (CWE)-20 vulnerability. We further demonstrate gains using proposed metrics: intra-class attribution variance, inter-class attribution distance, and node score dependency. We also release CWE-20-CFA, a benchmark of 27,556 functions (real and counterfactual) from the high-impact CWE-20 category. Finally, VISION advances transparent and trustworthy AI-based cybersecurity systems through interactive visualization for human-in-the-loop analysis.</x:v>
      </x:c>
      <x:c r="L412" s="17" t="str">
        <x:v>http://arxiv.org/abs/2508.18933v1</x:v>
      </x:c>
      <x:c r="M412" s="23" t="n">
        <x:v>0.015151515151515152</x:v>
      </x:c>
      <x:c r="N412" s="17" t="str">
        <x:v>arxiv-paper-eval-20260726-140242-results.jsonl</x:v>
      </x:c>
      <x:c r="O412" s="24" t="str">
        <x:v>0</x:v>
      </x:c>
      <x:c r="P412" s="28" t="str">
        <x:v>研究通用代码漏洞检测的鲁棒性，未涉及供应链或恶意包。</x:v>
      </x:c>
      <x:c r="Q412" s="25" t="str"/>
      <x:c r="R412" s="24" t="str">
        <x:f>IF(Q412&lt;&gt;"",Q412,O412)</x:f>
        <x:v>0</x:v>
      </x:c>
      <x:c r="S412" s="29" t="str"/>
    </x:row>
    <x:row r="413" ht="54" customHeight="1">
      <x:c r="A413" s="17" t="str">
        <x:v>csq021-r17</x:v>
      </x:c>
      <x:c r="B413" s="17" t="str">
        <x:v>csq021</x:v>
      </x:c>
      <x:c r="C413" s="17" t="str">
        <x:v>security_and_privacy</x:v>
      </x:c>
      <x:c r="D413" s="17" t="str">
        <x:v>software_supply_chain</x:v>
      </x:c>
      <x:c r="E413" s="27" t="str">
        <x:v>Which datasets, benchmarks, and metrics are used to evaluate software supply-chain vulnerability and malicious-package detection methods?</x:v>
      </x:c>
      <x:c r="F413" s="22" t="n">
        <x:v>17</x:v>
      </x:c>
      <x:c r="G413" s="17" t="str">
        <x:v>arXiv:2409.09356</x:v>
      </x:c>
      <x:c r="H413" s="27" t="str">
        <x:v>Towards Robust Detection of Open Source Software Supply Chain Poisoning Attacks in Industry Environments</x:v>
      </x:c>
      <x:c r="I413" s="17" t="str">
        <x:v>Xinyi Zheng; Chen Wei; Shenao Wang; Yanjie Zhao; Peiming Gao; Yuanchao Zhang; Kailong Wang; Haoyu Wang</x:v>
      </x:c>
      <x:c r="J413" s="22" t="n">
        <x:v>2024</x:v>
      </x:c>
      <x:c r="K413" s="27" t="str">
        <x:v>The exponential growth of open-source package ecosystems, particularly NPM and PyPI, has led to an alarming increase in software supply chain poisoning attacks. Existing static analysis methods struggle with high false positive rates and are easily thwarted by obfuscation and dynamic code execution techniques. While dynamic analysis approaches offer improvements, they often suffer from capturing non-package behaviors and employing simplistic testing strategies that fail to trigger sophisticated malicious behaviors. To address these challenges, we present OSCAR, a robust dynamic code poisoning detection pipeline for NPM and PyPI ecosystems. OSCAR fully executes packages in a sandbox environment, employs fuzz testing on exported functions and classes, and implements aspect-based behavior monitoring with tailored API hook points. We evaluate OSCAR against six existing tools using a comprehensive benchmark dataset of real-world malicious and benign packages. OSCAR achieves an F1 score of 0.95 in NPM and 0.91 in PyPI, confirming that OSCAR is as effective as the current state-of-the-art technologies. Furthermore, for benign packages exhibiting characteristics typical of malicious packages, OSCAR reduces the false positive rate by an average of 32.06% in NPM (from 34.63% to 2.57%) and 39.87% in PyPI (from 41.10% to 1.23%), compared to other tools, significantly reducing the workload of manual reviews in real-world deployments. In cooperation with Ant Group, a leading financial technology company, we have deployed OSCAR on its NPM and PyPI mirrors since January 2023, identifying 10,404 malicious NPM packages and 1,235 malicious PyPI packages over 18 months. This work not only bridges the gap between academic research and industrial application in code poisoning detection but also provides a robust and practical solution that has been thoroughly tested in a real-world industrial setting.</x:v>
      </x:c>
      <x:c r="L413" s="17" t="str">
        <x:v>http://arxiv.org/abs/2409.09356v1</x:v>
      </x:c>
      <x:c r="M413" s="23" t="n">
        <x:v>0.015151515151515152</x:v>
      </x:c>
      <x:c r="N413" s="17" t="str">
        <x:v>arxiv-paper-eval-20260726-140242-results.jsonl</x:v>
      </x:c>
      <x:c r="O413" s="24" t="str">
        <x:v>2</x:v>
      </x:c>
      <x:c r="P413" s="28" t="str">
        <x:v>直接提出并评估npm、PyPI供应链投毒检测流水线。</x:v>
      </x:c>
      <x:c r="Q413" s="25" t="str"/>
      <x:c r="R413" s="24" t="str">
        <x:f>IF(Q413&lt;&gt;"",Q413,O413)</x:f>
        <x:v>2</x:v>
      </x:c>
      <x:c r="S413" s="29" t="str"/>
    </x:row>
    <x:row r="414" ht="54" customHeight="1">
      <x:c r="A414" s="17" t="str">
        <x:v>csq021-r18</x:v>
      </x:c>
      <x:c r="B414" s="17" t="str">
        <x:v>csq021</x:v>
      </x:c>
      <x:c r="C414" s="17" t="str">
        <x:v>security_and_privacy</x:v>
      </x:c>
      <x:c r="D414" s="17" t="str">
        <x:v>software_supply_chain</x:v>
      </x:c>
      <x:c r="E414" s="27" t="str">
        <x:v>Which datasets, benchmarks, and metrics are used to evaluate software supply-chain vulnerability and malicious-package detection methods?</x:v>
      </x:c>
      <x:c r="F414" s="22" t="n">
        <x:v>18</x:v>
      </x:c>
      <x:c r="G414" s="17" t="str">
        <x:v>arXiv:2501.02229</x:v>
      </x:c>
      <x:c r="H414" s="27" t="str">
        <x:v>Leveraging Large Language Models and Machine Learning for Smart Contract Vulnerability Detection</x:v>
      </x:c>
      <x:c r="I414" s="17" t="str">
        <x:v>S M Mostaq Hossain; Amani Altarawneh; Jesse Roberts</x:v>
      </x:c>
      <x:c r="J414" s="22" t="n">
        <x:v>2025</x:v>
      </x:c>
      <x:c r="K414" s="27" t="str">
        <x:v>As blockchain technology and smart contracts become widely adopted, securing them throughout every stage of the transaction process is essential. The concern of improved security for smart contracts is to find and detect vulnerabilities using classical Machine Learning (ML) models and fine-tuned Large Language Models (LLM). The robustness of such work rests on a labeled smart contract dataset that includes annotated vulnerabilities on which several LLMs alongside various traditional machine learning algorithms such as DistilBERT model is trained and tested. We train and test machine learning algorithms to classify smart contract codes according to vulnerability types in order to compare model performance. Having fine-tuned the LLMs specifically for smart contract code classification should help in getting better results when detecting several types of well-known vulnerabilities, such as Reentrancy, Integer Overflow, Timestamp Dependency and Dangerous Delegatecall. From our initial experimental results, it can be seen that our fine-tuned LLM surpasses the accuracy of any other model by achieving an accuracy of over 90%, and this advances the existing vulnerability detection benchmarks. Such performance provides a great deal of evidence for LLMs ability to describe the subtle patterns in the code that traditional ML models could miss. Thus, we compared each of the ML and LLM models to give a good overview of each models strengths, from which we can choose the most effective one for real-world applications in smart contract security. Our research combines machine learning and large language models to provide a rich and interpretable framework for detecting different smart contract vulnerabilities, which lays a foundation for a more secure blockchain ecosystem.</x:v>
      </x:c>
      <x:c r="L414" s="17" t="str">
        <x:v>http://arxiv.org/abs/2501.02229v1</x:v>
      </x:c>
      <x:c r="M414" s="23" t="n">
        <x:v>0.014925373134328358</x:v>
      </x:c>
      <x:c r="N414" s="17" t="str">
        <x:v>arxiv-paper-eval-20260726-140242-results.jsonl</x:v>
      </x:c>
      <x:c r="O414" s="24" t="str">
        <x:v>0</x:v>
      </x:c>
      <x:c r="P414" s="28" t="str">
        <x:v>聚焦智能合约漏洞检测，领域与软件包供应链不符。</x:v>
      </x:c>
      <x:c r="Q414" s="25" t="str"/>
      <x:c r="R414" s="24" t="str">
        <x:f>IF(Q414&lt;&gt;"",Q414,O414)</x:f>
        <x:v>0</x:v>
      </x:c>
      <x:c r="S414" s="29" t="str"/>
    </x:row>
    <x:row r="415" ht="54" customHeight="1">
      <x:c r="A415" s="17" t="str">
        <x:v>csq021-r19</x:v>
      </x:c>
      <x:c r="B415" s="17" t="str">
        <x:v>csq021</x:v>
      </x:c>
      <x:c r="C415" s="17" t="str">
        <x:v>security_and_privacy</x:v>
      </x:c>
      <x:c r="D415" s="17" t="str">
        <x:v>software_supply_chain</x:v>
      </x:c>
      <x:c r="E415" s="27" t="str">
        <x:v>Which datasets, benchmarks, and metrics are used to evaluate software supply-chain vulnerability and malicious-package detection methods?</x:v>
      </x:c>
      <x:c r="F415" s="22" t="n">
        <x:v>19</x:v>
      </x:c>
      <x:c r="G415" s="17" t="str">
        <x:v>arXiv:2504.05002</x:v>
      </x:c>
      <x:c r="H415" s="27" t="str">
        <x:v>SmartBugBert: BERT-Enhanced Vulnerability Detection for Smart Contract Bytecode</x:v>
      </x:c>
      <x:c r="I415" s="17" t="str">
        <x:v>Jiuyang Bu; Wenkai Li; Zongwei Li; Zeng Zhang; Xiaoqi Li</x:v>
      </x:c>
      <x:c r="J415" s="22" t="n">
        <x:v>2025</x:v>
      </x:c>
      <x:c r="K415" s="27" t="str">
        <x:v>Smart contracts deployed on blockchain platforms are vulnerable to various security vulnerabilities. However, only a small number of Ethereum contracts have released their source code, so vulnerability detection at the bytecode level is crucial. This paper introduces SmartBugBert, a novel approach that combines BERT-based deep learning with control flow graph (CFG) analysis to detect vulnerabilities directly from bytecode. Our method first decompiles smart contract bytecode into optimized opcode sequences, extracts semantic features using TF-IDF, constructs control flow graphs to capture execution logic, and isolates vulnerable CFG fragments for targeted analysis. By integrating both semantic and structural information through a fine-tuned BERT model and LightGBM classifier, our approach effectively identifies four critical vulnerability types: transaction-ordering, access control, self-destruct, and timestamp dependency vulnerabilities. Experimental evaluation on 6,157 Ethereum smart contracts demonstrates that SmartBugBert achieves 90.62% precision, 91.76% recall, and 91.19% F1-score, significantly outperforming existing detection methods. Ablation studies confirm that the combination of semantic features with CFG information substantially enhances detection performance. Furthermore, our approach maintains efficient detection speed (0.14 seconds per contract), making it practical for large-scale vulnerability assessment.</x:v>
      </x:c>
      <x:c r="L415" s="17" t="str">
        <x:v>http://arxiv.org/abs/2504.05002v2</x:v>
      </x:c>
      <x:c r="M415" s="23" t="n">
        <x:v>0.014925373134328358</x:v>
      </x:c>
      <x:c r="N415" s="17" t="str">
        <x:v>arxiv-paper-eval-20260726-140242-results.jsonl</x:v>
      </x:c>
      <x:c r="O415" s="24" t="str">
        <x:v>0</x:v>
      </x:c>
      <x:c r="P415" s="28" t="str">
        <x:v>聚焦智能合约字节码漏洞检测，领域与软件包供应链不符。</x:v>
      </x:c>
      <x:c r="Q415" s="25" t="str"/>
      <x:c r="R415" s="24" t="str">
        <x:f>IF(Q415&lt;&gt;"",Q415,O415)</x:f>
        <x:v>0</x:v>
      </x:c>
      <x:c r="S415" s="29" t="str"/>
    </x:row>
    <x:row r="416" ht="54" customHeight="1">
      <x:c r="A416" s="17" t="str">
        <x:v>csq021-r20</x:v>
      </x:c>
      <x:c r="B416" s="17" t="str">
        <x:v>csq021</x:v>
      </x:c>
      <x:c r="C416" s="17" t="str">
        <x:v>security_and_privacy</x:v>
      </x:c>
      <x:c r="D416" s="17" t="str">
        <x:v>software_supply_chain</x:v>
      </x:c>
      <x:c r="E416" s="27" t="str">
        <x:v>Which datasets, benchmarks, and metrics are used to evaluate software supply-chain vulnerability and malicious-package detection methods?</x:v>
      </x:c>
      <x:c r="F416" s="22" t="n">
        <x:v>20</x:v>
      </x:c>
      <x:c r="G416" s="17" t="str">
        <x:v>arXiv:2406.02654</x:v>
      </x:c>
      <x:c r="H416" s="27" t="str">
        <x:v>kNN Classification of Malware Data Dependency Graph Features</x:v>
      </x:c>
      <x:c r="I416" s="17" t="str">
        <x:v>John Musgrave; Anca Ralescu</x:v>
      </x:c>
      <x:c r="J416" s="22" t="n">
        <x:v>2024</x:v>
      </x:c>
      <x:c r="K416" s="27" t="str">
        <x:v>Explainability in classification results are dependent upon the features used for classification. Data dependency graph features representing data movement are directly correlated with operational semantics, and subject to fine grained analysis. This study obtains accurate classification from the use of features tied to structure and semantics. By training an accurate model using labeled data, this feature representation of semantics is shown to be correlated with ground truth labels. This was performed using non-parametric learning with a novel feature representation on a large scale dataset, the Kaggle 2015 Malware dataset. The features used enable fine grained analysis, increase in resolution, and explainable inferences. This allows for the body of the term frequency distribution to be further analyzed and to provide an increase in feature resolution over term frequency features. This method obtains high accuracy from analysis of a single instruction, a method that can be repeated for additional instructions to obtain further increases in accuracy. This study evaluates the hypothesis that the semantic representation and analysis of structure are able to make accurate predications and are also correlated to ground truth labels. Additionally, similarity in the metric space can be calculated directly without prior training. Our results provide evidence that data dependency graphs accurately capture both semantic and structural information for increased explainability in classification results.</x:v>
      </x:c>
      <x:c r="L416" s="17" t="str">
        <x:v>http://arxiv.org/abs/2406.02654v2</x:v>
      </x:c>
      <x:c r="M416" s="23" t="n">
        <x:v>0.014925373134328358</x:v>
      </x:c>
      <x:c r="N416" s="17" t="str">
        <x:v>arxiv-paper-eval-20260726-140242-results.jsonl</x:v>
      </x:c>
      <x:c r="O416" s="24" t="str">
        <x:v>0</x:v>
      </x:c>
      <x:c r="P416" s="28" t="str">
        <x:v>使用Kaggle恶意软件数据分类，并非开源恶意包或供应链检测。</x:v>
      </x:c>
      <x:c r="Q416" s="25" t="str"/>
      <x:c r="R416" s="24" t="str">
        <x:f>IF(Q416&lt;&gt;"",Q416,O416)</x:f>
        <x:v>0</x:v>
      </x:c>
      <x:c r="S416" s="29" t="str"/>
    </x:row>
    <x:row r="417" ht="54" customHeight="1">
      <x:c r="A417" s="17" t="str">
        <x:v>csq022-r01</x:v>
      </x:c>
      <x:c r="B417" s="17" t="str">
        <x:v>csq022</x:v>
      </x:c>
      <x:c r="C417" s="17" t="str">
        <x:v>security_and_privacy</x:v>
      </x:c>
      <x:c r="D417" s="17" t="str">
        <x:v>federated_learning_security</x:v>
      </x:c>
      <x:c r="E417" s="27" t="str">
        <x:v>What security and privacy attacks against federated learning have been demonstrated, and which proposed defenses remain limited under adaptive attackers?</x:v>
      </x:c>
      <x:c r="F417" s="22" t="n">
        <x:v>1</x:v>
      </x:c>
      <x:c r="G417" s="17" t="str">
        <x:v>arXiv:2409.13004</x:v>
      </x:c>
      <x:c r="H417" s="27" t="str">
        <x:v>Data Poisoning and Leakage Analysis in Federated Learning</x:v>
      </x:c>
      <x:c r="I417" s="17" t="str">
        <x:v>Wenqi Wei; Tiansheng Huang; Zachary Yahn; Anoop Singhal; Margaret Loper; Ling Liu</x:v>
      </x:c>
      <x:c r="J417" s="22" t="n">
        <x:v>2024</x:v>
      </x:c>
      <x:c r="K417" s="27" t="str">
        <x:v>Data poisoning and leakage risks impede the massive deployment of federated learning in the real world. This chapter reveals the truths and pitfalls of understanding two dominating threats: {\em training data privacy intrusion} and {\em training data poisoning}. We first investigate training data privacy threat and present our observations on when and how training data may be leaked during the course of federated training. One promising defense strategy is to perturb the raw gradient update by adding some controlled randomized noise prior to sharing during each round of federated learning. We discuss the importance of determining the proper amount of randomized noise and the proper location to add such noise for effective mitigation of gradient leakage threats against training data privacy. Then we will review and compare different training data poisoning threats and analyze why and when such data poisoning induced model Trojan attacks may lead to detrimental damage on the performance of the global model. We will categorize and compare representative poisoning attacks and the effectiveness of their mitigation techniques, delivering an in-depth understanding of the negative impact of data poisoning. Finally, we demonstrate the potential of dynamic model perturbation in simultaneously ensuring privacy protection, poisoning resilience, and model performance. The chapter concludes with a discussion on additional risk factors in federated learning, including the negative impact of skewness, data and algorithmic biases, as well as misinformation in training data. Powered by empirical evidence, our analytical study offers some transformative insights into effective privacy protection and security assurance strategies in attack-resilient federated learning.</x:v>
      </x:c>
      <x:c r="L417" s="17" t="str">
        <x:v>http://arxiv.org/abs/2409.13004v1</x:v>
      </x:c>
      <x:c r="M417" s="23" t="n">
        <x:v>0.0474478480153437</x:v>
      </x:c>
      <x:c r="N417" s="17" t="str">
        <x:v>arxiv-paper-eval-20260726-140242-results.jsonl</x:v>
      </x:c>
      <x:c r="O417" s="24" t="str">
        <x:v>2</x:v>
      </x:c>
      <x:c r="P417" s="28" t="str">
        <x:v>直接讨论联邦学习中的隐私泄露、数据投毒及噪声防御局限。</x:v>
      </x:c>
      <x:c r="Q417" s="25" t="str"/>
      <x:c r="R417" s="24" t="str">
        <x:f>IF(Q417&lt;&gt;"",Q417,O417)</x:f>
        <x:v>2</x:v>
      </x:c>
      <x:c r="S417" s="29" t="str"/>
    </x:row>
    <x:row r="418" ht="54" customHeight="1">
      <x:c r="A418" s="17" t="str">
        <x:v>csq022-r02</x:v>
      </x:c>
      <x:c r="B418" s="17" t="str">
        <x:v>csq022</x:v>
      </x:c>
      <x:c r="C418" s="17" t="str">
        <x:v>security_and_privacy</x:v>
      </x:c>
      <x:c r="D418" s="17" t="str">
        <x:v>federated_learning_security</x:v>
      </x:c>
      <x:c r="E418" s="27" t="str">
        <x:v>What security and privacy attacks against federated learning have been demonstrated, and which proposed defenses remain limited under adaptive attackers?</x:v>
      </x:c>
      <x:c r="F418" s="22" t="n">
        <x:v>2</x:v>
      </x:c>
      <x:c r="G418" s="17" t="str">
        <x:v>arXiv:1911.07963</x:v>
      </x:c>
      <x:c r="H418" s="27" t="str">
        <x:v>Can You Really Backdoor Federated Learning?</x:v>
      </x:c>
      <x:c r="I418" s="17" t="str">
        <x:v>Ziteng Sun; Peter Kairouz; Ananda Theertha Suresh; H. Brendan McMahan</x:v>
      </x:c>
      <x:c r="J418" s="22" t="n">
        <x:v>2019</x:v>
      </x:c>
      <x:c r="K418" s="27" t="str">
        <x:v>The decentralized nature of federated learning makes detecting and defending against adversarial attacks a challenging task. This paper focuses on backdoor attacks in the federated learning setting, where the goal of the adversary is to reduce the performance of the model on targeted tasks while maintaining good performance on the main task. Unlike existing works, we allow non-malicious clients to have correctly labeled samples from the targeted tasks. We conduct a comprehensive study of backdoor attacks and defenses for the EMNIST dataset, a real-life, user-partitioned, and non-iid dataset. We observe that in the absence of defenses, the performance of the attack largely depends on the fraction of adversaries present and the "complexity'' of the targeted task. Moreover, we show that norm clipping and "weak'' differential privacy mitigate the attacks without hurting the overall performance. We have implemented the attacks and defenses in TensorFlow Federated (TFF), a TensorFlow framework for federated learning. In open-sourcing our code, our goal is to encourage researchers to contribute new attacks and defenses and evaluate them on standard federated datasets.</x:v>
      </x:c>
      <x:c r="L418" s="17" t="str">
        <x:v>http://arxiv.org/abs/1911.07963v2</x:v>
      </x:c>
      <x:c r="M418" s="23" t="n">
        <x:v>0.047162673392181595</x:v>
      </x:c>
      <x:c r="N418" s="17" t="str">
        <x:v>arxiv-paper-eval-20260726-140242-results.jsonl</x:v>
      </x:c>
      <x:c r="O418" s="24" t="str">
        <x:v>2</x:v>
      </x:c>
      <x:c r="P418" s="28" t="str">
        <x:v>直接实证后门攻击与防御在非独立同分布联邦学习中的表现。</x:v>
      </x:c>
      <x:c r="Q418" s="25" t="str"/>
      <x:c r="R418" s="24" t="str">
        <x:f>IF(Q418&lt;&gt;"",Q418,O418)</x:f>
        <x:v>2</x:v>
      </x:c>
      <x:c r="S418" s="29" t="str"/>
    </x:row>
    <x:row r="419" ht="54" customHeight="1">
      <x:c r="A419" s="17" t="str">
        <x:v>csq022-r03</x:v>
      </x:c>
      <x:c r="B419" s="17" t="str">
        <x:v>csq022</x:v>
      </x:c>
      <x:c r="C419" s="17" t="str">
        <x:v>security_and_privacy</x:v>
      </x:c>
      <x:c r="D419" s="17" t="str">
        <x:v>federated_learning_security</x:v>
      </x:c>
      <x:c r="E419" s="27" t="str">
        <x:v>What security and privacy attacks against federated learning have been demonstrated, and which proposed defenses remain limited under adaptive attackers?</x:v>
      </x:c>
      <x:c r="F419" s="22" t="n">
        <x:v>3</x:v>
      </x:c>
      <x:c r="G419" s="17" t="str">
        <x:v>arXiv:2004.11794</x:v>
      </x:c>
      <x:c r="H419" s="27" t="str">
        <x:v>A Review of Privacy-preserving Federated Learning for the Internet-of-Things</x:v>
      </x:c>
      <x:c r="I419" s="17" t="str">
        <x:v>Christopher Briggs; Zhong Fan; Peter Andras</x:v>
      </x:c>
      <x:c r="J419" s="22" t="n">
        <x:v>2020</x:v>
      </x:c>
      <x:c r="K419" s="27" t="str">
        <x:v>The Internet-of-Things (IoT) generates vast quantities of data, much of it attributable to individuals' activity and behaviour. Gathering personal data and performing machine learning tasks on this data in a central location presents a significant privacy risk to individuals as well as challenges with communicating this data to the cloud. However, analytics based on machine learning and in particular deep learning benefit greatly from large amounts of data to develop high-performance predictive models. This work reviews federated learning as an approach for performing machine learning on distributed data with the goal of protecting the privacy of user-generated data as well as reducing communication costs associated with data transfer. We survey a wide variety of papers covering communication-efficiency, client heterogeneity and privacy preserving methods that are crucial for federated learning in the context of the IoT. Throughout this review, we identify the strengths and weaknesses of different methods applied to federated learning and finally, we outline future directions for privacy preserving federated learning research, particularly focusing on IoT applications.</x:v>
      </x:c>
      <x:c r="L419" s="17" t="str">
        <x:v>http://arxiv.org/abs/2004.11794v2</x:v>
      </x:c>
      <x:c r="M419" s="23" t="n">
        <x:v>0.032018442622950824</x:v>
      </x:c>
      <x:c r="N419" s="17" t="str">
        <x:v>arxiv-paper-eval-20260726-140242-results.jsonl</x:v>
      </x:c>
      <x:c r="O419" s="24" t="str">
        <x:v>1</x:v>
      </x:c>
      <x:c r="P419" s="28" t="str">
        <x:v>综述物联网场景的隐私保护联邦学习，可作隐私防御背景，但攻击适应性非核心。</x:v>
      </x:c>
      <x:c r="Q419" s="25" t="str"/>
      <x:c r="R419" s="24" t="str">
        <x:f>IF(Q419&lt;&gt;"",Q419,O419)</x:f>
        <x:v>1</x:v>
      </x:c>
      <x:c r="S419" s="29" t="str"/>
    </x:row>
    <x:row r="420" ht="54" customHeight="1">
      <x:c r="A420" s="17" t="str">
        <x:v>csq022-r04</x:v>
      </x:c>
      <x:c r="B420" s="17" t="str">
        <x:v>csq022</x:v>
      </x:c>
      <x:c r="C420" s="17" t="str">
        <x:v>security_and_privacy</x:v>
      </x:c>
      <x:c r="D420" s="17" t="str">
        <x:v>federated_learning_security</x:v>
      </x:c>
      <x:c r="E420" s="27" t="str">
        <x:v>What security and privacy attacks against federated learning have been demonstrated, and which proposed defenses remain limited under adaptive attackers?</x:v>
      </x:c>
      <x:c r="F420" s="22" t="n">
        <x:v>4</x:v>
      </x:c>
      <x:c r="G420" s="17" t="str">
        <x:v>arXiv:1808.04866</x:v>
      </x:c>
      <x:c r="H420" s="27" t="str">
        <x:v>Mitigating Sybils in Federated Learning Poisoning</x:v>
      </x:c>
      <x:c r="I420" s="17" t="str">
        <x:v>Clement Fung; Chris J. M. Yoon; Ivan Beschastnikh</x:v>
      </x:c>
      <x:c r="J420" s="22" t="n">
        <x:v>2018</x:v>
      </x:c>
      <x:c r="K420" s="27" t="str">
        <x:v>Machine learning (ML) over distributed multi-party data is required for a variety of domains. Existing approaches, such as federated learning, collect the outputs computed by a group of devices at a central aggregator and run iterative algorithms to train a globally shared model. Unfortunately, such approaches are susceptible to a variety of attacks, including model poisoning, which is made substantially worse in the presence of sybils. In this paper we first evaluate the vulnerability of federated learning to sybil-based poisoning attacks. We then describe \emph{FoolsGold}, a novel defense to this problem that identifies poisoning sybils based on the diversity of client updates in the distributed learning process. Unlike prior work, our system does not bound the expected number of attackers, requires no auxiliary information outside of the learning process, and makes fewer assumptions about clients and their data. In our evaluation we show that FoolsGold exceeds the capabilities of existing state of the art approaches to countering sybil-based label-flipping and backdoor poisoning attacks. Our results hold for different distributions of client data, varying poisoning targets, and various sybil strategies. Code can be found at: https://github.com/DistributedML/FoolsGold</x:v>
      </x:c>
      <x:c r="L420" s="17" t="str">
        <x:v>http://arxiv.org/abs/1808.04866v5</x:v>
      </x:c>
      <x:c r="M420" s="23" t="n">
        <x:v>0.03200204813108039</x:v>
      </x:c>
      <x:c r="N420" s="17" t="str">
        <x:v>arxiv-paper-eval-20260726-140242-results.jsonl</x:v>
      </x:c>
      <x:c r="O420" s="24" t="str">
        <x:v>2</x:v>
      </x:c>
      <x:c r="P420" s="28" t="str">
        <x:v>直接评估Sybil投毒并提出FoolsGold防御。</x:v>
      </x:c>
      <x:c r="Q420" s="25" t="str"/>
      <x:c r="R420" s="24" t="str">
        <x:f>IF(Q420&lt;&gt;"",Q420,O420)</x:f>
        <x:v>2</x:v>
      </x:c>
      <x:c r="S420" s="29" t="str"/>
    </x:row>
    <x:row r="421" ht="54" customHeight="1">
      <x:c r="A421" s="17" t="str">
        <x:v>csq022-r05</x:v>
      </x:c>
      <x:c r="B421" s="17" t="str">
        <x:v>csq022</x:v>
      </x:c>
      <x:c r="C421" s="17" t="str">
        <x:v>security_and_privacy</x:v>
      </x:c>
      <x:c r="D421" s="17" t="str">
        <x:v>federated_learning_security</x:v>
      </x:c>
      <x:c r="E421" s="27" t="str">
        <x:v>What security and privacy attacks against federated learning have been demonstrated, and which proposed defenses remain limited under adaptive attackers?</x:v>
      </x:c>
      <x:c r="F421" s="22" t="n">
        <x:v>5</x:v>
      </x:c>
      <x:c r="G421" s="17" t="str">
        <x:v>arXiv:2209.05724</x:v>
      </x:c>
      <x:c r="H421" s="27" t="str">
        <x:v>Concealing Sensitive Samples against Gradient Leakage in Federated Learning</x:v>
      </x:c>
      <x:c r="I421" s="17" t="str">
        <x:v>Jing Wu; Munawar Hayat; Mingyi Zhou; Mehrtash Harandi</x:v>
      </x:c>
      <x:c r="J421" s="22" t="n">
        <x:v>2022</x:v>
      </x:c>
      <x:c r="K421" s="27" t="str">
        <x:v>Federated Learning (FL) is a distributed learning paradigm that enhances users privacy by eliminating the need for clients to share raw, private data with the server. Despite the success, recent studies expose the vulnerability of FL to model inversion attacks, where adversaries reconstruct users private data via eavesdropping on the shared gradient information. We hypothesize that a key factor in the success of such attacks is the low entanglement among gradients per data within the batch during stochastic optimization. This creates a vulnerability that an adversary can exploit to reconstruct the sensitive data. Building upon this insight, we present a simple, yet effective defense strategy that obfuscates the gradients of the sensitive data with concealed samples. To achieve this, we propose synthesizing concealed samples to mimic the sensitive data at the gradient level while ensuring their visual dissimilarity from the actual sensitive data. Compared to the previous art, our empirical evaluations suggest that the proposed technique provides the strongest protection while simultaneously maintaining the FL performance.</x:v>
      </x:c>
      <x:c r="L421" s="17" t="str">
        <x:v>http://arxiv.org/abs/2209.05724v2</x:v>
      </x:c>
      <x:c r="M421" s="23" t="n">
        <x:v>0.03149801587301587</x:v>
      </x:c>
      <x:c r="N421" s="17" t="str">
        <x:v>arxiv-paper-eval-20260726-140242-results.jsonl</x:v>
      </x:c>
      <x:c r="O421" s="24" t="str">
        <x:v>2</x:v>
      </x:c>
      <x:c r="P421" s="28" t="str">
        <x:v>直接研究梯度泄露重构攻击及其防御。</x:v>
      </x:c>
      <x:c r="Q421" s="25" t="str"/>
      <x:c r="R421" s="24" t="str">
        <x:f>IF(Q421&lt;&gt;"",Q421,O421)</x:f>
        <x:v>2</x:v>
      </x:c>
      <x:c r="S421" s="29" t="str"/>
    </x:row>
    <x:row r="422" ht="54" customHeight="1">
      <x:c r="A422" s="17" t="str">
        <x:v>csq022-r06</x:v>
      </x:c>
      <x:c r="B422" s="17" t="str">
        <x:v>csq022</x:v>
      </x:c>
      <x:c r="C422" s="17" t="str">
        <x:v>security_and_privacy</x:v>
      </x:c>
      <x:c r="D422" s="17" t="str">
        <x:v>federated_learning_security</x:v>
      </x:c>
      <x:c r="E422" s="27" t="str">
        <x:v>What security and privacy attacks against federated learning have been demonstrated, and which proposed defenses remain limited under adaptive attackers?</x:v>
      </x:c>
      <x:c r="F422" s="22" t="n">
        <x:v>6</x:v>
      </x:c>
      <x:c r="G422" s="17" t="str">
        <x:v>arXiv:2009.11248</x:v>
      </x:c>
      <x:c r="H422" s="27" t="str">
        <x:v>FastSecAgg: Scalable Secure Aggregation for Privacy-Preserving Federated Learning</x:v>
      </x:c>
      <x:c r="I422" s="17" t="str">
        <x:v>Swanand Kadhe; Nived Rajaraman; O. Ozan Koyluoglu; Kannan Ramchandran</x:v>
      </x:c>
      <x:c r="J422" s="22" t="n">
        <x:v>2020</x:v>
      </x:c>
      <x:c r="K422" s="27" t="str">
        <x:v>Recent attacks on federated learning demonstrate that keeping the training data on clients' devices does not provide sufficient privacy, as the model parameters shared by clients can leak information about their training data. A 'secure aggregation' protocol enables the server to aggregate clients' models in a privacy-preserving manner. However, existing secure aggregation protocols incur high computation/communication costs, especially when the number of model parameters is larger than the number of clients participating in an iteration -- a typical scenario in federated learning. In this paper, we propose a secure aggregation protocol, FastSecAgg, that is efficient in terms of computation and communication, and robust to client dropouts. The main building block of FastSecAgg is a novel multi-secret sharing scheme, FastShare, based on the Fast Fourier Transform (FFT), which may be of independent interest. FastShare is information-theoretically secure, and achieves a trade-off between the number of secrets, privacy threshold, and dropout tolerance. Riding on the capabilities of FastShare, we prove that FastSecAgg is (i) secure against the server colluding with 'any' subset of some constant fraction (e.g. $\sim10\%$) of the clients in the honest-but-curious setting; and (ii) tolerates dropouts of a 'random' subset of some constant fraction (e.g. $\sim10\%$) of the clients. FastSecAgg achieves significantly smaller computation cost than existing schemes while achieving the same (orderwise) communication cost. In addition, it guarantees security against adaptive adversaries, which can perform client corruptions dynamically during the execution of the protocol.</x:v>
      </x:c>
      <x:c r="L422" s="17" t="str">
        <x:v>http://arxiv.org/abs/2009.11248v1</x:v>
      </x:c>
      <x:c r="M422" s="23" t="n">
        <x:v>0.03128054740957967</x:v>
      </x:c>
      <x:c r="N422" s="17" t="str">
        <x:v>arxiv-paper-eval-20260726-140242-results.jsonl</x:v>
      </x:c>
      <x:c r="O422" s="24" t="str">
        <x:v>2</x:v>
      </x:c>
      <x:c r="P422" s="28" t="str">
        <x:v>针对参数泄露风险提出安全聚合防御，直接覆盖隐私威胁与对策。</x:v>
      </x:c>
      <x:c r="Q422" s="25" t="str"/>
      <x:c r="R422" s="24" t="str">
        <x:f>IF(Q422&lt;&gt;"",Q422,O422)</x:f>
        <x:v>2</x:v>
      </x:c>
      <x:c r="S422" s="29" t="str"/>
    </x:row>
    <x:row r="423" ht="54" customHeight="1">
      <x:c r="A423" s="17" t="str">
        <x:v>csq022-r07</x:v>
      </x:c>
      <x:c r="B423" s="17" t="str">
        <x:v>csq022</x:v>
      </x:c>
      <x:c r="C423" s="17" t="str">
        <x:v>security_and_privacy</x:v>
      </x:c>
      <x:c r="D423" s="17" t="str">
        <x:v>federated_learning_security</x:v>
      </x:c>
      <x:c r="E423" s="27" t="str">
        <x:v>What security and privacy attacks against federated learning have been demonstrated, and which proposed defenses remain limited under adaptive attackers?</x:v>
      </x:c>
      <x:c r="F423" s="22" t="n">
        <x:v>7</x:v>
      </x:c>
      <x:c r="G423" s="17" t="str">
        <x:v>arXiv:2306.13273</x:v>
      </x:c>
      <x:c r="H423" s="27" t="str">
        <x:v>A First Order Meta Stackelberg Method for Robust Federated Learning (Technical Report)</x:v>
      </x:c>
      <x:c r="I423" s="17" t="str">
        <x:v>Henger Li; Tianyi Xu; Tao Li; Yunian Pan; Quanyan Zhu; Zizhan Zheng</x:v>
      </x:c>
      <x:c r="J423" s="22" t="n">
        <x:v>2023</x:v>
      </x:c>
      <x:c r="K423" s="27" t="str">
        <x:v>Recent research efforts indicate that federated learning (FL) systems are vulnerable to a variety of security breaches. While numerous defense strategies have been suggested, they are mainly designed to counter specific attack patterns and lack adaptability, rendering them less effective when facing uncertain or adaptive threats. This work models adversarial FL as a Bayesian Stackelberg Markov game (BSMG) between the defender and the attacker to address the lack of adaptability to uncertain adaptive attacks. We further devise an effective meta-learning technique to solve for the Stackelberg equilibrium, leading to a resilient and adaptable defense. The experiment results suggest that our meta-Stackelberg learning approach excels in combating intense model poisoning and backdoor attacks of indeterminate types.</x:v>
      </x:c>
      <x:c r="L423" s="17" t="str">
        <x:v>http://arxiv.org/abs/2306.13273v3</x:v>
      </x:c>
      <x:c r="M423" s="23" t="n">
        <x:v>0.03047794966520434</x:v>
      </x:c>
      <x:c r="N423" s="17" t="str">
        <x:v>arxiv-paper-eval-20260726-140242-results.jsonl</x:v>
      </x:c>
      <x:c r="O423" s="24" t="str">
        <x:v>2</x:v>
      </x:c>
      <x:c r="P423" s="28" t="str">
        <x:v>明确针对不确定和自适应攻击研究可适应的联邦学习防御。</x:v>
      </x:c>
      <x:c r="Q423" s="25" t="str"/>
      <x:c r="R423" s="24" t="str">
        <x:f>IF(Q423&lt;&gt;"",Q423,O423)</x:f>
        <x:v>2</x:v>
      </x:c>
      <x:c r="S423" s="29" t="str"/>
    </x:row>
    <x:row r="424" ht="54" customHeight="1">
      <x:c r="A424" s="17" t="str">
        <x:v>csq022-r08</x:v>
      </x:c>
      <x:c r="B424" s="17" t="str">
        <x:v>csq022</x:v>
      </x:c>
      <x:c r="C424" s="17" t="str">
        <x:v>security_and_privacy</x:v>
      </x:c>
      <x:c r="D424" s="17" t="str">
        <x:v>federated_learning_security</x:v>
      </x:c>
      <x:c r="E424" s="27" t="str">
        <x:v>What security and privacy attacks against federated learning have been demonstrated, and which proposed defenses remain limited under adaptive attackers?</x:v>
      </x:c>
      <x:c r="F424" s="22" t="n">
        <x:v>8</x:v>
      </x:c>
      <x:c r="G424" s="17" t="str">
        <x:v>arXiv:2107.09898</x:v>
      </x:c>
      <x:c r="H424" s="27" t="str">
        <x:v>Defending against Reconstruction Attack in Vertical Federated Learning</x:v>
      </x:c>
      <x:c r="I424" s="17" t="str">
        <x:v>Jiankai Sun; Yuanshun Yao; Weihao Gao; Junyuan Xie; Chong Wang</x:v>
      </x:c>
      <x:c r="J424" s="22" t="n">
        <x:v>2021</x:v>
      </x:c>
      <x:c r="K424" s="27" t="str">
        <x:v>Recently researchers have studied input leakage problems in Federated Learning (FL) where a malicious party can reconstruct sensitive training inputs provided by users from shared gradient. It raises concerns about FL since input leakage contradicts the privacy-preserving intention of using FL. Despite a relatively rich literature on attacks and defenses of input reconstruction in Horizontal FL, input leakage and protection in vertical FL starts to draw researcher's attention recently. In this paper, we study how to defend against input leakage attacks in Vertical FL. We design an adversarial training-based framework that contains three modules: adversarial reconstruction, noise regularization, and distance correlation minimization. Those modules can not only be employed individually but also applied together since they are independent to each other. Through extensive experiments on a large-scale industrial online advertising dataset, we show our framework is effective in protecting input privacy while retaining the model utility.</x:v>
      </x:c>
      <x:c r="L424" s="17" t="str">
        <x:v>http://arxiv.org/abs/2107.09898v1</x:v>
      </x:c>
      <x:c r="M424" s="23" t="n">
        <x:v>0.01639344262295082</x:v>
      </x:c>
      <x:c r="N424" s="17" t="str">
        <x:v>arxiv-paper-eval-20260726-140242-results.jsonl</x:v>
      </x:c>
      <x:c r="O424" s="24" t="str">
        <x:v>2</x:v>
      </x:c>
      <x:c r="P424" s="28" t="str">
        <x:v>直接研究垂直联邦学习输入重构攻击与防御。</x:v>
      </x:c>
      <x:c r="Q424" s="25" t="str"/>
      <x:c r="R424" s="24" t="str">
        <x:f>IF(Q424&lt;&gt;"",Q424,O424)</x:f>
        <x:v>2</x:v>
      </x:c>
      <x:c r="S424" s="29" t="str"/>
    </x:row>
    <x:row r="425" ht="54" customHeight="1">
      <x:c r="A425" s="17" t="str">
        <x:v>csq022-r09</x:v>
      </x:c>
      <x:c r="B425" s="17" t="str">
        <x:v>csq022</x:v>
      </x:c>
      <x:c r="C425" s="17" t="str">
        <x:v>security_and_privacy</x:v>
      </x:c>
      <x:c r="D425" s="17" t="str">
        <x:v>federated_learning_security</x:v>
      </x:c>
      <x:c r="E425" s="27" t="str">
        <x:v>What security and privacy attacks against federated learning have been demonstrated, and which proposed defenses remain limited under adaptive attackers?</x:v>
      </x:c>
      <x:c r="F425" s="22" t="n">
        <x:v>9</x:v>
      </x:c>
      <x:c r="G425" s="17" t="str">
        <x:v>arXiv:2306.09912</x:v>
      </x:c>
      <x:c r="H425" s="27" t="str">
        <x:v>Towards Quantum Federated Learning</x:v>
      </x:c>
      <x:c r="I425" s="17" t="str">
        <x:v>Chao Ren; Rudai Yan; Huihui Zhu; Han Yu; Minrui Xu; Yuan Shen; Yan Xu; Ming Xiao; Zhao Yang Dong; Mikael Skoglund; Dusit Niyato; Leong Chuan Kwek</x:v>
      </x:c>
      <x:c r="J425" s="22" t="n">
        <x:v>2023</x:v>
      </x:c>
      <x:c r="K425" s="27" t="str">
        <x:v>Quantum Federated Learning (QFL) is an emerging interdisciplinary field that merges the principles of Quantum Computing (QC) and Federated Learning (FL), with the goal of leveraging quantum technologies to enhance privacy, security, and efficiency in the learning process. Currently, there is no comprehensive survey for this interdisciplinary field. This review offers a thorough, holistic examination of QFL. We aim to provide a comprehensive understanding of the principles, techniques, and emerging applications of QFL. We discuss the current state of research in this rapidly evolving field, identify challenges and opportunities associated with integrating these technologies, and outline future directions and open research questions. We propose a unique taxonomy of QFL techniques, categorized according to their characteristics and the quantum techniques employed. As the field of QFL continues to progress, we can anticipate further breakthroughs and applications across various industries, driving innovation and addressing challenges related to data privacy, security, and resource optimization. This review serves as a first-of-its-kind comprehensive guide for researchers and practitioners interested in understanding and advancing the field of QFL.</x:v>
      </x:c>
      <x:c r="L425" s="17" t="str">
        <x:v>http://arxiv.org/abs/2306.09912v4</x:v>
      </x:c>
      <x:c r="M425" s="23" t="n">
        <x:v>0.016129032258064516</x:v>
      </x:c>
      <x:c r="N425" s="17" t="str">
        <x:v>arxiv-paper-eval-20260726-140242-results.jsonl</x:v>
      </x:c>
      <x:c r="O425" s="24" t="str">
        <x:v>1</x:v>
      </x:c>
      <x:c r="P425" s="28" t="str">
        <x:v>量子联邦学习综述仅宽泛涉及隐私安全，并非经典攻击及自适应防御评估。</x:v>
      </x:c>
      <x:c r="Q425" s="25" t="str"/>
      <x:c r="R425" s="24" t="str">
        <x:f>IF(Q425&lt;&gt;"",Q425,O425)</x:f>
        <x:v>1</x:v>
      </x:c>
      <x:c r="S425" s="29" t="str"/>
    </x:row>
    <x:row r="426" ht="54" customHeight="1">
      <x:c r="A426" s="17" t="str">
        <x:v>csq022-r10</x:v>
      </x:c>
      <x:c r="B426" s="17" t="str">
        <x:v>csq022</x:v>
      </x:c>
      <x:c r="C426" s="17" t="str">
        <x:v>security_and_privacy</x:v>
      </x:c>
      <x:c r="D426" s="17" t="str">
        <x:v>federated_learning_security</x:v>
      </x:c>
      <x:c r="E426" s="27" t="str">
        <x:v>What security and privacy attacks against federated learning have been demonstrated, and which proposed defenses remain limited under adaptive attackers?</x:v>
      </x:c>
      <x:c r="F426" s="22" t="n">
        <x:v>10</x:v>
      </x:c>
      <x:c r="G426" s="17" t="str">
        <x:v>arXiv:2305.01267</x:v>
      </x:c>
      <x:c r="H426" s="27" t="str">
        <x:v>DABS: Data-Agnostic Backdoor attack at the Server in Federated Learning</x:v>
      </x:c>
      <x:c r="I426" s="17" t="str">
        <x:v>Wenqiang Sun; Sen Li; Yuchang Sun; Jun Zhang</x:v>
      </x:c>
      <x:c r="J426" s="22" t="n">
        <x:v>2023</x:v>
      </x:c>
      <x:c r="K426" s="27" t="str">
        <x:v>Federated learning (FL) attempts to train a global model by aggregating local models from distributed devices under the coordination of a central server. However, the existence of a large number of heterogeneous devices makes FL vulnerable to various attacks, especially the stealthy backdoor attack. Backdoor attack aims to trick a neural network to misclassify data to a target label by injecting specific triggers while keeping correct predictions on original training data. Existing works focus on client-side attacks which try to poison the global model by modifying the local datasets. In this work, we propose a new attack model for FL, namely Data-Agnostic Backdoor attack at the Server (DABS), where the server directly modifies the global model to backdoor an FL system. Extensive simulation results show that this attack scheme achieves a higher attack success rate compared with baseline methods while maintaining normal accuracy on the clean data.</x:v>
      </x:c>
      <x:c r="L426" s="17" t="str">
        <x:v>http://arxiv.org/abs/2305.01267v1</x:v>
      </x:c>
      <x:c r="M426" s="23" t="n">
        <x:v>0.016129032258064516</x:v>
      </x:c>
      <x:c r="N426" s="17" t="str">
        <x:v>arxiv-paper-eval-20260726-140242-results.jsonl</x:v>
      </x:c>
      <x:c r="O426" s="24" t="str">
        <x:v>2</x:v>
      </x:c>
      <x:c r="P426" s="28" t="str">
        <x:v>直接提出服务器侧数据无关后门攻击。</x:v>
      </x:c>
      <x:c r="Q426" s="25" t="str"/>
      <x:c r="R426" s="24" t="str">
        <x:f>IF(Q426&lt;&gt;"",Q426,O426)</x:f>
        <x:v>2</x:v>
      </x:c>
      <x:c r="S426" s="29" t="str"/>
    </x:row>
    <x:row r="427" ht="54" customHeight="1">
      <x:c r="A427" s="17" t="str">
        <x:v>csq022-r11</x:v>
      </x:c>
      <x:c r="B427" s="17" t="str">
        <x:v>csq022</x:v>
      </x:c>
      <x:c r="C427" s="17" t="str">
        <x:v>security_and_privacy</x:v>
      </x:c>
      <x:c r="D427" s="17" t="str">
        <x:v>federated_learning_security</x:v>
      </x:c>
      <x:c r="E427" s="27" t="str">
        <x:v>What security and privacy attacks against federated learning have been demonstrated, and which proposed defenses remain limited under adaptive attackers?</x:v>
      </x:c>
      <x:c r="F427" s="22" t="n">
        <x:v>11</x:v>
      </x:c>
      <x:c r="G427" s="17" t="str">
        <x:v>arXiv:2508.13730</x:v>
      </x:c>
      <x:c r="H427" s="27" t="str">
        <x:v>On the Security and Privacy of Federated Learning: A Survey with Attacks, Defenses, Frameworks, Applications, and Future Directions</x:v>
      </x:c>
      <x:c r="I427" s="17" t="str">
        <x:v>Daniel M. Jimenez-Gutierrez; Yelizaveta Falkouskaya; Jose L. Hernandez-Ramos; Aris Anagnostopoulos; Ioannis Chatzigiannakis; Andrea Vitaletti</x:v>
      </x:c>
      <x:c r="J427" s="22" t="n">
        <x:v>2025</x:v>
      </x:c>
      <x:c r="K427" s="27" t="str">
        <x:v>Federated Learning (FL) is an emerging distributed machine learning paradigm enabling multiple clients to train a global model collaboratively without sharing their raw data. While FL enhances data privacy by design, it remains vulnerable to various security and privacy threats. This survey provides a comprehensive overview of more than 200 papers regarding the state-of-the-art attacks and defense mechanisms developed to address these challenges, categorizing them into security-enhancing and privacy-preserving techniques. Security-enhancing methods aim to improve FL robustness against malicious behaviors such as byzantine attacks, poisoning, and Sybil attacks. At the same time, privacy-preserving techniques focus on protecting sensitive data through cryptographic approaches, differential privacy, and secure aggregation. We critically analyze the strengths and limitations of existing methods, highlight the trade-offs between privacy, security, and model performance, and discuss the implications of non-IID data distributions on the effectiveness of these defenses. Furthermore, we identify open research challenges and future directions, including the need for scalable, adaptive, and energy-efficient solutions operating in dynamic and heterogeneous FL environments. Our survey aims to guide researchers and practitioners in developing robust and privacy-preserving FL systems, fostering advancements safeguarding collaborative learning frameworks' integrity and confidentiality.</x:v>
      </x:c>
      <x:c r="L427" s="17" t="str">
        <x:v>http://arxiv.org/abs/2508.13730v1</x:v>
      </x:c>
      <x:c r="M427" s="23" t="n">
        <x:v>0.015873015873015872</x:v>
      </x:c>
      <x:c r="N427" s="17" t="str">
        <x:v>arxiv-paper-eval-20260726-140242-results.jsonl</x:v>
      </x:c>
      <x:c r="O427" s="24" t="str">
        <x:v>2</x:v>
      </x:c>
      <x:c r="P427" s="28" t="str">
        <x:v>系统综述联邦学习安全与隐私攻击、各类防御及其局限。</x:v>
      </x:c>
      <x:c r="Q427" s="25" t="str"/>
      <x:c r="R427" s="24" t="str">
        <x:f>IF(Q427&lt;&gt;"",Q427,O427)</x:f>
        <x:v>2</x:v>
      </x:c>
      <x:c r="S427" s="29" t="str"/>
    </x:row>
    <x:row r="428" ht="54" customHeight="1">
      <x:c r="A428" s="17" t="str">
        <x:v>csq022-r12</x:v>
      </x:c>
      <x:c r="B428" s="17" t="str">
        <x:v>csq022</x:v>
      </x:c>
      <x:c r="C428" s="17" t="str">
        <x:v>security_and_privacy</x:v>
      </x:c>
      <x:c r="D428" s="17" t="str">
        <x:v>federated_learning_security</x:v>
      </x:c>
      <x:c r="E428" s="27" t="str">
        <x:v>What security and privacy attacks against federated learning have been demonstrated, and which proposed defenses remain limited under adaptive attackers?</x:v>
      </x:c>
      <x:c r="F428" s="22" t="n">
        <x:v>12</x:v>
      </x:c>
      <x:c r="G428" s="17" t="str">
        <x:v>arXiv:2404.11905</x:v>
      </x:c>
      <x:c r="H428" s="27" t="str">
        <x:v>FedMID: A Data-Free Method for Using Intermediate Outputs as a Defense Mechanism Against Poisoning Attacks in Federated Learning</x:v>
      </x:c>
      <x:c r="I428" s="17" t="str">
        <x:v>Sungwon Han; Hyeonho Song; Sungwon Park; Meeyoung Cha</x:v>
      </x:c>
      <x:c r="J428" s="22" t="n">
        <x:v>2024</x:v>
      </x:c>
      <x:c r="K428" s="27" t="str">
        <x:v>Federated learning combines local updates from clients to produce a global model, which is susceptible to poisoning attacks. Most previous defense strategies relied on vectors derived from projections of local updates on a Euclidean space; however, these methods fail to accurately represent the functionality and structure of local models, resulting in inconsistent performance. Here, we present a new paradigm to defend against poisoning attacks in federated learning using functional mappings of local models based on intermediate outputs. Experiments show that our mechanism is robust under a broad range of computing conditions and advanced attack scenarios, enabling safer collaboration among data-sensitive participants via federated learning.</x:v>
      </x:c>
      <x:c r="L428" s="17" t="str">
        <x:v>http://arxiv.org/abs/2404.11905v1</x:v>
      </x:c>
      <x:c r="M428" s="23" t="n">
        <x:v>0.015873015873015872</x:v>
      </x:c>
      <x:c r="N428" s="17" t="str">
        <x:v>arxiv-paper-eval-20260726-140242-results.jsonl</x:v>
      </x:c>
      <x:c r="O428" s="24" t="str">
        <x:v>2</x:v>
      </x:c>
      <x:c r="P428" s="28" t="str">
        <x:v>直接提出并在高级投毒场景下评估防御机制。</x:v>
      </x:c>
      <x:c r="Q428" s="25" t="str"/>
      <x:c r="R428" s="24" t="str">
        <x:f>IF(Q428&lt;&gt;"",Q428,O428)</x:f>
        <x:v>2</x:v>
      </x:c>
      <x:c r="S428" s="29" t="str"/>
    </x:row>
    <x:row r="429" ht="54" customHeight="1">
      <x:c r="A429" s="17" t="str">
        <x:v>csq022-r13</x:v>
      </x:c>
      <x:c r="B429" s="17" t="str">
        <x:v>csq022</x:v>
      </x:c>
      <x:c r="C429" s="17" t="str">
        <x:v>security_and_privacy</x:v>
      </x:c>
      <x:c r="D429" s="17" t="str">
        <x:v>federated_learning_security</x:v>
      </x:c>
      <x:c r="E429" s="27" t="str">
        <x:v>What security and privacy attacks against federated learning have been demonstrated, and which proposed defenses remain limited under adaptive attackers?</x:v>
      </x:c>
      <x:c r="F429" s="22" t="n">
        <x:v>13</x:v>
      </x:c>
      <x:c r="G429" s="17" t="str">
        <x:v>arXiv:1812.00910</x:v>
      </x:c>
      <x:c r="H429" s="27" t="str">
        <x:v>Comprehensive Privacy Analysis of Deep Learning: Passive and Active White-box Inference Attacks against Centralized and Federated Learning</x:v>
      </x:c>
      <x:c r="I429" s="17" t="str">
        <x:v>Milad Nasr; Reza Shokri; Amir Houmansadr</x:v>
      </x:c>
      <x:c r="J429" s="22" t="n">
        <x:v>2018</x:v>
      </x:c>
      <x:c r="K429" s="27" t="str">
        <x:v>Deep neural networks are susceptible to various inference attacks as they remember information about their training data. We design white-box inference attacks to perform a comprehensive privacy analysis of deep learning models. We measure the privacy leakage through parameters of fully trained models as well as the parameter updates of models during training. We design inference algorithms for both centralized and federated learning, with respect to passive and active inference attackers, and assuming different adversary prior knowledge. We evaluate our novel white-box membership inference attacks against deep learning algorithms to trace their training data records. We show that a straightforward extension of the known black-box attacks to the white-box setting (through analyzing the outputs of activation functions) is ineffective. We therefore design new algorithms tailored to the white-box setting by exploiting the privacy vulnerabilities of the stochastic gradient descent algorithm, which is the algorithm used to train deep neural networks. We investigate the reasons why deep learning models may leak information about their training data. We then show that even well-generalized models are significantly susceptible to white-box membership inference attacks, by analyzing state-of-the-art pre-trained and publicly available models for the CIFAR dataset. We also show how adversarial participants, in the federated learning setting, can successfully run active membership inference attacks against other participants, even when the global model achieves high prediction accuracies.</x:v>
      </x:c>
      <x:c r="L429" s="17" t="str">
        <x:v>http://arxiv.org/abs/1812.00910v2</x:v>
      </x:c>
      <x:c r="M429" s="23" t="n">
        <x:v>0.015873015873015872</x:v>
      </x:c>
      <x:c r="N429" s="17" t="str">
        <x:v>arxiv-paper-eval-20260726-140242-results.jsonl</x:v>
      </x:c>
      <x:c r="O429" s="24" t="str">
        <x:v>2</x:v>
      </x:c>
      <x:c r="P429" s="28" t="str">
        <x:v>直接研究集中式和联邦学习中的主动、被动白盒推断攻击。</x:v>
      </x:c>
      <x:c r="Q429" s="25" t="str"/>
      <x:c r="R429" s="24" t="str">
        <x:f>IF(Q429&lt;&gt;"",Q429,O429)</x:f>
        <x:v>2</x:v>
      </x:c>
      <x:c r="S429" s="29" t="str"/>
    </x:row>
    <x:row r="430" ht="54" customHeight="1">
      <x:c r="A430" s="17" t="str">
        <x:v>csq022-r14</x:v>
      </x:c>
      <x:c r="B430" s="17" t="str">
        <x:v>csq022</x:v>
      </x:c>
      <x:c r="C430" s="17" t="str">
        <x:v>security_and_privacy</x:v>
      </x:c>
      <x:c r="D430" s="17" t="str">
        <x:v>federated_learning_security</x:v>
      </x:c>
      <x:c r="E430" s="27" t="str">
        <x:v>What security and privacy attacks against federated learning have been demonstrated, and which proposed defenses remain limited under adaptive attackers?</x:v>
      </x:c>
      <x:c r="F430" s="22" t="n">
        <x:v>14</x:v>
      </x:c>
      <x:c r="G430" s="17" t="str">
        <x:v>arXiv:2302.13473</x:v>
      </x:c>
      <x:c r="H430" s="27" t="str">
        <x:v>Towards Interpretable Federated Learning</x:v>
      </x:c>
      <x:c r="I430" s="17" t="str">
        <x:v>Anran Li; Rui Liu; Ming Hu; Yuanyuan Chen; Shipeng Wang; Lizhen Cui; Han Yu</x:v>
      </x:c>
      <x:c r="J430" s="22" t="n">
        <x:v>2023</x:v>
      </x:c>
      <x:c r="K430" s="27" t="str">
        <x:v>Federated learning (FL) enables multiple data owners to build machine learning models collaboratively without exposing their private local data. In order for FL to achieve widespread adoption, it is important to balance the need for performance, privacy-preservation and interpretability, especially in mission critical applications such as finance and healthcare. Thus, interpretable federated learning (IFL) has become an emerging topic of research attracting significant interest from the academia and the industry alike. Its interdisciplinary nature can be challenging for new researchers to pick up. In this paper, we bridge this gap by providing (to the best of our knowledge) the first survey on IFL. We propose a unique IFL taxonomy which covers relevant works enabling FL models to explain the prediction results, support model debugging, and provide insights into the contributions made by individual data owners or data samples, which in turn, is crucial for allocating rewards fairly to motivate active and reliable participation in FL. We conduct comprehensive analysis of the representative IFL approaches, the commonly adopted performance evaluation metrics, and promising directions towards building versatile IFL techniques.</x:v>
      </x:c>
      <x:c r="L430" s="17" t="str">
        <x:v>http://arxiv.org/abs/2302.13473v2</x:v>
      </x:c>
      <x:c r="M430" s="23" t="n">
        <x:v>0.015625</x:v>
      </x:c>
      <x:c r="N430" s="17" t="str">
        <x:v>arxiv-paper-eval-20260726-140242-results.jsonl</x:v>
      </x:c>
      <x:c r="O430" s="24" t="str">
        <x:v>0</x:v>
      </x:c>
      <x:c r="P430" s="28" t="str">
        <x:v>重点是联邦学习可解释性，未实质讨论安全隐私攻击或自适应防御。</x:v>
      </x:c>
      <x:c r="Q430" s="25" t="str"/>
      <x:c r="R430" s="24" t="str">
        <x:f>IF(Q430&lt;&gt;"",Q430,O430)</x:f>
        <x:v>0</x:v>
      </x:c>
      <x:c r="S430" s="29" t="str"/>
    </x:row>
    <x:row r="431" ht="54" customHeight="1">
      <x:c r="A431" s="17" t="str">
        <x:v>csq022-r15</x:v>
      </x:c>
      <x:c r="B431" s="17" t="str">
        <x:v>csq022</x:v>
      </x:c>
      <x:c r="C431" s="17" t="str">
        <x:v>security_and_privacy</x:v>
      </x:c>
      <x:c r="D431" s="17" t="str">
        <x:v>federated_learning_security</x:v>
      </x:c>
      <x:c r="E431" s="27" t="str">
        <x:v>What security and privacy attacks against federated learning have been demonstrated, and which proposed defenses remain limited under adaptive attackers?</x:v>
      </x:c>
      <x:c r="F431" s="22" t="n">
        <x:v>15</x:v>
      </x:c>
      <x:c r="G431" s="17" t="str">
        <x:v>arXiv:2310.11594</x:v>
      </x:c>
      <x:c r="H431" s="27" t="str">
        <x:v>Adversarial Robustness Unhardening via Backdoor Attacks in Federated Learning</x:v>
      </x:c>
      <x:c r="I431" s="17" t="str">
        <x:v>Taejin Kim; Jiarui Li; Shubhranshu Singh; Nikhil Madaan; Carlee Joe-Wong</x:v>
      </x:c>
      <x:c r="J431" s="22" t="n">
        <x:v>2023</x:v>
      </x:c>
      <x:c r="K431" s="27" t="str">
        <x:v>The delicate equilibrium between user privacy and the ability to unleash the potential of distributed data is an important concern. Federated learning, which enables the training of collaborative models without sharing of data, has emerged as a privacy-centric solution. This approach brings forth security challenges, notably poisoning and backdoor attacks where malicious entities inject corrupted data into the training process, as well as evasion attacks that aim to induce misclassifications at test time. Our research investigates the intersection of adversarial training, a common defense method against evasion attacks, and backdoor attacks within federated learning. We introduce Adversarial Robustness Unhardening (ARU), which is employed by a subset of adversarial clients to intentionally undermine model robustness during federated training, rendering models susceptible to a broader range of evasion attacks. We present extensive experiments evaluating ARU's impact on adversarial training and existing robust aggregation defenses against poisoning and backdoor attacks. Our results show that ARU can substantially undermine adversarial training's ability to harden models against test-time evasion attacks, and that adversaries employing ARU can even evade robust aggregation defenses that often neutralize poisoning or backdoor attacks.</x:v>
      </x:c>
      <x:c r="L431" s="17" t="str">
        <x:v>http://arxiv.org/abs/2310.11594v3</x:v>
      </x:c>
      <x:c r="M431" s="23" t="n">
        <x:v>0.015625</x:v>
      </x:c>
      <x:c r="N431" s="17" t="str">
        <x:v>arxiv-paper-eval-20260726-140242-results.jsonl</x:v>
      </x:c>
      <x:c r="O431" s="24" t="str">
        <x:v>2</x:v>
      </x:c>
      <x:c r="P431" s="28" t="str">
        <x:v>直接研究联邦学习中后门攻击对抗对抗训练防御的影响。</x:v>
      </x:c>
      <x:c r="Q431" s="25" t="str"/>
      <x:c r="R431" s="24" t="str">
        <x:f>IF(Q431&lt;&gt;"",Q431,O431)</x:f>
        <x:v>2</x:v>
      </x:c>
      <x:c r="S431" s="29" t="str"/>
    </x:row>
    <x:row r="432" ht="54" customHeight="1">
      <x:c r="A432" s="17" t="str">
        <x:v>csq022-r16</x:v>
      </x:c>
      <x:c r="B432" s="17" t="str">
        <x:v>csq022</x:v>
      </x:c>
      <x:c r="C432" s="17" t="str">
        <x:v>security_and_privacy</x:v>
      </x:c>
      <x:c r="D432" s="17" t="str">
        <x:v>federated_learning_security</x:v>
      </x:c>
      <x:c r="E432" s="27" t="str">
        <x:v>What security and privacy attacks against federated learning have been demonstrated, and which proposed defenses remain limited under adaptive attackers?</x:v>
      </x:c>
      <x:c r="F432" s="22" t="n">
        <x:v>16</x:v>
      </x:c>
      <x:c r="G432" s="17" t="str">
        <x:v>arXiv:2210.10880</x:v>
      </x:c>
      <x:c r="H432" s="27" t="str">
        <x:v>Learning to Invert: Simple Adaptive Attacks for Gradient Inversion in Federated Learning</x:v>
      </x:c>
      <x:c r="I432" s="17" t="str">
        <x:v>Ruihan Wu; Xiangyu Chen; Chuan Guo; Kilian Q. Weinberger</x:v>
      </x:c>
      <x:c r="J432" s="22" t="n">
        <x:v>2022</x:v>
      </x:c>
      <x:c r="K432" s="27" t="str">
        <x:v>Gradient inversion attack enables recovery of training samples from model gradients in federated learning (FL), and constitutes a serious threat to data privacy. To mitigate this vulnerability, prior work proposed both principled defenses based on differential privacy, as well as heuristic defenses based on gradient compression as countermeasures. These defenses have so far been very effective, in particular those based on gradient compression that allow the model to maintain high accuracy while greatly reducing the effectiveness of attacks. In this work, we argue that such findings underestimate the privacy risk in FL. As a counterexample, we show that existing defenses can be broken by a simple adaptive attack, where a model trained on auxiliary data is able to invert gradients on both vision and language tasks.</x:v>
      </x:c>
      <x:c r="L432" s="17" t="str">
        <x:v>http://arxiv.org/abs/2210.10880v2</x:v>
      </x:c>
      <x:c r="M432" s="23" t="n">
        <x:v>0.015625</x:v>
      </x:c>
      <x:c r="N432" s="17" t="str">
        <x:v>arxiv-paper-eval-20260726-140242-results.jsonl</x:v>
      </x:c>
      <x:c r="O432" s="24" t="str">
        <x:v>2</x:v>
      </x:c>
      <x:c r="P432" s="28" t="str">
        <x:v>直接展示自适应梯度反演可破解压缩等既有防御。</x:v>
      </x:c>
      <x:c r="Q432" s="25" t="str"/>
      <x:c r="R432" s="24" t="str">
        <x:f>IF(Q432&lt;&gt;"",Q432,O432)</x:f>
        <x:v>2</x:v>
      </x:c>
      <x:c r="S432" s="29" t="str"/>
    </x:row>
    <x:row r="433" ht="54" customHeight="1">
      <x:c r="A433" s="17" t="str">
        <x:v>csq022-r17</x:v>
      </x:c>
      <x:c r="B433" s="17" t="str">
        <x:v>csq022</x:v>
      </x:c>
      <x:c r="C433" s="17" t="str">
        <x:v>security_and_privacy</x:v>
      </x:c>
      <x:c r="D433" s="17" t="str">
        <x:v>federated_learning_security</x:v>
      </x:c>
      <x:c r="E433" s="27" t="str">
        <x:v>What security and privacy attacks against federated learning have been demonstrated, and which proposed defenses remain limited under adaptive attackers?</x:v>
      </x:c>
      <x:c r="F433" s="22" t="n">
        <x:v>17</x:v>
      </x:c>
      <x:c r="G433" s="17" t="str">
        <x:v>arXiv:2504.03077</x:v>
      </x:c>
      <x:c r="H433" s="27" t="str">
        <x:v>Integrating Identity-Based Identification against Adaptive Adversaries in Federated Learning</x:v>
      </x:c>
      <x:c r="I433" s="17" t="str">
        <x:v>Jakub Kacper Szelag; Ji-Jian Chin; Lauren Ansell; Sook-Chin Yip</x:v>
      </x:c>
      <x:c r="J433" s="22" t="n">
        <x:v>2025</x:v>
      </x:c>
      <x:c r="K433" s="27" t="str">
        <x:v>Federated Learning (FL) has recently emerged as a promising paradigm for privacy-preserving, distributed machine learning. However, FL systems face significant security threats, particularly from adaptive adversaries capable of modifying their attack strategies to evade detection. One such threat is the presence of Reconnecting Malicious Clients (RMCs), which exploit FLs open connectivity by reconnecting to the system with modified attack strategies. To address this vulnerability, we propose integration of Identity-Based Identification (IBI) as a security measure within FL environments. By leveraging IBI, we enable FL systems to authenticate clients based on cryptographic identity schemes, effectively preventing previously disconnected malicious clients from re-entering the system. Our approach is implemented using the TNC-IBI (Tan-Ng-Chin) scheme over elliptic curves to ensure computational efficiency, particularly in resource-constrained environments like Internet of Things (IoT). Experimental results demonstrate that integrating IBI with secure aggregation algorithms, such as Krum and Trimmed Mean, significantly improves FL robustness by mitigating the impact of RMCs. We further discuss the broader implications of IBI in FL security, highlighting research directions for adaptive adversary detection, reputation-based mechanisms, and the applicability of identity-based cryptographic frameworks in decentralized FL architectures. Our findings advocate for a holistic approach to FL security, emphasizing the necessity of proactive defence strategies against evolving adaptive adversarial threats.</x:v>
      </x:c>
      <x:c r="L433" s="17" t="str">
        <x:v>http://arxiv.org/abs/2504.03077v1</x:v>
      </x:c>
      <x:c r="M433" s="23" t="n">
        <x:v>0.015384615384615385</x:v>
      </x:c>
      <x:c r="N433" s="17" t="str">
        <x:v>arxiv-paper-eval-20260726-140242-results.jsonl</x:v>
      </x:c>
      <x:c r="O433" s="24" t="str">
        <x:v>2</x:v>
      </x:c>
      <x:c r="P433" s="28" t="str">
        <x:v>直接针对会调整策略的自适应恶意客户端提出身份识别防御。</x:v>
      </x:c>
      <x:c r="Q433" s="25" t="str"/>
      <x:c r="R433" s="24" t="str">
        <x:f>IF(Q433&lt;&gt;"",Q433,O433)</x:f>
        <x:v>2</x:v>
      </x:c>
      <x:c r="S433" s="29" t="str"/>
    </x:row>
    <x:row r="434" ht="54" customHeight="1">
      <x:c r="A434" s="17" t="str">
        <x:v>csq022-r18</x:v>
      </x:c>
      <x:c r="B434" s="17" t="str">
        <x:v>csq022</x:v>
      </x:c>
      <x:c r="C434" s="17" t="str">
        <x:v>security_and_privacy</x:v>
      </x:c>
      <x:c r="D434" s="17" t="str">
        <x:v>federated_learning_security</x:v>
      </x:c>
      <x:c r="E434" s="27" t="str">
        <x:v>What security and privacy attacks against federated learning have been demonstrated, and which proposed defenses remain limited under adaptive attackers?</x:v>
      </x:c>
      <x:c r="F434" s="22" t="n">
        <x:v>18</x:v>
      </x:c>
      <x:c r="G434" s="17" t="str">
        <x:v>arXiv:2402.00342</x:v>
      </x:c>
      <x:c r="H434" s="27" t="str">
        <x:v>Survey of Privacy Threats and Countermeasures in Federated Learning</x:v>
      </x:c>
      <x:c r="I434" s="17" t="str">
        <x:v>Masahiro Hayashitani; Junki Mori; Isamu Teranishi</x:v>
      </x:c>
      <x:c r="J434" s="22" t="n">
        <x:v>2024</x:v>
      </x:c>
      <x:c r="K434" s="27" t="str">
        <x:v>Federated learning is widely considered to be as a privacy-aware learning method because no training data is exchanged directly between clients. Nevertheless, there are threats to privacy in federated learning, and privacy countermeasures have been studied. However, we note that common and unique privacy threats among typical types of federated learning have not been categorized and described in a comprehensive and specific way. In this paper, we describe privacy threats and countermeasures for the typical types of federated learning; horizontal federated learning, vertical federated learning, and transfer federated learning.</x:v>
      </x:c>
      <x:c r="L434" s="17" t="str">
        <x:v>http://arxiv.org/abs/2402.00342v2</x:v>
      </x:c>
      <x:c r="M434" s="23" t="n">
        <x:v>0.015384615384615385</x:v>
      </x:c>
      <x:c r="N434" s="17" t="str">
        <x:v>arxiv-paper-eval-20260726-140242-results.jsonl</x:v>
      </x:c>
      <x:c r="O434" s="24" t="str">
        <x:v>2</x:v>
      </x:c>
      <x:c r="P434" s="28" t="str">
        <x:v>系统梳理多类联邦学习隐私威胁及对应对策。</x:v>
      </x:c>
      <x:c r="Q434" s="25" t="str"/>
      <x:c r="R434" s="24" t="str">
        <x:f>IF(Q434&lt;&gt;"",Q434,O434)</x:f>
        <x:v>2</x:v>
      </x:c>
      <x:c r="S434" s="29" t="str"/>
    </x:row>
    <x:row r="435" ht="54" customHeight="1">
      <x:c r="A435" s="17" t="str">
        <x:v>csq022-r19</x:v>
      </x:c>
      <x:c r="B435" s="17" t="str">
        <x:v>csq022</x:v>
      </x:c>
      <x:c r="C435" s="17" t="str">
        <x:v>security_and_privacy</x:v>
      </x:c>
      <x:c r="D435" s="17" t="str">
        <x:v>federated_learning_security</x:v>
      </x:c>
      <x:c r="E435" s="27" t="str">
        <x:v>What security and privacy attacks against federated learning have been demonstrated, and which proposed defenses remain limited under adaptive attackers?</x:v>
      </x:c>
      <x:c r="F435" s="22" t="n">
        <x:v>19</x:v>
      </x:c>
      <x:c r="G435" s="17" t="str">
        <x:v>arXiv:2301.08170</x:v>
      </x:c>
      <x:c r="H435" s="27" t="str">
        <x:v>On the Vulnerability of Backdoor Defenses for Federated Learning</x:v>
      </x:c>
      <x:c r="I435" s="17" t="str">
        <x:v>Pei Fang; Jinghui Chen</x:v>
      </x:c>
      <x:c r="J435" s="22" t="n">
        <x:v>2023</x:v>
      </x:c>
      <x:c r="K435" s="27" t="str">
        <x:v>Federated Learning (FL) is a popular distributed machine learning paradigm that enables jointly training a global model without sharing clients' data. However, its repetitive server-client communication gives room for backdoor attacks with aim to mislead the global model into a targeted misprediction when a specific trigger pattern is presented. In response to such backdoor threats on federated learning, various defense measures have been proposed. In this paper, we study whether the current defense mechanisms truly neutralize the backdoor threats from federated learning in a practical setting by proposing a new federated backdoor attack method for possible countermeasures. Different from traditional training (on triggered data) and rescaling (the malicious client model) based backdoor injection, the proposed backdoor attack framework (1) directly modifies (a small proportion of) local model weights to inject the backdoor trigger via sign flips; (2) jointly optimize the trigger pattern with the client model, thus is more persistent and stealthy for circumventing existing defenses. In a case study, we examine the strength and weaknesses of recent federated backdoor defenses from three major categories and provide suggestions to the practitioners when training federated models in practice.</x:v>
      </x:c>
      <x:c r="L435" s="17" t="str">
        <x:v>http://arxiv.org/abs/2301.08170v1</x:v>
      </x:c>
      <x:c r="M435" s="23" t="n">
        <x:v>0.015384615384615385</x:v>
      </x:c>
      <x:c r="N435" s="17" t="str">
        <x:v>arxiv-paper-eval-20260726-140242-results.jsonl</x:v>
      </x:c>
      <x:c r="O435" s="24" t="str">
        <x:v>2</x:v>
      </x:c>
      <x:c r="P435" s="28" t="str">
        <x:v>直接检验现有后门防御并以新攻击揭示其脆弱性。</x:v>
      </x:c>
      <x:c r="Q435" s="25" t="str"/>
      <x:c r="R435" s="24" t="str">
        <x:f>IF(Q435&lt;&gt;"",Q435,O435)</x:f>
        <x:v>2</x:v>
      </x:c>
      <x:c r="S435" s="29" t="str"/>
    </x:row>
    <x:row r="436" ht="54" customHeight="1">
      <x:c r="A436" s="17" t="str">
        <x:v>csq022-r20</x:v>
      </x:c>
      <x:c r="B436" s="17" t="str">
        <x:v>csq022</x:v>
      </x:c>
      <x:c r="C436" s="17" t="str">
        <x:v>security_and_privacy</x:v>
      </x:c>
      <x:c r="D436" s="17" t="str">
        <x:v>federated_learning_security</x:v>
      </x:c>
      <x:c r="E436" s="27" t="str">
        <x:v>What security and privacy attacks against federated learning have been demonstrated, and which proposed defenses remain limited under adaptive attackers?</x:v>
      </x:c>
      <x:c r="F436" s="22" t="n">
        <x:v>20</x:v>
      </x:c>
      <x:c r="G436" s="17" t="str">
        <x:v>arXiv:2508.18737</x:v>
      </x:c>
      <x:c r="H436" s="27" t="str">
        <x:v>FLAegis: A Two-Layer Defense Framework for Federated Learning Against Poisoning Attacks</x:v>
      </x:c>
      <x:c r="I436" s="17" t="str">
        <x:v>Enrique Mármol Campos; Aurora González Vidal; José Luis Hernández Ramos; Antonio Skarmeta</x:v>
      </x:c>
      <x:c r="J436" s="22" t="n">
        <x:v>2025</x:v>
      </x:c>
      <x:c r="K436" s="27" t="str">
        <x:v>Federated Learning (FL) has become a powerful technique for training Machine Learning (ML) models in a decentralized manner, preserving the privacy of the training datasets involved. However, the decentralized nature of FL limits the visibility of the training process, relying heavily on the honesty of participating clients. This assumption opens the door to malicious third parties, known as Byzantine clients, which can poison the training process by submitting false model updates. Such malicious clients may engage in poisoning attacks, manipulating either the dataset or the model parameters to induce misclassification. In response, this study introduces FLAegis, a two-stage defensive framework designed to identify Byzantine clients and improve the robustness of FL systems. Our approach leverages symbolic time series transformation (SAX) to amplify the differences between benign and malicious models, and spectral clustering, which enables accurate detection of adversarial behavior. Furthermore, we incorporate a robust FFT-based aggregation function as a final layer to mitigate the impact of those Byzantine clients that manage to evade prior defenses. We rigorously evaluate our method against five poisoning attacks, ranging from simple label flipping to adaptive optimization-based strategies. Notably, our approach outperforms state-of-the-art defenses in both detection precision and final model accuracy, maintaining consistently high performance even under strong adversarial conditions.</x:v>
      </x:c>
      <x:c r="L436" s="17" t="str">
        <x:v>http://arxiv.org/abs/2508.18737v1</x:v>
      </x:c>
      <x:c r="M436" s="23" t="n">
        <x:v>0.015151515151515152</x:v>
      </x:c>
      <x:c r="N436" s="17" t="str">
        <x:v>arxiv-paper-eval-20260726-140242-results.jsonl</x:v>
      </x:c>
      <x:c r="O436" s="24" t="str">
        <x:v>2</x:v>
      </x:c>
      <x:c r="P436" s="28" t="str">
        <x:v>直接提出针对拜占庭投毒的双层防御并进行评估。</x:v>
      </x:c>
      <x:c r="Q436" s="25" t="str"/>
      <x:c r="R436" s="24" t="str">
        <x:f>IF(Q436&lt;&gt;"",Q436,O436)</x:f>
        <x:v>2</x:v>
      </x:c>
      <x:c r="S436" s="29" t="str"/>
    </x:row>
    <x:row r="437" ht="54" customHeight="1">
      <x:c r="A437" s="17" t="str">
        <x:v>csq023-r01</x:v>
      </x:c>
      <x:c r="B437" s="17" t="str">
        <x:v>csq023</x:v>
      </x:c>
      <x:c r="C437" s="17" t="str">
        <x:v>software_engineering</x:v>
      </x:c>
      <x:c r="D437" s="17" t="str">
        <x:v>automated_program_repair</x:v>
      </x:c>
      <x:c r="E437" s="27" t="str">
        <x:v>What are the main neural and large-language-model-based approaches to automated program repair, and how do they generate and validate patches?</x:v>
      </x:c>
      <x:c r="F437" s="22" t="n">
        <x:v>1</x:v>
      </x:c>
      <x:c r="G437" s="17" t="str">
        <x:v>arXiv:2401.07994</x:v>
      </x:c>
      <x:c r="H437" s="27" t="str">
        <x:v>Assessing the Latent Automated Program Repair Capabilities of Large Language Models using Round-Trip Translation</x:v>
      </x:c>
      <x:c r="I437" s="17" t="str">
        <x:v>Fernando Vallecillos Ruiz; Anastasiia Grishina; Max Hort; Leon Moonen</x:v>
      </x:c>
      <x:c r="J437" s="22" t="n">
        <x:v>2024</x:v>
      </x:c>
      <x:c r="K437" s="27" t="str">
        <x:v>Research shows that errors in natural language can be corrected by translating texts to another language and back using language models. We explore to what extent this latent correction capability extends to Automated Program Repair (APR) by investigating Round-Trip Translation (RTT): translating code from one programming language into another programming or natural language and back, using Large Language Models (LLMs). We hypothesize that RTT restores patterns most commonly seen in the LLM's training corpora through regression toward the mean, replacing infrequent bugs with more frequent, natural, bug-free code. To test this hypothesis, we employ nine LLMs and four common APR benchmarks in Java, and perform a detailed quantitative and qualitative analysis of RTT-generated patches. We find that RTT through English generates plausible patches for 100 of 164 bugs with GPT-4 on the HumanEval-Java benchmark, and 97 are found to be correct in our manual assessment. Moreover, RTT uniquely generates plausible patches for 46 bugs that were missed by LLMs specifically fine-tuned for APR. While this demonstrates the viability of RTT for APR, we also observe limitations, such as a lower overall bug fix rate than the state-of-the-art and diluting the original coding style. We analyze the impact of these limitations and discuss the potential of using RTT as a complementary component in APR frameworks. A replication package is available for download from https://doi.org/10.5281/zenodo.10500593. Keywords: automated program repair, large language model, machine translation</x:v>
      </x:c>
      <x:c r="L437" s="17" t="str">
        <x:v>http://arxiv.org/abs/2401.07994v2</x:v>
      </x:c>
      <x:c r="M437" s="23" t="n">
        <x:v>0.04715356328259554</x:v>
      </x:c>
      <x:c r="N437" s="17" t="str">
        <x:v>arxiv-paper-eval-20260726-140242-results.jsonl</x:v>
      </x:c>
      <x:c r="O437" s="24" t="str">
        <x:v>2</x:v>
      </x:c>
      <x:c r="P437" s="28" t="str">
        <x:v>直接研究LLM通过往返翻译生成程序修复补丁并验证修复能力。</x:v>
      </x:c>
      <x:c r="Q437" s="25" t="str"/>
      <x:c r="R437" s="24" t="str">
        <x:f>IF(Q437&lt;&gt;"",Q437,O437)</x:f>
        <x:v>2</x:v>
      </x:c>
      <x:c r="S437" s="29" t="str"/>
    </x:row>
    <x:row r="438" ht="54" customHeight="1">
      <x:c r="A438" s="17" t="str">
        <x:v>csq023-r02</x:v>
      </x:c>
      <x:c r="B438" s="17" t="str">
        <x:v>csq023</x:v>
      </x:c>
      <x:c r="C438" s="17" t="str">
        <x:v>software_engineering</x:v>
      </x:c>
      <x:c r="D438" s="17" t="str">
        <x:v>automated_program_repair</x:v>
      </x:c>
      <x:c r="E438" s="27" t="str">
        <x:v>What are the main neural and large-language-model-based approaches to automated program repair, and how do they generate and validate patches?</x:v>
      </x:c>
      <x:c r="F438" s="22" t="n">
        <x:v>2</x:v>
      </x:c>
      <x:c r="G438" s="17" t="str">
        <x:v>arXiv:2506.13186</x:v>
      </x:c>
      <x:c r="H438" s="27" t="str">
        <x:v>Empirical Evaluation of Large Language Models in Automated Program Repair</x:v>
      </x:c>
      <x:c r="I438" s="17" t="str">
        <x:v>Jiajun Sun; Fengjie Li; Xinzhu Qi; Hongyu Zhang; Jiajun Jiang</x:v>
      </x:c>
      <x:c r="J438" s="22" t="n">
        <x:v>2025</x:v>
      </x:c>
      <x:c r="K438" s="27" t="str">
        <x:v>The increasing prevalence of software bugs has made automated program repair (APR) a key research focus. Large language models (LLMs) offer new opportunities for APR, but existing studies mostly rely on smaller, earlier-generation models and Java benchmarks. The repair capabilities of modern, large-scale LLMs across diverse languages and scenarios remain underexplored. To address this, we conduct a comprehensive empirical study of four open-source LLMs, CodeLlama, LLaMA, StarCoder, and DeepSeek-Coder, spanning 7B to 33B parameters, diverse architectures, and purposes. We evaluate them across two bug scenarios (enterprise-grades and algorithmic), three languages (Java, C/C++, Python), and four prompting strategies, analyzing over 600K generated patches on six benchmarks. Key findings include: (1) model specialization (e.g., CodeLlama) can outperform larger general-purpose models (e.g., LLaMA); (2) repair performance does not scale linearly with model size; (3) correct patches often appear early in generation; and (4) prompts significantly affect results. These insights offer practical guidance for designing effective and efficient LLM-based APR systems.</x:v>
      </x:c>
      <x:c r="L438" s="17" t="str">
        <x:v>http://arxiv.org/abs/2506.13186v1</x:v>
      </x:c>
      <x:c r="M438" s="23" t="n">
        <x:v>0.045934988518943745</x:v>
      </x:c>
      <x:c r="N438" s="17" t="str">
        <x:v>arxiv-paper-eval-20260726-140242-results.jsonl</x:v>
      </x:c>
      <x:c r="O438" s="24" t="str">
        <x:v>2</x:v>
      </x:c>
      <x:c r="P438" s="28" t="str">
        <x:v>直接评估多种LLM在自动程序修复中的补丁生成表现。</x:v>
      </x:c>
      <x:c r="Q438" s="25" t="str"/>
      <x:c r="R438" s="24" t="str">
        <x:f>IF(Q438&lt;&gt;"",Q438,O438)</x:f>
        <x:v>2</x:v>
      </x:c>
      <x:c r="S438" s="29" t="str"/>
    </x:row>
    <x:row r="439" ht="54" customHeight="1">
      <x:c r="A439" s="17" t="str">
        <x:v>csq023-r03</x:v>
      </x:c>
      <x:c r="B439" s="17" t="str">
        <x:v>csq023</x:v>
      </x:c>
      <x:c r="C439" s="17" t="str">
        <x:v>software_engineering</x:v>
      </x:c>
      <x:c r="D439" s="17" t="str">
        <x:v>automated_program_repair</x:v>
      </x:c>
      <x:c r="E439" s="27" t="str">
        <x:v>What are the main neural and large-language-model-based approaches to automated program repair, and how do they generate and validate patches?</x:v>
      </x:c>
      <x:c r="F439" s="22" t="n">
        <x:v>3</x:v>
      </x:c>
      <x:c r="G439" s="17" t="str">
        <x:v>arXiv:2406.05639</x:v>
      </x:c>
      <x:c r="H439" s="27" t="str">
        <x:v>Exploring Parameter-Efficient Fine-Tuning of Large Language Model on Automated Program Repair</x:v>
      </x:c>
      <x:c r="I439" s="17" t="str">
        <x:v>Guochang Li; Chen Zhi; Jialiang Chen; Junxiao Han; Shuiguang Deng</x:v>
      </x:c>
      <x:c r="J439" s="22" t="n">
        <x:v>2024</x:v>
      </x:c>
      <x:c r="K439" s="27" t="str">
        <x:v>Automated Program Repair (APR) aims to fix bugs by generating patches. And existing work has demonstrated that "pre-training and fine-tuning" paradigm enables Large Language Models (LLMs) improve fixing capabilities on APR. However, existing work mainly focuses on Full-Model Fine-Tuning (FMFT) for APR and limited research has been conducted on the execution-based evaluation of Parameter-Efficient Fine-Tuning (PEFT) for APR. Comparing to FMFT, PEFT can reduce computing resource consumption without compromising performance and has been widely adopted to other software engineering tasks. To fill this gap, we enhance the existing APR dataset by employing prompt engineering to create an instruction dataset, APR-INSTRUCTION, at first. Secondly, we fine-tune four pre-trained LLMs using four different PEFT methods with APR-INSTRUCTION. The best fine-tuned model fixes 58% more bugs than the state-of-the-art LLM-based APR techniques. The results also show that $(IA)^3$ improves the creativity of LLMs more effectively through fine-tuning and achieves the highest fixing capability compared to the other three PEFT methods. Thirdly, we explore the optimal configuration of PEFT hyperparameters, and assess the impact of instruction dataset size, showing that a larger number of parameters and a larger training dataset do not necessarily result in better performance for PEFT. Lastly, we analyze peak memory usage and trainable parameters to show the efficiency of PEFT. This work provides a comprehensive exploration of PEFT on APR and suggests potentially promising directions for extension to other software engineering downstream tasks. APR-INSTRUCTION, PEFT weights, and the fine-tuning code are publicly available as open-source resources.</x:v>
      </x:c>
      <x:c r="L439" s="17" t="str">
        <x:v>http://arxiv.org/abs/2406.05639v2</x:v>
      </x:c>
      <x:c r="M439" s="23" t="n">
        <x:v>0.044864612511671335</x:v>
      </x:c>
      <x:c r="N439" s="17" t="str">
        <x:v>arxiv-paper-eval-20260726-140242-results.jsonl</x:v>
      </x:c>
      <x:c r="O439" s="24" t="str">
        <x:v>2</x:v>
      </x:c>
      <x:c r="P439" s="28" t="str">
        <x:v>直接研究参数高效微调用于APR，并采用执行式评价补丁。</x:v>
      </x:c>
      <x:c r="Q439" s="25" t="str"/>
      <x:c r="R439" s="24" t="str">
        <x:f>IF(Q439&lt;&gt;"",Q439,O439)</x:f>
        <x:v>2</x:v>
      </x:c>
      <x:c r="S439" s="29" t="str"/>
    </x:row>
    <x:row r="440" ht="54" customHeight="1">
      <x:c r="A440" s="17" t="str">
        <x:v>csq023-r04</x:v>
      </x:c>
      <x:c r="B440" s="17" t="str">
        <x:v>csq023</x:v>
      </x:c>
      <x:c r="C440" s="17" t="str">
        <x:v>software_engineering</x:v>
      </x:c>
      <x:c r="D440" s="17" t="str">
        <x:v>automated_program_repair</x:v>
      </x:c>
      <x:c r="E440" s="27" t="str">
        <x:v>What are the main neural and large-language-model-based approaches to automated program repair, and how do they generate and validate patches?</x:v>
      </x:c>
      <x:c r="F440" s="22" t="n">
        <x:v>4</x:v>
      </x:c>
      <x:c r="G440" s="17" t="str">
        <x:v>arXiv:2301.13246</x:v>
      </x:c>
      <x:c r="H440" s="27" t="str">
        <x:v>Conversational Automated Program Repair</x:v>
      </x:c>
      <x:c r="I440" s="17" t="str">
        <x:v>Chunqiu Steven Xia; Lingming Zhang</x:v>
      </x:c>
      <x:c r="J440" s="22" t="n">
        <x:v>2023</x:v>
      </x:c>
      <x:c r="K440" s="27" t="str">
        <x:v>Automated Program Repair (APR) can help developers automatically generate patches for bugs. Due to the impressive performance obtained using Large Pre-Trained Language Models (LLMs) on many code related tasks, researchers have started to directly use LLMs for APR. However, prior approaches simply repeatedly sample the LLM given the same constructed input/prompt created from the original buggy code, which not only leads to generating the same incorrect patches repeatedly but also miss the critical information in testcases. To address these limitations, we propose conversational APR, a new paradigm for program repair that alternates between patch generation and validation in a conversational manner. In conversational APR, we iteratively build the input to the model by combining previously generated patches with validation feedback. As such, we leverage the long-term context window of LLMs to not only avoid generating previously incorrect patches but also incorporate validation feedback to help the model understand the semantic meaning of the program under test. We evaluate 10 different LLM including the newly developed ChatGPT model to demonstrate the improvement of conversational APR over the prior LLM for APR approach.</x:v>
      </x:c>
      <x:c r="L440" s="17" t="str">
        <x:v>http://arxiv.org/abs/2301.13246v1</x:v>
      </x:c>
      <x:c r="M440" s="23" t="n">
        <x:v>0.041998361998362</x:v>
      </x:c>
      <x:c r="N440" s="17" t="str">
        <x:v>arxiv-paper-eval-20260726-140242-results.jsonl</x:v>
      </x:c>
      <x:c r="O440" s="24" t="str">
        <x:v>2</x:v>
      </x:c>
      <x:c r="P440" s="28" t="str">
        <x:v>直接提出利用测试反馈迭代生成补丁的对话式APR。</x:v>
      </x:c>
      <x:c r="Q440" s="25" t="str"/>
      <x:c r="R440" s="24" t="str">
        <x:f>IF(Q440&lt;&gt;"",Q440,O440)</x:f>
        <x:v>2</x:v>
      </x:c>
      <x:c r="S440" s="29" t="str"/>
    </x:row>
    <x:row r="441" ht="54" customHeight="1">
      <x:c r="A441" s="17" t="str">
        <x:v>csq023-r05</x:v>
      </x:c>
      <x:c r="B441" s="17" t="str">
        <x:v>csq023</x:v>
      </x:c>
      <x:c r="C441" s="17" t="str">
        <x:v>software_engineering</x:v>
      </x:c>
      <x:c r="D441" s="17" t="str">
        <x:v>automated_program_repair</x:v>
      </x:c>
      <x:c r="E441" s="27" t="str">
        <x:v>What are the main neural and large-language-model-based approaches to automated program repair, and how do they generate and validate patches?</x:v>
      </x:c>
      <x:c r="F441" s="22" t="n">
        <x:v>5</x:v>
      </x:c>
      <x:c r="G441" s="17" t="str">
        <x:v>arXiv:2411.07586</x:v>
      </x:c>
      <x:c r="H441" s="27" t="str">
        <x:v>A Comprehensive Survey of AI-Driven Advancements and Techniques in Automated Program Repair and Code Generation</x:v>
      </x:c>
      <x:c r="I441" s="17" t="str">
        <x:v>Avinash Anand; Akshit Gupta; Nishchay Yadav; Shaurya Bajaj</x:v>
      </x:c>
      <x:c r="J441" s="22" t="n">
        <x:v>2024</x:v>
      </x:c>
      <x:c r="K441" s="27" t="str">
        <x:v>Bug fixing and code generation have been core research topics in software development for many years. The recent explosive growth in Large Language Models has completely transformed these spaces, putting in reach incredibly powerful tools for both. In this survey, 27 recent papers have been reviewed and split into two groups: one dedicated to Automated Program Repair (APR) and LLM integration and the other to code generation using LLMs. The first group consists of new methods for bug detection and repair, which include locating semantic errors, security vulnerabilities, and runtime failure bugs. The place of LLMs in reducing manual debugging efforts is emphasized in this work by APR toward context-aware fixes, with innovations that boost accuracy and efficiency in automatic debugging. The second group dwells on code generation, providing an overview of both general-purpose LLMs fine-tuned for programming and task-specific models. It also presents methods to improve code generation, such as identifier-aware training, fine-tuning at the instruction level, and incorporating semantic code structures. This survey work contrasts the methodologies in APR and code generation to identify trends such as using LLMs, feedback loops to enable iterative code improvement and open-source models. It also discusses the challenges of achieving functional correctness and security and outlines future directions for research in LLM-based software development.</x:v>
      </x:c>
      <x:c r="L441" s="17" t="str">
        <x:v>http://arxiv.org/abs/2411.07586v1</x:v>
      </x:c>
      <x:c r="M441" s="23" t="n">
        <x:v>0.03278688524590164</x:v>
      </x:c>
      <x:c r="N441" s="17" t="str">
        <x:v>arxiv-paper-eval-20260726-140242-results.jsonl</x:v>
      </x:c>
      <x:c r="O441" s="24" t="str">
        <x:v>2</x:v>
      </x:c>
      <x:c r="P441" s="28" t="str">
        <x:v>综述神经与LLM驱动的APR方法及其技术路线。</x:v>
      </x:c>
      <x:c r="Q441" s="25" t="str"/>
      <x:c r="R441" s="24" t="str">
        <x:f>IF(Q441&lt;&gt;"",Q441,O441)</x:f>
        <x:v>2</x:v>
      </x:c>
      <x:c r="S441" s="29" t="str"/>
    </x:row>
    <x:row r="442" ht="54" customHeight="1">
      <x:c r="A442" s="17" t="str">
        <x:v>csq023-r06</x:v>
      </x:c>
      <x:c r="B442" s="17" t="str">
        <x:v>csq023</x:v>
      </x:c>
      <x:c r="C442" s="17" t="str">
        <x:v>software_engineering</x:v>
      </x:c>
      <x:c r="D442" s="17" t="str">
        <x:v>automated_program_repair</x:v>
      </x:c>
      <x:c r="E442" s="27" t="str">
        <x:v>What are the main neural and large-language-model-based approaches to automated program repair, and how do they generate and validate patches?</x:v>
      </x:c>
      <x:c r="F442" s="22" t="n">
        <x:v>6</x:v>
      </x:c>
      <x:c r="G442" s="17" t="str">
        <x:v>arXiv:2507.19909</x:v>
      </x:c>
      <x:c r="H442" s="27" t="str">
        <x:v>The Impact of Fine-tuning Large Language Models on Automated Program Repair</x:v>
      </x:c>
      <x:c r="I442" s="17" t="str">
        <x:v>Roman Macháček; Anastasiia Grishina; Max Hort; Leon Moonen</x:v>
      </x:c>
      <x:c r="J442" s="22" t="n">
        <x:v>2025</x:v>
      </x:c>
      <x:c r="K442" s="27" t="str">
        <x:v>Automated Program Repair (APR) uses various tools and techniques to help developers achieve functional and error-free code faster. In recent years, Large Language Models (LLMs) have gained popularity as components in APR tool chains because of their performance and flexibility. However, training such models requires a significant amount of resources. Fine-tuning techniques have been developed to adapt pre-trained LLMs to specific tasks, such as APR, and enhance their performance at far lower computational costs than training from scratch. In this study, we empirically investigate the impact of various fine-tuning techniques on the performance of LLMs used for APR. Our experiments provide insights into the performance of a selection of state-of-the-art LLMs pre-trained on code. The evaluation is done on three popular APR benchmarks (i.e., QuixBugs, Defects4J and HumanEval-Java) and considers six different LLMs with varying parameter sizes (resp. CodeGen, CodeT5, StarCoder, DeepSeekCoder, Bloom, and CodeLlama-2). We consider three training regimens: no fine-tuning, full fine-tuning, and parameter-efficient fine-tuning (PEFT) using LoRA and IA3. We observe that full fine-tuning techniques decrease the benchmarking performance of various models due to different data distributions and overfitting. By using parameter-efficient fine-tuning methods, we restrict models in the amount of trainable parameters and achieve better results. Keywords: large language models, automated program repair, parameter-efficient fine-tuning, AI4Code, AI4SE, ML4SE.</x:v>
      </x:c>
      <x:c r="L442" s="17" t="str">
        <x:v>http://arxiv.org/abs/2507.19909v1</x:v>
      </x:c>
      <x:c r="M442" s="23" t="n">
        <x:v>0.03225806451612903</x:v>
      </x:c>
      <x:c r="N442" s="17" t="str">
        <x:v>arxiv-paper-eval-20260726-140242-results.jsonl</x:v>
      </x:c>
      <x:c r="O442" s="24" t="str">
        <x:v>2</x:v>
      </x:c>
      <x:c r="P442" s="28" t="str">
        <x:v>直接分析微调对LLM自动程序修复性能的影响。</x:v>
      </x:c>
      <x:c r="Q442" s="25" t="str"/>
      <x:c r="R442" s="24" t="str">
        <x:f>IF(Q442&lt;&gt;"",Q442,O442)</x:f>
        <x:v>2</x:v>
      </x:c>
      <x:c r="S442" s="29" t="str"/>
    </x:row>
    <x:row r="443" ht="54" customHeight="1">
      <x:c r="A443" s="17" t="str">
        <x:v>csq023-r07</x:v>
      </x:c>
      <x:c r="B443" s="17" t="str">
        <x:v>csq023</x:v>
      </x:c>
      <x:c r="C443" s="17" t="str">
        <x:v>software_engineering</x:v>
      </x:c>
      <x:c r="D443" s="17" t="str">
        <x:v>automated_program_repair</x:v>
      </x:c>
      <x:c r="E443" s="27" t="str">
        <x:v>What are the main neural and large-language-model-based approaches to automated program repair, and how do they generate and validate patches?</x:v>
      </x:c>
      <x:c r="F443" s="22" t="n">
        <x:v>7</x:v>
      </x:c>
      <x:c r="G443" s="17" t="str">
        <x:v>arXiv:2404.15236</x:v>
      </x:c>
      <x:c r="H443" s="27" t="str">
        <x:v>Revisiting Unnaturalness for Automated Program Repair in the Era of Large Language Models</x:v>
      </x:c>
      <x:c r="I443" s="17" t="str">
        <x:v>Aidan Z. H. Yang; Sophia Kolak; Vincent J. Hellendoorn; Ruben Martins; Claire Le Goues</x:v>
      </x:c>
      <x:c r="J443" s="22" t="n">
        <x:v>2024</x:v>
      </x:c>
      <x:c r="K443" s="27" t="str">
        <x:v>Language models have improved by orders of magnitude with the recent emergence of Transformer-based Large Language Models (LLMs). LLMs have demonstrated their ability to generate natural code that is highly similar to code written by professional developers. One intermediate value an LLM can emit is entropy, which measures the naturalness of a token of code. We hypothesize that entropy can be used to improve the performance of Automated Program Repair (APR) tasks. While much progress has been made in Automated Program Repair (APR), fault localization techniques suffer from a lack of diversity in ranking scores, patch generation tools tend to be inefficient as all tests need to run before determining if a patch is likely to be correct, and patch ranking often suffers from the test-suite over-fitting problem. However, using an LLM directly for APR introduces concerns for training data leakage. In this work, we introduce a novel way of using the entropy of LLMs in combination with prior APR tools to improve all stages of APR. We show that entropy is highly complementary with prior fault localization tools. Our proposed re-ranking method achieves a 50% Top-5 score improvement over SBFL. We propose a patch-naturalness measurement, entropy-delta, to improve the efficiency of template-based repair techniques by ranking plausible patches before undergoing testing. When using entropy-delta for patch ranking and classification, our proposed method can rank correct patches more effectively than state-of-the-art machine learning tools with an 49% improvement in Top-1. Our work suggests that LLMs can be an effective addition to compliment prior APR tasks while minimizing both the test-suite overfitting problem and the LLM data leakage problem.</x:v>
      </x:c>
      <x:c r="L443" s="17" t="str">
        <x:v>http://arxiv.org/abs/2404.15236v1</x:v>
      </x:c>
      <x:c r="M443" s="23" t="n">
        <x:v>0.031009615384615385</x:v>
      </x:c>
      <x:c r="N443" s="17" t="str">
        <x:v>arxiv-paper-eval-20260726-140242-results.jsonl</x:v>
      </x:c>
      <x:c r="O443" s="24" t="str">
        <x:v>2</x:v>
      </x:c>
      <x:c r="P443" s="28" t="str">
        <x:v>直接利用LLM熵改进故障定位与补丁生成流程。</x:v>
      </x:c>
      <x:c r="Q443" s="25" t="str"/>
      <x:c r="R443" s="24" t="str">
        <x:f>IF(Q443&lt;&gt;"",Q443,O443)</x:f>
        <x:v>2</x:v>
      </x:c>
      <x:c r="S443" s="29" t="str"/>
    </x:row>
    <x:row r="444" ht="54" customHeight="1">
      <x:c r="A444" s="17" t="str">
        <x:v>csq023-r08</x:v>
      </x:c>
      <x:c r="B444" s="17" t="str">
        <x:v>csq023</x:v>
      </x:c>
      <x:c r="C444" s="17" t="str">
        <x:v>software_engineering</x:v>
      </x:c>
      <x:c r="D444" s="17" t="str">
        <x:v>automated_program_repair</x:v>
      </x:c>
      <x:c r="E444" s="27" t="str">
        <x:v>What are the main neural and large-language-model-based approaches to automated program repair, and how do they generate and validate patches?</x:v>
      </x:c>
      <x:c r="F444" s="22" t="n">
        <x:v>8</x:v>
      </x:c>
      <x:c r="G444" s="17" t="str">
        <x:v>arXiv:2407.08958</x:v>
      </x:c>
      <x:c r="H444" s="27" t="str">
        <x:v>Towards Practical and Useful Automated Program Repair for Debugging</x:v>
      </x:c>
      <x:c r="I444" s="17" t="str">
        <x:v>Qi Xin; Haojun Wu; Steven P. Reiss; Jifeng Xuan</x:v>
      </x:c>
      <x:c r="J444" s="22" t="n">
        <x:v>2024</x:v>
      </x:c>
      <x:c r="K444" s="27" t="str">
        <x:v>Current automated program repair (APR) techniques are far from being practical and useful enough to be considered for realistic debugging. They rely on unrealistic assumptions including the requirement of a comprehensive suite of test cases as the correctness criterion and frequent program re-execution for patch validation; they are not fast; and their ability of repairing the commonly arising complex bugs by fixing multiple locations of the program is very limited. We hope to substantially improve APR's practicality, effectiveness, and usefulness to help people debug. Towards this goal, we envision PracAPR, an interactive repair system that works in an Integrated Development Environment (IDE) to provide effective repair suggestions for debugging. PracAPR does not require a test suite or program re-execution. It assumes that the developer uses an IDE debugger and the program has suspended at a location where a problem is observed. It interacts with the developer to obtain a problem specification. Based on the specification, it performs test-free, flow-analysis-based fault localization, patch generation that combines large language model-based local repair and tailored strategy-driven global repair, and program re-execution-free patch validation based on simulated trace comparison to suggest repairs. By having PracAPR, we hope to take a significant step towards making APR useful and an everyday part of debugging.</x:v>
      </x:c>
      <x:c r="L444" s="17" t="str">
        <x:v>http://arxiv.org/abs/2407.08958v1</x:v>
      </x:c>
      <x:c r="M444" s="23" t="n">
        <x:v>0.029827662395050816</x:v>
      </x:c>
      <x:c r="N444" s="17" t="str">
        <x:v>arxiv-paper-eval-20260726-140242-results.jsonl</x:v>
      </x:c>
      <x:c r="O444" s="24" t="str">
        <x:v>2</x:v>
      </x:c>
      <x:c r="P444" s="28" t="str">
        <x:v>直接讨论APR生成、测试驱动验证及其实用性限制。</x:v>
      </x:c>
      <x:c r="Q444" s="25" t="str"/>
      <x:c r="R444" s="24" t="str">
        <x:f>IF(Q444&lt;&gt;"",Q444,O444)</x:f>
        <x:v>2</x:v>
      </x:c>
      <x:c r="S444" s="29" t="str"/>
    </x:row>
    <x:row r="445" ht="54" customHeight="1">
      <x:c r="A445" s="17" t="str">
        <x:v>csq023-r09</x:v>
      </x:c>
      <x:c r="B445" s="17" t="str">
        <x:v>csq023</x:v>
      </x:c>
      <x:c r="C445" s="17" t="str">
        <x:v>software_engineering</x:v>
      </x:c>
      <x:c r="D445" s="17" t="str">
        <x:v>automated_program_repair</x:v>
      </x:c>
      <x:c r="E445" s="27" t="str">
        <x:v>What are the main neural and large-language-model-based approaches to automated program repair, and how do they generate and validate patches?</x:v>
      </x:c>
      <x:c r="F445" s="22" t="n">
        <x:v>9</x:v>
      </x:c>
      <x:c r="G445" s="17" t="str">
        <x:v>arXiv:2301.03270</x:v>
      </x:c>
      <x:c r="H445" s="27" t="str">
        <x:v>A Survey of Learning-based Automated Program Repair</x:v>
      </x:c>
      <x:c r="I445" s="17" t="str">
        <x:v>Quanjun Zhang; Chunrong Fang; Yuxiang Ma; Weisong Sun; Zhenyu Chen</x:v>
      </x:c>
      <x:c r="J445" s="22" t="n">
        <x:v>2023</x:v>
      </x:c>
      <x:c r="K445" s="27" t="str">
        <x:v>Automated program repair (APR) aims to fix software bugs automatically and plays a crucial role in software development and maintenance. With the recent advances in deep learning (DL), an increasing number of APR techniques have been proposed to leverage neural networks to learn bug-fixing patterns from massive open-source code repositories. Such learning-based techniques usually treat APR as a neural machine translation (NMT) task, where buggy code snippets (i.e., source language) are translated into fixed code snippets (i.e., target language) automatically. Benefiting from the powerful capability of DL to learn hidden relationships from previous bug-fixing datasets, learning-based APR techniques have achieved remarkable performance. In this paper, we provide a systematic survey to summarize the current state-of-the-art research in the learning-based APR community. We illustrate the general workflow of learning-based APR techniques and detail the crucial components, including fault localization, patch generation, patch ranking, patch validation, and patch correctness phases. We then discuss the widely-adopted datasets and evaluation metrics and outline existing empirical studies. We discuss several critical aspects of learning-based APR techniques, such as repair domains, industrial deployment, and the open science issue. We highlight several practical guidelines on applying DL techniques for future APR studies, such as exploring explainable patch generation and utilizing code features. Overall, our paper can help researchers gain a comprehensive understanding about the achievements of the existing learning-based APR techniques and promote the practical application of these techniques. Our artifacts are publicly available at \url{https://github.com/QuanjunZhang/AwesomeLearningAPR}.</x:v>
      </x:c>
      <x:c r="L445" s="17" t="str">
        <x:v>http://arxiv.org/abs/2301.03270v3</x:v>
      </x:c>
      <x:c r="M445" s="23" t="n">
        <x:v>0.02967032967032967</x:v>
      </x:c>
      <x:c r="N445" s="17" t="str">
        <x:v>arxiv-paper-eval-20260726-140242-results.jsonl</x:v>
      </x:c>
      <x:c r="O445" s="24" t="str">
        <x:v>2</x:v>
      </x:c>
      <x:c r="P445" s="28" t="str">
        <x:v>系统综述学习式APR，包括神经机器翻译式补丁生成。</x:v>
      </x:c>
      <x:c r="Q445" s="25" t="str"/>
      <x:c r="R445" s="24" t="str">
        <x:f>IF(Q445&lt;&gt;"",Q445,O445)</x:f>
        <x:v>2</x:v>
      </x:c>
      <x:c r="S445" s="29" t="str"/>
    </x:row>
    <x:row r="446" ht="54" customHeight="1">
      <x:c r="A446" s="17" t="str">
        <x:v>csq023-r10</x:v>
      </x:c>
      <x:c r="B446" s="17" t="str">
        <x:v>csq023</x:v>
      </x:c>
      <x:c r="C446" s="17" t="str">
        <x:v>software_engineering</x:v>
      </x:c>
      <x:c r="D446" s="17" t="str">
        <x:v>automated_program_repair</x:v>
      </x:c>
      <x:c r="E446" s="27" t="str">
        <x:v>What are the main neural and large-language-model-based approaches to automated program repair, and how do they generate and validate patches?</x:v>
      </x:c>
      <x:c r="F446" s="22" t="n">
        <x:v>10</x:v>
      </x:c>
      <x:c r="G446" s="17" t="str">
        <x:v>arXiv:2511.03925</x:v>
      </x:c>
      <x:c r="H446" s="27" t="str">
        <x:v>Collaborative Agents for Automated Program Repair in Ruby</x:v>
      </x:c>
      <x:c r="I446" s="17" t="str">
        <x:v>Nikta Akbarpour; Mahdieh Sadat Benis; Fatemeh Hendijani Fard; Ali Ouni; Mohamed Aymen Saied</x:v>
      </x:c>
      <x:c r="J446" s="22" t="n">
        <x:v>2025</x:v>
      </x:c>
      <x:c r="K446" s="27" t="str">
        <x:v>Automated Program Repair (APR) has advanced rapidly with Large Language Models (LLMs), but most existing methods remain computationally expensive, and focused on a small set of languages. Ruby, despite its widespread use in web development and the persistent challenges faced by its developers, has received little attention in APR research. In this paper, we introduce RAMP, a novel lightweight framework that formulates program repair as a feedback-driven, iterative process for Ruby. RAMP employs a team of collaborative agents that generate targeted tests, reflect on errors, and refine candidate fixes until a correct solution is found. Unlike prior approaches, RAMP is designed to avoid reliance on large multilingual repair databases or costly fine-tuning, instead operating directly on Ruby through lightweight prompting and test-driven feedback. Evaluation on the XCodeEval benchmark shows that RAMP achieves a pass@1 of 67% on Ruby, outper-forming prior approaches. RAMP converges quickly within five iterations, and ablation studies confirm that test generation and self-reflection are key drivers of its performance. Further analysis shows that RAMP is particularly effective at repairing wrong answers, compilation errors, and runtime errors. Our approach provides new insights into multi-agent repair strategies, and establishes a foundation for extending LLM-based debugging tools to under-studied languages.</x:v>
      </x:c>
      <x:c r="L446" s="17" t="str">
        <x:v>http://arxiv.org/abs/2511.03925v1</x:v>
      </x:c>
      <x:c r="M446" s="23" t="n">
        <x:v>0.028958333333333336</x:v>
      </x:c>
      <x:c r="N446" s="17" t="str">
        <x:v>arxiv-paper-eval-20260726-140242-results.jsonl</x:v>
      </x:c>
      <x:c r="O446" s="24" t="str">
        <x:v>2</x:v>
      </x:c>
      <x:c r="P446" s="28" t="str">
        <x:v>直接提出多智能体迭代生成测试、反思错误并细化补丁。</x:v>
      </x:c>
      <x:c r="Q446" s="25" t="str"/>
      <x:c r="R446" s="24" t="str">
        <x:f>IF(Q446&lt;&gt;"",Q446,O446)</x:f>
        <x:v>2</x:v>
      </x:c>
      <x:c r="S446" s="29" t="str"/>
    </x:row>
    <x:row r="447" ht="54" customHeight="1">
      <x:c r="A447" s="17" t="str">
        <x:v>csq023-r11</x:v>
      </x:c>
      <x:c r="B447" s="17" t="str">
        <x:v>csq023</x:v>
      </x:c>
      <x:c r="C447" s="17" t="str">
        <x:v>software_engineering</x:v>
      </x:c>
      <x:c r="D447" s="17" t="str">
        <x:v>automated_program_repair</x:v>
      </x:c>
      <x:c r="E447" s="27" t="str">
        <x:v>What are the main neural and large-language-model-based approaches to automated program repair, and how do they generate and validate patches?</x:v>
      </x:c>
      <x:c r="F447" s="22" t="n">
        <x:v>11</x:v>
      </x:c>
      <x:c r="G447" s="17" t="str">
        <x:v>arXiv:2407.20898</x:v>
      </x:c>
      <x:c r="H447" s="27" t="str">
        <x:v>ThinkRepair: Self-Directed Automated Program Repair</x:v>
      </x:c>
      <x:c r="I447" s="17" t="str">
        <x:v>Xin Yin; Chao Ni; Shaohua Wang; Zhenhao Li; Limin Zeng; Xiaohu Yang</x:v>
      </x:c>
      <x:c r="J447" s="22" t="n">
        <x:v>2024</x:v>
      </x:c>
      <x:c r="K447" s="27" t="str">
        <x:v>Though many approaches have been proposed for Automated Program Repair (APR) and indeed achieved remarkable performance, they still have limitations in fixing bugs that require analyzing and reasoning about the logic of the buggy program. Recently, large language models (LLMs) instructed by prompt engineering have attracted much attention for their powerful ability to address many kinds of tasks including bug-fixing. However, the quality of the prompt will highly affect the ability of LLMs and manually constructing high-quality prompts is a costly endeavor. To address this limitation, we propose a self-directed LLM-based automated program repair, ThinkRepair, with two main phases: collection phase and fixing phase. The former phase automatically collects various chains of thoughts that constitute pre-fixed knowledge by instructing LLMs with the Chain-of-Thought (CoT) prompt. The latter phase targets fixing a bug by first selecting examples for few-shot learning and second automatically interacting with LLMs, optionally appending with feedback of testing information. Evaluations on two widely studied datasets (Defects4J and QuixBugs) by comparing ThinkRepair with 12 SOTA APRs indicate the priority of ThinkRepair in fixing bugs. Notably, ThinkRepair fixes 98 bugs and improves baselines by 27%-344.4% on Defects4J V1.2. On Defects4J V2.0, ThinkRepair fixes 12-65 more bugs than the SOTA APRs. Additionally, ThinkRepair also makes a considerable improvement on QuixBugs (31 for Java and 21 for Python at most).</x:v>
      </x:c>
      <x:c r="L447" s="17" t="str">
        <x:v>http://arxiv.org/abs/2407.20898v1</x:v>
      </x:c>
      <x:c r="M447" s="23" t="n">
        <x:v>0.02877846790890269</x:v>
      </x:c>
      <x:c r="N447" s="17" t="str">
        <x:v>arxiv-paper-eval-20260726-140242-results.jsonl</x:v>
      </x:c>
      <x:c r="O447" s="24" t="str">
        <x:v>2</x:v>
      </x:c>
      <x:c r="P447" s="28" t="str">
        <x:v>直接提出自引导LLM推理与示例驱动的程序修复方法。</x:v>
      </x:c>
      <x:c r="Q447" s="25" t="str"/>
      <x:c r="R447" s="24" t="str">
        <x:f>IF(Q447&lt;&gt;"",Q447,O447)</x:f>
        <x:v>2</x:v>
      </x:c>
      <x:c r="S447" s="29" t="str"/>
    </x:row>
    <x:row r="448" ht="54" customHeight="1">
      <x:c r="A448" s="17" t="str">
        <x:v>csq023-r12</x:v>
      </x:c>
      <x:c r="B448" s="17" t="str">
        <x:v>csq023</x:v>
      </x:c>
      <x:c r="C448" s="17" t="str">
        <x:v>software_engineering</x:v>
      </x:c>
      <x:c r="D448" s="17" t="str">
        <x:v>automated_program_repair</x:v>
      </x:c>
      <x:c r="E448" s="27" t="str">
        <x:v>What are the main neural and large-language-model-based approaches to automated program repair, and how do they generate and validate patches?</x:v>
      </x:c>
      <x:c r="F448" s="22" t="n">
        <x:v>12</x:v>
      </x:c>
      <x:c r="G448" s="17" t="str">
        <x:v>arXiv:2309.00608</x:v>
      </x:c>
      <x:c r="H448" s="27" t="str">
        <x:v>Copiloting the Copilots: Fusing Large Language Models with Completion Engines for Automated Program Repair</x:v>
      </x:c>
      <x:c r="I448" s="17" t="str">
        <x:v>Yuxiang Wei; Chunqiu Steven Xia; Lingming Zhang</x:v>
      </x:c>
      <x:c r="J448" s="22" t="n">
        <x:v>2023</x:v>
      </x:c>
      <x:c r="K448" s="27" t="str">
        <x:v>During Automated Program Repair (APR), it can be challenging to synthesize correct patches for real-world systems in general-purpose programming languages. Recent Large Language Models (LLMs) have been shown to be helpful "copilots" in assisting developers with various coding tasks, and have also been directly applied for patch synthesis. However, most LLMs treat programs as sequences of tokens, meaning that they are ignorant of the underlying semantics constraints of the target programming language. This results in plenty of statically invalid generated patches, impeding the practicality of the technique. Therefore, we propose Repilot, a general code generation framework to further copilot the AI "copilots" (i.e., LLMs) by synthesizing more valid patches during the repair process. Our key insight is that many LLMs produce outputs autoregressively (i.e., token by token), resembling human writing programs, which can be significantly boosted and guided through a Completion Engine. Repilot synergistically synthesizes a candidate patch through the interaction between an LLM and a Completion Engine, which 1) prunes away infeasible tokens suggested by the LLM and 2) proactively completes the token based on the suggestions provided by the Completion Engine. Our evaluation on a subset of the widely-used Defects4j 1.2 and 2.0 datasets shows that Repilot outperforms state-of-the-art techniques by fixing 27% and 47% more bugs, respectively. Moreover, Repilot produces more valid and correct patches than the base LLM with the same budget. While we focus on leveraging Repilot for APR in this work, the overall approach is also generalizable to other code generation tasks.</x:v>
      </x:c>
      <x:c r="L448" s="17" t="str">
        <x:v>http://arxiv.org/abs/2309.00608v3</x:v>
      </x:c>
      <x:c r="M448" s="23" t="n">
        <x:v>0.028381642512077296</x:v>
      </x:c>
      <x:c r="N448" s="17" t="str">
        <x:v>arxiv-paper-eval-20260726-140242-results.jsonl</x:v>
      </x:c>
      <x:c r="O448" s="24" t="str">
        <x:v>2</x:v>
      </x:c>
      <x:c r="P448" s="28" t="str">
        <x:v>直接融合LLM与补全引擎生成语法有效的补丁。</x:v>
      </x:c>
      <x:c r="Q448" s="25" t="str"/>
      <x:c r="R448" s="24" t="str">
        <x:f>IF(Q448&lt;&gt;"",Q448,O448)</x:f>
        <x:v>2</x:v>
      </x:c>
      <x:c r="S448" s="29" t="str"/>
    </x:row>
    <x:row r="449" ht="54" customHeight="1">
      <x:c r="A449" s="17" t="str">
        <x:v>csq023-r13</x:v>
      </x:c>
      <x:c r="B449" s="17" t="str">
        <x:v>csq023</x:v>
      </x:c>
      <x:c r="C449" s="17" t="str">
        <x:v>software_engineering</x:v>
      </x:c>
      <x:c r="D449" s="17" t="str">
        <x:v>automated_program_repair</x:v>
      </x:c>
      <x:c r="E449" s="27" t="str">
        <x:v>What are the main neural and large-language-model-based approaches to automated program repair, and how do they generate and validate patches?</x:v>
      </x:c>
      <x:c r="F449" s="22" t="n">
        <x:v>13</x:v>
      </x:c>
      <x:c r="G449" s="17" t="str">
        <x:v>arXiv:2503.09217</x:v>
      </x:c>
      <x:c r="H449" s="27" t="str">
        <x:v>Evaluating the Generalizability of LLMs in Automated Program Repair</x:v>
      </x:c>
      <x:c r="I449" s="17" t="str">
        <x:v>Fengjie Li; Jiajun Jiang; Jiajun Sun; Hongyu Zhang</x:v>
      </x:c>
      <x:c r="J449" s="22" t="n">
        <x:v>2025</x:v>
      </x:c>
      <x:c r="K449" s="27" t="str">
        <x:v>LLM-based automated program repair methods have attracted significant attention for their state-of-the-art performance. However, they were primarily evaluated on a few well known datasets like Defects4J, raising questions about their effectiveness on new datasets. In this study, we evaluate 11 top-performing LLMs on DEFECTS4J-TRANS, a new dataset derived from transforming Defects4J while maintaining the original semantics. Results from experiments on both Defects4J and DEFECTS4J-TRANS show that all studied LLMs have limited generalizability in APR tasks, with the average number of correct and plausible patches decreasing by 49.48% and 42.90%, respectively, on DEFECTS4J-TRANS. Further investigation into incorporating additional repair-relevant information in repair prompts reveals that, although this information significantly enhances the LLMs' capabilities (increasing the number of correct and plausible patches by up to 136.67% and 121.82%, respectively), performance still falls short of their original results. This indicates that prompt engineering alone is insufficient to substantially enhance LLMs' repair capabilities. Based on our study, we also offer several recommendations for future research.</x:v>
      </x:c>
      <x:c r="L449" s="17" t="str">
        <x:v>http://arxiv.org/abs/2503.09217v1</x:v>
      </x:c>
      <x:c r="M449" s="23" t="n">
        <x:v>0.027783137179239824</x:v>
      </x:c>
      <x:c r="N449" s="17" t="str">
        <x:v>arxiv-paper-eval-20260726-140242-results.jsonl</x:v>
      </x:c>
      <x:c r="O449" s="24" t="str">
        <x:v>2</x:v>
      </x:c>
      <x:c r="P449" s="28" t="str">
        <x:v>直接评估LLM修复在新数据集上的泛化与正确补丁率。</x:v>
      </x:c>
      <x:c r="Q449" s="25" t="str"/>
      <x:c r="R449" s="24" t="str">
        <x:f>IF(Q449&lt;&gt;"",Q449,O449)</x:f>
        <x:v>2</x:v>
      </x:c>
      <x:c r="S449" s="29" t="str"/>
    </x:row>
    <x:row r="450" ht="54" customHeight="1">
      <x:c r="A450" s="17" t="str">
        <x:v>csq023-r14</x:v>
      </x:c>
      <x:c r="B450" s="17" t="str">
        <x:v>csq023</x:v>
      </x:c>
      <x:c r="C450" s="17" t="str">
        <x:v>software_engineering</x:v>
      </x:c>
      <x:c r="D450" s="17" t="str">
        <x:v>automated_program_repair</x:v>
      </x:c>
      <x:c r="E450" s="27" t="str">
        <x:v>What are the main neural and large-language-model-based approaches to automated program repair, and how do they generate and validate patches?</x:v>
      </x:c>
      <x:c r="F450" s="22" t="n">
        <x:v>14</x:v>
      </x:c>
      <x:c r="G450" s="17" t="str">
        <x:v>arXiv:2509.16701</x:v>
      </x:c>
      <x:c r="H450" s="27" t="str">
        <x:v>RelRepair: Enhancing Automated Program Repair by Retrieving Relevant Code</x:v>
      </x:c>
      <x:c r="I450" s="17" t="str">
        <x:v>Shunyu Liu; Guangdong Bai; Mark Utting; Guowei Yang</x:v>
      </x:c>
      <x:c r="J450" s="22" t="n">
        <x:v>2025</x:v>
      </x:c>
      <x:c r="K450" s="27" t="str">
        <x:v>Automated Program Repair (APR) has emerged as a promising paradigm for reducing debugging time and improving the overall efficiency of software development. Recent advances in Large Language Models (LLMs) have demonstrated their potential for automated bug fixing and other software engineering tasks. Nevertheless, the general-purpose nature of LLM pre-training means these models often lack the capacity to perform project-specific repairs, which require understanding of domain-specific identifiers, code structures, and contextual relationships within a particular codebase. As a result, LLMs may struggle to generate correct patches when the repair depends on project-specific information. To address this limitation, we introduce RelRepair, a novel approach that retrieves relevant project-specific code to enhance automated program repair. RelRepair first identifies relevant function signatures by analyzing function names and code comments within the project. It then conducts deeper code analysis to retrieve code snippets relevant to the repair context. The retrieved relevant information is then incorporated into the LLM's input prompt, guiding the model to generate more accurate and informed patches. We evaluate RelRepair on two widely studied datasets, Defects4J V1.2 and ManySStuBs4J, and compare its performance against several state-of-the-art LLM-based APR approaches. RelRepair successfully repairs 101 bugs in Defects4J V1.2. Furthermore, RelRepair achieves a 17.1\% improvement in the ManySStuBs4J dataset, increasing the overall fix rate to 48.3\%. These results highlight the importance of providing relevant project-specific information to LLMs, shedding light on effective strategies for leveraging LLMs in APR tasks.</x:v>
      </x:c>
      <x:c r="L450" s="17" t="str">
        <x:v>http://arxiv.org/abs/2509.16701v1</x:v>
      </x:c>
      <x:c r="M450" s="23" t="n">
        <x:v>0.027402402402402402</x:v>
      </x:c>
      <x:c r="N450" s="17" t="str">
        <x:v>arxiv-paper-eval-20260726-140242-results.jsonl</x:v>
      </x:c>
      <x:c r="O450" s="24" t="str">
        <x:v>2</x:v>
      </x:c>
      <x:c r="P450" s="28" t="str">
        <x:v>直接通过检索项目相关代码增强LLM补丁生成。</x:v>
      </x:c>
      <x:c r="Q450" s="25" t="str"/>
      <x:c r="R450" s="24" t="str">
        <x:f>IF(Q450&lt;&gt;"",Q450,O450)</x:f>
        <x:v>2</x:v>
      </x:c>
      <x:c r="S450" s="29" t="str"/>
    </x:row>
    <x:row r="451" ht="54" customHeight="1">
      <x:c r="A451" s="17" t="str">
        <x:v>csq023-r15</x:v>
      </x:c>
      <x:c r="B451" s="17" t="str">
        <x:v>csq023</x:v>
      </x:c>
      <x:c r="C451" s="17" t="str">
        <x:v>software_engineering</x:v>
      </x:c>
      <x:c r="D451" s="17" t="str">
        <x:v>automated_program_repair</x:v>
      </x:c>
      <x:c r="E451" s="27" t="str">
        <x:v>What are the main neural and large-language-model-based approaches to automated program repair, and how do they generate and validate patches?</x:v>
      </x:c>
      <x:c r="F451" s="22" t="n">
        <x:v>15</x:v>
      </x:c>
      <x:c r="G451" s="17" t="str">
        <x:v>arXiv:2507.01827</x:v>
      </x:c>
      <x:c r="H451" s="27" t="str">
        <x:v>PSearch: Search-based Patch Generation in the Era of LLM-based Automated Program Repair</x:v>
      </x:c>
      <x:c r="I451" s="17" t="str">
        <x:v>Haichuan Hu; Ye Shang; Weifeng Sun; Quanjun Zhang</x:v>
      </x:c>
      <x:c r="J451" s="22" t="n">
        <x:v>2025</x:v>
      </x:c>
      <x:c r="K451" s="27" t="str">
        <x:v>Large Language Models (LLMs) have substantially advanced Automated Program Repair (APR), yet most existing LLM-based APR methods still rely on trial-and-error to generate patches. Such a strategy explores candidate patches in a weakly structured manner, making it difficult to assess the future potential of search directions and allocate search budget effectively. To address this limitation, we propose Psearch, a search-based patch generation framework for LLM-based APR centered on iterative patch evaluation and refinement. Instead of treating patch generation as repeated independent sampling, Psearch maintains a structured search state over intermediate patches, continuously evaluates the promise of explored search paths, and prioritizes the most promising ones for further refinement. This design enables Psearch to abandon weak directions early and progressively approach correct fixes through long-horizon search. Importantly, Psearch can be integrated with different search algorithms, while our current implementation adopts Monte Carlo Tree Search as one effective instantiation. We evaluate Psearch on five widely used bug and vulnerability benchmarks. Experimental results show that Psearch correctly repairs 201 out of 835 bugs in Defects4J, outperforming all 12 state-of-the-art baselines. Psearch also fixes 27 of 79 vulnerabilities in VUL4J and resolves 164 of 300 issues in SWE-Bench-Lite. Moreover, with a patch size of 16, Psearch reduces monetary cost to roughly 50% of strong baselines while maintaining superior repair effectiveness. These results highlight the effectiveness of Psearch for improving LLM-based APR. The code and results can be found at https://github.com/Tomsawyerhu/Psearch</x:v>
      </x:c>
      <x:c r="L451" s="17" t="str">
        <x:v>http://arxiv.org/abs/2507.01827v5</x:v>
      </x:c>
      <x:c r="M451" s="23" t="n">
        <x:v>0.01639344262295082</x:v>
      </x:c>
      <x:c r="N451" s="17" t="str">
        <x:v>arxiv-paper-eval-20260726-140242-results.jsonl</x:v>
      </x:c>
      <x:c r="O451" s="24" t="str">
        <x:v>2</x:v>
      </x:c>
      <x:c r="P451" s="28" t="str">
        <x:v>直接以搜索、补丁评估和迭代细化组织LLM修复。</x:v>
      </x:c>
      <x:c r="Q451" s="25" t="str"/>
      <x:c r="R451" s="24" t="str">
        <x:f>IF(Q451&lt;&gt;"",Q451,O451)</x:f>
        <x:v>2</x:v>
      </x:c>
      <x:c r="S451" s="29" t="str"/>
    </x:row>
    <x:row r="452" ht="54" customHeight="1">
      <x:c r="A452" s="17" t="str">
        <x:v>csq023-r16</x:v>
      </x:c>
      <x:c r="B452" s="17" t="str">
        <x:v>csq023</x:v>
      </x:c>
      <x:c r="C452" s="17" t="str">
        <x:v>software_engineering</x:v>
      </x:c>
      <x:c r="D452" s="17" t="str">
        <x:v>automated_program_repair</x:v>
      </x:c>
      <x:c r="E452" s="27" t="str">
        <x:v>What are the main neural and large-language-model-based approaches to automated program repair, and how do they generate and validate patches?</x:v>
      </x:c>
      <x:c r="F452" s="22" t="n">
        <x:v>16</x:v>
      </x:c>
      <x:c r="G452" s="17" t="str">
        <x:v>arXiv:2405.15690</x:v>
      </x:c>
      <x:c r="H452" s="27" t="str">
        <x:v>A Case Study of LLM for Automated Vulnerability Repair: Assessing Impact of Reasoning and Patch Validation Feedback</x:v>
      </x:c>
      <x:c r="I452" s="17" t="str">
        <x:v>Ummay Kulsum; Haotian Zhu; Bowen Xu; Marcelo d'Amorim</x:v>
      </x:c>
      <x:c r="J452" s="22" t="n">
        <x:v>2024</x:v>
      </x:c>
      <x:c r="K452" s="27" t="str">
        <x:v>Recent work in automated program repair (APR) proposes the use of reasoning and patch validation feedback to reduce the semantic gap between the LLMs and the code under analysis. The idea has been shown to perform well for general APR, but its effectiveness in other particular contexts remains underexplored. In this work, we assess the impact of reasoning and patch validation feedback to LLMs in the context of vulnerability repair, an important and challenging task in security. To support the evaluation, we present VRpilot, an LLM-based vulnerability repair technique based on reasoning and patch validation feedback. VRpilot (1) uses a chain-of-thought prompt to reason about a vulnerability prior to generating patch candidates and (2) iteratively refines prompts according to the output of external tools (e.g., compiler, code sanitizers, test suite, etc.) on previously-generated patches. To evaluate performance, we compare VRpilot against the state-of-the-art vulnerability repair techniques for C and Java using public datasets from the literature. Our results show that VRpilot generates, on average, 14% and 7.6% more correct patches than the baseline techniques on C and Java, respectively. We show, through an ablation study, that reasoning and patch validation feedback are critical. We report several lessons from this study and potential directions for advancing LLM-empowered vulnerability repair</x:v>
      </x:c>
      <x:c r="L452" s="17" t="str">
        <x:v>http://arxiv.org/abs/2405.15690v1</x:v>
      </x:c>
      <x:c r="M452" s="23" t="n">
        <x:v>0.01639344262295082</x:v>
      </x:c>
      <x:c r="N452" s="17" t="str">
        <x:v>arxiv-paper-eval-20260726-140242-results.jsonl</x:v>
      </x:c>
      <x:c r="O452" s="24" t="str">
        <x:v>2</x:v>
      </x:c>
      <x:c r="P452" s="28" t="str">
        <x:v>直接研究推理及补丁验证反馈对LLM漏洞修复的影响。</x:v>
      </x:c>
      <x:c r="Q452" s="25" t="str"/>
      <x:c r="R452" s="24" t="str">
        <x:f>IF(Q452&lt;&gt;"",Q452,O452)</x:f>
        <x:v>2</x:v>
      </x:c>
      <x:c r="S452" s="29" t="str"/>
    </x:row>
    <x:row r="453" ht="54" customHeight="1">
      <x:c r="A453" s="17" t="str">
        <x:v>csq023-r17</x:v>
      </x:c>
      <x:c r="B453" s="17" t="str">
        <x:v>csq023</x:v>
      </x:c>
      <x:c r="C453" s="17" t="str">
        <x:v>software_engineering</x:v>
      </x:c>
      <x:c r="D453" s="17" t="str">
        <x:v>automated_program_repair</x:v>
      </x:c>
      <x:c r="E453" s="27" t="str">
        <x:v>What are the main neural and large-language-model-based approaches to automated program repair, and how do they generate and validate patches?</x:v>
      </x:c>
      <x:c r="F453" s="22" t="n">
        <x:v>17</x:v>
      </x:c>
      <x:c r="G453" s="17" t="str">
        <x:v>arXiv:2507.02976</x:v>
      </x:c>
      <x:c r="H453" s="27" t="str">
        <x:v>How Safe Are AI-Generated Patches? A Large-scale Study on Security Risks in LLM and Agentic Automated Program Repair on SWE-bench</x:v>
      </x:c>
      <x:c r="I453" s="17" t="str">
        <x:v>Amirali Sajadi; Kostadin Damevski; Preetha Chatterjee</x:v>
      </x:c>
      <x:c r="J453" s="22" t="n">
        <x:v>2025</x:v>
      </x:c>
      <x:c r="K453" s="27" t="str">
        <x:v>Large language models (LLMs) and their agentic frameworks are increasingly adopted to perform development tasks such as automated program repair (APR). While prior work has identified security risks in LLM-generated code, most have focused on synthetic, simplified, or isolated tasks that lack the complexity of real-world program repair. In this study, we present the first large-scale security analysis of LLM-generated patches using 20,000+ GitHub issues. We evaluate patches proposed by developers, a standalone LLM (Llama 3.3 Instruct-70B), and three top-performing agentic frameworks (OpenHands, AutoCodeRover, HoneyComb). Finally, we analyze a wide range of code, issue, and project-level factors to understand the conditions under which generating insecure patches is more likely. Our findings reveal that Llama introduces many new vulnerabilities, exhibiting unique patterns not found in developers' code. Agentic workflows also generate a number of vulnerabilities, particularly when given more autonomy. We find that vulnerabilities in LLM-generated patches are associated with distinctive code characteristics and are commonly observed in issues missing specific types of information. These results suggest that contextual factors play a critical role in the security of the generated patches and point toward the need for proactive risk assessment methods that account for both issue and code-level information.</x:v>
      </x:c>
      <x:c r="L453" s="17" t="str">
        <x:v>http://arxiv.org/abs/2507.02976v3</x:v>
      </x:c>
      <x:c r="M453" s="23" t="n">
        <x:v>0.015873015873015872</x:v>
      </x:c>
      <x:c r="N453" s="17" t="str">
        <x:v>arxiv-paper-eval-20260726-140242-results.jsonl</x:v>
      </x:c>
      <x:c r="O453" s="24" t="str">
        <x:v>2</x:v>
      </x:c>
      <x:c r="P453" s="28" t="str">
        <x:v>直接从安全性角度大规模验证LLM与智能体生成的修复补丁。</x:v>
      </x:c>
      <x:c r="Q453" s="25" t="str"/>
      <x:c r="R453" s="24" t="str">
        <x:f>IF(Q453&lt;&gt;"",Q453,O453)</x:f>
        <x:v>2</x:v>
      </x:c>
      <x:c r="S453" s="29" t="str"/>
    </x:row>
    <x:row r="454" ht="54" customHeight="1">
      <x:c r="A454" s="17" t="str">
        <x:v>csq023-r18</x:v>
      </x:c>
      <x:c r="B454" s="17" t="str">
        <x:v>csq023</x:v>
      </x:c>
      <x:c r="C454" s="17" t="str">
        <x:v>software_engineering</x:v>
      </x:c>
      <x:c r="D454" s="17" t="str">
        <x:v>automated_program_repair</x:v>
      </x:c>
      <x:c r="E454" s="27" t="str">
        <x:v>What are the main neural and large-language-model-based approaches to automated program repair, and how do they generate and validate patches?</x:v>
      </x:c>
      <x:c r="F454" s="22" t="n">
        <x:v>18</x:v>
      </x:c>
      <x:c r="G454" s="17" t="str">
        <x:v>arXiv:2506.08311</x:v>
      </x:c>
      <x:c r="H454" s="27" t="str">
        <x:v>Understanding Automated Program Repair Agents Through the Lens of Traceability: An Empirical Study</x:v>
      </x:c>
      <x:c r="I454" s="17" t="str">
        <x:v>Ira Ceka; Hailie Mitchell; Saurabh Pujar; Luca Buratti; Shyam Ramji; Junfeng Yang; Gail Kaiser; Baishakhi Ray</x:v>
      </x:c>
      <x:c r="J454" s="22" t="n">
        <x:v>2025</x:v>
      </x:c>
      <x:c r="K454" s="27" t="str">
        <x:v>Automated Program Repair (APR) agents leverage Large Language Models (LLMs) to autonomously diagnose and fix software bugs through reasoning, planning, and tool use. Despite impressive leaderboard gains on benchmarks such as SWE-bench, little is understood about how these agents take actions, where they fail, and how their behavior compares to that of human developers. This paper presents the first systematic analysis of five state-of-the-art APR agents across 500 real-world repair tasks, tracing their full decision-making pipelines -- from issue description to patch validation. Our study reveals that while agents excel at simple fixes, they struggle with logic-intensive bugs, often producing verbose or overfitted patches that merely satisfy existing tests. We find that test generation and regression test selection remain major bottlenecks, with agents frequently failing to reproduce issues or run relevant regression tests. Moreover, most agents operate with primitive tooling (e.g., bash scripts) and lack access to debuggers or program analyzers, which constrains their reasoning and patch quality. These findings highlight key limitations in current APR systems and motivate a shift-left approach -- emphasizing early, high-quality test generation and validation -- to reduce spurious fixes and improve semantic correctness. We further outline concrete directions for next-generation APR design: (1) richer and more integrated tool ecosystems, (2) diversified agentic architectures that combine complementary strengths, and (3) benchmarks that prioritize semantic repair quality and test generation fidelity over surface-level success metrics.</x:v>
      </x:c>
      <x:c r="L454" s="17" t="str">
        <x:v>http://arxiv.org/abs/2506.08311v2</x:v>
      </x:c>
      <x:c r="M454" s="23" t="n">
        <x:v>0.015873015873015872</x:v>
      </x:c>
      <x:c r="N454" s="17" t="str">
        <x:v>arxiv-paper-eval-20260726-140242-results.jsonl</x:v>
      </x:c>
      <x:c r="O454" s="24" t="str">
        <x:v>2</x:v>
      </x:c>
      <x:c r="P454" s="28" t="str">
        <x:v>直接追踪APR智能体从定位、行动到补丁验证的完整过程。</x:v>
      </x:c>
      <x:c r="Q454" s="25" t="str"/>
      <x:c r="R454" s="24" t="str">
        <x:f>IF(Q454&lt;&gt;"",Q454,O454)</x:f>
        <x:v>2</x:v>
      </x:c>
      <x:c r="S454" s="29" t="str"/>
    </x:row>
    <x:row r="455" ht="54" customHeight="1">
      <x:c r="A455" s="17" t="str">
        <x:v>csq023-r19</x:v>
      </x:c>
      <x:c r="B455" s="17" t="str">
        <x:v>csq023</x:v>
      </x:c>
      <x:c r="C455" s="17" t="str">
        <x:v>software_engineering</x:v>
      </x:c>
      <x:c r="D455" s="17" t="str">
        <x:v>automated_program_repair</x:v>
      </x:c>
      <x:c r="E455" s="27" t="str">
        <x:v>What are the main neural and large-language-model-based approaches to automated program repair, and how do they generate and validate patches?</x:v>
      </x:c>
      <x:c r="F455" s="22" t="n">
        <x:v>19</x:v>
      </x:c>
      <x:c r="G455" s="17" t="str">
        <x:v>arXiv:2304.07840</x:v>
      </x:c>
      <x:c r="H455" s="27" t="str">
        <x:v>Enhancing Automated Program Repair through Fine-tuning and Prompt Engineering</x:v>
      </x:c>
      <x:c r="I455" s="17" t="str">
        <x:v>Rishov Paul; Md. Mohib Hossain; Mohammed Latif Siddiq; Masum Hasan; Anindya Iqbal; Joanna C. S. Santos</x:v>
      </x:c>
      <x:c r="J455" s="22" t="n">
        <x:v>2023</x:v>
      </x:c>
      <x:c r="K455" s="27" t="str">
        <x:v>Sequence-to-sequence models have been used to transform erroneous programs into correct ones when trained with a large enough dataset. Some recent studies also demonstrated strong empirical evidence that code review could improve the program repair further. Large language models, trained with Natural Language (NL) and Programming Language (PL), can contain inherent knowledge of both. In this study, we investigate if this inherent knowledge of PL and NL can be utilized to improve automated program repair. We applied PLBART and CodeT5, two state-of-the-art language models that are pre-trained with both PL and NL, on two such natural language-based program repair datasets and found that the pre-trained language models fine-tuned with datasets containing both code review and subsequent code changes notably outperformed each of the previous models. With the advent of code generative models like Codex and GPT-3.5-Turbo, we also performed zero-shot and few-shots learning-based prompt engineering to assess their performance on these datasets. However, the practical application of using LLMs in the context of automated program repair is still a long way off based on our manual analysis of the generated repaired codes by the learning models.</x:v>
      </x:c>
      <x:c r="L455" s="17" t="str">
        <x:v>http://arxiv.org/abs/2304.07840v2</x:v>
      </x:c>
      <x:c r="M455" s="23" t="n">
        <x:v>0.015625</x:v>
      </x:c>
      <x:c r="N455" s="17" t="str">
        <x:v>arxiv-paper-eval-20260726-140242-results.jsonl</x:v>
      </x:c>
      <x:c r="O455" s="24" t="str">
        <x:v>2</x:v>
      </x:c>
      <x:c r="P455" s="28" t="str">
        <x:v>直接研究微调和提示工程驱动的神经补丁生成。</x:v>
      </x:c>
      <x:c r="Q455" s="25" t="str"/>
      <x:c r="R455" s="24" t="str">
        <x:f>IF(Q455&lt;&gt;"",Q455,O455)</x:f>
        <x:v>2</x:v>
      </x:c>
      <x:c r="S455" s="29" t="str"/>
    </x:row>
    <x:row r="456" ht="54" customHeight="1">
      <x:c r="A456" s="17" t="str">
        <x:v>csq023-r20</x:v>
      </x:c>
      <x:c r="B456" s="17" t="str">
        <x:v>csq023</x:v>
      </x:c>
      <x:c r="C456" s="17" t="str">
        <x:v>software_engineering</x:v>
      </x:c>
      <x:c r="D456" s="17" t="str">
        <x:v>automated_program_repair</x:v>
      </x:c>
      <x:c r="E456" s="27" t="str">
        <x:v>What are the main neural and large-language-model-based approaches to automated program repair, and how do they generate and validate patches?</x:v>
      </x:c>
      <x:c r="F456" s="22" t="n">
        <x:v>20</x:v>
      </x:c>
      <x:c r="G456" s="17" t="str">
        <x:v>arXiv:2507.10103</x:v>
      </x:c>
      <x:c r="H456" s="27" t="str">
        <x:v>Accelerating Automatic Program Repair with Dual Retrieval-Augmented Fine-Tuning and Patch Generation on Large Language Models</x:v>
      </x:c>
      <x:c r="I456" s="17" t="str">
        <x:v>Hanyang Guo; Xiaoheng Xie; Hong-Ning Dai; Peng Di; Yu Zhang; Bishenghui Tao; Zibin Zheng</x:v>
      </x:c>
      <x:c r="J456" s="22" t="n">
        <x:v>2025</x:v>
      </x:c>
      <x:c r="K456" s="27" t="str">
        <x:v>Automated Program Repair (APR) is essential for ensuring software reliability and quality while enhancing efficiency and reducing developers' workload. Although rule-based and learning-based APR methods have demonstrated their effectiveness, their performance was constrained by the defect type of repair, the quality of training data, and the size of model parameters. Recently, Large Language Models (LLMs) combined with Retrieval-Augmented-Generation (RAG) have been increasingly adopted in APR tasks. However, current code LLMs and RAG designs neither fully address code repair tasks nor consider code-specific features. To overcome these limitations, we propose SelRepair, a novel APR approach with integration of a fine-tuned LLM with a newly-designed dual RAG module. This approach uses a bug-fix pair dataset for fine-tuning and incorporates semantic and syntactic/structural similarity information through an RAG selection gate. This design ensures relevant information is retrieved efficiently, thereby reducing token length and inference time. Evaluations on Java datasets show SelRepair outperforms other APR methods, achieving 26.29% and 17.64% in terms of exact match (EM) on different datasets while reducing inference time by at least 6.42% with controlled input lengths.</x:v>
      </x:c>
      <x:c r="L456" s="17" t="str">
        <x:v>http://arxiv.org/abs/2507.10103v1</x:v>
      </x:c>
      <x:c r="M456" s="23" t="n">
        <x:v>0.015384615384615385</x:v>
      </x:c>
      <x:c r="N456" s="17" t="str">
        <x:v>arxiv-paper-eval-20260726-140242-results.jsonl</x:v>
      </x:c>
      <x:c r="O456" s="24" t="str">
        <x:v>2</x:v>
      </x:c>
      <x:c r="P456" s="28" t="str">
        <x:v>直接结合双重检索、微调和RAG生成程序修复补丁。</x:v>
      </x:c>
      <x:c r="Q456" s="25" t="str"/>
      <x:c r="R456" s="24" t="str">
        <x:f>IF(Q456&lt;&gt;"",Q456,O456)</x:f>
        <x:v>2</x:v>
      </x:c>
      <x:c r="S456" s="29" t="str"/>
    </x:row>
    <x:row r="457" ht="54" customHeight="1">
      <x:c r="A457" s="17" t="str">
        <x:v>csq024-r01</x:v>
      </x:c>
      <x:c r="B457" s="17" t="str">
        <x:v>csq024</x:v>
      </x:c>
      <x:c r="C457" s="17" t="str">
        <x:v>software_engineering</x:v>
      </x:c>
      <x:c r="D457" s="17" t="str">
        <x:v>code_generation</x:v>
      </x:c>
      <x:c r="E457" s="27" t="str">
        <x:v>How do execution-based, test-based, and model-based evaluation approaches for code generation compare?</x:v>
      </x:c>
      <x:c r="F457" s="22" t="n">
        <x:v>1</x:v>
      </x:c>
      <x:c r="G457" s="17" t="str">
        <x:v>arXiv:2506.10365</x:v>
      </x:c>
      <x:c r="H457" s="27" t="str">
        <x:v>AutoGEEval++: A Multi-Level and Multi-Geospatial-Modality Automated Evaluation Framework for Large Language Models in Geospatial Code Generation on Google Earth Engine</x:v>
      </x:c>
      <x:c r="I457" s="17" t="str">
        <x:v>Shuyang Hou; Zhangxiao Shen; Huayi Wu; Haoyue Jiao; Ziqi Liu; Lutong Xie; Chang Liu; Jianyuan Liang; Yaxian Qing; Xiaopu Zhang; Dehua Peng; Zhipeng Gui; Xuefeng Guan</x:v>
      </x:c>
      <x:c r="J457" s="22" t="n">
        <x:v>2025</x:v>
      </x:c>
      <x:c r="K457" s="27" t="str">
        <x:v>Geospatial code generation is becoming a key frontier in integrating artificial intelligence with geo-scientific analysis, yet standardised automated evaluation tools for this task remain absent. This study presents AutoGEEval++, an enhanced framework building on AutoGEEval, and the first automated assessment system for large language models (LLMs) generating geospatial code on Google Earth Engine (GEE). It supports diverse data modalities and varying task complexities. Built on the GEE Python API, AutoGEEval++ features a benchmark dataset-AutoGEEval++-Bench-with 6,365 test cases across 26 data types and three task categories: unit, combo, and theme tests. It includes a submission programme and a judge module to realise an end-to-end automated evaluation pipeline from code generation to execution-based validation. The framework adopts multi-dimensional metrics-accuracy, resource usage, run-time efficiency, and error types-balancing hallucination control and efficiency, and enabling boundary testing and error pattern analysis. Using AutoGEEval++, we evaluate 24 state-of-the-art LLMs (as of June 2025), including general-purpose, reasoning-enhanced, code-centric, and geoscience-specific models. Results reveal clear performance, stability, and error differences across task types, model designs, and deployment settings, confirming AutoGEEval++'s practical value and scalability in vertical-domain code generation. This work establishes the first standardised evaluation protocol and foundational benchmark for GEE-based LLM code generation, providing a unified basis for performance comparison and a methodological framework for systematic, domain-specific code evaluation.</x:v>
      </x:c>
      <x:c r="L457" s="17" t="str">
        <x:v>http://arxiv.org/abs/2506.10365v1</x:v>
      </x:c>
      <x:c r="M457" s="23" t="n">
        <x:v>0.042569355527102004</x:v>
      </x:c>
      <x:c r="N457" s="17" t="str">
        <x:v>arxiv-paper-eval-20260726-140242-results.jsonl</x:v>
      </x:c>
      <x:c r="O457" s="24" t="str">
        <x:v>2</x:v>
      </x:c>
      <x:c r="P457" s="28" t="str">
        <x:v>直接提出多层次自动执行评测框架和代码生成基准。</x:v>
      </x:c>
      <x:c r="Q457" s="25" t="str"/>
      <x:c r="R457" s="24" t="str">
        <x:f>IF(Q457&lt;&gt;"",Q457,O457)</x:f>
        <x:v>2</x:v>
      </x:c>
      <x:c r="S457" s="29" t="str"/>
    </x:row>
    <x:row r="458" ht="54" customHeight="1">
      <x:c r="A458" s="17" t="str">
        <x:v>csq024-r02</x:v>
      </x:c>
      <x:c r="B458" s="17" t="str">
        <x:v>csq024</x:v>
      </x:c>
      <x:c r="C458" s="17" t="str">
        <x:v>software_engineering</x:v>
      </x:c>
      <x:c r="D458" s="17" t="str">
        <x:v>code_generation</x:v>
      </x:c>
      <x:c r="E458" s="27" t="str">
        <x:v>How do execution-based, test-based, and model-based evaluation approaches for code generation compare?</x:v>
      </x:c>
      <x:c r="F458" s="22" t="n">
        <x:v>2</x:v>
      </x:c>
      <x:c r="G458" s="17" t="str">
        <x:v>arXiv:2211.09374</x:v>
      </x:c>
      <x:c r="H458" s="27" t="str">
        <x:v>Execution-based Evaluation for Data Science Code Generation Models</x:v>
      </x:c>
      <x:c r="I458" s="17" t="str">
        <x:v>Junjie Huang; Chenglong Wang; Jipeng Zhang; Cong Yan; Haotian Cui; Jeevana Priya Inala; Colin Clement; Nan Duan; Jianfeng Gao</x:v>
      </x:c>
      <x:c r="J458" s="22" t="n">
        <x:v>2022</x:v>
      </x:c>
      <x:c r="K458" s="27" t="str">
        <x:v>Code generation models can benefit data scientists' productivity by automatically generating code from context and text descriptions. An important measure of the modeling progress is whether a model can generate code that can correctly execute to solve the task. However, due to the lack of an evaluation dataset that directly supports execution-based model evaluation, existing work relies on code surface form similarity metrics (e.g., BLEU, CodeBLEU) for model selection, which can be inaccurate. To remedy this, we introduce ExeDS, an evaluation dataset for execution evaluation for data science code generation tasks. ExeDS contains a set of 534 problems from Jupyter Notebooks, each consisting of code context, task description, reference program, and the desired execution output. With ExeDS, we evaluate the execution performance of five state-of-the-art code generation models that have achieved high surface-form evaluation scores. Our experiments show that models with high surface-form scores do not necessarily perform well on execution metrics, and execution-based metrics can better capture model code generation errors. Source code and data can be found at https://github.com/Jun-jie-Huang/ExeDS</x:v>
      </x:c>
      <x:c r="L458" s="17" t="str">
        <x:v>http://arxiv.org/abs/2211.09374v1</x:v>
      </x:c>
      <x:c r="M458" s="23" t="n">
        <x:v>0.03278688524590164</x:v>
      </x:c>
      <x:c r="N458" s="17" t="str">
        <x:v>arxiv-paper-eval-20260726-140242-results.jsonl</x:v>
      </x:c>
      <x:c r="O458" s="24" t="str">
        <x:v>2</x:v>
      </x:c>
      <x:c r="P458" s="28" t="str">
        <x:v>直接以可执行性替代表面匹配，并发布执行评测数据集。</x:v>
      </x:c>
      <x:c r="Q458" s="25" t="str"/>
      <x:c r="R458" s="24" t="str">
        <x:f>IF(Q458&lt;&gt;"",Q458,O458)</x:f>
        <x:v>2</x:v>
      </x:c>
      <x:c r="S458" s="29" t="str"/>
    </x:row>
    <x:row r="459" ht="54" customHeight="1">
      <x:c r="A459" s="17" t="str">
        <x:v>csq024-r03</x:v>
      </x:c>
      <x:c r="B459" s="17" t="str">
        <x:v>csq024</x:v>
      </x:c>
      <x:c r="C459" s="17" t="str">
        <x:v>software_engineering</x:v>
      </x:c>
      <x:c r="D459" s="17" t="str">
        <x:v>code_generation</x:v>
      </x:c>
      <x:c r="E459" s="27" t="str">
        <x:v>How do execution-based, test-based, and model-based evaluation approaches for code generation compare?</x:v>
      </x:c>
      <x:c r="F459" s="22" t="n">
        <x:v>3</x:v>
      </x:c>
      <x:c r="G459" s="17" t="str">
        <x:v>arXiv:2404.00566</x:v>
      </x:c>
      <x:c r="H459" s="27" t="str">
        <x:v>CodeBenchGen: Creating Scalable Execution-based Code Generation Benchmarks</x:v>
      </x:c>
      <x:c r="I459" s="17" t="str">
        <x:v>Yiqing Xie; Alex Xie; Divyanshu Sheth; Pengfei Liu; Daniel Fried; Carolyn Rose</x:v>
      </x:c>
      <x:c r="J459" s="22" t="n">
        <x:v>2024</x:v>
      </x:c>
      <x:c r="K459" s="27" t="str">
        <x:v>To adequately test modern code generation systems, evaluation benchmarks must execute and test the code generated by the system. However, these execution and testing requirements have largely limited benchmarks to settings where code is easily executable or has human-written tests. To facilitate evaluation of code generation systems across diverse scenarios, we present CodeBenchGen, a framework to create scalable execution-based benchmarks from naturally occurring code sources. Specifically, we leverage a large language model (LLM) to sandbox arbitrary pieces of code into evaluation examples, including test cases for execution-based evaluation. We illustrate the usefulness of our framework by creating a dataset, Exec-CSN, which includes 1,931 examples involving 293 libraries converted from code in 367 GitHub repositories taken from the Code- SearchNet dataset. To demonstrate the solvability of examples in Exec-CSN, we present a human study demonstrating that 81.3% of the examples can be solved by humans and 61% are rated as "requires effort to solve". We conduct code generation experiments on open-source and proprietary models and analyze the performance of both humans and models. We provide code and data at: https://github.com/yiqingxyq/CodeBenchGen.</x:v>
      </x:c>
      <x:c r="L459" s="17" t="str">
        <x:v>http://arxiv.org/abs/2404.00566v4</x:v>
      </x:c>
      <x:c r="M459" s="23" t="n">
        <x:v>0.03225806451612903</x:v>
      </x:c>
      <x:c r="N459" s="17" t="str">
        <x:v>arxiv-paper-eval-20260726-140242-results.jsonl</x:v>
      </x:c>
      <x:c r="O459" s="24" t="str">
        <x:v>2</x:v>
      </x:c>
      <x:c r="P459" s="28" t="str">
        <x:v>直接构建可扩展的执行与测试式代码生成基准。</x:v>
      </x:c>
      <x:c r="Q459" s="25" t="str"/>
      <x:c r="R459" s="24" t="str">
        <x:f>IF(Q459&lt;&gt;"",Q459,O459)</x:f>
        <x:v>2</x:v>
      </x:c>
      <x:c r="S459" s="29" t="str"/>
    </x:row>
    <x:row r="460" ht="54" customHeight="1">
      <x:c r="A460" s="17" t="str">
        <x:v>csq024-r04</x:v>
      </x:c>
      <x:c r="B460" s="17" t="str">
        <x:v>csq024</x:v>
      </x:c>
      <x:c r="C460" s="17" t="str">
        <x:v>software_engineering</x:v>
      </x:c>
      <x:c r="D460" s="17" t="str">
        <x:v>code_generation</x:v>
      </x:c>
      <x:c r="E460" s="27" t="str">
        <x:v>How do execution-based, test-based, and model-based evaluation approaches for code generation compare?</x:v>
      </x:c>
      <x:c r="F460" s="22" t="n">
        <x:v>4</x:v>
      </x:c>
      <x:c r="G460" s="17" t="str">
        <x:v>arXiv:2408.13745</x:v>
      </x:c>
      <x:c r="H460" s="27" t="str">
        <x:v>DOCE: Finding the Sweet Spot for Execution-Based Code Generation</x:v>
      </x:c>
      <x:c r="I460" s="17" t="str">
        <x:v>Haau-Sing Li; Patrick Fernandes; Iryna Gurevych; André F. T. Martins</x:v>
      </x:c>
      <x:c r="J460" s="22" t="n">
        <x:v>2024</x:v>
      </x:c>
      <x:c r="K460" s="27" t="str">
        <x:v>Recently, a diverse set of decoding and reranking procedures have been shown effective for LLM-based code generation. However, a comprehensive framework that links and experimentally compares these methods is missing. We address this by proposing Decoding Objectives for Code Execution, a comprehensive framework that includes candidate generation, $n$-best reranking, minimum Bayes risk (MBR) decoding, and self-debugging as the core components. We then study the contributions of these components through execution-based evaluation metrics. Our findings highlight the importance of execution-based methods and the difference gap between execution-based and execution-free methods. Furthermore, we assess the impact of filtering based on trial unit tests, a simple and effective strategy that has been often overlooked in prior works. We also propose self-debugging on multiple candidates, obtaining state-of-the-art performance on reranking for code generation. We expect our framework to provide a solid guideline for future research on code generation.</x:v>
      </x:c>
      <x:c r="L460" s="17" t="str">
        <x:v>http://arxiv.org/abs/2408.13745v4</x:v>
      </x:c>
      <x:c r="M460" s="23" t="n">
        <x:v>0.031746031746031744</x:v>
      </x:c>
      <x:c r="N460" s="17" t="str">
        <x:v>arxiv-paper-eval-20260726-140242-results.jsonl</x:v>
      </x:c>
      <x:c r="O460" s="24" t="str">
        <x:v>2</x:v>
      </x:c>
      <x:c r="P460" s="28" t="str">
        <x:v>直接比较多种解码方法并用执行指标评估。</x:v>
      </x:c>
      <x:c r="Q460" s="25" t="str"/>
      <x:c r="R460" s="24" t="str">
        <x:f>IF(Q460&lt;&gt;"",Q460,O460)</x:f>
        <x:v>2</x:v>
      </x:c>
      <x:c r="S460" s="29" t="str"/>
    </x:row>
    <x:row r="461" ht="54" customHeight="1">
      <x:c r="A461" s="17" t="str">
        <x:v>csq024-r05</x:v>
      </x:c>
      <x:c r="B461" s="17" t="str">
        <x:v>csq024</x:v>
      </x:c>
      <x:c r="C461" s="17" t="str">
        <x:v>software_engineering</x:v>
      </x:c>
      <x:c r="D461" s="17" t="str">
        <x:v>code_generation</x:v>
      </x:c>
      <x:c r="E461" s="27" t="str">
        <x:v>How do execution-based, test-based, and model-based evaluation approaches for code generation compare?</x:v>
      </x:c>
      <x:c r="F461" s="22" t="n">
        <x:v>5</x:v>
      </x:c>
      <x:c r="G461" s="17" t="str">
        <x:v>arXiv:2406.06918</x:v>
      </x:c>
      <x:c r="H461" s="27" t="str">
        <x:v>HumanEvo: An Evolution-aware Benchmark for More Realistic Evaluation of Repository-level Code Generation</x:v>
      </x:c>
      <x:c r="I461" s="17" t="str">
        <x:v>Dewu Zheng; Yanlin Wang; Ensheng Shi; Ruikai Zhang; Yuchi Ma; Hongyu Zhang; Zibin Zheng</x:v>
      </x:c>
      <x:c r="J461" s="22" t="n">
        <x:v>2024</x:v>
      </x:c>
      <x:c r="K461" s="27" t="str">
        <x:v>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x:v>
      </x:c>
      <x:c r="L461" s="17" t="str">
        <x:v>http://arxiv.org/abs/2406.06918v2</x:v>
      </x:c>
      <x:c r="M461" s="23" t="n">
        <x:v>0.031009615384615385</x:v>
      </x:c>
      <x:c r="N461" s="17" t="str">
        <x:v>arxiv-paper-eval-20260726-140242-results.jsonl</x:v>
      </x:c>
      <x:c r="O461" s="24" t="str">
        <x:v>2</x:v>
      </x:c>
      <x:c r="P461" s="28" t="str">
        <x:v>提供仓库级可执行测试基准并揭示版本演化对评测的影响。</x:v>
      </x:c>
      <x:c r="Q461" s="25" t="str"/>
      <x:c r="R461" s="24" t="str">
        <x:f>IF(Q461&lt;&gt;"",Q461,O461)</x:f>
        <x:v>2</x:v>
      </x:c>
      <x:c r="S461" s="29" t="str"/>
    </x:row>
    <x:row r="462" ht="54" customHeight="1">
      <x:c r="A462" s="17" t="str">
        <x:v>csq024-r06</x:v>
      </x:c>
      <x:c r="B462" s="17" t="str">
        <x:v>csq024</x:v>
      </x:c>
      <x:c r="C462" s="17" t="str">
        <x:v>software_engineering</x:v>
      </x:c>
      <x:c r="D462" s="17" t="str">
        <x:v>code_generation</x:v>
      </x:c>
      <x:c r="E462" s="27" t="str">
        <x:v>How do execution-based, test-based, and model-based evaluation approaches for code generation compare?</x:v>
      </x:c>
      <x:c r="F462" s="22" t="n">
        <x:v>6</x:v>
      </x:c>
      <x:c r="G462" s="17" t="str">
        <x:v>arXiv:2212.10481</x:v>
      </x:c>
      <x:c r="H462" s="27" t="str">
        <x:v>Execution-Based Evaluation for Open-Domain Code Generation</x:v>
      </x:c>
      <x:c r="I462" s="17" t="str">
        <x:v>Zhiruo Wang; Shuyan Zhou; Daniel Fried; Graham Neubig</x:v>
      </x:c>
      <x:c r="J462" s="22" t="n">
        <x:v>2022</x:v>
      </x:c>
      <x:c r="K462" s="27" t="str">
        <x:v>To extend the scope of coding queries to more realistic settings, we propose ODEX, the first Open-Domain EXecution-based natural language (NL) to Python code generation dataset. ODEX has 945 NL-Code pairs spanning 79 diverse libraries, along with 1,707 human-written test cases for execution. Our NL-Code pairs are harvested from StackOverflow forums to encourage natural and practical coding queries. Moreover, ODEX supports four natural languages as intents, in English, Spanish, Japanese, and Russian. ODEX unveils intriguing behavioral differences among top-performing code language models (LM). While CODEX achieves better overall results, CODEGEN improves effectively via scaling -- CODEGEN 6.1B performs comparably with CODEX 12B. Both models show substantial gaps between open and closed domains, but CODEGEN gaps tend to decrease with model size while CODEX gaps increase. We release ODEX to facilitate research into open-domain problems for the code generation community.</x:v>
      </x:c>
      <x:c r="L462" s="17" t="str">
        <x:v>http://arxiv.org/abs/2212.10481v2</x:v>
      </x:c>
      <x:c r="M462" s="23" t="n">
        <x:v>0.031009615384615385</x:v>
      </x:c>
      <x:c r="N462" s="17" t="str">
        <x:v>arxiv-paper-eval-20260726-140242-results.jsonl</x:v>
      </x:c>
      <x:c r="O462" s="24" t="str">
        <x:v>2</x:v>
      </x:c>
      <x:c r="P462" s="28" t="str">
        <x:v>直接发布开放域代码生成执行基准及人工测试用例。</x:v>
      </x:c>
      <x:c r="Q462" s="25" t="str"/>
      <x:c r="R462" s="24" t="str">
        <x:f>IF(Q462&lt;&gt;"",Q462,O462)</x:f>
        <x:v>2</x:v>
      </x:c>
      <x:c r="S462" s="29" t="str"/>
    </x:row>
    <x:row r="463" ht="54" customHeight="1">
      <x:c r="A463" s="17" t="str">
        <x:v>csq024-r07</x:v>
      </x:c>
      <x:c r="B463" s="17" t="str">
        <x:v>csq024</x:v>
      </x:c>
      <x:c r="C463" s="17" t="str">
        <x:v>software_engineering</x:v>
      </x:c>
      <x:c r="D463" s="17" t="str">
        <x:v>code_generation</x:v>
      </x:c>
      <x:c r="E463" s="27" t="str">
        <x:v>How do execution-based, test-based, and model-based evaluation approaches for code generation compare?</x:v>
      </x:c>
      <x:c r="F463" s="22" t="n">
        <x:v>7</x:v>
      </x:c>
      <x:c r="G463" s="17" t="str">
        <x:v>arXiv:2301.09043</x:v>
      </x:c>
      <x:c r="H463" s="27" t="str">
        <x:v>CodeScore: Evaluating Code Generation by Learning Code Execution</x:v>
      </x:c>
      <x:c r="I463" s="17" t="str">
        <x:v>Yihong Dong; Jiazheng Ding; Xue Jiang; Ge Li; Zhuo Li; Zhi Jin</x:v>
      </x:c>
      <x:c r="J463" s="22" t="n">
        <x:v>2023</x:v>
      </x:c>
      <x:c r="K463" s="27" t="str">
        <x:v>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Ref\&amp;NL formats, which existing match-based CEMs cannot effectively accommodate. In this paper,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x:v>
      </x:c>
      <x:c r="L463" s="17" t="str">
        <x:v>http://arxiv.org/abs/2301.09043v4</x:v>
      </x:c>
      <x:c r="M463" s="23" t="n">
        <x:v>0.030834914611005692</x:v>
      </x:c>
      <x:c r="N463" s="17" t="str">
        <x:v>arxiv-paper-eval-20260726-140242-results.jsonl</x:v>
      </x:c>
      <x:c r="O463" s="24" t="str">
        <x:v>2</x:v>
      </x:c>
      <x:c r="P463" s="28" t="str">
        <x:v>直接提出学习代码执行语义的模型式评价指标并对比匹配指标。</x:v>
      </x:c>
      <x:c r="Q463" s="25" t="str"/>
      <x:c r="R463" s="24" t="str">
        <x:f>IF(Q463&lt;&gt;"",Q463,O463)</x:f>
        <x:v>2</x:v>
      </x:c>
      <x:c r="S463" s="29" t="str"/>
    </x:row>
    <x:row r="464" ht="54" customHeight="1">
      <x:c r="A464" s="17" t="str">
        <x:v>csq024-r08</x:v>
      </x:c>
      <x:c r="B464" s="17" t="str">
        <x:v>csq024</x:v>
      </x:c>
      <x:c r="C464" s="17" t="str">
        <x:v>software_engineering</x:v>
      </x:c>
      <x:c r="D464" s="17" t="str">
        <x:v>code_generation</x:v>
      </x:c>
      <x:c r="E464" s="27" t="str">
        <x:v>How do execution-based, test-based, and model-based evaluation approaches for code generation compare?</x:v>
      </x:c>
      <x:c r="F464" s="22" t="n">
        <x:v>8</x:v>
      </x:c>
      <x:c r="G464" s="17" t="str">
        <x:v>arXiv:2405.06807</x:v>
      </x:c>
      <x:c r="H464" s="27" t="str">
        <x:v>Execution-Based Evaluation of Natural Language to Bash and PowerShell for Incident Remediation</x:v>
      </x:c>
      <x:c r="I464" s="17" t="str">
        <x:v>Ngoc Phuoc An Vo; Brent Paulovicks; Vadim Sheinin</x:v>
      </x:c>
      <x:c r="J464" s="22" t="n">
        <x:v>2024</x:v>
      </x:c>
      <x:c r="K464" s="27" t="str">
        <x:v>Given recent advancements of Large Language Models (LLMs), code generation tasks attract immense attention for wide application in different domains. In an effort to evaluate and select a best model to automatically remediate system incidents discovered by Application Performance Monitoring (APM) platforms, it is crucial to verify if the generated code is syntactically and semantically correct, and whether it can be executed correctly as intended. However, current methods for evaluating the quality of code generated by LLMs heavily rely on surface form similarity metrics (e.g. BLEU, ROUGE, and exact/partial match) which have numerous limitations. In contrast, execution based evaluation focuses more on code functionality and does not constrain the code generation to any fixed solution. Nevertheless, designing and implementing such execution-based evaluation platform is not a trivial task. There are several works creating execution-based evaluation platforms for popular programming languages such as SQL, Python, Java, but limited or no attempts for scripting languages such as Bash and PowerShell. In this paper, we present the first execution-based evaluation platform in which we created three test suites (total 125 handcrafted test cases) to evaluate Bash (both single-line commands and multiple-line scripts) and PowerShell codes generated by LLMs. We benchmark seven closed and open-source LLMs using our platform with different techniques (zero-shot vs. few-shot learning).</x:v>
      </x:c>
      <x:c r="L464" s="17" t="str">
        <x:v>http://arxiv.org/abs/2405.06807v2</x:v>
      </x:c>
      <x:c r="M464" s="23" t="n">
        <x:v>0.030303030303030304</x:v>
      </x:c>
      <x:c r="N464" s="17" t="str">
        <x:v>arxiv-paper-eval-20260726-140242-results.jsonl</x:v>
      </x:c>
      <x:c r="O464" s="24" t="str">
        <x:v>2</x:v>
      </x:c>
      <x:c r="P464" s="28" t="str">
        <x:v>直接比较表面指标与脚本实际执行结果。</x:v>
      </x:c>
      <x:c r="Q464" s="25" t="str"/>
      <x:c r="R464" s="24" t="str">
        <x:f>IF(Q464&lt;&gt;"",Q464,O464)</x:f>
        <x:v>2</x:v>
      </x:c>
      <x:c r="S464" s="29" t="str"/>
    </x:row>
    <x:row r="465" ht="54" customHeight="1">
      <x:c r="A465" s="17" t="str">
        <x:v>csq024-r09</x:v>
      </x:c>
      <x:c r="B465" s="17" t="str">
        <x:v>csq024</x:v>
      </x:c>
      <x:c r="C465" s="17" t="str">
        <x:v>software_engineering</x:v>
      </x:c>
      <x:c r="D465" s="17" t="str">
        <x:v>code_generation</x:v>
      </x:c>
      <x:c r="E465" s="27" t="str">
        <x:v>How do execution-based, test-based, and model-based evaluation approaches for code generation compare?</x:v>
      </x:c>
      <x:c r="F465" s="22" t="n">
        <x:v>9</x:v>
      </x:c>
      <x:c r="G465" s="17" t="str">
        <x:v>arXiv:2311.08588</x:v>
      </x:c>
      <x:c r="H465" s="27" t="str">
        <x:v>CodeScope: An Execution-based Multilingual Multitask Multidimensional Benchmark for Evaluating LLMs on Code Understanding and Generation</x:v>
      </x:c>
      <x:c r="I465" s="17" t="str">
        <x:v>Weixiang Yan; Haitian Liu; Yunkun Wang; Yunzhe Li; Qian Chen; Wen Wang; Tingyu Lin; Weishan Zhao; Li Zhu; Hari Sundaram; Shuiguang Deng</x:v>
      </x:c>
      <x:c r="J465" s="22" t="n">
        <x:v>2023</x:v>
      </x:c>
      <x:c r="K465" s="27" t="str">
        <x:v>Large Language Models (LLMs) have demonstrated remarkable performance on assisting humans in programming and facilitating programming automation. However, existing benchmarks for evaluating the code understanding and generation capacities of LLMs suffer from severe limitations. First, most benchmarks are insufficient as they focus on a narrow range of popular programming languages and specific tasks, whereas real-world software development scenarios show a critical need to implement systems with multilingual and multitask programming environments to satisfy diverse requirements. Second, most benchmarks fail to consider the actual executability and the consistency of execution results of the generated code. To bridge these gaps between existing benchmarks and expectations from practical applications, we introduce CodeScope, an execution-based, multilingual, multitask, multidimensional evaluation benchmark for comprehensively measuring LLM capabilities on coding tasks. CodeScope covers 43 programming languages and eight coding tasks. It evaluates the coding performance of LLMs from three dimensions (perspectives): length, difficulty, and efficiency. To facilitate execution-based evaluations of code generation, we develop MultiCodeEngine, an automated code execution engine that supports 14 programming languages. Finally, we systematically evaluate and analyze eight mainstream LLMs and demonstrate the superior breadth and challenges of CodeScope for evaluating LLMs on code understanding and generation tasks compared to other benchmarks. The CodeScope benchmark and code are publicly available at https://github.com/WeixiangYAN/CodeScope.</x:v>
      </x:c>
      <x:c r="L465" s="17" t="str">
        <x:v>http://arxiv.org/abs/2311.08588v3</x:v>
      </x:c>
      <x:c r="M465" s="23" t="n">
        <x:v>0.029631255487269532</x:v>
      </x:c>
      <x:c r="N465" s="17" t="str">
        <x:v>arxiv-paper-eval-20260726-140242-results.jsonl</x:v>
      </x:c>
      <x:c r="O465" s="24" t="str">
        <x:v>2</x:v>
      </x:c>
      <x:c r="P465" s="28" t="str">
        <x:v>直接提出多语言多任务多维度执行式代码基准。</x:v>
      </x:c>
      <x:c r="Q465" s="25" t="str"/>
      <x:c r="R465" s="24" t="str">
        <x:f>IF(Q465&lt;&gt;"",Q465,O465)</x:f>
        <x:v>2</x:v>
      </x:c>
      <x:c r="S465" s="29" t="str"/>
    </x:row>
    <x:row r="466" ht="54" customHeight="1">
      <x:c r="A466" s="17" t="str">
        <x:v>csq024-r10</x:v>
      </x:c>
      <x:c r="B466" s="17" t="str">
        <x:v>csq024</x:v>
      </x:c>
      <x:c r="C466" s="17" t="str">
        <x:v>software_engineering</x:v>
      </x:c>
      <x:c r="D466" s="17" t="str">
        <x:v>code_generation</x:v>
      </x:c>
      <x:c r="E466" s="27" t="str">
        <x:v>How do execution-based, test-based, and model-based evaluation approaches for code generation compare?</x:v>
      </x:c>
      <x:c r="F466" s="22" t="n">
        <x:v>10</x:v>
      </x:c>
      <x:c r="G466" s="17" t="str">
        <x:v>arXiv:2506.06093</x:v>
      </x:c>
      <x:c r="H466" s="27" t="str">
        <x:v>Reinforcing Code Generation: Improving Text-to-SQL with Execution-Based Learning</x:v>
      </x:c>
      <x:c r="I466" s="17" t="str">
        <x:v>Atharv Kulkarni; Vivek Srikumar</x:v>
      </x:c>
      <x:c r="J466" s="22" t="n">
        <x:v>2025</x:v>
      </x:c>
      <x:c r="K466" s="27" t="str">
        <x:v>In this work, we study the problem of code generation with a large language model (LLM), with a focus on generating SQL queries from natural language questions. We ask: Instead of using supervised fine tuning with text-code pairs, can we tune a model by having it interact with a database engine? We frame this problem as a reinforcement learning problem where the model receives execution-based feedback from the environment in the form of scalar rewards. These rewards penalize execution failures and assign positive values when a query returns a correct answer. We use the rewards within the Group Relative Policy Optimization (GRPO) framework. We use a tabular reasoning benchmark to test and evaluate our findings. We find that with only weak supervision in the form of question-answer pairs, RL-tuning improves the accuracy of model generated SQL code from 31.49 to 49.83 while reducing error percentage from 25.43% to 14.71%. This improvement allowed the model nearly match the performance performance to the larger SQLCoder-70B model. Our work demonstrates the potential of using execution-based feedback to improve symbolic reasoning capabilities of LLMs.</x:v>
      </x:c>
      <x:c r="L466" s="17" t="str">
        <x:v>http://arxiv.org/abs/2506.06093v1</x:v>
      </x:c>
      <x:c r="M466" s="23" t="n">
        <x:v>0.029418126757516764</x:v>
      </x:c>
      <x:c r="N466" s="17" t="str">
        <x:v>arxiv-paper-eval-20260726-140242-results.jsonl</x:v>
      </x:c>
      <x:c r="O466" s="24" t="str">
        <x:v>1</x:v>
      </x:c>
      <x:c r="P466" s="28" t="str">
        <x:v>执行结果主要作为强化学习训练奖励，而非比较评价方法。</x:v>
      </x:c>
      <x:c r="Q466" s="25" t="str"/>
      <x:c r="R466" s="24" t="str">
        <x:f>IF(Q466&lt;&gt;"",Q466,O466)</x:f>
        <x:v>1</x:v>
      </x:c>
      <x:c r="S466" s="29" t="str"/>
    </x:row>
    <x:row r="467" ht="54" customHeight="1">
      <x:c r="A467" s="17" t="str">
        <x:v>csq024-r11</x:v>
      </x:c>
      <x:c r="B467" s="17" t="str">
        <x:v>csq024</x:v>
      </x:c>
      <x:c r="C467" s="17" t="str">
        <x:v>software_engineering</x:v>
      </x:c>
      <x:c r="D467" s="17" t="str">
        <x:v>code_generation</x:v>
      </x:c>
      <x:c r="E467" s="27" t="str">
        <x:v>How do execution-based, test-based, and model-based evaluation approaches for code generation compare?</x:v>
      </x:c>
      <x:c r="F467" s="22" t="n">
        <x:v>11</x:v>
      </x:c>
      <x:c r="G467" s="17" t="str">
        <x:v>arXiv:2410.04617</x:v>
      </x:c>
      <x:c r="H467" s="27" t="str">
        <x:v>Evaluation of Code LLMs on Geospatial Code Generation</x:v>
      </x:c>
      <x:c r="I467" s="17" t="str">
        <x:v>Piotr Gramacki; Bruno Martins; Piotr Szymański</x:v>
      </x:c>
      <x:c r="J467" s="22" t="n">
        <x:v>2024</x:v>
      </x:c>
      <x:c r="K467" s="27" t="str">
        <x:v>Software development support tools have been studied for a long time, with recent approaches using Large Language Models (LLMs) for code generation. These models can generate Python code for data science and machine learning applications. LLMs are helpful for software engineers because they increase productivity in daily work. An LLM can also serve as a "mentor" for inexperienced software developers, and be a viable learning support. High-quality code generation with LLMs can also be beneficial in geospatial data science. However, this domain poses different challenges, and code generation LLMs are typically not evaluated on geospatial tasks. Here, we show how we constructed an evaluation benchmark for code generation models, based on a selection of geospatial tasks. We categorised geospatial tasks based on their complexity and required tools. Then, we created a dataset with tasks that test model capabilities in spatial reasoning, spatial data processing, and geospatial tools usage. The dataset consists of specific coding problems that were manually created for high quality. For every problem, we proposed a set of test scenarios that make it possible to automatically check the generated code for correctness. In addition, we tested a selection of existing code generation LLMs for code generation in the geospatial domain. We share our dataset and reproducible evaluation code on a public GitHub repository, arguing that this can serve as an evaluation benchmark for new LLMs in the future. Our dataset will hopefully contribute to the development new models capable of solving geospatial coding tasks with high accuracy. These models will enable the creation of coding assistants tailored for geospatial applications.</x:v>
      </x:c>
      <x:c r="L467" s="17" t="str">
        <x:v>http://arxiv.org/abs/2410.04617v2</x:v>
      </x:c>
      <x:c r="M467" s="23" t="n">
        <x:v>0.028381642512077296</x:v>
      </x:c>
      <x:c r="N467" s="17" t="str">
        <x:v>arxiv-paper-eval-20260726-140242-results.jsonl</x:v>
      </x:c>
      <x:c r="O467" s="24" t="str">
        <x:v>1</x:v>
      </x:c>
      <x:c r="P467" s="28" t="str">
        <x:v>评估特定地理代码LLM，但摘要未突出执行、测试与模型式评价方法的系统比较。</x:v>
      </x:c>
      <x:c r="Q467" s="25" t="str"/>
      <x:c r="R467" s="24" t="str">
        <x:f>IF(Q467&lt;&gt;"",Q467,O467)</x:f>
        <x:v>1</x:v>
      </x:c>
      <x:c r="S467" s="29" t="str"/>
    </x:row>
    <x:row r="468" ht="54" customHeight="1">
      <x:c r="A468" s="17" t="str">
        <x:v>csq024-r12</x:v>
      </x:c>
      <x:c r="B468" s="17" t="str">
        <x:v>csq024</x:v>
      </x:c>
      <x:c r="C468" s="17" t="str">
        <x:v>software_engineering</x:v>
      </x:c>
      <x:c r="D468" s="17" t="str">
        <x:v>code_generation</x:v>
      </x:c>
      <x:c r="E468" s="27" t="str">
        <x:v>How do execution-based, test-based, and model-based evaluation approaches for code generation compare?</x:v>
      </x:c>
      <x:c r="F468" s="22" t="n">
        <x:v>12</x:v>
      </x:c>
      <x:c r="G468" s="17" t="str">
        <x:v>arXiv:2507.12367</x:v>
      </x:c>
      <x:c r="H468" s="27" t="str">
        <x:v>GitChameleon 2.0: Evaluating AI Code Generation Against Python Library Version Incompatibilities</x:v>
      </x:c>
      <x:c r="I468" s="17" t="str">
        <x:v>Diganta Misra; Nizar Islah; Victor May; Brice Rauby; Zihan Wang; Justine Gehring; Antonio Orvieto; Muawiz Chaudhary; Eilif B. Muller; Irina Rish; Samira Ebrahimi Kahou; Massimo Caccia</x:v>
      </x:c>
      <x:c r="J468" s="22" t="n">
        <x:v>2025</x:v>
      </x:c>
      <x:c r="K468" s="27" t="str">
        <x:v>The rapid evolution of software libraries poses a considerable hurdle for code generation, necessitating continuous adaptation to frequent version updates while preserving backward compatibility. While existing code evolution benchmarks provide valuable insights, they typically lack execution-based evaluation for generating code compliant with specific library versions. To address this, we introduce GitChameleon 2.0, a novel, meticulously curated dataset comprising 328 Python code completion problems, each conditioned on specific library versions and accompanied by executable unit tests. GitChameleon 2.0 rigorously evaluates the capacity of contemporary large language models (LLMs), LLM-powered agents, code assistants, and RAG systems to perform version-conditioned code generation that demonstrates functional accuracy through execution. Our extensive evaluations indicate that state-of-the-art systems encounter significant challenges with this task; enterprise models achieving baseline success rates in the 48-51% range, underscoring the intricacy of the problem. By offering an execution-based benchmark emphasizing the dynamic nature of code libraries, GitChameleon 2.0 enables a clearer understanding of this challenge and helps guide the development of more adaptable and dependable AI code generation methods. We make the dataset and evaluation code publicly available at https://github.com/mrcabbage972/GitChameleonBenchmark.</x:v>
      </x:c>
      <x:c r="L468" s="17" t="str">
        <x:v>http://arxiv.org/abs/2507.12367v2</x:v>
      </x:c>
      <x:c r="M468" s="23" t="n">
        <x:v>0.028370221327967807</x:v>
      </x:c>
      <x:c r="N468" s="17" t="str">
        <x:v>arxiv-paper-eval-20260726-140242-results.jsonl</x:v>
      </x:c>
      <x:c r="O468" s="24" t="str">
        <x:v>2</x:v>
      </x:c>
      <x:c r="P468" s="28" t="str">
        <x:v>直接以可执行单元测试评估库版本兼容代码生成。</x:v>
      </x:c>
      <x:c r="Q468" s="25" t="str"/>
      <x:c r="R468" s="24" t="str">
        <x:f>IF(Q468&lt;&gt;"",Q468,O468)</x:f>
        <x:v>2</x:v>
      </x:c>
      <x:c r="S468" s="29" t="str"/>
    </x:row>
    <x:row r="469" ht="54" customHeight="1">
      <x:c r="A469" s="17" t="str">
        <x:v>csq024-r13</x:v>
      </x:c>
      <x:c r="B469" s="17" t="str">
        <x:v>csq024</x:v>
      </x:c>
      <x:c r="C469" s="17" t="str">
        <x:v>software_engineering</x:v>
      </x:c>
      <x:c r="D469" s="17" t="str">
        <x:v>code_generation</x:v>
      </x:c>
      <x:c r="E469" s="27" t="str">
        <x:v>How do execution-based, test-based, and model-based evaluation approaches for code generation compare?</x:v>
      </x:c>
      <x:c r="F469" s="22" t="n">
        <x:v>13</x:v>
      </x:c>
      <x:c r="G469" s="17" t="str">
        <x:v>arXiv:2504.02141</x:v>
      </x:c>
      <x:c r="H469" s="27" t="str">
        <x:v>On Simulation-Guided LLM-based Code Generation for Safe Autonomous Driving Software</x:v>
      </x:c>
      <x:c r="I469" s="17" t="str">
        <x:v>Ali Nouri; Johan Andersson; Kailash De Jesus Hornig; Zhennan Fei; Emil Knabe; Hakan Sivencrona; Beatriz Cabrero-Daniel; Christian Berger</x:v>
      </x:c>
      <x:c r="J469" s="22" t="n">
        <x:v>2025</x:v>
      </x:c>
      <x:c r="K469" s="27" t="str">
        <x:v>Automated Driving System (ADS) is a safety-critical software system responsible for the interpretation of the vehicle's environment and making decisions accordingly. The unbounded complexity of the driving context, including unforeseeable events, necessitate continuous improvement, often achieved through iterative DevOps processes. However, DevOps processes are themselves complex, making these improvements both time- and resource-intensive. Automation in code generation for ADS using Large Language Models (LLM) is one potential approach to address this challenge. Nevertheless, the development of ADS requires rigorous processes to verify, validate, assess, and qualify the code before it can be deployed in the vehicle and used. In this study, we developed and evaluated a prototype for automatic code generation and assessment using a designed pipeline of a LLM-based agent, simulation model, and rule-based feedback generator in an industrial setup. The LLM-generated code is evaluated automatically in a simulation model against multiple critical traffic scenarios, and an assessment report is provided as feedback to the LLM for modification or bug fixing. We report about the experimental results of the prototype employing Codellama:34b, DeepSeek (r1:32b and Coder:33b), CodeGemma:7b, Mistral:7b, and GPT4 for Adaptive Cruise Control (ACC) and Unsupervised Collision Avoidance by Evasive Manoeuvre (CAEM). We finally assessed the tool with 11 experts at two Original Equipment Manufacturers (OEMs) by conducting an interview study.</x:v>
      </x:c>
      <x:c r="L469" s="17" t="str">
        <x:v>http://arxiv.org/abs/2504.02141v1</x:v>
      </x:c>
      <x:c r="M469" s="23" t="n">
        <x:v>0.01639344262295082</x:v>
      </x:c>
      <x:c r="N469" s="17" t="str">
        <x:v>arxiv-paper-eval-20260726-140242-results.jsonl</x:v>
      </x:c>
      <x:c r="O469" s="24" t="str">
        <x:v>2</x:v>
      </x:c>
      <x:c r="P469" s="28" t="str">
        <x:v>直接通过仿真验证自动驾驶代码，属于执行/模型环境式评测。</x:v>
      </x:c>
      <x:c r="Q469" s="25" t="str"/>
      <x:c r="R469" s="24" t="str">
        <x:f>IF(Q469&lt;&gt;"",Q469,O469)</x:f>
        <x:v>2</x:v>
      </x:c>
      <x:c r="S469" s="29" t="str"/>
    </x:row>
    <x:row r="470" ht="54" customHeight="1">
      <x:c r="A470" s="17" t="str">
        <x:v>csq024-r14</x:v>
      </x:c>
      <x:c r="B470" s="17" t="str">
        <x:v>csq024</x:v>
      </x:c>
      <x:c r="C470" s="17" t="str">
        <x:v>software_engineering</x:v>
      </x:c>
      <x:c r="D470" s="17" t="str">
        <x:v>code_generation</x:v>
      </x:c>
      <x:c r="E470" s="27" t="str">
        <x:v>How do execution-based, test-based, and model-based evaluation approaches for code generation compare?</x:v>
      </x:c>
      <x:c r="F470" s="22" t="n">
        <x:v>14</x:v>
      </x:c>
      <x:c r="G470" s="17" t="str">
        <x:v>arXiv:2111.07875</x:v>
      </x:c>
      <x:c r="H470" s="27" t="str">
        <x:v>Choose Your Programming Copilot: A Comparison of the Program Synthesis Performance of GitHub Copilot and Genetic Programming</x:v>
      </x:c>
      <x:c r="I470" s="17" t="str">
        <x:v>Dominik Sobania; Martin Briesch; Franz Rothlauf</x:v>
      </x:c>
      <x:c r="J470" s="22" t="n">
        <x:v>2021</x:v>
      </x:c>
      <x:c r="K470" s="27" t="str">
        <x:v>GitHub Copilot, an extension for the Visual Studio Code development environment powered by the large-scale language model Codex, makes automatic program synthesis available for software developers. This model has been extensively studied in the field of deep learning, however, a comparison to genetic programming, which is also known for its performance in automatic program synthesis, has not yet been carried out. In this paper, we evaluate GitHub Copilot on standard program synthesis benchmark problems and compare the achieved results with those from the genetic programming literature. In addition, we discuss the performance of both approaches. We find that the performance of the two approaches on the benchmark problems is quite similar, however, in comparison to GitHub Copilot, the program synthesis approaches based on genetic programming are not yet mature enough to support programmers in practical software development. Genetic programming usually needs a huge amount of expensive hand-labeled training cases and takes too much time to generate solutions. Furthermore, source code generated by genetic programming approaches is often bloated and difficult to understand. For future work on program synthesis with genetic programming, we suggest researchers to focus on improving the execution time, readability, and usability.</x:v>
      </x:c>
      <x:c r="L470" s="17" t="str">
        <x:v>http://arxiv.org/abs/2111.07875v1</x:v>
      </x:c>
      <x:c r="M470" s="23" t="n">
        <x:v>0.01639344262295082</x:v>
      </x:c>
      <x:c r="N470" s="17" t="str">
        <x:v>arxiv-paper-eval-20260726-140242-results.jsonl</x:v>
      </x:c>
      <x:c r="O470" s="24" t="str">
        <x:v>1</x:v>
      </x:c>
      <x:c r="P470" s="28" t="str">
        <x:v>比较两类程序合成系统，但主要是模型性能对比而非评价方法研究。</x:v>
      </x:c>
      <x:c r="Q470" s="25" t="str"/>
      <x:c r="R470" s="24" t="str">
        <x:f>IF(Q470&lt;&gt;"",Q470,O470)</x:f>
        <x:v>1</x:v>
      </x:c>
      <x:c r="S470" s="29" t="str"/>
    </x:row>
    <x:row r="471" ht="54" customHeight="1">
      <x:c r="A471" s="17" t="str">
        <x:v>csq024-r15</x:v>
      </x:c>
      <x:c r="B471" s="17" t="str">
        <x:v>csq024</x:v>
      </x:c>
      <x:c r="C471" s="17" t="str">
        <x:v>software_engineering</x:v>
      </x:c>
      <x:c r="D471" s="17" t="str">
        <x:v>code_generation</x:v>
      </x:c>
      <x:c r="E471" s="27" t="str">
        <x:v>How do execution-based, test-based, and model-based evaluation approaches for code generation compare?</x:v>
      </x:c>
      <x:c r="F471" s="22" t="n">
        <x:v>15</x:v>
      </x:c>
      <x:c r="G471" s="17" t="str">
        <x:v>arXiv:2404.01535</x:v>
      </x:c>
      <x:c r="H471" s="27" t="str">
        <x:v>Assessing, Exploiting, and Mitigating Syntactic Robustness Failures in LLM-Based Code Generation</x:v>
      </x:c>
      <x:c r="I471" s="17" t="str">
        <x:v>Laboni Sarker; Mara Downing; Achintya Desai; Tevfik Bultan</x:v>
      </x:c>
      <x:c r="J471" s="22" t="n">
        <x:v>2024</x:v>
      </x:c>
      <x:c r="K471" s="27" t="str">
        <x:v>Rapid advances in the field of Large Language Models (LLMs) have made LLM-based code generation an important area for investigation. An LLM-based code generator takes a prompt as input and produces code that implements the requirements specified in the prompt. Many software requirements include mathematical formulas that specify the expected behavior of the code to be generated. Given a code generation prompt that contains a mathematical formula, a reasonable expectation is that, if the formula is syntactically modified without changing its semantics, the generated code for the modified prompt should be semantically equivalent. We formalize this concept as syntactic robustness and investigate the syntactic robustness of LLMs as code generators. Our experimental assessment demonstrates that LLMs are not syntactically robust for code generation prompts with formulas, especially for the ones that require mathematical reasoning. We investigate attack strategies that can further deteriorate the syntactic robustness of LLMs. Finally, to mitigate syntactic robustness failures in LLMs, we propose a pre-processing step that uses reductions to transform formulas in prompts to a simplified form. Our experimental results demonstrate that the syntactic robustness of LLM-based code generation improves significantly using our approach, improving syntactic robustness of LLMs from 54.05% to 74.42%.</x:v>
      </x:c>
      <x:c r="L471" s="17" t="str">
        <x:v>http://arxiv.org/abs/2404.01535v2</x:v>
      </x:c>
      <x:c r="M471" s="23" t="n">
        <x:v>0.016129032258064516</x:v>
      </x:c>
      <x:c r="N471" s="17" t="str">
        <x:v>arxiv-paper-eval-20260726-140242-results.jsonl</x:v>
      </x:c>
      <x:c r="O471" s="24" t="str">
        <x:v>1</x:v>
      </x:c>
      <x:c r="P471" s="28" t="str">
        <x:v>研究提示变化下代码生成鲁棒性，可作测试式评价案例但非三类方法比较。</x:v>
      </x:c>
      <x:c r="Q471" s="25" t="str"/>
      <x:c r="R471" s="24" t="str">
        <x:f>IF(Q471&lt;&gt;"",Q471,O471)</x:f>
        <x:v>1</x:v>
      </x:c>
      <x:c r="S471" s="29" t="str"/>
    </x:row>
    <x:row r="472" ht="54" customHeight="1">
      <x:c r="A472" s="17" t="str">
        <x:v>csq024-r16</x:v>
      </x:c>
      <x:c r="B472" s="17" t="str">
        <x:v>csq024</x:v>
      </x:c>
      <x:c r="C472" s="17" t="str">
        <x:v>software_engineering</x:v>
      </x:c>
      <x:c r="D472" s="17" t="str">
        <x:v>code_generation</x:v>
      </x:c>
      <x:c r="E472" s="27" t="str">
        <x:v>How do execution-based, test-based, and model-based evaluation approaches for code generation compare?</x:v>
      </x:c>
      <x:c r="F472" s="22" t="n">
        <x:v>16</x:v>
      </x:c>
      <x:c r="G472" s="17" t="str">
        <x:v>arXiv:2510.03862</x:v>
      </x:c>
      <x:c r="H472" s="27" t="str">
        <x:v>Designing Empirical Studies on LLM-Based Code Generation: Towards a Reference Framework</x:v>
      </x:c>
      <x:c r="I472" s="17" t="str">
        <x:v>Nathalia Nascimento; Everton Guimaraes; Paulo Alencar</x:v>
      </x:c>
      <x:c r="J472" s="22" t="n">
        <x:v>2025</x:v>
      </x:c>
      <x:c r="K472" s="27" t="str">
        <x:v>The rise of large language models (LLMs) has introduced transformative potential in automated code generation, addressing a wide range of software engineering challenges. However, empirical evaluation of LLM-based code generation lacks standardization, with studies varying widely in goals, tasks, and metrics, which limits comparability and reproducibility. In this paper, we propose a theoretical framework for designing and reporting empirical studies on LLM-based code generation. The framework is grounded in both our prior experience conducting such experiments and a comparative analysis of key similarities and differences among recent studies. It organizes evaluation around core components such as problem sources, quality attributes, and metrics, supporting structured and systematic experimentation. We demonstrate its applicability through representative case mappings and identify opportunities for refinement. Looking forward, we plan to evolve the framework into a more robust and mature tool for standardizing LLM evaluation across software engineering contexts.</x:v>
      </x:c>
      <x:c r="L472" s="17" t="str">
        <x:v>http://arxiv.org/abs/2510.03862v1</x:v>
      </x:c>
      <x:c r="M472" s="23" t="n">
        <x:v>0.015873015873015872</x:v>
      </x:c>
      <x:c r="N472" s="17" t="str">
        <x:v>arxiv-paper-eval-20260726-140242-results.jsonl</x:v>
      </x:c>
      <x:c r="O472" s="24" t="str">
        <x:v>2</x:v>
      </x:c>
      <x:c r="P472" s="28" t="str">
        <x:v>直接提出代码生成实证研究的评价设计与报告框架。</x:v>
      </x:c>
      <x:c r="Q472" s="25" t="str"/>
      <x:c r="R472" s="24" t="str">
        <x:f>IF(Q472&lt;&gt;"",Q472,O472)</x:f>
        <x:v>2</x:v>
      </x:c>
      <x:c r="S472" s="29" t="str"/>
    </x:row>
    <x:row r="473" ht="54" customHeight="1">
      <x:c r="A473" s="17" t="str">
        <x:v>csq024-r17</x:v>
      </x:c>
      <x:c r="B473" s="17" t="str">
        <x:v>csq024</x:v>
      </x:c>
      <x:c r="C473" s="17" t="str">
        <x:v>software_engineering</x:v>
      </x:c>
      <x:c r="D473" s="17" t="str">
        <x:v>code_generation</x:v>
      </x:c>
      <x:c r="E473" s="27" t="str">
        <x:v>How do execution-based, test-based, and model-based evaluation approaches for code generation compare?</x:v>
      </x:c>
      <x:c r="F473" s="22" t="n">
        <x:v>17</x:v>
      </x:c>
      <x:c r="G473" s="17" t="str">
        <x:v>arXiv:2502.19610</x:v>
      </x:c>
      <x:c r="H473" s="27" t="str">
        <x:v>Program Synthesis Dialog Agents for Interactive Decision-Making</x:v>
      </x:c>
      <x:c r="I473" s="17" t="str">
        <x:v>Matthew Toles; Nikhil Balwani; Rattandeep Singh; Valentina Giulia Sartori Rodriguez; Zhou Yu</x:v>
      </x:c>
      <x:c r="J473" s="22" t="n">
        <x:v>2025</x:v>
      </x:c>
      <x:c r="K473" s="27" t="str">
        <x:v>Many real-world eligibility problems, ranging from medical diagnosis to tax planning, can be mapped to decision problems expressed in natural language, wherein a model must make a binary choice based on user features. Large-scale domains such as legal codes or frequently updated funding opportunities render human annotation (e.g., web forms or decision trees) impractical, highlighting the need for agents that can automatically assist in decision-making. Since relevant information is often only known to the user, it is crucial that these agents ask the right questions. As agents determine when to terminate a conversation, they face a trade-off between accuracy and the number of questions asked, a key metric for both user experience and cost. To evaluate this task, we propose BeNYfits, a new benchmark for determining user eligibility for multiple overlapping social benefits opportunities through interactive decision-making. Our experiments show that current language models struggle with frequent hallucinations, with GPT-4o scoring only 35.7 F1 using a ReAct-style chain-of-thought. To address this, we introduce ProADA, a novel approach that leverages program synthesis to assist in decision-making by mapping dialog planning to a code generation problem and using gaps in structured data to determine the best next action. Our agent, ProADA, improves the F1 score to 55.6 while maintaining nearly the same number of dialog turns.</x:v>
      </x:c>
      <x:c r="L473" s="17" t="str">
        <x:v>http://arxiv.org/abs/2502.19610v3</x:v>
      </x:c>
      <x:c r="M473" s="23" t="n">
        <x:v>0.015873015873015872</x:v>
      </x:c>
      <x:c r="N473" s="17" t="str">
        <x:v>arxiv-paper-eval-20260726-140242-results.jsonl</x:v>
      </x:c>
      <x:c r="O473" s="24" t="str">
        <x:v>0</x:v>
      </x:c>
      <x:c r="P473" s="28" t="str">
        <x:v>研究交互决策程序合成智能体，摘要未涉及代码生成评价方法。</x:v>
      </x:c>
      <x:c r="Q473" s="25" t="str"/>
      <x:c r="R473" s="24" t="str">
        <x:f>IF(Q473&lt;&gt;"",Q473,O473)</x:f>
        <x:v>0</x:v>
      </x:c>
      <x:c r="S473" s="29" t="str"/>
    </x:row>
    <x:row r="474" ht="54" customHeight="1">
      <x:c r="A474" s="17" t="str">
        <x:v>csq024-r18</x:v>
      </x:c>
      <x:c r="B474" s="17" t="str">
        <x:v>csq024</x:v>
      </x:c>
      <x:c r="C474" s="17" t="str">
        <x:v>software_engineering</x:v>
      </x:c>
      <x:c r="D474" s="17" t="str">
        <x:v>code_generation</x:v>
      </x:c>
      <x:c r="E474" s="27" t="str">
        <x:v>How do execution-based, test-based, and model-based evaluation approaches for code generation compare?</x:v>
      </x:c>
      <x:c r="F474" s="22" t="n">
        <x:v>18</x:v>
      </x:c>
      <x:c r="G474" s="17" t="str">
        <x:v>arXiv:2311.10401</x:v>
      </x:c>
      <x:c r="H474" s="27" t="str">
        <x:v>LLM-based Control Code Generation using Image Recognition</x:v>
      </x:c>
      <x:c r="I474" s="17" t="str">
        <x:v>Heiko Koziolek; Anne Koziolek</x:v>
      </x:c>
      <x:c r="J474" s="22" t="n">
        <x:v>2023</x:v>
      </x:c>
      <x:c r="K474" s="27" t="str">
        <x:v>LLM-based code generation could save significant manual efforts in industrial automation, where control engineers manually produce control logic for sophisticated production processes. Previous attempts in control logic code generation lacked methods to interpret schematic drawings from process engineers. Recent LLMs now combine image recognition, trained domain knowledge, and coding skills. We propose a novel LLM-based code generation method that generates IEC 61131-3 Structure Text control logic source code from Piping-and-Instrumentation Diagrams (P&amp;IDs) using image recognition. We have evaluated the method in three case study with industrial P&amp;IDs and provide first evidence on the feasibility of such a code generation besides experiences on image recognition glitches.</x:v>
      </x:c>
      <x:c r="L474" s="17" t="str">
        <x:v>http://arxiv.org/abs/2311.10401v1</x:v>
      </x:c>
      <x:c r="M474" s="23" t="n">
        <x:v>0.015625</x:v>
      </x:c>
      <x:c r="N474" s="17" t="str">
        <x:v>arxiv-paper-eval-20260726-140242-results.jsonl</x:v>
      </x:c>
      <x:c r="O474" s="24" t="str">
        <x:v>1</x:v>
      </x:c>
      <x:c r="P474" s="28" t="str">
        <x:v>提出工业控制代码生成并进行应用评估，但评测方法不是主要贡献。</x:v>
      </x:c>
      <x:c r="Q474" s="25" t="str"/>
      <x:c r="R474" s="24" t="str">
        <x:f>IF(Q474&lt;&gt;"",Q474,O474)</x:f>
        <x:v>1</x:v>
      </x:c>
      <x:c r="S474" s="29" t="str"/>
    </x:row>
    <x:row r="475" ht="54" customHeight="1">
      <x:c r="A475" s="17" t="str">
        <x:v>csq024-r19</x:v>
      </x:c>
      <x:c r="B475" s="17" t="str">
        <x:v>csq024</x:v>
      </x:c>
      <x:c r="C475" s="17" t="str">
        <x:v>software_engineering</x:v>
      </x:c>
      <x:c r="D475" s="17" t="str">
        <x:v>code_generation</x:v>
      </x:c>
      <x:c r="E475" s="27" t="str">
        <x:v>How do execution-based, test-based, and model-based evaluation approaches for code generation compare?</x:v>
      </x:c>
      <x:c r="F475" s="22" t="n">
        <x:v>19</x:v>
      </x:c>
      <x:c r="G475" s="17" t="str">
        <x:v>arXiv:2302.05527</x:v>
      </x:c>
      <x:c r="H475" s="27" t="str">
        <x:v>CodeBERTScore: Evaluating Code Generation with Pretrained Models of Code</x:v>
      </x:c>
      <x:c r="I475" s="17" t="str">
        <x:v>Shuyan Zhou; Uri Alon; Sumit Agarwal; Graham Neubig</x:v>
      </x:c>
      <x:c r="J475" s="22" t="n">
        <x:v>2023</x:v>
      </x:c>
      <x:c r="K475" s="27" t="str">
        <x:v>Since the rise of neural natural-language-to-code models (NL-&gt;Code) that can generate long expressions and statements rather than a single next-token, one of the major problems has been reliably evaluating their generated output. In this paper, we propose CodeBERTScore: an evaluation metric for code generation, which builds on BERTScore (Zhang et al., 2020). Instead of encoding only the generated tokens as in BERTScore, CodeBERTScore also encodes the natural language input preceding the generated code, thus modeling the consistency between the generated code and its given natural language context as well. We perform an extensive evaluation of CodeBERTScore across four programming languages. We find that CodeBERTScore achieves a higher correlation with human preference and with functional correctness than all existing metrics. That is, generated code that receives a higher score by CodeBERTScore is more likely to be preferred by humans, as well as to function correctly when executed. We release five language-specific pretrained models to use with our publicly available code. Our language-specific models have been downloaded more than 1,000,000 times from the Huggingface Hub. Our code and data are available at https://github.com/neulab/code-bert-score</x:v>
      </x:c>
      <x:c r="L475" s="17" t="str">
        <x:v>http://arxiv.org/abs/2302.05527v2</x:v>
      </x:c>
      <x:c r="M475" s="23" t="n">
        <x:v>0.015625</x:v>
      </x:c>
      <x:c r="N475" s="17" t="str">
        <x:v>arxiv-paper-eval-20260726-140242-results.jsonl</x:v>
      </x:c>
      <x:c r="O475" s="24" t="str">
        <x:v>2</x:v>
      </x:c>
      <x:c r="P475" s="28" t="str">
        <x:v>直接提出基于预训练代码模型的语义评价指标。</x:v>
      </x:c>
      <x:c r="Q475" s="25" t="str"/>
      <x:c r="R475" s="24" t="str">
        <x:f>IF(Q475&lt;&gt;"",Q475,O475)</x:f>
        <x:v>2</x:v>
      </x:c>
      <x:c r="S475" s="29" t="str"/>
    </x:row>
    <x:row r="476" ht="54" customHeight="1">
      <x:c r="A476" s="17" t="str">
        <x:v>csq024-r20</x:v>
      </x:c>
      <x:c r="B476" s="17" t="str">
        <x:v>csq024</x:v>
      </x:c>
      <x:c r="C476" s="17" t="str">
        <x:v>software_engineering</x:v>
      </x:c>
      <x:c r="D476" s="17" t="str">
        <x:v>code_generation</x:v>
      </x:c>
      <x:c r="E476" s="27" t="str">
        <x:v>How do execution-based, test-based, and model-based evaluation approaches for code generation compare?</x:v>
      </x:c>
      <x:c r="F476" s="22" t="n">
        <x:v>20</x:v>
      </x:c>
      <x:c r="G476" s="17" t="str">
        <x:v>arXiv:2508.00083</x:v>
      </x:c>
      <x:c r="H476" s="27" t="str">
        <x:v>A Survey on Code Generation with LLM-based Agents</x:v>
      </x:c>
      <x:c r="I476" s="17" t="str">
        <x:v>Yihong Dong; Xue Jiang; Jiaru Qian; Tian Wang; Kechi Zhang; Zhi Jin; Ge Li</x:v>
      </x:c>
      <x:c r="J476" s="22" t="n">
        <x:v>2025</x:v>
      </x:c>
      <x:c r="K476" s="27" t="str">
        <x:v>Code generation agents powered by large language models (LLMs) are revolutionizing the software development paradigm. Distinct from previous code generation techniques, code generation agents are characterized by three core features. 1) Autonomy: the ability to independently manage the entire workflow, from task decomposition to coding and debugging. 2) Expanded task scope: capabilities that extend beyond generating code snippets to encompass the full software development lifecycle (SDLC). 3) Enhancement of engineering practicality: a shift in research emphasis from algorithmic innovation toward practical engineering challenges, such as system reliability, process management, and tool integration. This domain has recently witnessed rapid development and an explosion in research, demonstrating significant application potential. This paper presents a systematic survey of the field of LLM-based code generation agents. We trace the technology's developmental trajectory from its inception and systematically categorize its core techniques, including both single-agent and multi-agent architectures. Furthermore, this survey details the applications of LLM-based agents across the full SDLC, summarizes mainstream evaluation benchmarks and metrics, and catalogs representative tools. Finally, by analyzing the primary challenges, we identify and propose several foundational, long-term research directions for the future work of the field.</x:v>
      </x:c>
      <x:c r="L476" s="17" t="str">
        <x:v>http://arxiv.org/abs/2508.00083v2</x:v>
      </x:c>
      <x:c r="M476" s="23" t="n">
        <x:v>0.015384615384615385</x:v>
      </x:c>
      <x:c r="N476" s="17" t="str">
        <x:v>arxiv-paper-eval-20260726-140242-results.jsonl</x:v>
      </x:c>
      <x:c r="O476" s="24" t="str">
        <x:v>1</x:v>
      </x:c>
      <x:c r="P476" s="28" t="str">
        <x:v>综述代码生成智能体，评测仅是相邻内容而非摘要核心。</x:v>
      </x:c>
      <x:c r="Q476" s="25" t="str"/>
      <x:c r="R476" s="24" t="str">
        <x:f>IF(Q476&lt;&gt;"",Q476,O476)</x:f>
        <x:v>1</x:v>
      </x:c>
      <x:c r="S476" s="29" t="str"/>
    </x:row>
    <x:row r="477" ht="54" customHeight="1">
      <x:c r="A477" s="17" t="str">
        <x:v>csq025-r01</x:v>
      </x:c>
      <x:c r="B477" s="17" t="str">
        <x:v>csq025</x:v>
      </x:c>
      <x:c r="C477" s="17" t="str">
        <x:v>software_engineering</x:v>
      </x:c>
      <x:c r="D477" s="17" t="str">
        <x:v>vulnerability_detection</x:v>
      </x:c>
      <x:c r="E477" s="27" t="str">
        <x:v>Which datasets and evaluation protocols are used for machine-learning-based source-code vulnerability detection, and which forms of data leakage can inflate reported performance?</x:v>
      </x:c>
      <x:c r="F477" s="22" t="n">
        <x:v>1</x:v>
      </x:c>
      <x:c r="G477" s="17" t="str">
        <x:v>arXiv:2403.18624</x:v>
      </x:c>
      <x:c r="H477" s="27" t="str">
        <x:v>Vulnerability Detection with Code Language Models: How Far Are We?</x:v>
      </x:c>
      <x:c r="I477" s="17" t="str">
        <x:v>Yangruibo Ding; Yanjun Fu; Omniyyah Ibrahim; Chawin Sitawarin; Xinyun Chen; Basel Alomair; David Wagner; Baishakhi Ray; Yizheng Chen</x:v>
      </x:c>
      <x:c r="J477" s="22" t="n">
        <x:v>2024</x:v>
      </x:c>
      <x:c r="K477" s="27" t="str">
        <x:v>In the context of the rising interest in code language models (code LMs) and vulnerability detection, we study the effectiveness of code LMs for detecting vulnerabilities. Our analysis reveals significant shortcomings in existing vulnerability datasets, including poor data quality, low label accuracy, and high duplication rates, leading to unreliable model performance in realistic vulnerability detection scenarios. Additionally, the evaluation methods used with these datasets are not representative of real-world vulnerability detection. To address these challenges, we introduce PrimeVul, a new dataset for training and evaluating code LMs for vulnerability detection. PrimeVul incorporates a novel set of data labeling techniques that achieve comparable label accuracy to human-verified benchmarks while significantly expanding the dataset. It also implements a rigorous data de-duplication and chronological data splitting strategy to mitigate data leakage issues, alongside introducing more realistic evaluation metrics and settings. This comprehensive approach aims to provide a more accurate assessment of code LMs' performance in real-world conditions. Evaluating code LMs on PrimeVul reveals that existing benchmarks significantly overestimate the performance of these models. For instance, a state-of-the-art 7B model scored 68.26% F1 on BigVul but only 3.09% F1 on PrimeVul. Attempts to improve performance through advanced training techniques and larger models like GPT-3.5 and GPT-4 were unsuccessful, with results akin to random guessing in the most stringent settings. These findings underscore the considerable gap between current capabilities and the practical requirements for deploying code LMs in security roles, highlighting the need for more innovative research in this domain.</x:v>
      </x:c>
      <x:c r="L477" s="17" t="str">
        <x:v>http://arxiv.org/abs/2403.18624v2</x:v>
      </x:c>
      <x:c r="M477" s="23" t="n">
        <x:v>0.032266458495966696</x:v>
      </x:c>
      <x:c r="N477" s="17" t="str">
        <x:v>arxiv-paper-eval-20260726-140242-results.jsonl</x:v>
      </x:c>
      <x:c r="O477" s="24" t="str">
        <x:v>2</x:v>
      </x:c>
      <x:c r="P477" s="28" t="str">
        <x:v>直接揭示漏洞数据集的重复、标签错误和不现实评测，并提出PrimeVul。</x:v>
      </x:c>
      <x:c r="Q477" s="25" t="str"/>
      <x:c r="R477" s="24" t="str">
        <x:f>IF(Q477&lt;&gt;"",Q477,O477)</x:f>
        <x:v>2</x:v>
      </x:c>
      <x:c r="S477" s="29" t="str"/>
    </x:row>
    <x:row r="478" ht="54" customHeight="1">
      <x:c r="A478" s="17" t="str">
        <x:v>csq025-r02</x:v>
      </x:c>
      <x:c r="B478" s="17" t="str">
        <x:v>csq025</x:v>
      </x:c>
      <x:c r="C478" s="17" t="str">
        <x:v>software_engineering</x:v>
      </x:c>
      <x:c r="D478" s="17" t="str">
        <x:v>vulnerability_detection</x:v>
      </x:c>
      <x:c r="E478" s="27" t="str">
        <x:v>Which datasets and evaluation protocols are used for machine-learning-based source-code vulnerability detection, and which forms of data leakage can inflate reported performance?</x:v>
      </x:c>
      <x:c r="F478" s="22" t="n">
        <x:v>2</x:v>
      </x:c>
      <x:c r="G478" s="17" t="str">
        <x:v>arXiv:2311.03725</x:v>
      </x:c>
      <x:c r="H478" s="27" t="str">
        <x:v>DeepInspect: An AI-Powered Defect Detection for Manufacturing Industries</x:v>
      </x:c>
      <x:c r="I478" s="17" t="str">
        <x:v>Arti Kumbhar; Amruta Chougule; Priya Lokhande; Saloni Navaghane; Aditi Burud; Saee Nimbalkar</x:v>
      </x:c>
      <x:c r="J478" s="22" t="n">
        <x:v>2023</x:v>
      </x:c>
      <x:c r="K478" s="27" t="str">
        <x:v>Utilizing Convolutional Neural Networks (CNNs), Recurrent Neural Networks (RNNs), and Generative Adversarial Networks (GANs), our system introduces an innovative approach to defect detection in manufacturing. This technology excels in precisely identifying faults by extracting intricate details from product photographs, utilizing RNNs to detect evolving errors and generating synthetic defect data to bolster the model's robustness and adaptability across various defect scenarios. The project leverages a deep learning framework to automate real-time flaw detection in the manufacturing process. It harnesses extensive datasets of annotated images to discern complex defect patterns. This integrated system seamlessly fits into production workflows, thereby boosting efficiency and elevating product quality. As a result, it reduces waste and operational costs, ultimately enhancing market competitiveness.</x:v>
      </x:c>
      <x:c r="L478" s="17" t="str">
        <x:v>http://arxiv.org/abs/2311.03725v2</x:v>
      </x:c>
      <x:c r="M478" s="23" t="n">
        <x:v>0.01639344262295082</x:v>
      </x:c>
      <x:c r="N478" s="17" t="str">
        <x:v>arxiv-paper-eval-20260726-140242-results.jsonl</x:v>
      </x:c>
      <x:c r="O478" s="24" t="str">
        <x:v>0</x:v>
      </x:c>
      <x:c r="P478" s="28" t="str">
        <x:v>研究制造业图像缺陷检测，与源代码漏洞无关。</x:v>
      </x:c>
      <x:c r="Q478" s="25" t="str"/>
      <x:c r="R478" s="24" t="str">
        <x:f>IF(Q478&lt;&gt;"",Q478,O478)</x:f>
        <x:v>0</x:v>
      </x:c>
      <x:c r="S478" s="29" t="str"/>
    </x:row>
    <x:row r="479" ht="54" customHeight="1">
      <x:c r="A479" s="17" t="str">
        <x:v>csq025-r03</x:v>
      </x:c>
      <x:c r="B479" s="17" t="str">
        <x:v>csq025</x:v>
      </x:c>
      <x:c r="C479" s="17" t="str">
        <x:v>software_engineering</x:v>
      </x:c>
      <x:c r="D479" s="17" t="str">
        <x:v>vulnerability_detection</x:v>
      </x:c>
      <x:c r="E479" s="27" t="str">
        <x:v>Which datasets and evaluation protocols are used for machine-learning-based source-code vulnerability detection, and which forms of data leakage can inflate reported performance?</x:v>
      </x:c>
      <x:c r="F479" s="22" t="n">
        <x:v>3</x:v>
      </x:c>
      <x:c r="G479" s="17" t="str">
        <x:v>arXiv:2306.17193</x:v>
      </x:c>
      <x:c r="H479" s="27" t="str">
        <x:v>Uncovering the Limits of Machine Learning for Automatic Vulnerability Detection</x:v>
      </x:c>
      <x:c r="I479" s="17" t="str">
        <x:v>Niklas Risse; Marcel Böhme</x:v>
      </x:c>
      <x:c r="J479" s="22" t="n">
        <x:v>2023</x:v>
      </x:c>
      <x:c r="K479" s="27" t="str">
        <x:v>Recent results of machine learning for automatic vulnerability detection (ML4VD) have been very promising. Given only the source code of a function $f$, ML4VD techniques can decide if $f$ contains a security flaw with up to 70% accuracy. However, as evident in our own experiments, the same top-performing models are unable to distinguish between functions that contain a vulnerability and functions where the vulnerability is patched. So, how can we explain this contradiction and how can we improve the way we evaluate ML4VD techniques to get a better picture of their actual capabilities? In this paper, we identify overfitting to unrelated features and out-of-distribution generalization as two problems, which are not captured by the traditional approach of evaluating ML4VD techniques. As a remedy, we propose a novel benchmarking methodology to help researchers better evaluate the true capabilities and limits of ML4VD techniques. Specifically, we propose (i) to augment the training and validation dataset according to our cross-validation algorithm, where a semantic preserving transformation is applied during the augmentation of either the training set or the testing set, and (ii) to augment the testing set with code snippets where the vulnerabilities are patched. Using six ML4VD techniques and two datasets, we find (a) that state-of-the-art models severely overfit to unrelated features for predicting the vulnerabilities in the testing data, (b) that the performance gained by data augmentation does not generalize beyond the specific augmentations applied during training, and (c) that state-of-the-art ML4VD techniques are unable to distinguish vulnerable functions from their patches.</x:v>
      </x:c>
      <x:c r="L479" s="17" t="str">
        <x:v>http://arxiv.org/abs/2306.17193v2</x:v>
      </x:c>
      <x:c r="M479" s="23" t="n">
        <x:v>0.01639344262295082</x:v>
      </x:c>
      <x:c r="N479" s="17" t="str">
        <x:v>arxiv-paper-eval-20260726-140242-results.jsonl</x:v>
      </x:c>
      <x:c r="O479" s="24" t="str">
        <x:v>2</x:v>
      </x:c>
      <x:c r="P479" s="28" t="str">
        <x:v>直接分析ML漏洞检测评测失真及数据伪影问题。</x:v>
      </x:c>
      <x:c r="Q479" s="25" t="str"/>
      <x:c r="R479" s="24" t="str">
        <x:f>IF(Q479&lt;&gt;"",Q479,O479)</x:f>
        <x:v>2</x:v>
      </x:c>
      <x:c r="S479" s="29" t="str"/>
    </x:row>
    <x:row r="480" ht="54" customHeight="1">
      <x:c r="A480" s="17" t="str">
        <x:v>csq025-r04</x:v>
      </x:c>
      <x:c r="B480" s="17" t="str">
        <x:v>csq025</x:v>
      </x:c>
      <x:c r="C480" s="17" t="str">
        <x:v>software_engineering</x:v>
      </x:c>
      <x:c r="D480" s="17" t="str">
        <x:v>vulnerability_detection</x:v>
      </x:c>
      <x:c r="E480" s="27" t="str">
        <x:v>Which datasets and evaluation protocols are used for machine-learning-based source-code vulnerability detection, and which forms of data leakage can inflate reported performance?</x:v>
      </x:c>
      <x:c r="F480" s="22" t="n">
        <x:v>4</x:v>
      </x:c>
      <x:c r="G480" s="17" t="str">
        <x:v>arXiv:2303.07525</x:v>
      </x:c>
      <x:c r="H480" s="27" t="str">
        <x:v>Automated Vulnerability Detection in Source Code Using Quantum Natural Language Processing</x:v>
      </x:c>
      <x:c r="I480" s="17" t="str">
        <x:v>Mst Shapna Akter; Hossain Shahriar; Zakirul Alam Bhuiya</x:v>
      </x:c>
      <x:c r="J480" s="22" t="n">
        <x:v>2023</x:v>
      </x:c>
      <x:c r="K480" s="27" t="str">
        <x:v>One of the most important challenges in the field of software code audit is the presence of vulnerabilities in software source code. These flaws are highly likely ex-ploited and lead to system compromise, data leakage, or denial of ser-vice. C and C++ open source code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 Term Memory (LSTM), and quantum machine learning model Long Short Term Memory (QLSTM), that can learn features extracted from the source codes. The source code is first converted into a minimal intermediate representation to remove the pointless components and shorten the de-pendency. Therefore, We keep the semantic and syntactic information using state of the 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x:v>
      </x:c>
      <x:c r="L480" s="17" t="str">
        <x:v>http://arxiv.org/abs/2303.07525v1</x:v>
      </x:c>
      <x:c r="M480" s="23" t="n">
        <x:v>0.01639344262295082</x:v>
      </x:c>
      <x:c r="N480" s="17" t="str">
        <x:v>arxiv-paper-eval-20260726-140242-results.jsonl</x:v>
      </x:c>
      <x:c r="O480" s="24" t="str">
        <x:v>1</x:v>
      </x:c>
      <x:c r="P480" s="28" t="str">
        <x:v>使用大规模源代码数据评估漏洞检测，但数据泄漏与协议并非核心。</x:v>
      </x:c>
      <x:c r="Q480" s="25" t="str"/>
      <x:c r="R480" s="24" t="str">
        <x:f>IF(Q480&lt;&gt;"",Q480,O480)</x:f>
        <x:v>1</x:v>
      </x:c>
      <x:c r="S480" s="29" t="str"/>
    </x:row>
    <x:row r="481" ht="54" customHeight="1">
      <x:c r="A481" s="17" t="str">
        <x:v>csq025-r05</x:v>
      </x:c>
      <x:c r="B481" s="17" t="str">
        <x:v>csq025</x:v>
      </x:c>
      <x:c r="C481" s="17" t="str">
        <x:v>software_engineering</x:v>
      </x:c>
      <x:c r="D481" s="17" t="str">
        <x:v>vulnerability_detection</x:v>
      </x:c>
      <x:c r="E481" s="27" t="str">
        <x:v>Which datasets and evaluation protocols are used for machine-learning-based source-code vulnerability detection, and which forms of data leakage can inflate reported performance?</x:v>
      </x:c>
      <x:c r="F481" s="22" t="n">
        <x:v>5</x:v>
      </x:c>
      <x:c r="G481" s="17" t="str">
        <x:v>arXiv:2512.12593</x:v>
      </x:c>
      <x:c r="H481" s="27" t="str">
        <x:v>SHERLOCK: A Deep Learning Approach To Detect Software Vulnerabilities</x:v>
      </x:c>
      <x:c r="I481" s="17" t="str">
        <x:v>Saadh Jawwadh; Guhanathan Poravi</x:v>
      </x:c>
      <x:c r="J481" s="22" t="n">
        <x:v>2025</x:v>
      </x:c>
      <x:c r="K481" s="27" t="str">
        <x:v>The increasing reliance on software in various applications has made the problem of software vulnerability detection more critical. Software vulnerabilities can lead to security breaches, data theft, and other negative outcomes. Traditional software vulnerability detection techniques, such as static and dynamic analysis, have been shown to be ineffective at detecting multiple vulnerabilities. To address this issue, this study employed a deep learning approach, specifically Convolutional Neural Networks (CNN), to solve the software vulnerability detection problem. A 5-split cross-validation approach was used to train and evaluate the CNN model, which takes tokenized source code as input. The findings indicated that Sherlock successfully detected multiple vulnerabilities at the function level, and its performance was particularly strong for CWE-199, CWE-120, and CWE-Other, with an overall high accuracy rate and significant true positive and true negative values. However, the performance was less reliable for some vulnerabilities due to the lack of a standardized dataset which will be a future research direction. The results suggest that compared to current techniques, the proposed deep learning approach has the potential to substantially enhance the accuracy of software vulnerability detection.</x:v>
      </x:c>
      <x:c r="L481" s="17" t="str">
        <x:v>http://arxiv.org/abs/2512.12593v1</x:v>
      </x:c>
      <x:c r="M481" s="23" t="n">
        <x:v>0.016129032258064516</x:v>
      </x:c>
      <x:c r="N481" s="17" t="str">
        <x:v>arxiv-paper-eval-20260726-140242-results.jsonl</x:v>
      </x:c>
      <x:c r="O481" s="24" t="str">
        <x:v>1</x:v>
      </x:c>
      <x:c r="P481" s="28" t="str">
        <x:v>给出深度学习漏洞检测和交叉验证，可作协议案例但未分析泄漏。</x:v>
      </x:c>
      <x:c r="Q481" s="25" t="str"/>
      <x:c r="R481" s="24" t="str">
        <x:f>IF(Q481&lt;&gt;"",Q481,O481)</x:f>
        <x:v>1</x:v>
      </x:c>
      <x:c r="S481" s="29" t="str"/>
    </x:row>
    <x:row r="482" ht="54" customHeight="1">
      <x:c r="A482" s="17" t="str">
        <x:v>csq025-r06</x:v>
      </x:c>
      <x:c r="B482" s="17" t="str">
        <x:v>csq025</x:v>
      </x:c>
      <x:c r="C482" s="17" t="str">
        <x:v>software_engineering</x:v>
      </x:c>
      <x:c r="D482" s="17" t="str">
        <x:v>vulnerability_detection</x:v>
      </x:c>
      <x:c r="E482" s="27" t="str">
        <x:v>Which datasets and evaluation protocols are used for machine-learning-based source-code vulnerability detection, and which forms of data leakage can inflate reported performance?</x:v>
      </x:c>
      <x:c r="F482" s="22" t="n">
        <x:v>6</x:v>
      </x:c>
      <x:c r="G482" s="17" t="str">
        <x:v>arXiv:2306.11673</x:v>
      </x:c>
      <x:c r="H482" s="27" t="str">
        <x:v>A Survey on Automated Software Vulnerability Detection Using Machine Learning and Deep Learning</x:v>
      </x:c>
      <x:c r="I482" s="17" t="str">
        <x:v>Nima Shiri Harzevili; Alvine Boaye Belle; Junjie Wang; Song Wang; Zhen Ming;  Jiang; Nachiappan Nagappan</x:v>
      </x:c>
      <x:c r="J482" s="22" t="n">
        <x:v>2023</x:v>
      </x:c>
      <x:c r="K482" s="27" t="str">
        <x:v>Software vulnerability detection is critical in software security because it identifies potential bugs in software systems, enabling immediate remediation and mitigation measures to be implemented before they may be exploited. Automatic vulnerability identification is important because it can evaluate large codebases more efficiently than manual code auditing. Many Machine Learning (ML) and Deep Learning (DL) based models for detecting vulnerabilities in source code have been presented in recent years. However, a survey that summarises, classifies, and analyses the application of ML/DL models for vulnerability detection is missing. It may be difficult to discover gaps in existing research and potential for future improvement without a comprehensive survey. This could result in essential areas of research being overlooked or under-represented, leading to a skewed understanding of the state of the art in vulnerability detection. This work address that gap by presenting a systematic survey to characterize various features of ML/DL-based source code level software vulnerability detection approaches via five primary research questions (RQs). Specifically, our RQ1 examines the trend of publications that leverage ML/DL for vulnerability detection, including the evolution of research and the distribution of publication venues. RQ2 describes vulnerability datasets used by existing ML/DL-based models, including their sources, types, and representations, as well as analyses of the embedding techniques used by these approaches. RQ3 explores the model architectures and design assumptions of ML/DL-based vulnerability detection approaches. RQ4 summarises the type and frequency of vulnerabilities that are covered by existing studies. Lastly, RQ5 presents a list of current challenges to be researched and an outline of a potential research roadmap that highlights crucial opportunities for future work.</x:v>
      </x:c>
      <x:c r="L482" s="17" t="str">
        <x:v>http://arxiv.org/abs/2306.11673v1</x:v>
      </x:c>
      <x:c r="M482" s="23" t="n">
        <x:v>0.016129032258064516</x:v>
      </x:c>
      <x:c r="N482" s="17" t="str">
        <x:v>arxiv-paper-eval-20260726-140242-results.jsonl</x:v>
      </x:c>
      <x:c r="O482" s="24" t="str">
        <x:v>2</x:v>
      </x:c>
      <x:c r="P482" s="28" t="str">
        <x:v>综述机器学习源代码漏洞检测方法、数据与评价。</x:v>
      </x:c>
      <x:c r="Q482" s="25" t="str"/>
      <x:c r="R482" s="24" t="str">
        <x:f>IF(Q482&lt;&gt;"",Q482,O482)</x:f>
        <x:v>2</x:v>
      </x:c>
      <x:c r="S482" s="29" t="str"/>
    </x:row>
    <x:row r="483" ht="54" customHeight="1">
      <x:c r="A483" s="17" t="str">
        <x:v>csq025-r07</x:v>
      </x:c>
      <x:c r="B483" s="17" t="str">
        <x:v>csq025</x:v>
      </x:c>
      <x:c r="C483" s="17" t="str">
        <x:v>software_engineering</x:v>
      </x:c>
      <x:c r="D483" s="17" t="str">
        <x:v>vulnerability_detection</x:v>
      </x:c>
      <x:c r="E483" s="27" t="str">
        <x:v>Which datasets and evaluation protocols are used for machine-learning-based source-code vulnerability detection, and which forms of data leakage can inflate reported performance?</x:v>
      </x:c>
      <x:c r="F483" s="22" t="n">
        <x:v>7</x:v>
      </x:c>
      <x:c r="G483" s="17" t="str">
        <x:v>arXiv:2102.01908</x:v>
      </x:c>
      <x:c r="H483" s="27" t="str">
        <x:v>Information Leakage in Zero-Error Source Coding: A Graph-Theoretic Perspective</x:v>
      </x:c>
      <x:c r="I483" s="17" t="str">
        <x:v>Yucheng Liu; Lawrence Ong; Sarah Johnson; Joerg Kliewer; Parastoo Sadeghi; Phee Lep Yeoh</x:v>
      </x:c>
      <x:c r="J483" s="22" t="n">
        <x:v>2021</x:v>
      </x:c>
      <x:c r="K483" s="27" t="str">
        <x:v>We study the information leakage to a guessing adversary in zero-error source coding. The source coding problem is defined by a confusion graph capturing the distinguishability between source symbols. The information leakage is measured by the ratio of the adversary's successful guessing probability after and before eavesdropping the codeword, maximized over all possible source distributions. Such measurement under the basic adversarial model where the adversary makes a single guess and allows no distortion between its estimator and the true sequence is known as the maximum min-entropy leakage or the maximal leakage in the literature. We develop a single-letter characterization of the optimal normalized leakage under the basic adversarial model, together with an optimum-achieving scalar stochastic mapping scheme. An interesting observation is that the optimal normalized leakage is equal to the optimal compression rate with fixed-length source codes, both of which can be simultaneously achieved by some deterministic coding schemes. We then extend the leakage measurement to generalized adversarial models where the adversary makes multiple guesses and allows certain level of distortion, for which we derive single-letter lower and upper bounds.</x:v>
      </x:c>
      <x:c r="L483" s="17" t="str">
        <x:v>http://arxiv.org/abs/2102.01908v1</x:v>
      </x:c>
      <x:c r="M483" s="23" t="n">
        <x:v>0.016129032258064516</x:v>
      </x:c>
      <x:c r="N483" s="17" t="str">
        <x:v>arxiv-paper-eval-20260726-140242-results.jsonl</x:v>
      </x:c>
      <x:c r="O483" s="24" t="str">
        <x:v>0</x:v>
      </x:c>
      <x:c r="P483" s="28" t="str">
        <x:v>讨论信息论源编码泄漏，与漏洞检测中的数据泄漏无关。</x:v>
      </x:c>
      <x:c r="Q483" s="25" t="str"/>
      <x:c r="R483" s="24" t="str">
        <x:f>IF(Q483&lt;&gt;"",Q483,O483)</x:f>
        <x:v>0</x:v>
      </x:c>
      <x:c r="S483" s="29" t="str"/>
    </x:row>
    <x:row r="484" ht="54" customHeight="1">
      <x:c r="A484" s="17" t="str">
        <x:v>csq025-r08</x:v>
      </x:c>
      <x:c r="B484" s="17" t="str">
        <x:v>csq025</x:v>
      </x:c>
      <x:c r="C484" s="17" t="str">
        <x:v>software_engineering</x:v>
      </x:c>
      <x:c r="D484" s="17" t="str">
        <x:v>vulnerability_detection</x:v>
      </x:c>
      <x:c r="E484" s="27" t="str">
        <x:v>Which datasets and evaluation protocols are used for machine-learning-based source-code vulnerability detection, and which forms of data leakage can inflate reported performance?</x:v>
      </x:c>
      <x:c r="F484" s="22" t="n">
        <x:v>8</x:v>
      </x:c>
      <x:c r="G484" s="17" t="str">
        <x:v>arXiv:2407.03093</x:v>
      </x:c>
      <x:c r="H484" s="27" t="str">
        <x:v>Revisiting the Performance of Deep Learning-Based Vulnerability Detection on Realistic Datasets</x:v>
      </x:c>
      <x:c r="I484" s="17" t="str">
        <x:v>Partha Chakraborty; Krishna Kanth Arumugam; Mahmoud Alfadel; Meiyappan Nagappan; Shane McIntosh</x:v>
      </x:c>
      <x:c r="J484" s="22" t="n">
        <x:v>2024</x:v>
      </x:c>
      <x:c r="K484" s="27" t="str">
        <x:v>The impact of software vulnerabilities on everyday software systems is significant. Despite deep learning models being proposed for vulnerability detection, their reliability is questionable. Prior evaluations show high recall/F1 scores of up to 99%, but these models underperform in practical scenarios, particularly when assessed on entire codebases rather than just the fixing commit. This paper introduces Real-Vul, a comprehensive dataset representing real-world scenarios for evaluating vulnerability detection models. Evaluating DeepWukong, LineVul, ReVeal, and IVDetect shows a significant drop in performance, with precision decreasing by up to 95 percentage points and F1 scores by up to 91 points. Furthermore, Model performance fluctuates based on vulnerability characteristics, with better F1 scores for information leaks or code injection than for path resolution or predictable return values. The results highlight a significant performance gap that needs addressing before deploying deep learning-based vulnerability detection in practical settings. Overfitting is identified as a key issue, and an augmentation technique is proposed, potentially improving performance by up to 30%. Contributions include a dataset creation approach for better model evaluation, Real-Vul dataset, and empirical evidence of deep learning models struggling in real-world settings.</x:v>
      </x:c>
      <x:c r="L484" s="17" t="str">
        <x:v>http://arxiv.org/abs/2407.03093v1</x:v>
      </x:c>
      <x:c r="M484" s="23" t="n">
        <x:v>0.015873015873015872</x:v>
      </x:c>
      <x:c r="N484" s="17" t="str">
        <x:v>arxiv-paper-eval-20260726-140242-results.jsonl</x:v>
      </x:c>
      <x:c r="O484" s="24" t="str">
        <x:v>2</x:v>
      </x:c>
      <x:c r="P484" s="28" t="str">
        <x:v>直接提出真实场景Real-Vul数据集并揭示既有高分失真。</x:v>
      </x:c>
      <x:c r="Q484" s="25" t="str"/>
      <x:c r="R484" s="24" t="str">
        <x:f>IF(Q484&lt;&gt;"",Q484,O484)</x:f>
        <x:v>2</x:v>
      </x:c>
      <x:c r="S484" s="29" t="str"/>
    </x:row>
    <x:row r="485" ht="54" customHeight="1">
      <x:c r="A485" s="17" t="str">
        <x:v>csq025-r09</x:v>
      </x:c>
      <x:c r="B485" s="17" t="str">
        <x:v>csq025</x:v>
      </x:c>
      <x:c r="C485" s="17" t="str">
        <x:v>software_engineering</x:v>
      </x:c>
      <x:c r="D485" s="17" t="str">
        <x:v>vulnerability_detection</x:v>
      </x:c>
      <x:c r="E485" s="27" t="str">
        <x:v>Which datasets and evaluation protocols are used for machine-learning-based source-code vulnerability detection, and which forms of data leakage can inflate reported performance?</x:v>
      </x:c>
      <x:c r="F485" s="22" t="n">
        <x:v>9</x:v>
      </x:c>
      <x:c r="G485" s="17" t="str">
        <x:v>arXiv:2306.03835</x:v>
      </x:c>
      <x:c r="H485" s="27" t="str">
        <x:v>Atrial Septal Defect Detection in Children Based on Ultrasound Video Using Multiple Instances Learning</x:v>
      </x:c>
      <x:c r="I485" s="17" t="str">
        <x:v>Yiman Liu; Qiming Huang; Xiaoxiang Han; Tongtong Liang; Zhifang Zhang; Lijun Chen; Jinfeng Wang; Angelos Stefanidis; Jionglong Su; Jiangang Chen; Qingli Li; Yuqi Zhang</x:v>
      </x:c>
      <x:c r="J485" s="22" t="n">
        <x:v>2023</x:v>
      </x:c>
      <x:c r="K485" s="27" t="str">
        <x:v>Purpose: Congenital heart defect (CHD) is the most common birth defect. Thoracic echocardiography (TTE) can provide sufficient cardiac structure information, evaluate hemodynamics and cardiac function, and is an effective method for atrial septal defect (ASD) examination. This paper aims to study a deep learning method based on cardiac ultrasound video to assist in ASD diagnosis. Materials and methods: We select two standard views of the atrial septum (subAS) and low parasternal four-compartment view (LPS4C) as the two views to identify ASD. We enlist data from 300 children patients as part of a double-blind experiment for five-fold cross-validation to verify the performance of our model. In addition, data from 30 children patients (15 positives and 15 negatives) are collected for clinician testing and compared to our model test results (these 30 samples do not participate in model training). We propose an echocardiography video-based atrial septal defect diagnosis system. In our model, we present a block random selection, maximal agreement decision and frame sampling strategy for training and testing respectively, resNet18 and r3D networks are used to extract the frame features and aggregate them to build a rich video-level representation. Results: We validate our model using our private dataset by five-cross validation. For ASD detection, we achieve 89.33 AUC, 84.95 accuracy, 85.70 sensitivity, 81.51 specificity and 81.99 F1 score. Conclusion: The proposed model is multiple instances learning-based deep learning model for video atrial septal defect detection which effectively improves ASD detection accuracy when compared to the performances of previous networks and clinical doctors.</x:v>
      </x:c>
      <x:c r="L485" s="17" t="str">
        <x:v>http://arxiv.org/abs/2306.03835v1</x:v>
      </x:c>
      <x:c r="M485" s="23" t="n">
        <x:v>0.015873015873015872</x:v>
      </x:c>
      <x:c r="N485" s="17" t="str">
        <x:v>arxiv-paper-eval-20260726-140242-results.jsonl</x:v>
      </x:c>
      <x:c r="O485" s="24" t="str">
        <x:v>0</x:v>
      </x:c>
      <x:c r="P485" s="28" t="str">
        <x:v>研究儿童心脏超声缺陷，与软件源代码无关。</x:v>
      </x:c>
      <x:c r="Q485" s="25" t="str"/>
      <x:c r="R485" s="24" t="str">
        <x:f>IF(Q485&lt;&gt;"",Q485,O485)</x:f>
        <x:v>0</x:v>
      </x:c>
      <x:c r="S485" s="29" t="str"/>
    </x:row>
    <x:row r="486" ht="54" customHeight="1">
      <x:c r="A486" s="17" t="str">
        <x:v>csq025-r10</x:v>
      </x:c>
      <x:c r="B486" s="17" t="str">
        <x:v>csq025</x:v>
      </x:c>
      <x:c r="C486" s="17" t="str">
        <x:v>software_engineering</x:v>
      </x:c>
      <x:c r="D486" s="17" t="str">
        <x:v>vulnerability_detection</x:v>
      </x:c>
      <x:c r="E486" s="27" t="str">
        <x:v>Which datasets and evaluation protocols are used for machine-learning-based source-code vulnerability detection, and which forms of data leakage can inflate reported performance?</x:v>
      </x:c>
      <x:c r="F486" s="22" t="n">
        <x:v>10</x:v>
      </x:c>
      <x:c r="G486" s="17" t="str">
        <x:v>arXiv:2410.22555</x:v>
      </x:c>
      <x:c r="H486" s="27" t="str">
        <x:v>Lost and Found in Speculation: Hybrid Speculative Vulnerability Detection</x:v>
      </x:c>
      <x:c r="I486" s="17" t="str">
        <x:v>Mohamadreza Rostami; Shaza Zeitouni; Rahul Kande; Chen Chen; Pouya Mahmoody;  Jeyavijayan;  Rajendran; Ahmad-Reza Sadeghi</x:v>
      </x:c>
      <x:c r="J486" s="22" t="n">
        <x:v>2024</x:v>
      </x:c>
      <x:c r="K486" s="27" t="str">
        <x:v>Microarchitectural attacks represent a challenging and persistent threat to modern processors, exploiting inherent design vulnerabilities in processors to leak sensitive information or compromise systems. Of particular concern is the susceptibility of Speculative Execution, a fundamental part of performance enhancement, to such attacks. We introduce Specure, a novel pre-silicon verification method composing hardware fuzzing with Information Flow Tracking (IFT) to address speculative execution leakages. Integrating IFT enables two significant and non-trivial enhancements over the existing fuzzing approaches: i) automatic detection of microarchitectural information leakages vulnerabilities without golden model and ii) a novel Leakage Path coverage metric for efficient vulnerability detection. Specure identifies previously overlooked speculative execution vulnerabilities on the RISC-V BOOM processor and explores the vulnerability search space 6.45x faster than existing fuzzing techniques. Moreover, Specure detected known vulnerabilities 20x faster.</x:v>
      </x:c>
      <x:c r="L486" s="17" t="str">
        <x:v>http://arxiv.org/abs/2410.22555v1</x:v>
      </x:c>
      <x:c r="M486" s="23" t="n">
        <x:v>0.015625</x:v>
      </x:c>
      <x:c r="N486" s="17" t="str">
        <x:v>arxiv-paper-eval-20260726-140242-results.jsonl</x:v>
      </x:c>
      <x:c r="O486" s="24" t="str">
        <x:v>0</x:v>
      </x:c>
      <x:c r="P486" s="28" t="str">
        <x:v>研究处理器推测执行泄漏，不是机器学习源代码漏洞评测。</x:v>
      </x:c>
      <x:c r="Q486" s="25" t="str"/>
      <x:c r="R486" s="24" t="str">
        <x:f>IF(Q486&lt;&gt;"",Q486,O486)</x:f>
        <x:v>0</x:v>
      </x:c>
      <x:c r="S486" s="29" t="str"/>
    </x:row>
    <x:row r="487" ht="54" customHeight="1">
      <x:c r="A487" s="17" t="str">
        <x:v>csq025-r11</x:v>
      </x:c>
      <x:c r="B487" s="17" t="str">
        <x:v>csq025</x:v>
      </x:c>
      <x:c r="C487" s="17" t="str">
        <x:v>software_engineering</x:v>
      </x:c>
      <x:c r="D487" s="17" t="str">
        <x:v>vulnerability_detection</x:v>
      </x:c>
      <x:c r="E487" s="27" t="str">
        <x:v>Which datasets and evaluation protocols are used for machine-learning-based source-code vulnerability detection, and which forms of data leakage can inflate reported performance?</x:v>
      </x:c>
      <x:c r="F487" s="22" t="n">
        <x:v>11</x:v>
      </x:c>
      <x:c r="G487" s="17" t="str">
        <x:v>arXiv:2304.00409</x:v>
      </x:c>
      <x:c r="H487" s="27" t="str">
        <x:v>DiverseVul: A New Vulnerable Source Code Dataset for Deep Learning Based Vulnerability Detection</x:v>
      </x:c>
      <x:c r="I487" s="17" t="str">
        <x:v>Yizheng Chen; Zhoujie Ding; Lamya Alowain; Xinyun Chen; David Wagner</x:v>
      </x:c>
      <x:c r="J487" s="22" t="n">
        <x:v>2023</x:v>
      </x:c>
      <x:c r="K487" s="27" t="str">
        <x:v>We propose and release a new vulnerable source code dataset. We curate the dataset by crawling security issue websites, extracting vulnerability-fixing commits and source codes from the corresponding projects. Our new dataset contains 18,945 vulnerable functions spanning 150 CWEs and 330,492 non-vulnerable functions extracted from 7,514 commits. Our dataset covers 295 more projects than all previous datasets combined. Combining our new dataset with previous datasets, we present an analysis of the challenges and promising research directions of using deep learning for detecting software vulnerabilities. We study 11 model architectures belonging to 4 families. Our results show that deep learning is still not ready for vulnerability detection, due to high false positive rate, low F1 score, and difficulty of detecting hard CWEs. In particular, we demonstrate an important generalization challenge for the deployment of deep learning-based models. We show that increasing the volume of training data may not further improve the performance of deep learning models for vulnerability detection, but might be useful to improve the generalization ability to unseen projects. We also identify hopeful future research directions. We demonstrate that large language models (LLMs) are a promising research direction for ML-based vulnerability detection, outperforming Graph Neural Networks (GNNs) with code-structure features in our experiments. Moreover, developing source code specific pre-training objectives is a promising research direction to improve the vulnerability detection performance.</x:v>
      </x:c>
      <x:c r="L487" s="17" t="str">
        <x:v>http://arxiv.org/abs/2304.00409v2</x:v>
      </x:c>
      <x:c r="M487" s="23" t="n">
        <x:v>0.015625</x:v>
      </x:c>
      <x:c r="N487" s="17" t="str">
        <x:v>arxiv-paper-eval-20260726-140242-results.jsonl</x:v>
      </x:c>
      <x:c r="O487" s="24" t="str">
        <x:v>2</x:v>
      </x:c>
      <x:c r="P487" s="28" t="str">
        <x:v>直接发布大规模易受攻击源代码数据集DiverseVul。</x:v>
      </x:c>
      <x:c r="Q487" s="25" t="str"/>
      <x:c r="R487" s="24" t="str">
        <x:f>IF(Q487&lt;&gt;"",Q487,O487)</x:f>
        <x:v>2</x:v>
      </x:c>
      <x:c r="S487" s="29" t="str"/>
    </x:row>
    <x:row r="488" ht="54" customHeight="1">
      <x:c r="A488" s="17" t="str">
        <x:v>csq025-r12</x:v>
      </x:c>
      <x:c r="B488" s="17" t="str">
        <x:v>csq025</x:v>
      </x:c>
      <x:c r="C488" s="17" t="str">
        <x:v>software_engineering</x:v>
      </x:c>
      <x:c r="D488" s="17" t="str">
        <x:v>vulnerability_detection</x:v>
      </x:c>
      <x:c r="E488" s="27" t="str">
        <x:v>Which datasets and evaluation protocols are used for machine-learning-based source-code vulnerability detection, and which forms of data leakage can inflate reported performance?</x:v>
      </x:c>
      <x:c r="F488" s="22" t="n">
        <x:v>12</x:v>
      </x:c>
      <x:c r="G488" s="17" t="str">
        <x:v>arXiv:2302.13317</x:v>
      </x:c>
      <x:c r="H488" s="27" t="str">
        <x:v>TransferD2: Automated Defect Detection Approach in Smart Manufacturing using Transfer Learning Techniques</x:v>
      </x:c>
      <x:c r="I488" s="17" t="str">
        <x:v>Atah Nuh Mih; Hung Cao; Joshua Pickard; Monica Wachowicz; Rickey Dubay</x:v>
      </x:c>
      <x:c r="J488" s="22" t="n">
        <x:v>2023</x:v>
      </x:c>
      <x:c r="K488" s="27" t="str">
        <x:v>Quality assurance is crucial in the smart manufacturing industry as it identifies the presence of defects in finished products before they are shipped out. Modern machine learning techniques can be leveraged to provide rapid and accurate detection of these imperfections. We, therefore, propose a transfer learning approach, namely TransferD2, to correctly identify defects on a dataset of source objects and extend its application to new unseen target objects. We present a data enhancement technique to generate a large dataset from the small source dataset for building a classifier. We then integrate three different pre-trained models (Xception, ResNet101V2, and InceptionResNetV2) into the classifier network and compare their performance on source and target data. We use the classifier to detect the presence of imperfections on the unseen target data using pseudo-bounding boxes. Our results show that ResNet101V2 performs best on the source data with an accuracy of 95.72%. Xception performs best on the target data with an accuracy of 91.00% and also provides a more accurate prediction of the defects on the target images. Throughout the experiment, the results also indicate that the choice of a pre-trained model is not dependent on the depth of the network. Our proposed approach can be applied in defect detection applications where insufficient data is available for training a model and can be extended to identify imperfections in new unseen data.</x:v>
      </x:c>
      <x:c r="L488" s="17" t="str">
        <x:v>http://arxiv.org/abs/2302.13317v1</x:v>
      </x:c>
      <x:c r="M488" s="23" t="n">
        <x:v>0.015384615384615385</x:v>
      </x:c>
      <x:c r="N488" s="17" t="str">
        <x:v>arxiv-paper-eval-20260726-140242-results.jsonl</x:v>
      </x:c>
      <x:c r="O488" s="24" t="str">
        <x:v>0</x:v>
      </x:c>
      <x:c r="P488" s="28" t="str">
        <x:v>研究制造业对象缺陷检测，与软件漏洞无关。</x:v>
      </x:c>
      <x:c r="Q488" s="25" t="str"/>
      <x:c r="R488" s="24" t="str">
        <x:f>IF(Q488&lt;&gt;"",Q488,O488)</x:f>
        <x:v>0</x:v>
      </x:c>
      <x:c r="S488" s="29" t="str"/>
    </x:row>
    <x:row r="489" ht="54" customHeight="1">
      <x:c r="A489" s="17" t="str">
        <x:v>csq025-r13</x:v>
      </x:c>
      <x:c r="B489" s="17" t="str">
        <x:v>csq025</x:v>
      </x:c>
      <x:c r="C489" s="17" t="str">
        <x:v>software_engineering</x:v>
      </x:c>
      <x:c r="D489" s="17" t="str">
        <x:v>vulnerability_detection</x:v>
      </x:c>
      <x:c r="E489" s="27" t="str">
        <x:v>Which datasets and evaluation protocols are used for machine-learning-based source-code vulnerability detection, and which forms of data leakage can inflate reported performance?</x:v>
      </x:c>
      <x:c r="F489" s="22" t="n">
        <x:v>13</x:v>
      </x:c>
      <x:c r="G489" s="17" t="str">
        <x:v>arXiv:2306.07981</x:v>
      </x:c>
      <x:c r="H489" s="27" t="str">
        <x:v>Feature Engineering-Based Detection of Buffer Overflow Vulnerability in Source Code Using Neural Networks</x:v>
      </x:c>
      <x:c r="I489" s="17" t="str">
        <x:v>Mst Shapna Akter; Hossain Shahriar; Juan Rodriguez Cardenas; Sheikh Iqbal Ahamed; Alfredo Cuzzocrea</x:v>
      </x:c>
      <x:c r="J489" s="22" t="n">
        <x:v>2023</x:v>
      </x:c>
      <x:c r="K489" s="27" t="str">
        <x:v>One of the most significant challenges in the field of software code auditing is the presence of vulnerabilities in software source code. Every year, more and more software flaws are discovered, either internally in proprietary code or publicly disclosed. These flaws are highly likely to be exploited and can lead to system compromise, data leakage, or denial of service. To create a large-scale machine learning system for function level vulnerability identification, we utilized a sizable dataset of C and C++ open-source code containing millions of functions with potential buffer overflow exploits. We have developed an efficient and scalable vulnerability detection method based on neural network models that learn features extracted from the source codes. The source code is first converted into an intermediate representation to remove unnecessary components and shorten dependencies. We maintain the semantic and syntactic information using state of the art word embedding algorithms such as GloVe and fastText. The embedded vectors are subsequently fed into neural networks such as LSTM, BiLSTM, LSTM Autoencoder, word2vec, BERT, and GPT2 to classify the possible vulnerabilities. We maintain the semantic and syntactic information using state of the art word embedding algorithms such as GloVe and fastText. The embedded vectors are subsequently fed into neural networks such as LSTM, BiLSTM, LSTM Autoencoder, word2vec, BERT, and GPT2 to classify the possible vulnerabilities. Furthermore, we have proposed a neural network model that can overcome issues associated with traditional neural networks. We have used evaluation metrics such as F1 score, precision, recall, accuracy, and total execution time to measure the performance. We have conducted a comparative analysis between results derived from features containing a minimal text representation and semantic and syntactic information.</x:v>
      </x:c>
      <x:c r="L489" s="17" t="str">
        <x:v>http://arxiv.org/abs/2306.07981v1</x:v>
      </x:c>
      <x:c r="M489" s="23" t="n">
        <x:v>0.015384615384615385</x:v>
      </x:c>
      <x:c r="N489" s="17" t="str">
        <x:v>arxiv-paper-eval-20260726-140242-results.jsonl</x:v>
      </x:c>
      <x:c r="O489" s="24" t="str">
        <x:v>1</x:v>
      </x:c>
      <x:c r="P489" s="28" t="str">
        <x:v>使用大规模源代码数据进行缓冲区溢出检测，但评测泄漏非重点。</x:v>
      </x:c>
      <x:c r="Q489" s="25" t="str"/>
      <x:c r="R489" s="24" t="str">
        <x:f>IF(Q489&lt;&gt;"",Q489,O489)</x:f>
        <x:v>1</x:v>
      </x:c>
      <x:c r="S489" s="29" t="str"/>
    </x:row>
    <x:row r="490" ht="54" customHeight="1">
      <x:c r="A490" s="17" t="str">
        <x:v>csq025-r14</x:v>
      </x:c>
      <x:c r="B490" s="17" t="str">
        <x:v>csq025</x:v>
      </x:c>
      <x:c r="C490" s="17" t="str">
        <x:v>software_engineering</x:v>
      </x:c>
      <x:c r="D490" s="17" t="str">
        <x:v>vulnerability_detection</x:v>
      </x:c>
      <x:c r="E490" s="27" t="str">
        <x:v>Which datasets and evaluation protocols are used for machine-learning-based source-code vulnerability detection, and which forms of data leakage can inflate reported performance?</x:v>
      </x:c>
      <x:c r="F490" s="22" t="n">
        <x:v>14</x:v>
      </x:c>
      <x:c r="G490" s="17" t="str">
        <x:v>arXiv:2507.16887</x:v>
      </x:c>
      <x:c r="H490" s="27" t="str">
        <x:v>Revisiting Pre-trained Language Models for Vulnerability Detection</x:v>
      </x:c>
      <x:c r="I490" s="17" t="str">
        <x:v>Youpeng Li; Weiliang Qi; Xuyu Wang; Fuxun Yu; Xinda Wang</x:v>
      </x:c>
      <x:c r="J490" s="22" t="n">
        <x:v>2025</x:v>
      </x:c>
      <x:c r="K490" s="27" t="str">
        <x:v>The rapid advancement of pre-trained language models (PLMs) has demonstrated promising results for various code-related tasks. However, their effectiveness in detecting real-world vulnerabilities remains a critical challenge. While existing empirical studies evaluate PLMs for vulnerability detection (VD), they suffer from data leakage, limited scope, and superficial analysis, hindering the accuracy and comprehensiveness of evaluations. This paper begins by revisiting the common issues in existing research on PLMs for VD through the evaluation pipeline. It then proceeds with an accurate and extensive evaluation of 18 PLMs on high-quality datasets that feature accurate labeling, diverse vulnerability types, and various projects. Specifically, we compare the performance of PLMs under both fine-tuning and prompt engineering, assess their effectiveness and generalizability across various training and testing settings, and analyze their robustness to a series of perturbations. Our findings reveal that PLMs incorporating pre-training tasks designed to capture the syntactic and semantic patterns of code outperform both general-purpose PLMs and those solely pre-trained or fine-tuned on large code corpora. However, these models face notable challenges in real-world scenarios, such as difficulties in detecting vulnerabilities with complex dependencies, handling perturbations introduced by code normalization and abstraction, and identifying semantic-preserving vulnerable code transformations. Also, the truncation caused by the limited context windows of PLMs can lead to a non-negligible number of labeling errors, which is overlooked by previous work. This study underscores the importance of thorough evaluations of model performance in practical scenarios and outlines future directions to help enhance the effectiveness of PLMs for realistic VD applications.</x:v>
      </x:c>
      <x:c r="L490" s="17" t="str">
        <x:v>http://arxiv.org/abs/2507.16887v3</x:v>
      </x:c>
      <x:c r="M490" s="23" t="n">
        <x:v>0.015151515151515152</x:v>
      </x:c>
      <x:c r="N490" s="17" t="str">
        <x:v>arxiv-paper-eval-20260726-140242-results.jsonl</x:v>
      </x:c>
      <x:c r="O490" s="24" t="str">
        <x:v>2</x:v>
      </x:c>
      <x:c r="P490" s="28" t="str">
        <x:v>直接检查预训练模型漏洞检测中的数据泄漏和评测流程问题。</x:v>
      </x:c>
      <x:c r="Q490" s="25" t="str"/>
      <x:c r="R490" s="24" t="str">
        <x:f>IF(Q490&lt;&gt;"",Q490,O490)</x:f>
        <x:v>2</x:v>
      </x:c>
      <x:c r="S490" s="29" t="str"/>
    </x:row>
    <x:row r="491" ht="54" customHeight="1">
      <x:c r="A491" s="17" t="str">
        <x:v>csq025-r15</x:v>
      </x:c>
      <x:c r="B491" s="17" t="str">
        <x:v>csq025</x:v>
      </x:c>
      <x:c r="C491" s="17" t="str">
        <x:v>software_engineering</x:v>
      </x:c>
      <x:c r="D491" s="17" t="str">
        <x:v>vulnerability_detection</x:v>
      </x:c>
      <x:c r="E491" s="27" t="str">
        <x:v>Which datasets and evaluation protocols are used for machine-learning-based source-code vulnerability detection, and which forms of data leakage can inflate reported performance?</x:v>
      </x:c>
      <x:c r="F491" s="22" t="n">
        <x:v>15</x:v>
      </x:c>
      <x:c r="G491" s="17" t="str">
        <x:v>arXiv:2212.08108</x:v>
      </x:c>
      <x:c r="H491" s="27" t="str">
        <x:v>Dataflow Analysis-Inspired Deep Learning for Efficient Vulnerability Detection</x:v>
      </x:c>
      <x:c r="I491" s="17" t="str">
        <x:v>Benjamin Steenhoek; Hongyang Gao; Wei Le</x:v>
      </x:c>
      <x:c r="J491" s="22" t="n">
        <x:v>2022</x:v>
      </x:c>
      <x:c r="K491" s="27" t="str">
        <x:v>Deep learning-based vulnerability detection has shown great performance and, in some studies, outperformed static analysis tools. However, the highest-performing approaches use token-based transformer models, which are not the most efficient to capture code semantics required for vulnerability detection. Classical program analysis techniques such as dataflow analysis can detect many types of bugs based on their root causes. In this paper, we propose to combine such causal-based vulnerability detection algorithms with deep learning, aiming to achieve more efficient and effective vulnerability detection. Specifically, we designed DeepDFA, a dataflow analysis-inspired graph learning framework and an embedding technique that enables graph learning to simulate dataflow computation. We show that DeepDFA is both performant and efficient. DeepDFA outperformed all non-transformer baselines. It was trained in 9 minutes, 75x faster than the highest-performing baseline model. When using only 50+ vulnerable and several hundreds of total examples as training data, the model retained the same performance as 100% of the dataset. DeepDFA also generalized to real-world vulnerabilities in DbgBench; it detected 8.7 out of 17 vulnerabilities on average across folds and was able to distinguish between patched and buggy versions, while the highest-performing baseline models did not detect any vulnerabilities. By combining DeepDFA with a large language model, we surpassed the state-of-the-art vulnerability detection performance on the Big-Vul dataset with 96.46 F1 score, 97.82 precision, and 95.14 recall. Our replication package is located at https://doi.org/10.6084/m9.figshare.21225413 .</x:v>
      </x:c>
      <x:c r="L491" s="17" t="str">
        <x:v>http://arxiv.org/abs/2212.08108v3</x:v>
      </x:c>
      <x:c r="M491" s="23" t="n">
        <x:v>0.015151515151515152</x:v>
      </x:c>
      <x:c r="N491" s="17" t="str">
        <x:v>arxiv-paper-eval-20260726-140242-results.jsonl</x:v>
      </x:c>
      <x:c r="O491" s="24" t="str">
        <x:v>1</x:v>
      </x:c>
      <x:c r="P491" s="28" t="str">
        <x:v>提出漏洞检测模型并进行实验，能作数据与协议案例但不研究泄漏。</x:v>
      </x:c>
      <x:c r="Q491" s="25" t="str"/>
      <x:c r="R491" s="24" t="str">
        <x:f>IF(Q491&lt;&gt;"",Q491,O491)</x:f>
        <x:v>1</x:v>
      </x:c>
      <x:c r="S491" s="29" t="str"/>
    </x:row>
    <x:row r="492" ht="54" customHeight="1">
      <x:c r="A492" s="17" t="str">
        <x:v>csq025-r16</x:v>
      </x:c>
      <x:c r="B492" s="17" t="str">
        <x:v>csq025</x:v>
      </x:c>
      <x:c r="C492" s="17" t="str">
        <x:v>software_engineering</x:v>
      </x:c>
      <x:c r="D492" s="17" t="str">
        <x:v>vulnerability_detection</x:v>
      </x:c>
      <x:c r="E492" s="27" t="str">
        <x:v>Which datasets and evaluation protocols are used for machine-learning-based source-code vulnerability detection, and which forms of data leakage can inflate reported performance?</x:v>
      </x:c>
      <x:c r="F492" s="22" t="n">
        <x:v>16</x:v>
      </x:c>
      <x:c r="G492" s="17" t="str">
        <x:v>arXiv:2508.13744</x:v>
      </x:c>
      <x:c r="H492" s="27" t="str">
        <x:v>Mitigating Cross-Image Information Leakage in Multi-Image Understanding with Large Vision-Language Models</x:v>
      </x:c>
      <x:c r="I492" s="17" t="str">
        <x:v>Yeji Park; Minyoung Lee; Sanghyuk Chun; Junsuk Choe</x:v>
      </x:c>
      <x:c r="J492" s="22" t="n">
        <x:v>2025</x:v>
      </x:c>
      <x:c r="K492" s="27" t="str">
        <x:v>Large Vision-Language Models (LVLMs) exhibit strong performance on single-image tasks. However, their performance degrades significantly when handling multi-image inputs. While this degradation has been observed in prior work, its nature remains poorly understood. We empirically observe visual elements from different images become entangled in the model's representations and responses. We refer to this phenomenon as cross-image information leakage. To address this issue, we propose FOCUS, a training-free and architecture-agnostic method. FOCUS masks all but one image with random noise, guiding the model to focus on the single clean image. This process is applied across the target images to obtain logits under partially masked contexts. These logits are aggregated and then refined using a noise-only reference input, which suppresses the leakage and yields more accurate outputs. FOCUS consistently improves performance on diverse multi-image benchmarks. We further show that FOCUS generalizes to video understanding, extending its applicability beyond static multi-image inputs. This demonstrates that FOCUS offers a general solution for enhancing multi-image reasoning without additional training or architectural modifications.</x:v>
      </x:c>
      <x:c r="L492" s="17" t="str">
        <x:v>http://arxiv.org/abs/2508.13744v2</x:v>
      </x:c>
      <x:c r="M492" s="23" t="n">
        <x:v>0.014925373134328358</x:v>
      </x:c>
      <x:c r="N492" s="17" t="str">
        <x:v>arxiv-paper-eval-20260726-140242-results.jsonl</x:v>
      </x:c>
      <x:c r="O492" s="24" t="str">
        <x:v>0</x:v>
      </x:c>
      <x:c r="P492" s="28" t="str">
        <x:v>讨论多图像视觉模型的信息串扰，与本题数据泄漏概念无关。</x:v>
      </x:c>
      <x:c r="Q492" s="25" t="str"/>
      <x:c r="R492" s="24" t="str">
        <x:f>IF(Q492&lt;&gt;"",Q492,O492)</x:f>
        <x:v>0</x:v>
      </x:c>
      <x:c r="S492" s="29" t="str"/>
    </x:row>
    <x:row r="493" ht="54" customHeight="1">
      <x:c r="A493" s="17" t="str">
        <x:v>csq025-r17</x:v>
      </x:c>
      <x:c r="B493" s="17" t="str">
        <x:v>csq025</x:v>
      </x:c>
      <x:c r="C493" s="17" t="str">
        <x:v>software_engineering</x:v>
      </x:c>
      <x:c r="D493" s="17" t="str">
        <x:v>vulnerability_detection</x:v>
      </x:c>
      <x:c r="E493" s="27" t="str">
        <x:v>Which datasets and evaluation protocols are used for machine-learning-based source-code vulnerability detection, and which forms of data leakage can inflate reported performance?</x:v>
      </x:c>
      <x:c r="F493" s="22" t="n">
        <x:v>17</x:v>
      </x:c>
      <x:c r="G493" s="17" t="str">
        <x:v>arXiv:1801.01681</x:v>
      </x:c>
      <x:c r="H493" s="27" t="str">
        <x:v>VulDeePecker: A Deep Learning-Based System for Vulnerability Detection</x:v>
      </x:c>
      <x:c r="I493" s="17" t="str">
        <x:v>Zhen Li; Deqing Zou; Shouhuai Xu; Xinyu Ou; Hai Jin; Sujuan Wang; Zhijun Deng; Yuyi Zhong</x:v>
      </x:c>
      <x:c r="J493" s="22" t="n">
        <x:v>2018</x:v>
      </x:c>
      <x:c r="K493" s="27" t="str">
        <x:v>The automatic detection of software vulnerabilities is an important research problem. However, existing solutions to this problem rely on human experts to define features and often miss many vulnerabilities (i.e., incurring high false negative rate). In this paper, we initiate the study of using deep learning-based vulnerability detection to relieve human experts from the tedious and subjective task of manually defining features. Since deep learning is motivated to deal with problems that are very different from the problem of vulnerability detection, we need some guiding principles for applying deep learning to vulnerability detection. In particular, we need to find representations of software programs that are suitable for deep learning. For this purpose, we propose using code gadgets to represent programs and then transform them into vectors, where a code gadget is a number of (not necessarily consecutive) lines of code that are semantically related to each other. This leads to the design and implementation of a deep learning-based vulnerability detection system, called Vulnerability Deep Pecker (VulDeePecker). In order to evaluate VulDeePecker, we present the first vulnerability dataset for deep learning approaches. Experimental results show that VulDeePecker can achieve much fewer false negatives (with reasonable false positives) than other approaches. We further apply VulDeePecker to 3 software products (namely Xen, Seamonkey, and Libav) and detect 4 vulnerabilities, which are not reported in the National Vulnerability Database but were "silently" patched by the vendors when releasing later versions of these products; in contrast, these vulnerabilities are almost entirely missed by the other vulnerability detection systems we experimented with.</x:v>
      </x:c>
      <x:c r="L493" s="17" t="str">
        <x:v>http://arxiv.org/abs/1801.01681v1</x:v>
      </x:c>
      <x:c r="M493" s="23" t="n">
        <x:v>0.014925373134328358</x:v>
      </x:c>
      <x:c r="N493" s="17" t="str">
        <x:v>arxiv-paper-eval-20260726-140242-results.jsonl</x:v>
      </x:c>
      <x:c r="O493" s="24" t="str">
        <x:v>1</x:v>
      </x:c>
      <x:c r="P493" s="28" t="str">
        <x:v>提出早期深度学习漏洞检测系统，可作经典数据和评测案例。</x:v>
      </x:c>
      <x:c r="Q493" s="25" t="str"/>
      <x:c r="R493" s="24" t="str">
        <x:f>IF(Q493&lt;&gt;"",Q493,O493)</x:f>
        <x:v>1</x:v>
      </x:c>
      <x:c r="S493" s="29" t="str"/>
    </x:row>
    <x:row r="494" ht="54" customHeight="1">
      <x:c r="A494" s="17" t="str">
        <x:v>csq025-r18</x:v>
      </x:c>
      <x:c r="B494" s="17" t="str">
        <x:v>csq025</x:v>
      </x:c>
      <x:c r="C494" s="17" t="str">
        <x:v>software_engineering</x:v>
      </x:c>
      <x:c r="D494" s="17" t="str">
        <x:v>vulnerability_detection</x:v>
      </x:c>
      <x:c r="E494" s="27" t="str">
        <x:v>Which datasets and evaluation protocols are used for machine-learning-based source-code vulnerability detection, and which forms of data leakage can inflate reported performance?</x:v>
      </x:c>
      <x:c r="F494" s="22" t="n">
        <x:v>18</x:v>
      </x:c>
      <x:c r="G494" s="17" t="str">
        <x:v>arXiv:2503.04002</x:v>
      </x:c>
      <x:c r="H494" s="27" t="str">
        <x:v>Deep Learning Aided Software Vulnerability Detection: A Survey</x:v>
      </x:c>
      <x:c r="I494" s="17" t="str">
        <x:v>Md Nizam Uddin; Yihe Zhang; Xiali Hei</x:v>
      </x:c>
      <x:c r="J494" s="22" t="n">
        <x:v>2025</x:v>
      </x:c>
      <x:c r="K494" s="27" t="str">
        <x:v>The pervasive nature of software vulnerabilities has emerged as a primary factor for the surge in cyberattacks. Traditional vulnerability detection methods, including rule-based, signature-based, manual review, static, and dynamic analysis, often exhibit limitations when encountering increasingly complex systems and a fast-evolving attack landscape. Deep learning (DL) methods excel at automatically learning and identifying complex patterns in code, enabling more effective detection of emerging vulnerabilities. This survey analyzes 34 relevant studies from high-impact journals and conferences between 2017 and 2024. This survey introduces the conceptual framework Vulnerability Detection Lifecycle for the first time to systematically analyze and compare various DL-based vulnerability detection methods and unify them into the same analysis perspective. The framework includes six phases: (1) Dataset Construction, (2) Vulnerability Granularity Definition, (3) Code Representation, (4) Model Design, (5) Model Performance Evaluation, and (6) Real-world Project Implementation. For each phase of the framework, we identify and explore key issues through in-depth analysis of existing research while also highlighting challenges that remain inadequately addressed. This survey provides guidelines for future software vulnerability detection, facilitating further implementation of deep learning techniques applications in this field.</x:v>
      </x:c>
      <x:c r="L494" s="17" t="str">
        <x:v>http://arxiv.org/abs/2503.04002v1</x:v>
      </x:c>
      <x:c r="M494" s="23" t="n">
        <x:v>0.014705882352941176</x:v>
      </x:c>
      <x:c r="N494" s="17" t="str">
        <x:v>arxiv-paper-eval-20260726-140242-results.jsonl</x:v>
      </x:c>
      <x:c r="O494" s="24" t="str">
        <x:v>2</x:v>
      </x:c>
      <x:c r="P494" s="28" t="str">
        <x:v>系统综述深度学习漏洞检测研究及其数据和评价。</x:v>
      </x:c>
      <x:c r="Q494" s="25" t="str"/>
      <x:c r="R494" s="24" t="str">
        <x:f>IF(Q494&lt;&gt;"",Q494,O494)</x:f>
        <x:v>2</x:v>
      </x:c>
      <x:c r="S494" s="29" t="str"/>
    </x:row>
    <x:row r="495" ht="54" customHeight="1">
      <x:c r="A495" s="17" t="str">
        <x:v>csq025-r19</x:v>
      </x:c>
      <x:c r="B495" s="17" t="str">
        <x:v>csq025</x:v>
      </x:c>
      <x:c r="C495" s="17" t="str">
        <x:v>software_engineering</x:v>
      </x:c>
      <x:c r="D495" s="17" t="str">
        <x:v>vulnerability_detection</x:v>
      </x:c>
      <x:c r="E495" s="27" t="str">
        <x:v>Which datasets and evaluation protocols are used for machine-learning-based source-code vulnerability detection, and which forms of data leakage can inflate reported performance?</x:v>
      </x:c>
      <x:c r="F495" s="22" t="n">
        <x:v>19</x:v>
      </x:c>
      <x:c r="G495" s="17" t="str">
        <x:v>arXiv:2201.02677</x:v>
      </x:c>
      <x:c r="H495" s="27" t="str">
        <x:v>Predicting sensitive information leakage in IoT applications using flows-aware machine learning approach</x:v>
      </x:c>
      <x:c r="I495" s="17" t="str">
        <x:v>Hajra Naeem; Manar H. Alalfi</x:v>
      </x:c>
      <x:c r="J495" s="22" t="n">
        <x:v>2022</x:v>
      </x:c>
      <x:c r="K495" s="27" t="str">
        <x:v>This paper presents an approach for identification of vulnerable IoT applications. The approach focuses on a category of vulnerabilities that leads to sensitive information leakage which can be identified by using taint flow analysis. Tainted flows vulnerability is very much impacted by the structure of the program and the order of the statements in the code, designing an approach to detect such vulnerability needs to take into consideration such information in order to provide precise results. In this paper, we propose and develop an approach, FlowsMiner, that mines features from the code related to program structure such as control statements and methods, in addition to program's statement order. FlowsMiner, generates features in the form of tainted flows. We developed, Flows2Vec, a tool that transform the features recovered by FlowsMiner into vectors, which are then used to aid the process of machine learning by providing a flow's aware model building process. The resulting model is capable of accurately classify applications as vulnerable if the vulnerability is exhibited by changes in the order of statements in source code. When compared to a base Bag of Words (BoW) approach, the experiments show that the proposed approach has improved the AUC of the prediction models for all algorithms and the best case for Corpus1 dataset is improved from 0.91 to 0.94 and for Corpus2 from 0.56 to 0.96</x:v>
      </x:c>
      <x:c r="L495" s="17" t="str">
        <x:v>http://arxiv.org/abs/2201.02677v1</x:v>
      </x:c>
      <x:c r="M495" s="23" t="n">
        <x:v>0.014705882352941176</x:v>
      </x:c>
      <x:c r="N495" s="17" t="str">
        <x:v>arxiv-paper-eval-20260726-140242-results.jsonl</x:v>
      </x:c>
      <x:c r="O495" s="24" t="str">
        <x:v>1</x:v>
      </x:c>
      <x:c r="P495" s="28" t="str">
        <x:v>面向IoT应用源码的信息流漏洞检测，属于相邻任务的评测案例。</x:v>
      </x:c>
      <x:c r="Q495" s="25" t="str"/>
      <x:c r="R495" s="24" t="str">
        <x:f>IF(Q495&lt;&gt;"",Q495,O495)</x:f>
        <x:v>1</x:v>
      </x:c>
      <x:c r="S495" s="29" t="str"/>
    </x:row>
    <x:row r="496" ht="54" customHeight="1">
      <x:c r="A496" s="17" t="str">
        <x:v>csq025-r20</x:v>
      </x:c>
      <x:c r="B496" s="17" t="str">
        <x:v>csq025</x:v>
      </x:c>
      <x:c r="C496" s="17" t="str">
        <x:v>software_engineering</x:v>
      </x:c>
      <x:c r="D496" s="17" t="str">
        <x:v>vulnerability_detection</x:v>
      </x:c>
      <x:c r="E496" s="27" t="str">
        <x:v>Which datasets and evaluation protocols are used for machine-learning-based source-code vulnerability detection, and which forms of data leakage can inflate reported performance?</x:v>
      </x:c>
      <x:c r="F496" s="22" t="n">
        <x:v>20</x:v>
      </x:c>
      <x:c r="G496" s="17" t="str">
        <x:v>arXiv:2407.18639</x:v>
      </x:c>
      <x:c r="H496" s="27" t="str">
        <x:v>Vulnerability Detection in Ethereum Smart Contracts via Machine Learning: A Qualitative Analysis</x:v>
      </x:c>
      <x:c r="I496" s="17" t="str">
        <x:v>Dalila Ressi; Alvise Spanò; Lorenzo Benetollo; Carla Piazza; Michele Bugliesi; Sabina Rossi</x:v>
      </x:c>
      <x:c r="J496" s="22" t="n">
        <x:v>2024</x:v>
      </x:c>
      <x:c r="K496" s="27" t="str">
        <x:v>Smart contracts are central to a myriad of critical blockchain applications, from financial transactions to supply chain management. However, their adoption is hindered by security vulnerabilities that can result in significant financial losses. Most vulnerability detection tools and methods available nowadays leverage either static analysis methods or machine learning. Unfortunately, as valuable as they are, both approaches suffer from limitations that make them only partially effective. In this survey, we analyze the state of the art in machine-learning vulnerability detection for Ethereum smart contracts, by categorizing existing tools and methodologies, evaluating them, and highlighting their limitations. Our critical assessment unveils issues such as restricted vulnerability coverage and dataset construction flaws, providing us with new metrics to overcome the difficulties that restrain a sound comparison of existing solutions. Driven by our findings, we discuss best practices to enhance the accuracy, scope, and efficiency of vulnerability detection in smart contracts. Our guidelines address the known flaws while at the same time opening new avenues for research and development. By shedding light on current challenges and offering novel directions for improvement, we contribute to the advancement of secure smart contract development and blockchain technology as a whole.</x:v>
      </x:c>
      <x:c r="L496" s="17" t="str">
        <x:v>http://arxiv.org/abs/2407.18639v1</x:v>
      </x:c>
      <x:c r="M496" s="23" t="n">
        <x:v>0.014492753623188406</x:v>
      </x:c>
      <x:c r="N496" s="17" t="str">
        <x:v>arxiv-paper-eval-20260726-140242-results.jsonl</x:v>
      </x:c>
      <x:c r="O496" s="24" t="str">
        <x:v>1</x:v>
      </x:c>
      <x:c r="P496" s="28" t="str">
        <x:v>综述智能合约机器学习漏洞检测，领域相邻但非通用源代码数据泄漏焦点。</x:v>
      </x:c>
      <x:c r="Q496" s="25" t="str"/>
      <x:c r="R496" s="24" t="str">
        <x:f>IF(Q496&lt;&gt;"",Q496,O496)</x:f>
        <x:v>1</x:v>
      </x:c>
      <x:c r="S496" s="29" t="str"/>
    </x:row>
    <x:row r="497" ht="54" customHeight="1">
      <x:c r="A497" s="17" t="str">
        <x:v>csq026-r01</x:v>
      </x:c>
      <x:c r="B497" s="17" t="str">
        <x:v>csq026</x:v>
      </x:c>
      <x:c r="C497" s="17" t="str">
        <x:v>software_engineering</x:v>
      </x:c>
      <x:c r="D497" s="17" t="str">
        <x:v>llm_agents_for_se</x:v>
      </x:c>
      <x:c r="E497" s="27" t="str">
        <x:v>What limitations have been reported for large-language-model agents on repository-level software engineering tasks, especially in localization, long-context reasoning, testing, and reproducibility?</x:v>
      </x:c>
      <x:c r="F497" s="22" t="n">
        <x:v>1</x:v>
      </x:c>
      <x:c r="G497" s="17" t="str">
        <x:v>arXiv:2504.10046</x:v>
      </x:c>
      <x:c r="H497" s="27" t="str">
        <x:v>GraphCodeAgent: Dual Graph-Guided LLM Agent for Retrieval-Augmented Repo-Level Code Generation</x:v>
      </x:c>
      <x:c r="I497" s="17" t="str">
        <x:v>Jia Li; Xianjie Shi; Kechi Zhang; Ge Li; Zhi Jin; Lei Li; Huangzhao Zhang; Jia Li; Fang Liu; Yuwei Zhang; Zhengwei Tao; Yihong Dong; Yuqi Zhu; Chongyang Tao</x:v>
      </x:c>
      <x:c r="J497" s="22" t="n">
        <x:v>2025</x:v>
      </x:c>
      <x:c r="K497" s="27" t="str">
        <x:v>Writing code requires significant time and effort in software development. To automate this process, researchers have made substantial progress for code generation. Recently, large language models (LLMs) have demonstrated remarkable proficiency in function-level code generation, yet their performance significantly degrades in the real-world software development process, where coding tasks are deeply embedded within specific repository contexts. Existing studies attempt to use retrieval-augmented code generation (RACG) approaches to mitigate this demand. However, there is a gap between natural language (NL) requirements and programming implementations. This results in the failure to retrieve the relevant code of these fine-grained subtasks. To address this challenge, we propose GraphCodeAgent, a dual graph-guided LLM agent for retrieval-augmented repo-level code generation, bridging the gap between NL requirements and programming implementations. Our approach constructs two interconnected graphs: a Requirement Graph (RG) to model requirement relations of code snippets within the repository, as well as the relations between the target requirement and the requirements of these code snippets, and a Structural-Semantic Code Graph (SSCG) to capture the repository's intricate code dependencies. Guided by this, an LLM-powered agent performs multi-hop reasoning to systematically retrieve all context code snippets, including implicit and explicit code snippets, even if they are not explicitly expressed in requirements. We evaluated GraphCodeAgent on three advanced LLMs with the two widely-used repo-level code generation benchmarks DevEval and CoderEval. Extensive experiment results show that GraphCodeAgent significantly outperforms state-of-the-art baselines.</x:v>
      </x:c>
      <x:c r="L497" s="17" t="str">
        <x:v>http://arxiv.org/abs/2504.10046v2</x:v>
      </x:c>
      <x:c r="M497" s="23" t="n">
        <x:v>0.01639344262295082</x:v>
      </x:c>
      <x:c r="N497" s="17" t="str">
        <x:v>arxiv-paper-eval-20260726-140242-results.jsonl</x:v>
      </x:c>
      <x:c r="O497" s="24" t="str">
        <x:v>2</x:v>
      </x:c>
      <x:c r="P497" s="28" t="str">
        <x:v>直接针对仓库级代码生成中的检索、上下文与结构理解瓶颈。</x:v>
      </x:c>
      <x:c r="Q497" s="25" t="str"/>
      <x:c r="R497" s="24" t="str">
        <x:f>IF(Q497&lt;&gt;"",Q497,O497)</x:f>
        <x:v>2</x:v>
      </x:c>
      <x:c r="S497" s="29" t="str"/>
    </x:row>
    <x:row r="498" ht="54" customHeight="1">
      <x:c r="A498" s="17" t="str">
        <x:v>csq026-r02</x:v>
      </x:c>
      <x:c r="B498" s="17" t="str">
        <x:v>csq026</x:v>
      </x:c>
      <x:c r="C498" s="17" t="str">
        <x:v>software_engineering</x:v>
      </x:c>
      <x:c r="D498" s="17" t="str">
        <x:v>llm_agents_for_se</x:v>
      </x:c>
      <x:c r="E498" s="27" t="str">
        <x:v>What limitations have been reported for large-language-model agents on repository-level software engineering tasks, especially in localization, long-context reasoning, testing, and reproducibility?</x:v>
      </x:c>
      <x:c r="F498" s="22" t="n">
        <x:v>2</x:v>
      </x:c>
      <x:c r="G498" s="17" t="str">
        <x:v>arXiv:2506.02483</x:v>
      </x:c>
      <x:c r="H498" s="27" t="str">
        <x:v>Enhancing Large Language Models with Neurosymbolic Reasoning for Multilingual Tasks</x:v>
      </x:c>
      <x:c r="I498" s="17" t="str">
        <x:v>Sina Bagheri Nezhad; Ameeta Agrawal</x:v>
      </x:c>
      <x:c r="J498" s="22" t="n">
        <x:v>2025</x:v>
      </x:c>
      <x:c r="K498" s="27" t="str">
        <x:v>Large language models (LLMs) often struggle to perform multi-target reasoning in long-context scenarios where relevant information is scattered across extensive documents. To address this challenge, we introduce NeuroSymbolic Augmented Reasoning (NSAR), which combines the benefits of neural and symbolic reasoning during inference. NSAR explicitly extracts symbolic facts from text and generates executable Python code to handle complex reasoning steps. Through extensive experiments across seven languages and diverse context lengths, we demonstrate that NSAR significantly outperforms both a vanilla RAG baseline and advanced prompting strategies in accurately identifying and synthesizing multiple pieces of information. Our results highlight the effectiveness of combining explicit symbolic operations with neural inference for robust, interpretable, and scalable reasoning in multilingual settings.</x:v>
      </x:c>
      <x:c r="L498" s="17" t="str">
        <x:v>http://arxiv.org/abs/2506.02483v1</x:v>
      </x:c>
      <x:c r="M498" s="23" t="n">
        <x:v>0.01639344262295082</x:v>
      </x:c>
      <x:c r="N498" s="17" t="str">
        <x:v>arxiv-paper-eval-20260726-140242-results.jsonl</x:v>
      </x:c>
      <x:c r="O498" s="24" t="str">
        <x:v>1</x:v>
      </x:c>
      <x:c r="P498" s="28" t="str">
        <x:v>直接讨论长上下文分散信息推理，但并非软件工程智能体场景。</x:v>
      </x:c>
      <x:c r="Q498" s="25" t="str"/>
      <x:c r="R498" s="24" t="str">
        <x:f>IF(Q498&lt;&gt;"",Q498,O498)</x:f>
        <x:v>1</x:v>
      </x:c>
      <x:c r="S498" s="29" t="str"/>
    </x:row>
    <x:row r="499" ht="54" customHeight="1">
      <x:c r="A499" s="17" t="str">
        <x:v>csq026-r03</x:v>
      </x:c>
      <x:c r="B499" s="17" t="str">
        <x:v>csq026</x:v>
      </x:c>
      <x:c r="C499" s="17" t="str">
        <x:v>software_engineering</x:v>
      </x:c>
      <x:c r="D499" s="17" t="str">
        <x:v>llm_agents_for_se</x:v>
      </x:c>
      <x:c r="E499" s="27" t="str">
        <x:v>What limitations have been reported for large-language-model agents on repository-level software engineering tasks, especially in localization, long-context reasoning, testing, and reproducibility?</x:v>
      </x:c>
      <x:c r="F499" s="22" t="n">
        <x:v>3</x:v>
      </x:c>
      <x:c r="G499" s="17" t="str">
        <x:v>arXiv:2512.00651</x:v>
      </x:c>
      <x:c r="H499" s="27" t="str">
        <x:v>Large Language Models for Software Engineering: A Reproducibility Crisis</x:v>
      </x:c>
      <x:c r="I499" s="17" t="str">
        <x:v>Mohammed Latif Siddiq; Arvin Islam-Gomes; Natalie Sekerak; Joanna C. S. Santos</x:v>
      </x:c>
      <x:c r="J499" s="22" t="n">
        <x:v>2025</x:v>
      </x:c>
      <x:c r="K499" s="27" t="str">
        <x:v>Reproducibility is a cornerstone of scientific progress, yet its state in large language model (LLM)-based software engineering (SE) research remains poorly understood. This paper presents the first large-scale, empirical study of reproducibility practices in LLM-for-SE research. We systematically mined and analyzed 640 papers published between 2017 and 2025 across premier software engineering, machine learning, and natural language processing venues, extracting structured metadata from publications, repositories, and documentation. Guided by four research questions, we examine (i) the prevalence of reproducibility smells, (ii) how reproducibility has evolved over time, (iii) whether artifact evaluation badges reliably reflect reproducibility quality, and (iv) how publication venues influence transparency practices. Using a taxonomy of seven smell categories: Code and Execution, Data, Documentation, Environment and Tooling, Versioning, Model, and Access and Legal, we manually annotated all papers and associated artifacts. Our analysis reveals persistent gaps in artifact availability, environment specification, versioning rigor, and documentation clarity, despite modest improvements in recent years and increased adoption of artifact evaluation processes at top SE venues. Notably, we find that badges often signal artifact presence but do not consistently guarantee execution fidelity or long-term reproducibility. Motivated by these findings, we provide actionable recommendations to mitigate reproducibility smells and introduce a Reproducibility Maturity Model (RMM) to move beyond binary artifact certification toward multi-dimensional, progressive evaluation of reproducibility rigor.</x:v>
      </x:c>
      <x:c r="L499" s="17" t="str">
        <x:v>http://arxiv.org/abs/2512.00651v1</x:v>
      </x:c>
      <x:c r="M499" s="23" t="n">
        <x:v>0.01639344262295082</x:v>
      </x:c>
      <x:c r="N499" s="17" t="str">
        <x:v>arxiv-paper-eval-20260726-140242-results.jsonl</x:v>
      </x:c>
      <x:c r="O499" s="24" t="str">
        <x:v>2</x:v>
      </x:c>
      <x:c r="P499" s="28" t="str">
        <x:v>直接大规模研究LLM软件工程论文的可复现性危机。</x:v>
      </x:c>
      <x:c r="Q499" s="25" t="str"/>
      <x:c r="R499" s="24" t="str">
        <x:f>IF(Q499&lt;&gt;"",Q499,O499)</x:f>
        <x:v>2</x:v>
      </x:c>
      <x:c r="S499" s="29" t="str"/>
    </x:row>
    <x:row r="500" ht="54" customHeight="1">
      <x:c r="A500" s="17" t="str">
        <x:v>csq026-r04</x:v>
      </x:c>
      <x:c r="B500" s="17" t="str">
        <x:v>csq026</x:v>
      </x:c>
      <x:c r="C500" s="17" t="str">
        <x:v>software_engineering</x:v>
      </x:c>
      <x:c r="D500" s="17" t="str">
        <x:v>llm_agents_for_se</x:v>
      </x:c>
      <x:c r="E500" s="27" t="str">
        <x:v>What limitations have been reported for large-language-model agents on repository-level software engineering tasks, especially in localization, long-context reasoning, testing, and reproducibility?</x:v>
      </x:c>
      <x:c r="F500" s="22" t="n">
        <x:v>4</x:v>
      </x:c>
      <x:c r="G500" s="17" t="str">
        <x:v>arXiv:2310.01726</x:v>
      </x:c>
      <x:c r="H500" s="27" t="str">
        <x:v>Large Language Models for Test-Free Fault Localization</x:v>
      </x:c>
      <x:c r="I500" s="17" t="str">
        <x:v>Aidan Z. H. Yang; Ruben Martins; Claire Le Goues; Vincent J. Hellendoorn</x:v>
      </x:c>
      <x:c r="J500" s="22" t="n">
        <x:v>2023</x:v>
      </x:c>
      <x:c r="K500" s="27" t="str">
        <x:v>Fault Localization (FL) aims to automatically localize buggy lines of code, a key first step in many manual and automatic debugging tasks. Previous FL techniques assume the provision of input tests, and often require extensive program analysis, program instrumentation, or data preprocessing. Prior work on deep learning for APR struggles to learn from small datasets and produces limited results on real-world programs. Inspired by the ability of large language models (LLMs) of code to adapt to new tasks based on very few examples, we investigate the applicability of LLMs to line level fault localization. Specifically, we propose to overcome the left-to-right nature of LLMs by fine-tuning a small set of bidirectional adapter layers on top of the representations learned by LLMs to produce LLMAO, the first language model based fault localization approach that locates buggy lines of code without any test coverage information. We fine-tune LLMs with 350 million, 6 billion, and 16 billion parameters on small, manually curated corpora of buggy programs such as the Defects4J corpus. We observe that our technique achieves substantially more confidence in fault localization when built on the larger models, with bug localization performance scaling consistently with the LLM size. Our empirical evaluation shows that LLMAO improves the Top-1 results over the state-of-the-art machine learning fault localization (MLFL) baselines by 2.3%-54.4%, and Top-5 results by 14.4%-35.6%. LLMAO is also the first FL technique trained using a language model architecture that can detect security vulnerabilities down to the code line level.</x:v>
      </x:c>
      <x:c r="L500" s="17" t="str">
        <x:v>http://arxiv.org/abs/2310.01726v1</x:v>
      </x:c>
      <x:c r="M500" s="23" t="n">
        <x:v>0.01639344262295082</x:v>
      </x:c>
      <x:c r="N500" s="17" t="str">
        <x:v>arxiv-paper-eval-20260726-140242-results.jsonl</x:v>
      </x:c>
      <x:c r="O500" s="24" t="str">
        <x:v>1</x:v>
      </x:c>
      <x:c r="P500" s="28" t="str">
        <x:v>研究LLM故障定位限制，但主要是行级且非仓库级智能体。</x:v>
      </x:c>
      <x:c r="Q500" s="25" t="str"/>
      <x:c r="R500" s="24" t="str">
        <x:f>IF(Q500&lt;&gt;"",Q500,O500)</x:f>
        <x:v>1</x:v>
      </x:c>
      <x:c r="S500" s="29" t="str"/>
    </x:row>
    <x:row r="501" ht="54" customHeight="1">
      <x:c r="A501" s="17" t="str">
        <x:v>csq026-r05</x:v>
      </x:c>
      <x:c r="B501" s="17" t="str">
        <x:v>csq026</x:v>
      </x:c>
      <x:c r="C501" s="17" t="str">
        <x:v>software_engineering</x:v>
      </x:c>
      <x:c r="D501" s="17" t="str">
        <x:v>llm_agents_for_se</x:v>
      </x:c>
      <x:c r="E501" s="27" t="str">
        <x:v>What limitations have been reported for large-language-model agents on repository-level software engineering tasks, especially in localization, long-context reasoning, testing, and reproducibility?</x:v>
      </x:c>
      <x:c r="F501" s="22" t="n">
        <x:v>5</x:v>
      </x:c>
      <x:c r="G501" s="17" t="str">
        <x:v>arXiv:2512.03421</x:v>
      </x:c>
      <x:c r="H501" s="27" t="str">
        <x:v>Exploring the Potential and Limitations of Large Language Models for Novice Program Fault Localization</x:v>
      </x:c>
      <x:c r="I501" s="17" t="str">
        <x:v>Hexiang Xu; Hengyuan Liu; Yonghao Wu; Xiaolan Kang; Xiang Chen; Yong Liu</x:v>
      </x:c>
      <x:c r="J501" s="22" t="n">
        <x:v>2025</x:v>
      </x:c>
      <x:c r="K501" s="27" t="str">
        <x:v>Novice programmers often face challenges in fault localization due to their limited experience and understanding of programming syntax and logic. Traditional methods like Spectrum-Based Fault Localization (SBFL) and Mutation-Based Fault Localization (MBFL) help identify faults but often lack the ability to understand code context, making them less effective for beginners. In recent years, Large Language Models (LLMs) have shown promise in overcoming these limitations by utilizing their ability to understand program syntax and semantics. LLM-based fault localization provides more accurate and context-aware results than traditional techniques. This study evaluates six closed-source and seven open-source LLMs using the Codeflaws, Condefects, and BugT datasets, with BugT being a newly constructed dataset specifically designed to mitigate data leakage concerns. Advanced models with reasoning capabilities, such as OpenAI o3 and DeepSeekR1, achieve superior accuracy with minimal reliance on prompt engineering. In contrast, models without reasoning capabilities, like GPT-4, require carefully designed prompts to maintain performance. While LLMs perform well in simple fault localization, their accuracy decreases as problem difficulty increases, though top models maintain robust performance in the BugT dataset. Over-reasoning is another challenge, where some models generate excessive explanations that hinder fault localization clarity. Additionally, the computational cost of deploying LLMs remains a significant barrier for real-time debugging. LLM's explanations demonstrate significant value for novice programmer assistance, with one-year experience participants consistently rating them highly. Our findings demonstrate the potential of LLMs to improve debugging efficiency while stressing the need for further refinement in their reasoning and computational efficiency for practical adoption.</x:v>
      </x:c>
      <x:c r="L501" s="17" t="str">
        <x:v>http://arxiv.org/abs/2512.03421v1</x:v>
      </x:c>
      <x:c r="M501" s="23" t="n">
        <x:v>0.016129032258064516</x:v>
      </x:c>
      <x:c r="N501" s="17" t="str">
        <x:v>arxiv-paper-eval-20260726-140242-results.jsonl</x:v>
      </x:c>
      <x:c r="O501" s="24" t="str">
        <x:v>1</x:v>
      </x:c>
      <x:c r="P501" s="28" t="str">
        <x:v>讨论初学者程序故障定位中LLM潜力与限制，仓库级关联较弱。</x:v>
      </x:c>
      <x:c r="Q501" s="25" t="str"/>
      <x:c r="R501" s="24" t="str">
        <x:f>IF(Q501&lt;&gt;"",Q501,O501)</x:f>
        <x:v>1</x:v>
      </x:c>
      <x:c r="S501" s="29" t="str"/>
    </x:row>
    <x:row r="502" ht="54" customHeight="1">
      <x:c r="A502" s="17" t="str">
        <x:v>csq026-r06</x:v>
      </x:c>
      <x:c r="B502" s="17" t="str">
        <x:v>csq026</x:v>
      </x:c>
      <x:c r="C502" s="17" t="str">
        <x:v>software_engineering</x:v>
      </x:c>
      <x:c r="D502" s="17" t="str">
        <x:v>llm_agents_for_se</x:v>
      </x:c>
      <x:c r="E502" s="27" t="str">
        <x:v>What limitations have been reported for large-language-model agents on repository-level software engineering tasks, especially in localization, long-context reasoning, testing, and reproducibility?</x:v>
      </x:c>
      <x:c r="F502" s="22" t="n">
        <x:v>6</x:v>
      </x:c>
      <x:c r="G502" s="17" t="str">
        <x:v>arXiv:2508.15503</x:v>
      </x:c>
      <x:c r="H502" s="27" t="str">
        <x:v>Guidelines for Empirical Studies in Software Engineering involving Large Language Models</x:v>
      </x:c>
      <x:c r="I502" s="17" t="str">
        <x:v>Sebastian Baltes; Florian Angermeir; Chetan Arora; Marvin Muñoz Barón; Chunyang Chen; Lukas Böhme; Fabio Calefato; Neil Ernst; Davide Falessi; Brian Fitzgerald; Davide Fucci; Junda He; Christoph Treude; Marcos Kalinowski; Stefano Lambiase; Daniel Russo; Mircea Lungu; Cristina Martinez Montes; Lutz Prechelt; Paul Ralph; Rijnard van Tonder; Stefan Wagner</x:v>
      </x:c>
      <x:c r="J502" s="22" t="n">
        <x:v>2025</x:v>
      </x:c>
      <x:c r="K502" s="27" t="str">
        <x:v>Large Language Models (LLMs) are widely used in software engineering (SE) research and practice, yet their non-determinism, opaque training data, and rapidly evolving models threaten the reproducibility and replicability of empirical studies. We address this challenge through a collaborative effort of 22 researchers, presenting a taxonomy of seven study types that organizes how LLMs are used in SE research, together with eight guidelines for designing and reporting such studies. Each guideline distinguishes requirements (must) from recommendations (should) and is contextualized by the study types it applies to. Our guidelines recommend that researchers: (1) declare LLM usage and role; (2) report model versions, configurations, and customizations; (3) document the system and prompt design beyond the model; (4) report session traces, i.e., interaction logs and runtime traces; (5) use suitable baselines, benchmarks, and metrics; (6) include an open LLM as a baseline; (7) validate LLM outputs against human judgment; and (8) articulate limitations and mitigations. We complement the guidelines with an applicability matrix mapping guidelines to study types and a reporting checklist for authors and reviewers. We maintain the study types and guidelines online as a living resource for the community to use and shape (llm-guidelines$.$org).</x:v>
      </x:c>
      <x:c r="L502" s="17" t="str">
        <x:v>http://arxiv.org/abs/2508.15503v7</x:v>
      </x:c>
      <x:c r="M502" s="23" t="n">
        <x:v>0.016129032258064516</x:v>
      </x:c>
      <x:c r="N502" s="17" t="str">
        <x:v>arxiv-paper-eval-20260726-140242-results.jsonl</x:v>
      </x:c>
      <x:c r="O502" s="24" t="str">
        <x:v>2</x:v>
      </x:c>
      <x:c r="P502" s="28" t="str">
        <x:v>直接给出LLM软件工程实证研究的可复现性与报告规范。</x:v>
      </x:c>
      <x:c r="Q502" s="25" t="str"/>
      <x:c r="R502" s="24" t="str">
        <x:f>IF(Q502&lt;&gt;"",Q502,O502)</x:f>
        <x:v>2</x:v>
      </x:c>
      <x:c r="S502" s="29" t="str"/>
    </x:row>
    <x:row r="503" ht="54" customHeight="1">
      <x:c r="A503" s="17" t="str">
        <x:v>csq026-r07</x:v>
      </x:c>
      <x:c r="B503" s="17" t="str">
        <x:v>csq026</x:v>
      </x:c>
      <x:c r="C503" s="17" t="str">
        <x:v>software_engineering</x:v>
      </x:c>
      <x:c r="D503" s="17" t="str">
        <x:v>llm_agents_for_se</x:v>
      </x:c>
      <x:c r="E503" s="27" t="str">
        <x:v>What limitations have been reported for large-language-model agents on repository-level software engineering tasks, especially in localization, long-context reasoning, testing, and reproducibility?</x:v>
      </x:c>
      <x:c r="F503" s="22" t="n">
        <x:v>7</x:v>
      </x:c>
      <x:c r="G503" s="17" t="str">
        <x:v>arXiv:2403.00448</x:v>
      </x:c>
      <x:c r="H503" s="27" t="str">
        <x:v>When Large Language Models Confront Repository-Level Automatic Program Repair: How Well They Done?</x:v>
      </x:c>
      <x:c r="I503" s="17" t="str">
        <x:v>Yuxiao Chen; Jingzheng Wu; Xiang Ling; Changjiang Li; Zhiqing Rui; Tianyue Luo; Yanjun Wu</x:v>
      </x:c>
      <x:c r="J503" s="22" t="n">
        <x:v>2024</x:v>
      </x:c>
      <x:c r="K503" s="27" t="str">
        <x:v>In recent years, large language models (LLMs) have demonstrated substantial potential in addressing automatic program repair (APR) tasks. However, the current evaluation of these models for APR tasks focuses solely on the limited context of the single function or file where the bug is located, overlooking the valuable information in the repository-level context. This paper investigates the performance of popular LLMs in handling repository-level repair tasks. We introduce RepoBugs, a new benchmark comprising 124 typical repository-level bugs from open-source repositories. Preliminary experiments using GPT3.5 based on the function where the error is located, reveal that the repair rate on RepoBugs is only 22.58%, significantly diverging from the performance of GPT3.5 on function-level bugs in related studies. This underscores the importance of providing repository-level context when addressing bugs at this level. However, the repository-level context offered by the preliminary method often proves redundant and imprecise and easily exceeds the prompt length limit of LLMs. To solve the problem, we propose a simple and universal repository-level context extraction method (RLCE) designed to provide more precise context for repository-level code repair tasks. Evaluations of three mainstream LLMs show that RLCE significantly enhances the ability to repair repository-level bugs. The improvement reaches a maximum of 160% compared to the preliminary method. Additionally, we conduct a comprehensive analysis of the effectiveness and limitations of RLCE, along with the capacity of LLMs to address repository-level bugs, offering valuable insights for future research.</x:v>
      </x:c>
      <x:c r="L503" s="17" t="str">
        <x:v>http://arxiv.org/abs/2403.00448v1</x:v>
      </x:c>
      <x:c r="M503" s="23" t="n">
        <x:v>0.016129032258064516</x:v>
      </x:c>
      <x:c r="N503" s="17" t="str">
        <x:v>arxiv-paper-eval-20260726-140242-results.jsonl</x:v>
      </x:c>
      <x:c r="O503" s="24" t="str">
        <x:v>2</x:v>
      </x:c>
      <x:c r="P503" s="28" t="str">
        <x:v>直接评估LLM在仓库级自动程序修复中的局限。</x:v>
      </x:c>
      <x:c r="Q503" s="25" t="str"/>
      <x:c r="R503" s="24" t="str">
        <x:f>IF(Q503&lt;&gt;"",Q503,O503)</x:f>
        <x:v>2</x:v>
      </x:c>
      <x:c r="S503" s="29" t="str"/>
    </x:row>
    <x:row r="504" ht="54" customHeight="1">
      <x:c r="A504" s="17" t="str">
        <x:v>csq026-r08</x:v>
      </x:c>
      <x:c r="B504" s="17" t="str">
        <x:v>csq026</x:v>
      </x:c>
      <x:c r="C504" s="17" t="str">
        <x:v>software_engineering</x:v>
      </x:c>
      <x:c r="D504" s="17" t="str">
        <x:v>llm_agents_for_se</x:v>
      </x:c>
      <x:c r="E504" s="27" t="str">
        <x:v>What limitations have been reported for large-language-model agents on repository-level software engineering tasks, especially in localization, long-context reasoning, testing, and reproducibility?</x:v>
      </x:c>
      <x:c r="F504" s="22" t="n">
        <x:v>8</x:v>
      </x:c>
      <x:c r="G504" s="17" t="str">
        <x:v>arXiv:2212.10947</x:v>
      </x:c>
      <x:c r="H504" s="27" t="str">
        <x:v>Parallel Context Windows for Large Language Models</x:v>
      </x:c>
      <x:c r="I504" s="17" t="str">
        <x:v>Nir Ratner; Yoav Levine; Yonatan Belinkov; Ori Ram; Inbal Magar; Omri Abend; Ehud Karpas; Amnon Shashua; Kevin Leyton-Brown; Yoav Shoham</x:v>
      </x:c>
      <x:c r="J504" s="22" t="n">
        <x:v>2022</x:v>
      </x:c>
      <x:c r="K504" s="27" t="str">
        <x:v>When applied to processing long text, Large Language Models (LLMs) are limited by their context window. Existing efforts to address this limitation involve training specialized architectures, and cannot be easily applied to off-the-shelf LLMs. We present Parallel Context Windows (PCW), a method that alleviates the context window restriction for any off-the-shelf LLM without further training. The key to the approach is to carve a long context into chunks (``windows''), restrict the attention mechanism to apply only within each window, and re-use the positional embeddings across the windows. Our main results test the PCW approach on in-context learning with models that range in size between 750 million and 178 billion parameters, and show substantial improvements for tasks with diverse input and output spaces. We show additional benefits in other settings where long context windows may be beneficial: multi-hop questions and retrieval-augmented question answering with multiple retrieved documents. Our results highlight Parallel Context Windows as a promising method for applying off-the-shelf LLMs in a range of settings that require long text sequences. We make our code publicly available at https://github.com/ai21labs/parallel-context-windows.</x:v>
      </x:c>
      <x:c r="L504" s="17" t="str">
        <x:v>http://arxiv.org/abs/2212.10947v3</x:v>
      </x:c>
      <x:c r="M504" s="23" t="n">
        <x:v>0.016129032258064516</x:v>
      </x:c>
      <x:c r="N504" s="17" t="str">
        <x:v>arxiv-paper-eval-20260726-140242-results.jsonl</x:v>
      </x:c>
      <x:c r="O504" s="24" t="str">
        <x:v>1</x:v>
      </x:c>
      <x:c r="P504" s="28" t="str">
        <x:v>研究通用LLM上下文窗口限制，可解释长上下文问题但非软件工程专用。</x:v>
      </x:c>
      <x:c r="Q504" s="25" t="str"/>
      <x:c r="R504" s="24" t="str">
        <x:f>IF(Q504&lt;&gt;"",Q504,O504)</x:f>
        <x:v>1</x:v>
      </x:c>
      <x:c r="S504" s="29" t="str"/>
    </x:row>
    <x:row r="505" ht="54" customHeight="1">
      <x:c r="A505" s="17" t="str">
        <x:v>csq026-r09</x:v>
      </x:c>
      <x:c r="B505" s="17" t="str">
        <x:v>csq026</x:v>
      </x:c>
      <x:c r="C505" s="17" t="str">
        <x:v>software_engineering</x:v>
      </x:c>
      <x:c r="D505" s="17" t="str">
        <x:v>llm_agents_for_se</x:v>
      </x:c>
      <x:c r="E505" s="27" t="str">
        <x:v>What limitations have been reported for large-language-model agents on repository-level software engineering tasks, especially in localization, long-context reasoning, testing, and reproducibility?</x:v>
      </x:c>
      <x:c r="F505" s="22" t="n">
        <x:v>9</x:v>
      </x:c>
      <x:c r="G505" s="17" t="str">
        <x:v>arXiv:2512.20957</x:v>
      </x:c>
      <x:c r="H505" s="27" t="str">
        <x:v>One Tool Is Enough: Reinforcement Learning for Repository-Level LLM Agents</x:v>
      </x:c>
      <x:c r="I505" s="17" t="str">
        <x:v>Zhaoxi Zhang; Yitong Duan; Yanzhi Zhang; Yiming Xu; Zhixiang Wang; Kun Liang; Weikang Li; Jiahui Liang; Deguo Xia; Jizhou Huang; Jiyan He; Yunfang Wu</x:v>
      </x:c>
      <x:c r="J505" s="22" t="n">
        <x:v>2025</x:v>
      </x:c>
      <x:c r="K505" s="27" t="str">
        <x:v>Locating files and functions requiring modification in large software repositories is challenging due to their scale and structural complexity. Existing LLM-based methods typically treat this as a repository-level retrieval task and rely on multiple auxiliary tools, which often overlook code execution logic and complicate model control. We propose RepoNavigator, an LLM agent equipped with a single execution-aware tool: jumping to the definition of an invoked symbol. This unified design reflects the actual flow of code execution while simplifying tool manipulation. RepoNavigator is trained end-to-end via Reinforcement Learning (RL) directly from a base pretrained model, without relying on closed-source distillation. Experiments demonstrate that RL-trained RepoNavigator achieves state-of-the-art performance, with the 7B model outperforming 14B baselines, the 14B model surpassing 32B competitors, and the 32B model exceeding closed-source models such as GPT-5 on most metrics. These results confirm that integrating a single, structurally grounded tool with RL training provides an efficient and scalable solution for repository-level issue localization.</x:v>
      </x:c>
      <x:c r="L505" s="17" t="str">
        <x:v>http://arxiv.org/abs/2512.20957v6</x:v>
      </x:c>
      <x:c r="M505" s="23" t="n">
        <x:v>0.015873015873015872</x:v>
      </x:c>
      <x:c r="N505" s="17" t="str">
        <x:v>arxiv-paper-eval-20260726-140242-results.jsonl</x:v>
      </x:c>
      <x:c r="O505" s="24" t="str">
        <x:v>2</x:v>
      </x:c>
      <x:c r="P505" s="28" t="str">
        <x:v>直接解决仓库级智能体文件和函数定位困难。</x:v>
      </x:c>
      <x:c r="Q505" s="25" t="str"/>
      <x:c r="R505" s="24" t="str">
        <x:f>IF(Q505&lt;&gt;"",Q505,O505)</x:f>
        <x:v>2</x:v>
      </x:c>
      <x:c r="S505" s="29" t="str"/>
    </x:row>
    <x:row r="506" ht="54" customHeight="1">
      <x:c r="A506" s="17" t="str">
        <x:v>csq026-r10</x:v>
      </x:c>
      <x:c r="B506" s="17" t="str">
        <x:v>csq026</x:v>
      </x:c>
      <x:c r="C506" s="17" t="str">
        <x:v>software_engineering</x:v>
      </x:c>
      <x:c r="D506" s="17" t="str">
        <x:v>llm_agents_for_se</x:v>
      </x:c>
      <x:c r="E506" s="27" t="str">
        <x:v>What limitations have been reported for large-language-model agents on repository-level software engineering tasks, especially in localization, long-context reasoning, testing, and reproducibility?</x:v>
      </x:c>
      <x:c r="F506" s="22" t="n">
        <x:v>10</x:v>
      </x:c>
      <x:c r="G506" s="17" t="str">
        <x:v>arXiv:2503.06692</x:v>
      </x:c>
      <x:c r="H506" s="27" t="str">
        <x:v>InftyThink: Breaking the Length Limits of Long-Context Reasoning in Large Language Models</x:v>
      </x:c>
      <x:c r="I506" s="17" t="str">
        <x:v>Yuchen Yan; Yongliang Shen; Yang Liu; Jin Jiang; Mengdi Zhang; Jian Shao; Yueting Zhuang</x:v>
      </x:c>
      <x:c r="J506" s="22" t="n">
        <x:v>2025</x:v>
      </x:c>
      <x:c r="K506" s="27" t="str">
        <x:v>Advanced reasoning in large language models has achieved remarkable performance on challenging tasks, but the prevailing long-context reasoning paradigm faces critical limitations: quadratic computational scaling with sequence length, reasoning constrained by maximum context boundaries, and performance degradation beyond pre-training context windows. Existing approaches primarily compress reasoning chains without addressing the fundamental scaling problem. To overcome these challenges, we introduce InftyThink, a paradigm that transforms monolithic reasoning into an iterative process with intermediate summarization. By interleaving short reasoning segments with concise progress summaries, our approach enables unbounded reasoning depth while maintaining bounded computational costs. This creates a characteristic sawtooth memory pattern that significantly reduces computational complexity compared to traditional approaches. Furthermore, we develop a methodology for reconstructing long-context reasoning datasets into our iterative format, transforming OpenR1-Math into 333K training instances. Experiments across multiple model architectures demonstrate that our approach reduces computational costs while improving performance, with Qwen2.5-Math-7B showing 3-11% improvements across MATH500, AIME24, and GPQA_diamond benchmarks. Our work challenges the assumed trade-off between reasoning depth and computational efficiency, providing a more scalable approach to complex reasoning without architectural modifications.</x:v>
      </x:c>
      <x:c r="L506" s="17" t="str">
        <x:v>http://arxiv.org/abs/2503.06692v5</x:v>
      </x:c>
      <x:c r="M506" s="23" t="n">
        <x:v>0.015873015873015872</x:v>
      </x:c>
      <x:c r="N506" s="17" t="str">
        <x:v>arxiv-paper-eval-20260726-140242-results.jsonl</x:v>
      </x:c>
      <x:c r="O506" s="24" t="str">
        <x:v>1</x:v>
      </x:c>
      <x:c r="P506" s="28" t="str">
        <x:v>研究通用长上下文推理的长度与计算瓶颈，能作机制背景。</x:v>
      </x:c>
      <x:c r="Q506" s="25" t="str"/>
      <x:c r="R506" s="24" t="str">
        <x:f>IF(Q506&lt;&gt;"",Q506,O506)</x:f>
        <x:v>1</x:v>
      </x:c>
      <x:c r="S506" s="29" t="str"/>
    </x:row>
    <x:row r="507" ht="54" customHeight="1">
      <x:c r="A507" s="17" t="str">
        <x:v>csq026-r11</x:v>
      </x:c>
      <x:c r="B507" s="17" t="str">
        <x:v>csq026</x:v>
      </x:c>
      <x:c r="C507" s="17" t="str">
        <x:v>software_engineering</x:v>
      </x:c>
      <x:c r="D507" s="17" t="str">
        <x:v>llm_agents_for_se</x:v>
      </x:c>
      <x:c r="E507" s="27" t="str">
        <x:v>What limitations have been reported for large-language-model agents on repository-level software engineering tasks, especially in localization, long-context reasoning, testing, and reproducibility?</x:v>
      </x:c>
      <x:c r="F507" s="22" t="n">
        <x:v>11</x:v>
      </x:c>
      <x:c r="G507" s="17" t="str">
        <x:v>arXiv:2305.04764</x:v>
      </x:c>
      <x:c r="H507" s="27" t="str">
        <x:v>ChatUniTest: A Framework for LLM-Based Test Generation</x:v>
      </x:c>
      <x:c r="I507" s="17" t="str">
        <x:v>Yinghao Chen; Zehao Hu; Chen Zhi; Junxiao Han; Shuiguang Deng; Jianwei Yin</x:v>
      </x:c>
      <x:c r="J507" s="22" t="n">
        <x:v>2023</x:v>
      </x:c>
      <x:c r="K507" s="27" t="str">
        <x:v>Unit testing is an essential yet frequently arduous task. Various automated unit test generation tools have been introduced to mitigate this challenge. Notably, methods based on large language models (LLMs) have garnered considerable attention and exhibited promising results in recent years. Nevertheless, LLM-based tools encounter limitations in generating accurate unit tests. This paper presents ChatUniTest, an LLM-based automated unit test generation framework. ChatUniTest incorporates an adaptive focal context mechanism to encompass valuable context in prompts and adheres to a generation-validation-repair mechanism to rectify errors in generated unit tests. Subsequently, we have developed ChatUniTest Core, a common library that implements core workflow, complemented by the ChatUniTest Toolchain, a suite of seamlessly integrated tools enhancing the capabilities of ChatUniTest. Our effectiveness evaluation reveals that ChatUniTest outperforms TestSpark and EvoSuite in half of the evaluated projects, achieving the highest overall line coverage. Furthermore, insights from our user study affirm that ChatUniTest delivers substantial value to various stakeholders in the software testing domain. ChatUniTest is available at https://github.com/ZJU-ACES-ISE/ChatUniTest, and the demo video is available at https://www.youtube.com/watch?v=GmfxQUqm2ZQ.</x:v>
      </x:c>
      <x:c r="L507" s="17" t="str">
        <x:v>http://arxiv.org/abs/2305.04764v2</x:v>
      </x:c>
      <x:c r="M507" s="23" t="n">
        <x:v>0.015873015873015872</x:v>
      </x:c>
      <x:c r="N507" s="17" t="str">
        <x:v>arxiv-paper-eval-20260726-140242-results.jsonl</x:v>
      </x:c>
      <x:c r="O507" s="24" t="str">
        <x:v>2</x:v>
      </x:c>
      <x:c r="P507" s="28" t="str">
        <x:v>直接讨论LLM单元测试生成准确性限制及验证流程。</x:v>
      </x:c>
      <x:c r="Q507" s="25" t="str"/>
      <x:c r="R507" s="24" t="str">
        <x:f>IF(Q507&lt;&gt;"",Q507,O507)</x:f>
        <x:v>2</x:v>
      </x:c>
      <x:c r="S507" s="29" t="str"/>
    </x:row>
    <x:row r="508" ht="54" customHeight="1">
      <x:c r="A508" s="17" t="str">
        <x:v>csq026-r12</x:v>
      </x:c>
      <x:c r="B508" s="17" t="str">
        <x:v>csq026</x:v>
      </x:c>
      <x:c r="C508" s="17" t="str">
        <x:v>software_engineering</x:v>
      </x:c>
      <x:c r="D508" s="17" t="str">
        <x:v>llm_agents_for_se</x:v>
      </x:c>
      <x:c r="E508" s="27" t="str">
        <x:v>What limitations have been reported for large-language-model agents on repository-level software engineering tasks, especially in localization, long-context reasoning, testing, and reproducibility?</x:v>
      </x:c>
      <x:c r="F508" s="22" t="n">
        <x:v>12</x:v>
      </x:c>
      <x:c r="G508" s="17" t="str">
        <x:v>arXiv:2308.02828</x:v>
      </x:c>
      <x:c r="H508" s="27" t="str">
        <x:v>An Empirical Study of the Non-determinism of ChatGPT in Code Generation</x:v>
      </x:c>
      <x:c r="I508" s="17" t="str">
        <x:v>Shuyin Ouyang; Jie M. Zhang; Mark Harman; Meng Wang</x:v>
      </x:c>
      <x:c r="J508" s="22" t="n">
        <x:v>2023</x:v>
      </x:c>
      <x:c r="K508" s="27" t="str">
        <x:v>There has been a recent explosion of research on Large Language Models (LLMs) for software engineering tasks, in particular code generation. However, results from LLMs can be highly unstable; nondeterministically returning very different codes for the same prompt. Non-determinism is a potential menace to scientific conclusion validity. When non-determinism is high, scientific conclusions simply cannot be relied upon unless researchers change their behaviour to control for it in their empirical analyses. This paper conducts an empirical study to demonstrate that non-determinism is, indeed, high, thereby underlining the need for this behavioural change. We choose to study ChatGPT because it is already highly prevalent in the code generation research literature. We report results from a study of 829 code generation problems from three code generation benchmarks (i.e., CodeContests, APPS, and HumanEval). Our results reveal high degrees of non-determinism: the ratio of coding tasks with zero equal test output across different requests is 75.76%, 51.00%, and 47.56% for CodeContests, APPS, and HumanEval, respectively. In addition, we find that setting the temperature to 0 does not guarantee determinism in code generation, although it indeed brings less non-determinism than the default configuration (temperature=1). These results confirm that there is, currently, a significant threat to scientific conclusion validity. In order to put LLM-based research on firmer scientific foundations, researchers need to take into account non-determinism in drawing their conclusions.</x:v>
      </x:c>
      <x:c r="L508" s="17" t="str">
        <x:v>http://arxiv.org/abs/2308.02828v2</x:v>
      </x:c>
      <x:c r="M508" s="23" t="n">
        <x:v>0.015873015873015872</x:v>
      </x:c>
      <x:c r="N508" s="17" t="str">
        <x:v>arxiv-paper-eval-20260726-140242-results.jsonl</x:v>
      </x:c>
      <x:c r="O508" s="24" t="str">
        <x:v>2</x:v>
      </x:c>
      <x:c r="P508" s="28" t="str">
        <x:v>直接实证代码生成非确定性对可复现性和结论有效性的威胁。</x:v>
      </x:c>
      <x:c r="Q508" s="25" t="str"/>
      <x:c r="R508" s="24" t="str">
        <x:f>IF(Q508&lt;&gt;"",Q508,O508)</x:f>
        <x:v>2</x:v>
      </x:c>
      <x:c r="S508" s="29" t="str"/>
    </x:row>
    <x:row r="509" ht="54" customHeight="1">
      <x:c r="A509" s="17" t="str">
        <x:v>csq026-r13</x:v>
      </x:c>
      <x:c r="B509" s="17" t="str">
        <x:v>csq026</x:v>
      </x:c>
      <x:c r="C509" s="17" t="str">
        <x:v>software_engineering</x:v>
      </x:c>
      <x:c r="D509" s="17" t="str">
        <x:v>llm_agents_for_se</x:v>
      </x:c>
      <x:c r="E509" s="27" t="str">
        <x:v>What limitations have been reported for large-language-model agents on repository-level software engineering tasks, especially in localization, long-context reasoning, testing, and reproducibility?</x:v>
      </x:c>
      <x:c r="F509" s="22" t="n">
        <x:v>13</x:v>
      </x:c>
      <x:c r="G509" s="17" t="str">
        <x:v>arXiv:2509.04078</x:v>
      </x:c>
      <x:c r="H509" s="27" t="str">
        <x:v>RepoDebug: Repository-Level Multi-Task and Multi-Language Debugging Evaluation of Large Language Models</x:v>
      </x:c>
      <x:c r="I509" s="17" t="str">
        <x:v>Jingjing Liu; Zeming Liu; Zihao Cheng; Mengliang He; Xiaoming Shi; Yuhang Guo; Xiangrong Zhu; Yuanfang Guo; Yunhong Wang; Haifeng Wang</x:v>
      </x:c>
      <x:c r="J509" s="22" t="n">
        <x:v>2025</x:v>
      </x:c>
      <x:c r="K509" s="27" t="str">
        <x:v>Large Language Models (LLMs) have exhibited significant proficiency in code debugging, especially in automatic program repair, which may substantially reduce the time consumption of developers and enhance their efficiency. Significant advancements in debugging datasets have been made to promote the development of code debugging. However, these datasets primarily focus on assessing the LLM's function-level code repair capabilities, neglecting the more complex and realistic repository-level scenarios, which leads to an incomplete understanding of the LLM's challenges in repository-level debugging. While several repository-level datasets have been proposed, they often suffer from limitations such as limited diversity of tasks, languages, and error types. To mitigate this challenge, this paper introduces RepoDebug, a multi-task and multi-language repository-level code debugging dataset with 22 subtypes of errors that supports 8 commonly used programming languages and 3 debugging tasks. Furthermore, we conduct evaluation experiments on 10 LLMs, where Claude 3.5 Sonnect, the best-performing model, still cannot perform well in repository-level debugging.</x:v>
      </x:c>
      <x:c r="L509" s="17" t="str">
        <x:v>http://arxiv.org/abs/2509.04078v2</x:v>
      </x:c>
      <x:c r="M509" s="23" t="n">
        <x:v>0.015625</x:v>
      </x:c>
      <x:c r="N509" s="17" t="str">
        <x:v>arxiv-paper-eval-20260726-140242-results.jsonl</x:v>
      </x:c>
      <x:c r="O509" s="24" t="str">
        <x:v>2</x:v>
      </x:c>
      <x:c r="P509" s="28" t="str">
        <x:v>直接提供仓库级多任务调试基准并分析LLM挑战。</x:v>
      </x:c>
      <x:c r="Q509" s="25" t="str"/>
      <x:c r="R509" s="24" t="str">
        <x:f>IF(Q509&lt;&gt;"",Q509,O509)</x:f>
        <x:v>2</x:v>
      </x:c>
      <x:c r="S509" s="29" t="str"/>
    </x:row>
    <x:row r="510" ht="54" customHeight="1">
      <x:c r="A510" s="17" t="str">
        <x:v>csq026-r14</x:v>
      </x:c>
      <x:c r="B510" s="17" t="str">
        <x:v>csq026</x:v>
      </x:c>
      <x:c r="C510" s="17" t="str">
        <x:v>software_engineering</x:v>
      </x:c>
      <x:c r="D510" s="17" t="str">
        <x:v>llm_agents_for_se</x:v>
      </x:c>
      <x:c r="E510" s="27" t="str">
        <x:v>What limitations have been reported for large-language-model agents on repository-level software engineering tasks, especially in localization, long-context reasoning, testing, and reproducibility?</x:v>
      </x:c>
      <x:c r="F510" s="22" t="n">
        <x:v>14</x:v>
      </x:c>
      <x:c r="G510" s="17" t="str">
        <x:v>arXiv:2512.07022</x:v>
      </x:c>
      <x:c r="H510" s="27" t="str">
        <x:v>Reformulate, Retrieve, Localize: Agents for Repository-Level Bug Localization</x:v>
      </x:c>
      <x:c r="I510" s="17" t="str">
        <x:v>Genevieve Caumartin; Glaucia Melo</x:v>
      </x:c>
      <x:c r="J510" s="22" t="n">
        <x:v>2025</x:v>
      </x:c>
      <x:c r="K510" s="27" t="str">
        <x:v>Bug localization remains a critical yet time-consuming challenge in large-scale software repositories. Traditional information retrieval-based bug localization (IRBL) methods rely on unchanged bug descriptions, which often contain noisy information, leading to poor retrieval accuracy. Recent advances in large language models (LLMs) have improved bug localization through query reformulation, yet the effect on agent performance remains unexplored. In this study, we investigate how an LLM-powered agent can improve file-level bug localization via lightweight query reformulation and summarization. We first employ an open-source, non-fine-tuned LLM to extract key information from bug reports, such as identifiers and code snippets, and reformulate queries pre-retrieval. Our agent then orchestrates BM25 retrieval using these preprocessed queries, automating localization workflow at scale. Using the best-performing query reformulation technique, our agent achieves 35% better ranking in first-file retrieval than our BM25 baseline and up to +22% file retrieval performance over SWE-agent.</x:v>
      </x:c>
      <x:c r="L510" s="17" t="str">
        <x:v>http://arxiv.org/abs/2512.07022v1</x:v>
      </x:c>
      <x:c r="M510" s="23" t="n">
        <x:v>0.015625</x:v>
      </x:c>
      <x:c r="N510" s="17" t="str">
        <x:v>arxiv-paper-eval-20260726-140242-results.jsonl</x:v>
      </x:c>
      <x:c r="O510" s="24" t="str">
        <x:v>2</x:v>
      </x:c>
      <x:c r="P510" s="28" t="str">
        <x:v>直接研究仓库级智能体的错误报告改写与文件定位。</x:v>
      </x:c>
      <x:c r="Q510" s="25" t="str"/>
      <x:c r="R510" s="24" t="str">
        <x:f>IF(Q510&lt;&gt;"",Q510,O510)</x:f>
        <x:v>2</x:v>
      </x:c>
      <x:c r="S510" s="29" t="str"/>
    </x:row>
    <x:row r="511" ht="54" customHeight="1">
      <x:c r="A511" s="17" t="str">
        <x:v>csq026-r15</x:v>
      </x:c>
      <x:c r="B511" s="17" t="str">
        <x:v>csq026</x:v>
      </x:c>
      <x:c r="C511" s="17" t="str">
        <x:v>software_engineering</x:v>
      </x:c>
      <x:c r="D511" s="17" t="str">
        <x:v>llm_agents_for_se</x:v>
      </x:c>
      <x:c r="E511" s="27" t="str">
        <x:v>What limitations have been reported for large-language-model agents on repository-level software engineering tasks, especially in localization, long-context reasoning, testing, and reproducibility?</x:v>
      </x:c>
      <x:c r="F511" s="22" t="n">
        <x:v>15</x:v>
      </x:c>
      <x:c r="G511" s="17" t="str">
        <x:v>arXiv:2511.00489</x:v>
      </x:c>
      <x:c r="H511" s="27" t="str">
        <x:v>ToM: Leveraging Tree-oriented MapReduce for Long-Context Reasoning in Large Language Models</x:v>
      </x:c>
      <x:c r="I511" s="17" t="str">
        <x:v>Jiani Guo; Zuchao Li; Jie Wu; Qianren Wang; Yun Li; Lefei Zhang; Hai Zhao; Yujiu Yang</x:v>
      </x:c>
      <x:c r="J511" s="22" t="n">
        <x:v>2025</x:v>
      </x:c>
      <x:c r="K511" s="27" t="str">
        <x:v>Large Language Models (LLMs), constrained by limited context windows, often face significant performance degradation when reasoning over long contexts. To address this, Retrieval-Augmented Generation (RAG) retrieves and reasons over chunks but frequently sacrifices logical coherence due to its reliance on similarity-based rankings. Similarly, divide-and-conquer frameworks (DCF) split documents into small chunks for independent reasoning and aggregation. While effective for local reasoning, DCF struggles to capture long-range dependencies and risks inducing conflicts by processing chunks in isolation. To overcome these limitations, we propose ToM, a novel Tree-oriented MapReduce framework for long-context reasoning. ToM leverages the inherent hierarchical structure of long documents (e.g., main headings and subheadings) by constructing a DocTree through hierarchical semantic parsing and performing bottom-up aggregation. Using a Tree MapReduce approach, ToM enables recursive reasoning: in the Map step, rationales are generated at child nodes; in the Reduce step, these rationales are aggregated across sibling nodes to resolve conflicts or reach consensus at parent nodes. Experimental results on 70B+ LLMs show that ToM significantly outperforms existing divide-and-conquer frameworks and retrieval-augmented generation methods, achieving better logical coherence and long-context reasoning. Our code is available at https://github.com/gjn12-31/ToM .</x:v>
      </x:c>
      <x:c r="L511" s="17" t="str">
        <x:v>http://arxiv.org/abs/2511.00489v1</x:v>
      </x:c>
      <x:c r="M511" s="23" t="n">
        <x:v>0.015625</x:v>
      </x:c>
      <x:c r="N511" s="17" t="str">
        <x:v>arxiv-paper-eval-20260726-140242-results.jsonl</x:v>
      </x:c>
      <x:c r="O511" s="24" t="str">
        <x:v>1</x:v>
      </x:c>
      <x:c r="P511" s="28" t="str">
        <x:v>研究通用长上下文的依赖丢失和冲突问题，可作仓库推理背景。</x:v>
      </x:c>
      <x:c r="Q511" s="25" t="str"/>
      <x:c r="R511" s="24" t="str">
        <x:f>IF(Q511&lt;&gt;"",Q511,O511)</x:f>
        <x:v>1</x:v>
      </x:c>
      <x:c r="S511" s="29" t="str"/>
    </x:row>
    <x:row r="512" ht="54" customHeight="1">
      <x:c r="A512" s="17" t="str">
        <x:v>csq026-r16</x:v>
      </x:c>
      <x:c r="B512" s="17" t="str">
        <x:v>csq026</x:v>
      </x:c>
      <x:c r="C512" s="17" t="str">
        <x:v>software_engineering</x:v>
      </x:c>
      <x:c r="D512" s="17" t="str">
        <x:v>llm_agents_for_se</x:v>
      </x:c>
      <x:c r="E512" s="27" t="str">
        <x:v>What limitations have been reported for large-language-model agents on repository-level software engineering tasks, especially in localization, long-context reasoning, testing, and reproducibility?</x:v>
      </x:c>
      <x:c r="F512" s="22" t="n">
        <x:v>16</x:v>
      </x:c>
      <x:c r="G512" s="17" t="str">
        <x:v>arXiv:2512.15979</x:v>
      </x:c>
      <x:c r="H512" s="27" t="str">
        <x:v>OLAF: Towards Robust LLM-Based Annotation Framework in Empirical Software Engineering</x:v>
      </x:c>
      <x:c r="I512" s="17" t="str">
        <x:v>Mia Mohammad Imran; Tarannum Shaila Zaman</x:v>
      </x:c>
      <x:c r="J512" s="22" t="n">
        <x:v>2025</x:v>
      </x:c>
      <x:c r="K512" s="27" t="str">
        <x:v>Large Language Models (LLMs) are increasingly used in empirical software engineering (ESE) to automate or assist annotation tasks such as labeling commits, issues, and qualitative artifacts. Yet the reliability and reproducibility of such annotations remain underexplored. Existing studies often lack standardized measures for reliability, calibration, and drift, and frequently omit essential configuration details. We argue that LLM-based annotation should be treated as a measurement process rather than a purely automated activity. In this position paper, we outline the \textbf{Operationalization for LLM-based Annotation Framework (OLAF)}, a conceptual framework that organizes key constructs: \textit{reliability, calibration, drift, consensus, aggregation}, and \textit{transparency}. The paper aims to motivate methodological discussion and future empirical work toward more transparent and reproducible LLM-based annotation in software engineering research.</x:v>
      </x:c>
      <x:c r="L512" s="17" t="str">
        <x:v>http://arxiv.org/abs/2512.15979v2</x:v>
      </x:c>
      <x:c r="M512" s="23" t="n">
        <x:v>0.015625</x:v>
      </x:c>
      <x:c r="N512" s="17" t="str">
        <x:v>arxiv-paper-eval-20260726-140242-results.jsonl</x:v>
      </x:c>
      <x:c r="O512" s="24" t="str">
        <x:v>1</x:v>
      </x:c>
      <x:c r="P512" s="28" t="str">
        <x:v>研究软件工程LLM标注的可靠性与复现，相关但不是仓库任务智能体。</x:v>
      </x:c>
      <x:c r="Q512" s="25" t="str"/>
      <x:c r="R512" s="24" t="str">
        <x:f>IF(Q512&lt;&gt;"",Q512,O512)</x:f>
        <x:v>1</x:v>
      </x:c>
      <x:c r="S512" s="29" t="str"/>
    </x:row>
    <x:row r="513" ht="54" customHeight="1">
      <x:c r="A513" s="17" t="str">
        <x:v>csq026-r17</x:v>
      </x:c>
      <x:c r="B513" s="17" t="str">
        <x:v>csq026</x:v>
      </x:c>
      <x:c r="C513" s="17" t="str">
        <x:v>software_engineering</x:v>
      </x:c>
      <x:c r="D513" s="17" t="str">
        <x:v>llm_agents_for_se</x:v>
      </x:c>
      <x:c r="E513" s="27" t="str">
        <x:v>What limitations have been reported for large-language-model agents on repository-level software engineering tasks, especially in localization, long-context reasoning, testing, and reproducibility?</x:v>
      </x:c>
      <x:c r="F513" s="22" t="n">
        <x:v>17</x:v>
      </x:c>
      <x:c r="G513" s="17" t="str">
        <x:v>arXiv:2511.21382</x:v>
      </x:c>
      <x:c r="H513" s="27" t="str">
        <x:v>Large Language Models for Unit Test Generation: Achievements, Challenges, and Opportunities</x:v>
      </x:c>
      <x:c r="I513" s="17" t="str">
        <x:v>Bei Chu; Yang Feng; Kui Liu; Zhaoqiang Guo; Yichi Zhang; Hange Shi; Zifan Nan; Baowen Xu</x:v>
      </x:c>
      <x:c r="J513" s="22" t="n">
        <x:v>2025</x:v>
      </x:c>
      <x:c r="K513" s="27" t="str">
        <x:v>Automated unit test generation is critical for software quality but traditional structure-driven methods often lack the semantic understanding required to produce realistic inputs and oracles. Large language models (LLMs) address this limitation by leveraging their extensive data-driven knowledge of code semantics and programming patterns. To analyze the state of the art in this domain, we conducted a systematic literature review of 115 publications published between May 2021 and August 2025. We propose a taxonomy based on the unit test generation lifecycle that divides the process into a generative phase for creating test artifacts and a quality assurance phase for refining them. Our analysis reveals that prompt engineering has emerged as the dominant utilization approach and accounts for 89% of the studies due to its flexibility. We find that iterative validation and repair loops have become the standard mechanism to ensure robust usability by significantly improving compilation and execution pass rates. However, critical challenges remain regarding the weak fault detection capabilities and the lack of standardized benchmarks. We conclude with a roadmap for future research that emphasizes the progression toward autonomous testing agents and hybrid systems combining LLMs with traditional software engineering tools.</x:v>
      </x:c>
      <x:c r="L513" s="17" t="str">
        <x:v>http://arxiv.org/abs/2511.21382v2</x:v>
      </x:c>
      <x:c r="M513" s="23" t="n">
        <x:v>0.015384615384615385</x:v>
      </x:c>
      <x:c r="N513" s="17" t="str">
        <x:v>arxiv-paper-eval-20260726-140242-results.jsonl</x:v>
      </x:c>
      <x:c r="O513" s="24" t="str">
        <x:v>2</x:v>
      </x:c>
      <x:c r="P513" s="28" t="str">
        <x:v>系统总结LLM单元测试生成的成就、挑战与机会。</x:v>
      </x:c>
      <x:c r="Q513" s="25" t="str"/>
      <x:c r="R513" s="24" t="str">
        <x:f>IF(Q513&lt;&gt;"",Q513,O513)</x:f>
        <x:v>2</x:v>
      </x:c>
      <x:c r="S513" s="29" t="str"/>
    </x:row>
    <x:row r="514" ht="54" customHeight="1">
      <x:c r="A514" s="17" t="str">
        <x:v>csq026-r18</x:v>
      </x:c>
      <x:c r="B514" s="17" t="str">
        <x:v>csq026</x:v>
      </x:c>
      <x:c r="C514" s="17" t="str">
        <x:v>software_engineering</x:v>
      </x:c>
      <x:c r="D514" s="17" t="str">
        <x:v>llm_agents_for_se</x:v>
      </x:c>
      <x:c r="E514" s="27" t="str">
        <x:v>What limitations have been reported for large-language-model agents on repository-level software engineering tasks, especially in localization, long-context reasoning, testing, and reproducibility?</x:v>
      </x:c>
      <x:c r="F514" s="22" t="n">
        <x:v>18</x:v>
      </x:c>
      <x:c r="G514" s="17" t="str">
        <x:v>arXiv:2510.18456</x:v>
      </x:c>
      <x:c r="H514" s="27" t="str">
        <x:v>Large Language Models in Thematic Analysis: Prompt Engineering, Evaluation, and Guidelines for Qualitative Software Engineering Research</x:v>
      </x:c>
      <x:c r="I514" s="17" t="str">
        <x:v>Cristina Martinez Montes; Robert Feldt; Cristina Miguel Martos; Sofia Ouhbi; Shweta Premanandan; Daniel Graziotin</x:v>
      </x:c>
      <x:c r="J514" s="22" t="n">
        <x:v>2025</x:v>
      </x:c>
      <x:c r="K514" s="27" t="str">
        <x:v>As artificial intelligence advances, large language models (LLMs) are entering qualitative research workflows, yet no reproducible methods exist for integrating them into established approaches like thematic analysis (TA), one of the most common qualitative methods in software engineering research. Moreover, existing studies lack systematic evaluation of LLM-generated qualitative outputs against established quality criteria. We designed and iteratively refined prompts for Phases 2-5 of Braun and Clarke's reflexive TA, then tested outputs from multiple LLMs against codes and themes produced by experienced researchers. Using 15 interviews on software engineers' well-being, we conducted blind evaluations with four expert evaluators who applied rubrics derived directly from Braun and Clarke's quality criteria. Evaluators preferred LLM-generated codes 61% of the time, finding them analytically useful for answering the research question. However, evaluators also identified limitations: LLMs fragmented data unnecessarily, missed latent interpretations, and sometimes produced themes with unclear boundaries. Our contributions are threefold. First, a reproducible approach integrating refined, documented prompts with an evaluation framework to operationalize Braun and Clarke's reflexive TA. Second, an empirical comparison of LLM- and human-generated codes and themes in software engineering data. Third, guidelines for integrating LLMs into qualitative analysis while preserving methodological rigour, clarifying when and how LLMs can assist effectively and when human interpretation remains essential.</x:v>
      </x:c>
      <x:c r="L514" s="17" t="str">
        <x:v>http://arxiv.org/abs/2510.18456v1</x:v>
      </x:c>
      <x:c r="M514" s="23" t="n">
        <x:v>0.015384615384615385</x:v>
      </x:c>
      <x:c r="N514" s="17" t="str">
        <x:v>arxiv-paper-eval-20260726-140242-results.jsonl</x:v>
      </x:c>
      <x:c r="O514" s="24" t="str">
        <x:v>1</x:v>
      </x:c>
      <x:c r="P514" s="28" t="str">
        <x:v>聚焦定性软件工程研究流程的复现，和仓库级编码智能体仅间接相关。</x:v>
      </x:c>
      <x:c r="Q514" s="25" t="str"/>
      <x:c r="R514" s="24" t="str">
        <x:f>IF(Q514&lt;&gt;"",Q514,O514)</x:f>
        <x:v>1</x:v>
      </x:c>
      <x:c r="S514" s="29" t="str"/>
    </x:row>
    <x:row r="515" ht="54" customHeight="1">
      <x:c r="A515" s="17" t="str">
        <x:v>csq026-r19</x:v>
      </x:c>
      <x:c r="B515" s="17" t="str">
        <x:v>csq026</x:v>
      </x:c>
      <x:c r="C515" s="17" t="str">
        <x:v>software_engineering</x:v>
      </x:c>
      <x:c r="D515" s="17" t="str">
        <x:v>llm_agents_for_se</x:v>
      </x:c>
      <x:c r="E515" s="27" t="str">
        <x:v>What limitations have been reported for large-language-model agents on repository-level software engineering tasks, especially in localization, long-context reasoning, testing, and reproducibility?</x:v>
      </x:c>
      <x:c r="F515" s="22" t="n">
        <x:v>19</x:v>
      </x:c>
      <x:c r="G515" s="17" t="str">
        <x:v>arXiv:2401.07339</x:v>
      </x:c>
      <x:c r="H515" s="27" t="str">
        <x:v>CodeAgent: Enhancing Code Generation with Tool-Integrated Agent Systems for Real-World Repo-level Coding Challenges</x:v>
      </x:c>
      <x:c r="I515" s="17" t="str">
        <x:v>Kechi Zhang; Jia Li; Ge Li; Xianjie Shi; Zhi Jin</x:v>
      </x:c>
      <x:c r="J515" s="22" t="n">
        <x:v>2024</x:v>
      </x:c>
      <x:c r="K515" s="27" t="str">
        <x:v>Large Language Models (LLMs) have shown promise in automated code generation but typically excel only in simpler tasks such as generating standalone code units. Real-world software development, however, often involves complex code repositories (named repo) with complex dependencies and extensive documentation. To fill this gap, our research pivots towards evaluating LLMs in a more realistic setting -- real-world repo-level code generation. We introduce CodeAgentBench, a manually curated benchmark for repo-level code generation. This benchmark comprises five high-quality Python projects, encompassing a total of 101 samples. We assess nine leading LLMs on repo-level tasks and observe a decline in their performance. To tackle this, we present CodeAgent, a novel LLM-based agent framework that employs external tools for effective repo-level code generation. CodeAgent integrates five programming tools, enabling interaction with software artifacts for information retrieval, code symbol navigation, and code testing. We implement four agent strategies to optimize these tools' usage. Our experiments on CodeAgentBench show that CodeAgent enhances LLM performance significantly, with improvements ranging from 18.1\% to 250\%. Further tests on the HumanEval benchmark confirm CodeAgent's adaptability and efficacy across various code generation tasks. Notably, CodeAgent outperforms commercial products like Github Copilot, showcasing superior accuracy and efficiency. These results demonstrate CodeAgent's robust capabilities in code generation, highlighting its potential for real-world repo-level coding challenges.</x:v>
      </x:c>
      <x:c r="L515" s="17" t="str">
        <x:v>http://arxiv.org/abs/2401.07339v2</x:v>
      </x:c>
      <x:c r="M515" s="23" t="n">
        <x:v>0.015384615384615385</x:v>
      </x:c>
      <x:c r="N515" s="17" t="str">
        <x:v>arxiv-paper-eval-20260726-140242-results.jsonl</x:v>
      </x:c>
      <x:c r="O515" s="24" t="str">
        <x:v>2</x:v>
      </x:c>
      <x:c r="P515" s="28" t="str">
        <x:v>直接提出并评估真实仓库级代码生成智能体与基准。</x:v>
      </x:c>
      <x:c r="Q515" s="25" t="str"/>
      <x:c r="R515" s="24" t="str">
        <x:f>IF(Q515&lt;&gt;"",Q515,O515)</x:f>
        <x:v>2</x:v>
      </x:c>
      <x:c r="S515" s="29" t="str"/>
    </x:row>
    <x:row r="516" ht="54" customHeight="1">
      <x:c r="A516" s="17" t="str">
        <x:v>csq026-r20</x:v>
      </x:c>
      <x:c r="B516" s="17" t="str">
        <x:v>csq026</x:v>
      </x:c>
      <x:c r="C516" s="17" t="str">
        <x:v>software_engineering</x:v>
      </x:c>
      <x:c r="D516" s="17" t="str">
        <x:v>llm_agents_for_se</x:v>
      </x:c>
      <x:c r="E516" s="27" t="str">
        <x:v>What limitations have been reported for large-language-model agents on repository-level software engineering tasks, especially in localization, long-context reasoning, testing, and reproducibility?</x:v>
      </x:c>
      <x:c r="F516" s="22" t="n">
        <x:v>20</x:v>
      </x:c>
      <x:c r="G516" s="17" t="str">
        <x:v>arXiv:2405.18009</x:v>
      </x:c>
      <x:c r="H516" s="27" t="str">
        <x:v>Exploring Context Window of Large Language Models via Decomposed Positional Vectors</x:v>
      </x:c>
      <x:c r="I516" s="17" t="str">
        <x:v>Zican Dong; Junyi Li; Xin Men; Wayne Xin Zhao; Bingbing Wang; Zhen Tian; Weipeng Chen; Ji-Rong Wen</x:v>
      </x:c>
      <x:c r="J516" s="22" t="n">
        <x:v>2024</x:v>
      </x:c>
      <x:c r="K516" s="27" t="str">
        <x:v>Transformer-based large language models (LLMs) typically have a limited context window, resulting in significant performance degradation when processing text beyond the length of the context window. Extensive studies have been proposed to extend the context window and achieve length extrapolation of LLMs, but there is still a lack of in-depth interpretation of these approaches. In this study, we explore the positional information within and beyond the context window for deciphering the underlying mechanism of LLMs. By using a mean-based decomposition method, we disentangle positional vectors from hidden states of LLMs and analyze their formation and effect on attention. Furthermore, when texts exceed the context window, we analyze the change of positional vectors in two settings, i.e., direct extrapolation and context window extension. Based on our findings, we design two training-free context window extension methods, positional vector replacement and attention window extension. Experimental results show that our methods can effectively extend the context window length.</x:v>
      </x:c>
      <x:c r="L516" s="17" t="str">
        <x:v>http://arxiv.org/abs/2405.18009v2</x:v>
      </x:c>
      <x:c r="M516" s="23" t="n">
        <x:v>0.015384615384615385</x:v>
      </x:c>
      <x:c r="N516" s="17" t="str">
        <x:v>arxiv-paper-eval-20260726-140242-results.jsonl</x:v>
      </x:c>
      <x:c r="O516" s="24" t="str">
        <x:v>1</x:v>
      </x:c>
      <x:c r="P516" s="28" t="str">
        <x:v>研究通用上下文窗口外性能退化，可作长上下文限制的背景。</x:v>
      </x:c>
      <x:c r="Q516" s="25" t="str"/>
      <x:c r="R516" s="24" t="str">
        <x:f>IF(Q516&lt;&gt;"",Q516,O516)</x:f>
        <x:v>1</x:v>
      </x:c>
      <x:c r="S516" s="29" t="str"/>
    </x:row>
    <x:row r="517" ht="54" customHeight="1">
      <x:c r="A517" s="17" t="str">
        <x:v>csq027-r01</x:v>
      </x:c>
      <x:c r="B517" s="17" t="str">
        <x:v>csq027</x:v>
      </x:c>
      <x:c r="C517" s="17" t="str">
        <x:v>data_management_and_ir</x:v>
      </x:c>
      <x:c r="D517" s="17" t="str">
        <x:v>learned_indexes</x:v>
      </x:c>
      <x:c r="E517" s="27" t="str">
        <x:v>What learned index structures have been proposed, and under which data distributions and update workloads do they outperform or underperform traditional indexes?</x:v>
      </x:c>
      <x:c r="F517" s="22" t="n">
        <x:v>1</x:v>
      </x:c>
      <x:c r="G517" s="17" t="str">
        <x:v>arXiv:1905.06256</x:v>
      </x:c>
      <x:c r="H517" s="27" t="str">
        <x:v>A Scalable Learned Index Scheme in Storage Systems</x:v>
      </x:c>
      <x:c r="I517" s="17" t="str">
        <x:v>Pengfei Li; Yu Hua; Pengfei Zuo; Jingnan Jia</x:v>
      </x:c>
      <x:c r="J517" s="22" t="n">
        <x:v>2019</x:v>
      </x:c>
      <x:c r="K517" s="27" t="str">
        <x:v>Index structures are important for efficient data access, which have been widely used to improve the performance in many in-memory systems. Due to high in-memory overheads, traditional index structures become difficult to process the explosive growth of data, let alone providing low latency and high throughput performance with limited system resources. The promising learned indexes leverage deep-learning models to complement existing index structures and obtain significant memory savings. However, the learned indexes fail to become scalable due to the heavy inter-model dependency and expensive retraining. To address these problems, we propose a scalable learned index scheme to construct different linear regression models according to the data distribution. Moreover, the used models are independent so as to reduce the complexity of retraining and become easy to partition and store the data into different pages, blocks or distributed systems. Our experimental results show that compared with state-of-the-art schemes, AIDEL improves the insertion performance by about 2$\times$ and provides comparable lookup performance, while efficiently supporting scalability.</x:v>
      </x:c>
      <x:c r="L517" s="17" t="str">
        <x:v>http://arxiv.org/abs/1905.06256v1</x:v>
      </x:c>
      <x:c r="M517" s="23" t="n">
        <x:v>0.057637522623971454</x:v>
      </x:c>
      <x:c r="N517" s="17" t="str">
        <x:v>arxiv-paper-eval-20260726-140242-results.jsonl</x:v>
      </x:c>
      <x:c r="O517" s="24" t="str">
        <x:v>2</x:v>
      </x:c>
      <x:c r="P517" s="28" t="str">
        <x:v>直接提出可扩展存储系统学习索引并比较内存和性能。</x:v>
      </x:c>
      <x:c r="Q517" s="25" t="str"/>
      <x:c r="R517" s="24" t="str">
        <x:f>IF(Q517&lt;&gt;"",Q517,O517)</x:f>
        <x:v>2</x:v>
      </x:c>
      <x:c r="S517" s="29" t="str"/>
    </x:row>
    <x:row r="518" ht="54" customHeight="1">
      <x:c r="A518" s="17" t="str">
        <x:v>csq027-r02</x:v>
      </x:c>
      <x:c r="B518" s="17" t="str">
        <x:v>csq027</x:v>
      </x:c>
      <x:c r="C518" s="17" t="str">
        <x:v>data_management_and_ir</x:v>
      </x:c>
      <x:c r="D518" s="17" t="str">
        <x:v>learned_indexes</x:v>
      </x:c>
      <x:c r="E518" s="27" t="str">
        <x:v>What learned index structures have been proposed, and under which data distributions and update workloads do they outperform or underperform traditional indexes?</x:v>
      </x:c>
      <x:c r="F518" s="22" t="n">
        <x:v>2</x:v>
      </x:c>
      <x:c r="G518" s="17" t="str">
        <x:v>arXiv:2306.10651</x:v>
      </x:c>
      <x:c r="H518" s="27" t="str">
        <x:v>On Distribution Dependent Sub-Logarithmic Query Time of Learned Indexing</x:v>
      </x:c>
      <x:c r="I518" s="17" t="str">
        <x:v>Sepanta Zeighami; Cyrus Shahabi</x:v>
      </x:c>
      <x:c r="J518" s="22" t="n">
        <x:v>2023</x:v>
      </x:c>
      <x:c r="K518" s="27" t="str">
        <x:v>A fundamental problem in data management is to find the elements in an array that match a query. Recently, learned indexes are being extensively used to solve this problem, where they learn a model to predict the location of the items in the array. They are empirically shown to outperform non-learned methods (e.g., B-trees or binary search that answer queries in $O(\log n)$ time) by orders of magnitude. However, success of learned indexes has not been theoretically justified. Only existing attempt shows the same query time of $O(\log n)$, but with a constant factor improvement in space complexity over non-learned methods, under some assumptions on data distribution. In this paper, we significantly strengthen this result, showing that under mild assumptions on data distribution, and the same space complexity as non-learned methods, learned indexes can answer queries in $O(\log\log n)$ expected query time. We also show that allowing for slightly larger but still near-linear space overhead, a learned index can achieve $O(1)$ expected query time. Our results theoretically prove learned indexes are orders of magnitude faster than non-learned methods, theoretically grounding their empirical success.</x:v>
      </x:c>
      <x:c r="L518" s="17" t="str">
        <x:v>http://arxiv.org/abs/2306.10651v1</x:v>
      </x:c>
      <x:c r="M518" s="23" t="n">
        <x:v>0.04740305800756621</x:v>
      </x:c>
      <x:c r="N518" s="17" t="str">
        <x:v>arxiv-paper-eval-20260726-140242-results.jsonl</x:v>
      </x:c>
      <x:c r="O518" s="24" t="str">
        <x:v>2</x:v>
      </x:c>
      <x:c r="P518" s="28" t="str">
        <x:v>直接从数据分布角度分析学习索引的查询复杂度优势。</x:v>
      </x:c>
      <x:c r="Q518" s="25" t="str"/>
      <x:c r="R518" s="24" t="str">
        <x:f>IF(Q518&lt;&gt;"",Q518,O518)</x:f>
        <x:v>2</x:v>
      </x:c>
      <x:c r="S518" s="29" t="str"/>
    </x:row>
    <x:row r="519" ht="54" customHeight="1">
      <x:c r="A519" s="17" t="str">
        <x:v>csq027-r03</x:v>
      </x:c>
      <x:c r="B519" s="17" t="str">
        <x:v>csq027</x:v>
      </x:c>
      <x:c r="C519" s="17" t="str">
        <x:v>data_management_and_ir</x:v>
      </x:c>
      <x:c r="D519" s="17" t="str">
        <x:v>learned_indexes</x:v>
      </x:c>
      <x:c r="E519" s="27" t="str">
        <x:v>What learned index structures have been proposed, and under which data distributions and update workloads do they outperform or underperform traditional indexes?</x:v>
      </x:c>
      <x:c r="F519" s="22" t="n">
        <x:v>3</x:v>
      </x:c>
      <x:c r="G519" s="17" t="str">
        <x:v>arXiv:1905.08898</x:v>
      </x:c>
      <x:c r="H519" s="27" t="str">
        <x:v>ALEX: An Updatable Adaptive Learned Index</x:v>
      </x:c>
      <x:c r="I519" s="17" t="str">
        <x:v>Jialin Ding; Umar Farooq Minhas; Jia Yu; Chi Wang; Jaeyoung Do; Yinan Li; Hantian Zhang; Badrish Chandramouli; Johannes Gehrke; Donald Kossmann; David Lomet; Tim Kraska</x:v>
      </x:c>
      <x:c r="J519" s="22" t="n">
        <x:v>2019</x:v>
      </x:c>
      <x:c r="K519" s="27" t="str">
        <x:v>Recent work on "learned indexes" has changed the way we look at the decades-old field of DBMS indexing. The key idea is that indexes can be thought of as "models" that predict the position of a key in a dataset. Indexes can, thus, be learned. The original work by Kraska et al. shows that a learned index beats a B+Tree by a factor of up to three in search time and by an order of magnitude in memory footprint. However, it is limited to static, read-only workloads. In this paper, we present a new learned index called ALEX which addresses practical issues that arise when implementing learned indexes for workloads that contain a mix of point lookups, short range queries, inserts, updates, and deletes. ALEX effectively combines the core insights from learned indexes with proven storage and indexing techniques to achieve high performance and low memory footprint. On read-only workloads, ALEX beats the learned index from Kraska et al. by up to 2.2X on performance with up to 15X smaller index size. Across the spectrum of read-write workloads, ALEX beats B+Trees by up to 4.1X while never performing worse, with up to 2000X smaller index size. We believe ALEX presents a key step towards making learned indexes practical for a broader class of database workloads with dynamic updates.</x:v>
      </x:c>
      <x:c r="L519" s="17" t="str">
        <x:v>http://arxiv.org/abs/1905.08898v2</x:v>
      </x:c>
      <x:c r="M519" s="23" t="n">
        <x:v>0.04688263125763126</x:v>
      </x:c>
      <x:c r="N519" s="17" t="str">
        <x:v>arxiv-paper-eval-20260726-140242-results.jsonl</x:v>
      </x:c>
      <x:c r="O519" s="24" t="str">
        <x:v>2</x:v>
      </x:c>
      <x:c r="P519" s="28" t="str">
        <x:v>直接提出支持动态更新的ALEX并对比静态学习索引和B+树。</x:v>
      </x:c>
      <x:c r="Q519" s="25" t="str"/>
      <x:c r="R519" s="24" t="str">
        <x:f>IF(Q519&lt;&gt;"",Q519,O519)</x:f>
        <x:v>2</x:v>
      </x:c>
      <x:c r="S519" s="29" t="str"/>
    </x:row>
    <x:row r="520" ht="54" customHeight="1">
      <x:c r="A520" s="17" t="str">
        <x:v>csq027-r04</x:v>
      </x:c>
      <x:c r="B520" s="17" t="str">
        <x:v>csq027</x:v>
      </x:c>
      <x:c r="C520" s="17" t="str">
        <x:v>data_management_and_ir</x:v>
      </x:c>
      <x:c r="D520" s="17" t="str">
        <x:v>learned_indexes</x:v>
      </x:c>
      <x:c r="E520" s="27" t="str">
        <x:v>What learned index structures have been proposed, and under which data distributions and update workloads do they outperform or underperform traditional indexes?</x:v>
      </x:c>
      <x:c r="F520" s="22" t="n">
        <x:v>4</x:v>
      </x:c>
      <x:c r="G520" s="17" t="str">
        <x:v>arXiv:2109.08495</x:v>
      </x:c>
      <x:c r="H520" s="27" t="str">
        <x:v>Micro-architectural Analysis of a Learned Index</x:v>
      </x:c>
      <x:c r="I520" s="17" t="str">
        <x:v>Mikkel Møller Andersen; Pınar Tözün</x:v>
      </x:c>
      <x:c r="J520" s="22" t="n">
        <x:v>2021</x:v>
      </x:c>
      <x:c r="K520" s="27" t="str">
        <x:v>Since the publication of The Case for Learned Index Structures in 2018, there has been a rise in research that focuses on learned indexes for different domains and with different functionalities. While the effectiveness of learned indexes as an alternative to traditional index structures such as B+Trees have already been demonstrated by several studies, previous work tend to focus on higher-level performance metrics such as throughput and index size. In this paper, our goal is to dig deeper and investigate how learned indexes behave at a micro-architectural level compared to traditional indexes. More specifically, we focus on previously proposed learned index structure ALEX, which is a tree-based in-memory index structure that consists of a hierarchy of machine learned models. Unlike the original proposal for learned indexes, ALEX is designed from the ground up to allow updates and inserts. Therefore, it enables more dynamic workloads using learned indexes. In this work, we perform a micro-architectural analysis of ALEX and compare its behavior to the tree-based index structures that are not based on learned models, i.e., ART and B+Tree. Our results show that ALEX is bound by memory stalls, mainly stalls due to data misses from the last-level cache. Compared to ART and B+Tree, ALEX exhibits fewer stalls and a lower cycles-per-instruction value across different workloads. On the other hand, the amount of instructions required to handle out-of-bound inserts in ALEX can increase the instructions needed per request significantly (10X) for write-heavy workloads. However, the micro-architectural behavior shows that this increase in the instruction footprint exhibit high instruction-level parallelism, and, therefore, does not negatively impact the overall execution time.</x:v>
      </x:c>
      <x:c r="L520" s="17" t="str">
        <x:v>http://arxiv.org/abs/2109.08495v1</x:v>
      </x:c>
      <x:c r="M520" s="23" t="n">
        <x:v>0.03252247488101534</x:v>
      </x:c>
      <x:c r="N520" s="17" t="str">
        <x:v>arxiv-paper-eval-20260726-140242-results.jsonl</x:v>
      </x:c>
      <x:c r="O520" s="24" t="str">
        <x:v>2</x:v>
      </x:c>
      <x:c r="P520" s="28" t="str">
        <x:v>直接从微体系结构指标比较学习索引与传统索引。</x:v>
      </x:c>
      <x:c r="Q520" s="25" t="str"/>
      <x:c r="R520" s="24" t="str">
        <x:f>IF(Q520&lt;&gt;"",Q520,O520)</x:f>
        <x:v>2</x:v>
      </x:c>
      <x:c r="S520" s="29" t="str"/>
    </x:row>
    <x:row r="521" ht="54" customHeight="1">
      <x:c r="A521" s="17" t="str">
        <x:v>csq027-r05</x:v>
      </x:c>
      <x:c r="B521" s="17" t="str">
        <x:v>csq027</x:v>
      </x:c>
      <x:c r="C521" s="17" t="str">
        <x:v>data_management_and_ir</x:v>
      </x:c>
      <x:c r="D521" s="17" t="str">
        <x:v>learned_indexes</x:v>
      </x:c>
      <x:c r="E521" s="27" t="str">
        <x:v>What learned index structures have been proposed, and under which data distributions and update workloads do they outperform or underperform traditional indexes?</x:v>
      </x:c>
      <x:c r="F521" s="22" t="n">
        <x:v>5</x:v>
      </x:c>
      <x:c r="G521" s="17" t="str">
        <x:v>arXiv:2101.00808</x:v>
      </x:c>
      <x:c r="H521" s="27" t="str">
        <x:v>A Pluggable Learned Index Method via Sampling and Gap Insertion</x:v>
      </x:c>
      <x:c r="I521" s="17" t="str">
        <x:v>Yaliang Li; Daoyuan Chen; Bolin Ding; Kai Zeng; Jingren Zhou</x:v>
      </x:c>
      <x:c r="J521" s="22" t="n">
        <x:v>2021</x:v>
      </x:c>
      <x:c r="K521" s="27" t="str">
        <x:v>Database indexes facilitate data retrieval and benefit broad applications in real-world systems. Recently, a new family of index, named learned index, is proposed to learn hidden yet useful data distribution and incorporate such information into the learning of indexes, which leads to promising performance improvements. However, the "learning" process of learned indexes is still under-explored. In this paper, we propose a formal machine learning based framework to quantify the index learning objective, and study two general and pluggable techniques to enhance the learning efficiency and learning effectiveness for learned indexes. With the guidance of the formal learning objective, we can efficiently learn index by incorporating the proposed sampling technique, and learn precise index with enhanced generalization ability brought by the proposed result-driven gap insertion technique. We conduct extensive experiments on real-world datasets and compare several indexing methods from the perspective of the index learning objective. The results show the ability of the proposed framework to help to design suitable indexes for different scenarios. Further, we demonstrate the effectiveness of the proposed sampling technique, which achieves up to 78x construction speedup while maintaining non-degraded indexing performance. Finally, we show the gap insertion technique can enhance both the static and dynamic indexing performances of existing learned index methods with up to 1.59x query speedup. We will release our codes and processed data for further study, which can enable more exploration of learned indexes from both the perspectives of machine learning and database.</x:v>
      </x:c>
      <x:c r="L521" s="17" t="str">
        <x:v>http://arxiv.org/abs/2101.00808v1</x:v>
      </x:c>
      <x:c r="M521" s="23" t="n">
        <x:v>0.031544957774465976</x:v>
      </x:c>
      <x:c r="N521" s="17" t="str">
        <x:v>arxiv-paper-eval-20260726-140242-results.jsonl</x:v>
      </x:c>
      <x:c r="O521" s="24" t="str">
        <x:v>2</x:v>
      </x:c>
      <x:c r="P521" s="28" t="str">
        <x:v>直接研究采样与间隙插入如何提升学习索引在不同分布下表现。</x:v>
      </x:c>
      <x:c r="Q521" s="25" t="str"/>
      <x:c r="R521" s="24" t="str">
        <x:f>IF(Q521&lt;&gt;"",Q521,O521)</x:f>
        <x:v>2</x:v>
      </x:c>
      <x:c r="S521" s="29" t="str"/>
    </x:row>
    <x:row r="522" ht="54" customHeight="1">
      <x:c r="A522" s="17" t="str">
        <x:v>csq027-r06</x:v>
      </x:c>
      <x:c r="B522" s="17" t="str">
        <x:v>csq027</x:v>
      </x:c>
      <x:c r="C522" s="17" t="str">
        <x:v>data_management_and_ir</x:v>
      </x:c>
      <x:c r="D522" s="17" t="str">
        <x:v>learned_indexes</x:v>
      </x:c>
      <x:c r="E522" s="27" t="str">
        <x:v>What learned index structures have been proposed, and under which data distributions and update workloads do they outperform or underperform traditional indexes?</x:v>
      </x:c>
      <x:c r="F522" s="22" t="n">
        <x:v>6</x:v>
      </x:c>
      <x:c r="G522" s="17" t="str">
        <x:v>arXiv:2105.00683</x:v>
      </x:c>
      <x:c r="H522" s="27" t="str">
        <x:v>APEX: A High-Performance Learned Index on Persistent Memory</x:v>
      </x:c>
      <x:c r="I522" s="17" t="str">
        <x:v>Baotong Lu; Jialin Ding; Eric Lo; Umar Farooq Minhas; Tianzheng Wang</x:v>
      </x:c>
      <x:c r="J522" s="22" t="n">
        <x:v>2021</x:v>
      </x:c>
      <x:c r="K522" s="27" t="str">
        <x:v>The recently released persistent memory (PM) offers high performance, persistence, and is cheaper than DRAM. This opens up new possibilities for indexes that operate and persist data directly on the memory bus. Recent learned indexes exploit data distribution and have shown great potential for some workloads. However, none support persistence or instant recovery, and existing PM-based indexes typically evolve B+-trees without considering learned indexes. This paper proposes APEX, a new PM-optimized learned index that offers high performance, persistence, concurrency, and instant recovery. APEX is based on ALEX, a state-of-the-art updatable learned index, to combine and adapt the best of past PM optimizations and learned indexes, allowing it to reduce PM accesses while still exploiting machine learning. Our evaluation on Intel DCPMM shows that APEX can perform up to ~15x better than existing PM indexes and can recover from failures in ~42ms.</x:v>
      </x:c>
      <x:c r="L522" s="17" t="str">
        <x:v>http://arxiv.org/abs/2105.00683v3</x:v>
      </x:c>
      <x:c r="M522" s="23" t="n">
        <x:v>0.031054405392392875</x:v>
      </x:c>
      <x:c r="N522" s="17" t="str">
        <x:v>arxiv-paper-eval-20260726-140242-results.jsonl</x:v>
      </x:c>
      <x:c r="O522" s="24" t="str">
        <x:v>2</x:v>
      </x:c>
      <x:c r="P522" s="28" t="str">
        <x:v>直接提出持久内存学习索引并评价查询、更新和恢复成本。</x:v>
      </x:c>
      <x:c r="Q522" s="25" t="str"/>
      <x:c r="R522" s="24" t="str">
        <x:f>IF(Q522&lt;&gt;"",Q522,O522)</x:f>
        <x:v>2</x:v>
      </x:c>
      <x:c r="S522" s="29" t="str"/>
    </x:row>
    <x:row r="523" ht="54" customHeight="1">
      <x:c r="A523" s="17" t="str">
        <x:v>csq027-r07</x:v>
      </x:c>
      <x:c r="B523" s="17" t="str">
        <x:v>csq027</x:v>
      </x:c>
      <x:c r="C523" s="17" t="str">
        <x:v>data_management_and_ir</x:v>
      </x:c>
      <x:c r="D523" s="17" t="str">
        <x:v>learned_indexes</x:v>
      </x:c>
      <x:c r="E523" s="27" t="str">
        <x:v>What learned index structures have been proposed, and under which data distributions and update workloads do they outperform or underperform traditional indexes?</x:v>
      </x:c>
      <x:c r="F523" s="22" t="n">
        <x:v>7</x:v>
      </x:c>
      <x:c r="G523" s="17" t="str">
        <x:v>arXiv:2104.05520</x:v>
      </x:c>
      <x:c r="H523" s="27" t="str">
        <x:v>Updatable Learned Index with Precise Positions</x:v>
      </x:c>
      <x:c r="I523" s="17" t="str">
        <x:v>Jiacheng Wu; Yong Zhang; Shimin Chen; Jin Wang; Yu Chen; Chunxiao Xing</x:v>
      </x:c>
      <x:c r="J523" s="22" t="n">
        <x:v>2021</x:v>
      </x:c>
      <x:c r="K523" s="27" t="str">
        <x:v>Index plays an essential role in modern database engines to accelerate the query processing. The new paradigm of "learned index" has significantly changed the way of designing index structures in DBMS. The key insight is that indexes could be regarded as learned models that predict the position of a lookup key in the dataset. While such studies show promising results in both lookup time and index size, they cannot efficiently support update operations. Although recent studies have proposed some preliminary approaches to support update, they are at the cost of scarifying the lookup performance as they suffer from the overheads brought by imprecise predictions in the leaf nodes. In this paper, we propose LIPP, a brand new framework of learned index to address such issues. Similar with state-of-the-art learned index structures, LIPP is able to support all kinds of index operations, namely lookup query, range query, insert, delete, update and bulkload. Meanwhile, we overcome the limitations of previous studies by properly extending the tree structure when dealing with update operations so as to eliminate the deviation of location predicted by the models in the leaf nodes. Moreover, we further propose a dynamic adjustment strategy to ensure that the height of the tree index is tightly bounded and provide comprehensive theoretical analysis to illustrate it. We conduct an extensive set of experiments on several real-life and synthetic datasets. The results demonstrate that our method consistently outperforms state-of-the-art solutions, achieving by up to 4x for a broader class of workloads with different index operations.</x:v>
      </x:c>
      <x:c r="L523" s="17" t="str">
        <x:v>http://arxiv.org/abs/2104.05520v2</x:v>
      </x:c>
      <x:c r="M523" s="23" t="n">
        <x:v>0.030536130536130537</x:v>
      </x:c>
      <x:c r="N523" s="17" t="str">
        <x:v>arxiv-paper-eval-20260726-140242-results.jsonl</x:v>
      </x:c>
      <x:c r="O523" s="24" t="str">
        <x:v>2</x:v>
      </x:c>
      <x:c r="P523" s="28" t="str">
        <x:v>直接提出支持更新且保持精确位置和查询性能的学习索引。</x:v>
      </x:c>
      <x:c r="Q523" s="25" t="str"/>
      <x:c r="R523" s="24" t="str">
        <x:f>IF(Q523&lt;&gt;"",Q523,O523)</x:f>
        <x:v>2</x:v>
      </x:c>
      <x:c r="S523" s="29" t="str"/>
    </x:row>
    <x:row r="524" ht="54" customHeight="1">
      <x:c r="A524" s="17" t="str">
        <x:v>csq027-r08</x:v>
      </x:c>
      <x:c r="B524" s="17" t="str">
        <x:v>csq027</x:v>
      </x:c>
      <x:c r="C524" s="17" t="str">
        <x:v>data_management_and_ir</x:v>
      </x:c>
      <x:c r="D524" s="17" t="str">
        <x:v>learned_indexes</x:v>
      </x:c>
      <x:c r="E524" s="27" t="str">
        <x:v>What learned index structures have been proposed, and under which data distributions and update workloads do they outperform or underperform traditional indexes?</x:v>
      </x:c>
      <x:c r="F524" s="22" t="n">
        <x:v>8</x:v>
      </x:c>
      <x:c r="G524" s="17" t="str">
        <x:v>arXiv:2502.10597</x:v>
      </x:c>
      <x:c r="H524" s="27" t="str">
        <x:v>BLI: A High-performance Bucket-based Learned Index with Concurrency Support</x:v>
      </x:c>
      <x:c r="I524" s="17" t="str">
        <x:v>Huibing Dong; Wenlong Wang; Chun Liu; David Du</x:v>
      </x:c>
      <x:c r="J524" s="22" t="n">
        <x:v>2025</x:v>
      </x:c>
      <x:c r="K524" s="27" t="str">
        <x:v>Learned indexes are promising to replace traditional tree-based indexes. They typically employ machine learning models to efficiently predict target positions in strictly sorted linear arrays. However, the strict sorted order 1) significantly increases insertion overhead, 2) makes it challenging to support lock-free concurrency, and 3) harms in-node lookup/insertion efficiency due to model inaccuracy.\ In this paper, we introduce a \textit{Bucket-based Learned Index (BLI)}, which is an updatable in-memory learned index that adopts a "globally sorted, locally unsorted" approach by replacing linear sorted arrays with \textit{Buckets}. BLI optimizes the insertion throughput by only sorting Buckets, not the key-value pairs within a Bucket. BLI strategically balances three critical performance metrics: tree fanouts, lookup/insert latency for inner nodes, lookup/insert latency for leaf nodes, and memory consumption. To minimize maintenance costs, BLI performs lightweight bulk loading, insert, node scaling, node split, model retraining, and node merging adaptively. BLI supports lock-free concurrency thanks to the unsorted design with Buckets. Our results show that BLI achieves up to 2.21x better throughput than state-of-the-art learned indexes, with up to 3.91x gains under multi-threaded conditions.</x:v>
      </x:c>
      <x:c r="L524" s="17" t="str">
        <x:v>http://arxiv.org/abs/2502.10597v1</x:v>
      </x:c>
      <x:c r="M524" s="23" t="n">
        <x:v>0.02904040404040404</x:v>
      </x:c>
      <x:c r="N524" s="17" t="str">
        <x:v>arxiv-paper-eval-20260726-140242-results.jsonl</x:v>
      </x:c>
      <x:c r="O524" s="24" t="str">
        <x:v>2</x:v>
      </x:c>
      <x:c r="P524" s="28" t="str">
        <x:v>直接研究可更新并发学习索引的插入与查询权衡。</x:v>
      </x:c>
      <x:c r="Q524" s="25" t="str"/>
      <x:c r="R524" s="24" t="str">
        <x:f>IF(Q524&lt;&gt;"",Q524,O524)</x:f>
        <x:v>2</x:v>
      </x:c>
      <x:c r="S524" s="29" t="str"/>
    </x:row>
    <x:row r="525" ht="54" customHeight="1">
      <x:c r="A525" s="17" t="str">
        <x:v>csq027-r09</x:v>
      </x:c>
      <x:c r="B525" s="17" t="str">
        <x:v>csq027</x:v>
      </x:c>
      <x:c r="C525" s="17" t="str">
        <x:v>data_management_and_ir</x:v>
      </x:c>
      <x:c r="D525" s="17" t="str">
        <x:v>learned_indexes</x:v>
      </x:c>
      <x:c r="E525" s="27" t="str">
        <x:v>What learned index structures have been proposed, and under which data distributions and update workloads do they outperform or underperform traditional indexes?</x:v>
      </x:c>
      <x:c r="F525" s="22" t="n">
        <x:v>9</x:v>
      </x:c>
      <x:c r="G525" s="17" t="str">
        <x:v>arXiv:2403.12433</x:v>
      </x:c>
      <x:c r="H525" s="27" t="str">
        <x:v>Algorithmic Complexity Attacks on Dynamic Learned Indexes</x:v>
      </x:c>
      <x:c r="I525" s="17" t="str">
        <x:v>Rui Yang; Evgenios M. Kornaropoulos; Yue Cheng</x:v>
      </x:c>
      <x:c r="J525" s="22" t="n">
        <x:v>2024</x:v>
      </x:c>
      <x:c r="K525" s="27" t="str">
        <x:v>Learned Index Structures (LIS) view a sorted index as a model that learns the data distribution, takes a data element key as input, and outputs the predicted position of the key. The original LIS can only handle lookup operations with no support for updates, rendering it impractical to use for typical workloads. To address this limitation, recent studies have focused on designing efficient dynamic learned indexes. ALEX, as the pioneering dynamic learned index structures, enables dynamism by incorporating a series of design choices, including adaptive key space partitioning, dynamic model retraining, and sophisticated engineering and policies that prioritize read/write performance. While these design choices offer improved average-case performance, the emphasis on flexibility and performance increases the attack surface by allowing adversarial behaviors that maximize ALEX's memory space and time complexity in worst-case scenarios. In this work, we present the first systematic investigation of algorithmic complexity attacks (ACAs) targeting the worst-case scenarios of ALEX. We introduce new ACAs that fall into two categories, space ACAs and time ACAs, which target the memory space and time complexity, respectively. First, our space ACA on data nodes exploits ALEX's gapped array layout and uses Multiple-Choice Knapsack (MCK) to generate an optimal adversarial insertion plan for maximizing the memory consumption at the data node level. Second, our space ACA on internal nodes exploits ALEX's catastrophic cost mitigation mechanism, causing an out-of-memory error with only a few hundred adversarial insertions. Third, our time ACA generates pathological insertions to increase the disparity between the actual key distribution and the linear models of data nodes, deteriorating the runtime performance by up to 1,641X compared to ALEX operating under legitimate workloads.</x:v>
      </x:c>
      <x:c r="L525" s="17" t="str">
        <x:v>http://arxiv.org/abs/2403.12433v1</x:v>
      </x:c>
      <x:c r="M525" s="23" t="n">
        <x:v>0.028381642512077296</x:v>
      </x:c>
      <x:c r="N525" s="17" t="str">
        <x:v>arxiv-paper-eval-20260726-140242-results.jsonl</x:v>
      </x:c>
      <x:c r="O525" s="24" t="str">
        <x:v>2</x:v>
      </x:c>
      <x:c r="P525" s="28" t="str">
        <x:v>直接揭示动态学习索引在对抗更新下的复杂度脆弱性。</x:v>
      </x:c>
      <x:c r="Q525" s="25" t="str"/>
      <x:c r="R525" s="24" t="str">
        <x:f>IF(Q525&lt;&gt;"",Q525,O525)</x:f>
        <x:v>2</x:v>
      </x:c>
      <x:c r="S525" s="29" t="str"/>
    </x:row>
    <x:row r="526" ht="54" customHeight="1">
      <x:c r="A526" s="17" t="str">
        <x:v>csq027-r10</x:v>
      </x:c>
      <x:c r="B526" s="17" t="str">
        <x:v>csq027</x:v>
      </x:c>
      <x:c r="C526" s="17" t="str">
        <x:v>data_management_and_ir</x:v>
      </x:c>
      <x:c r="D526" s="17" t="str">
        <x:v>learned_indexes</x:v>
      </x:c>
      <x:c r="E526" s="27" t="str">
        <x:v>What learned index structures have been proposed, and under which data distributions and update workloads do they outperform or underperform traditional indexes?</x:v>
      </x:c>
      <x:c r="F526" s="22" t="n">
        <x:v>10</x:v>
      </x:c>
      <x:c r="G526" s="17" t="str">
        <x:v>arXiv:2305.17674</x:v>
      </x:c>
      <x:c r="H526" s="27" t="str">
        <x:v>One stone, two birds: A lightweight multidimensional learned index with cardinality support</x:v>
      </x:c>
      <x:c r="I526" s="17" t="str">
        <x:v>Yingze Li; Hongzhi Wang; Xianglong Liu</x:v>
      </x:c>
      <x:c r="J526" s="22" t="n">
        <x:v>2023</x:v>
      </x:c>
      <x:c r="K526" s="27" t="str">
        <x:v>Innovative learning based structures have recently been proposed to tackle index and cardinality estimation tasks, specifically learned indexes and data driven cardinality estimators. These structures exhibit excellent performance in capturing data distribution, making them promising for integration into AI driven database kernels. However, accurate estimation for corner case queries requires a large number of network parameters, resulting in higher computing resources on expensive GPUs and more storage overhead. Additionally, the separate implementation for CE and learned index result in a redundancy waste by storage of single table distribution twice. These present challenges for designing AI driven database kernels. As in real database scenarios, a compact kernel is necessary to process queries within a limited storage and time budget. Directly integrating these two AI approaches would result in a heavy and complex kernel due to a large number of network parameters and repeated storage of data distribution parameters. Our proposed CardIndex structure effectively killed two birds with one stone. It is a fast multidim learned index that also serves as a lightweight cardinality estimator with parameters scaled at the KB level. Due to its special structure and small parameter size, it can obtain both CDF and PDF information for tuples with an incredibly low latency of 1 to 10 microseconds. For tasks with low selectivity estimation, we did not increase the model's parameters to obtain fine grained point density. Instead, we fully utilized our structure's characteristics and proposed a hybrid estimation algorithm in providing fast and exact results.</x:v>
      </x:c>
      <x:c r="L526" s="17" t="str">
        <x:v>http://arxiv.org/abs/2305.17674v1</x:v>
      </x:c>
      <x:c r="M526" s="23" t="n">
        <x:v>0.028006267136701922</x:v>
      </x:c>
      <x:c r="N526" s="17" t="str">
        <x:v>arxiv-paper-eval-20260726-140242-results.jsonl</x:v>
      </x:c>
      <x:c r="O526" s="24" t="str">
        <x:v>2</x:v>
      </x:c>
      <x:c r="P526" s="28" t="str">
        <x:v>直接提出多维学习索引并分析性能与资源权衡。</x:v>
      </x:c>
      <x:c r="Q526" s="25" t="str"/>
      <x:c r="R526" s="24" t="str">
        <x:f>IF(Q526&lt;&gt;"",Q526,O526)</x:f>
        <x:v>2</x:v>
      </x:c>
      <x:c r="S526" s="29" t="str"/>
    </x:row>
    <x:row r="527" ht="54" customHeight="1">
      <x:c r="A527" s="17" t="str">
        <x:v>csq027-r11</x:v>
      </x:c>
      <x:c r="B527" s="17" t="str">
        <x:v>csq027</x:v>
      </x:c>
      <x:c r="C527" s="17" t="str">
        <x:v>data_management_and_ir</x:v>
      </x:c>
      <x:c r="D527" s="17" t="str">
        <x:v>learned_indexes</x:v>
      </x:c>
      <x:c r="E527" s="27" t="str">
        <x:v>What learned index structures have been proposed, and under which data distributions and update workloads do they outperform or underperform traditional indexes?</x:v>
      </x:c>
      <x:c r="F527" s="22" t="n">
        <x:v>11</x:v>
      </x:c>
      <x:c r="G527" s="17" t="str">
        <x:v>arXiv:2512.24824</x:v>
      </x:c>
      <x:c r="H527" s="27" t="str">
        <x:v>LMG Index: A Robust and Efficient Learned Index Framework for Multi-Dimensional Performance Balance</x:v>
      </x:c>
      <x:c r="I527" s="17" t="str">
        <x:v>Yuzhen Chen; Bin Yao</x:v>
      </x:c>
      <x:c r="J527" s="22" t="n">
        <x:v>2025</x:v>
      </x:c>
      <x:c r="K527" s="27" t="str">
        <x:v>Index structures are fundamental for efficient query processing on large-scale datasets. Learned indexes model the indexing process as a prediction problem to overcome the inherent trade-offs of traditional indexes. However, most existing learned indexes optimize only for limited objectives like query latency or space usage, neglecting other practical evaluation dimensions such as update efficiency and stability. Moreover, many learned indexes rely on assumptions about data distributions or workloads, lacking theoretical guarantees when facing unknown or evolving scenarios, which limits their generality in real-world systems. In this paper, we propose LMG, a robust and efficient learned index framework designed for multi-dimensional performance balance. LMG integrates a decoupled routing structure with theoretical $O(1)$ complexity for fixed key types and an optimal error threshold training algorithm that approaches $O(1)$ overhead in practice. Furthermore, the framework enhances query performance by optimizing gap allocation. Extensive evaluations show that our framework achieves competitive or leading performance across all key evaluation dimensions, including bulk loading (up to 7.55$\times$ faster), point queries (up to 1.68$\times$ faster), range queries (up to 11.41$\times$ faster), and mixed read-write throughput (up to 3.50$\times$ faster). Furthermore, LMG ensures robust long-term stability and high space efficiency (up to 6.26$\times$ smaller footprint). These results demonstrate that LMG significantly mitigates the multi-dimensional performance trade-offs often observed in state-of-the-art approaches, offering a balanced and efficient framework.</x:v>
      </x:c>
      <x:c r="L527" s="17" t="str">
        <x:v>http://arxiv.org/abs/2512.24824v2</x:v>
      </x:c>
      <x:c r="M527" s="23" t="n">
        <x:v>0.027799227799227798</x:v>
      </x:c>
      <x:c r="N527" s="17" t="str">
        <x:v>arxiv-paper-eval-20260726-140242-results.jsonl</x:v>
      </x:c>
      <x:c r="O527" s="24" t="str">
        <x:v>2</x:v>
      </x:c>
      <x:c r="P527" s="28" t="str">
        <x:v>直接面向未知和演化分布平衡查询、更新与稳定性。</x:v>
      </x:c>
      <x:c r="Q527" s="25" t="str"/>
      <x:c r="R527" s="24" t="str">
        <x:f>IF(Q527&lt;&gt;"",Q527,O527)</x:f>
        <x:v>2</x:v>
      </x:c>
      <x:c r="S527" s="29" t="str"/>
    </x:row>
    <x:row r="528" ht="54" customHeight="1">
      <x:c r="A528" s="17" t="str">
        <x:v>csq027-r12</x:v>
      </x:c>
      <x:c r="B528" s="17" t="str">
        <x:v>csq027</x:v>
      </x:c>
      <x:c r="C528" s="17" t="str">
        <x:v>data_management_and_ir</x:v>
      </x:c>
      <x:c r="D528" s="17" t="str">
        <x:v>learned_indexes</x:v>
      </x:c>
      <x:c r="E528" s="27" t="str">
        <x:v>What learned index structures have been proposed, and under which data distributions and update workloads do they outperform or underperform traditional indexes?</x:v>
      </x:c>
      <x:c r="F528" s="22" t="n">
        <x:v>12</x:v>
      </x:c>
      <x:c r="G528" s="17" t="str">
        <x:v>arXiv:2407.00590</x:v>
      </x:c>
      <x:c r="H528" s="27" t="str">
        <x:v>Evaluating Learned Indexes for External-Memory Joins</x:v>
      </x:c>
      <x:c r="I528" s="17" t="str">
        <x:v>Yuvaraj Chesetti; Prashant Pandey</x:v>
      </x:c>
      <x:c r="J528" s="22" t="n">
        <x:v>2024</x:v>
      </x:c>
      <x:c r="K528" s="27" t="str">
        <x:v>Joins are among the most time-consuming and data-intensive operations in relational query processing. Much research effort has been applied to the optimization of join processing due to their frequent execution. Recent studies have shown that CDF-based learned models can create smaller and faster indexes, accelerating in-memory joins. However, their effectiveness for external-memory joins, which are crucial for large-scale databases, remains underexplored. This paper evaluates the impact of learned indexes on external-memory joins for both sorted and unsorted data. We compare learned index-based joins against traditional join methods such as hash joins, sort joins, and indexed nested-loop joins on real-world and simulated datasets. Additionally, we analyze learned index-based joins across multiple dimensions, including storage device types, data sorting, parallelism, constrained memory environments, and varying model error. The detailed evaluation enables us to determine the most appropriate learned index to employ for external-memory joins. Our experiments reveal that, unlike in-memory settings, learned indexes in external-memory joins can trade off accuracy for space without significantly degrading performance. While learned indexes provide smaller index sizes and faster lookups, they perform similarly to B-trees in external-memory joins since the total amount of I/O, which dominates runtime, remains unchanged. Additionally, the construction times of learned indexes are approximately $1000\times$ longer, and although they are $2-4\times$ smaller than the internal nodes of a B-tree, these nodes only represent $0.4%-1%$ of the data size and typically fit in main memory.</x:v>
      </x:c>
      <x:c r="L528" s="17" t="str">
        <x:v>http://arxiv.org/abs/2407.00590v3</x:v>
      </x:c>
      <x:c r="M528" s="23" t="n">
        <x:v>0.027417840375586856</x:v>
      </x:c>
      <x:c r="N528" s="17" t="str">
        <x:v>arxiv-paper-eval-20260726-140242-results.jsonl</x:v>
      </x:c>
      <x:c r="O528" s="24" t="str">
        <x:v>2</x:v>
      </x:c>
      <x:c r="P528" s="28" t="str">
        <x:v>直接比较学习索引与传统索引在外存连接和数据布局下的表现。</x:v>
      </x:c>
      <x:c r="Q528" s="25" t="str"/>
      <x:c r="R528" s="24" t="str">
        <x:f>IF(Q528&lt;&gt;"",Q528,O528)</x:f>
        <x:v>2</x:v>
      </x:c>
      <x:c r="S528" s="29" t="str"/>
    </x:row>
    <x:row r="529" ht="54" customHeight="1">
      <x:c r="A529" s="17" t="str">
        <x:v>csq027-r13</x:v>
      </x:c>
      <x:c r="B529" s="17" t="str">
        <x:v>csq027</x:v>
      </x:c>
      <x:c r="C529" s="17" t="str">
        <x:v>data_management_and_ir</x:v>
      </x:c>
      <x:c r="D529" s="17" t="str">
        <x:v>learned_indexes</x:v>
      </x:c>
      <x:c r="E529" s="27" t="str">
        <x:v>What learned index structures have been proposed, and under which data distributions and update workloads do they outperform or underperform traditional indexes?</x:v>
      </x:c>
      <x:c r="F529" s="22" t="n">
        <x:v>13</x:v>
      </x:c>
      <x:c r="G529" s="17" t="str">
        <x:v>arXiv:2108.05117</x:v>
      </x:c>
      <x:c r="H529" s="27" t="str">
        <x:v>Towards Practical Learned Indexing</x:v>
      </x:c>
      <x:c r="I529" s="17" t="str">
        <x:v>Mihail Stoian; Andreas Kipf; Ryan Marcus; Tim Kraska</x:v>
      </x:c>
      <x:c r="J529" s="22" t="n">
        <x:v>2021</x:v>
      </x:c>
      <x:c r="K529" s="27" t="str">
        <x:v>Latest research proposes to replace existing index structures with learned models. However, current learned indexes tend to have many hyperparameters, often do not provide any error guarantees, and are expensive to build. We introduce Practical Learned Index (PLEX). PLEX only has a single hyperparameter $ε$ (maximum prediction error) and offers a better trade-off between build and lookup time than state-of-the-art approaches. Similar to RadixSpline, PLEX consists of a spline and a (multi-level) radix layer. It first builds a spline satisfying the given $ε$ and then performs an ad-hoc analysis of the distribution of spline points to quickly tune the radix layer.</x:v>
      </x:c>
      <x:c r="L529" s="17" t="str">
        <x:v>http://arxiv.org/abs/2108.05117v2</x:v>
      </x:c>
      <x:c r="M529" s="23" t="n">
        <x:v>0.01639344262295082</x:v>
      </x:c>
      <x:c r="N529" s="17" t="str">
        <x:v>arxiv-paper-eval-20260726-140242-results.jsonl</x:v>
      </x:c>
      <x:c r="O529" s="24" t="str">
        <x:v>2</x:v>
      </x:c>
      <x:c r="P529" s="28" t="str">
        <x:v>直接提出实用学习索引并比较构建时间、查询时间和误差保证。</x:v>
      </x:c>
      <x:c r="Q529" s="25" t="str"/>
      <x:c r="R529" s="24" t="str">
        <x:f>IF(Q529&lt;&gt;"",Q529,O529)</x:f>
        <x:v>2</x:v>
      </x:c>
      <x:c r="S529" s="29" t="str"/>
    </x:row>
    <x:row r="530" ht="54" customHeight="1">
      <x:c r="A530" s="17" t="str">
        <x:v>csq027-r14</x:v>
      </x:c>
      <x:c r="B530" s="17" t="str">
        <x:v>csq027</x:v>
      </x:c>
      <x:c r="C530" s="17" t="str">
        <x:v>data_management_and_ir</x:v>
      </x:c>
      <x:c r="D530" s="17" t="str">
        <x:v>learned_indexes</x:v>
      </x:c>
      <x:c r="E530" s="27" t="str">
        <x:v>What learned index structures have been proposed, and under which data distributions and update workloads do they outperform or underperform traditional indexes?</x:v>
      </x:c>
      <x:c r="F530" s="22" t="n">
        <x:v>14</x:v>
      </x:c>
      <x:c r="G530" s="17" t="str">
        <x:v>arXiv:2507.05865</x:v>
      </x:c>
      <x:c r="H530" s="27" t="str">
        <x:v>On the Costs and Benefits of Learned Indexing for Dynamic High-Dimensional Data: Extended Version</x:v>
      </x:c>
      <x:c r="I530" s="17" t="str">
        <x:v>Terézia Slanináková; Jaroslav Olha; David Procházka; Matej Antol; Vlastislav Dohnal</x:v>
      </x:c>
      <x:c r="J530" s="22" t="n">
        <x:v>2025</x:v>
      </x:c>
      <x:c r="K530" s="27" t="str">
        <x:v>One of the main challenges within the growing research area of learned indexing is the lack of adaptability to dynamically expanding datasets. This paper explores the dynamization of a static learned index for complex data through operations such as node splitting and broadening, enabling efficient adaptation to new data. Furthermore, we evaluate the trade-offs between static and dynamic approaches by introducing an amortized cost model to assess query performance in tandem with the build costs of the index structure, enabling experimental determination of when a dynamic learned index outperforms its static counterpart. We apply the dynamization method to a static learned index and demonstrate that its superior scaling quickly surpasses the static implementation in terms of overall costs as the database grows. This is an extended version of the paper presented at DAWAK 2025.</x:v>
      </x:c>
      <x:c r="L530" s="17" t="str">
        <x:v>http://arxiv.org/abs/2507.05865v2</x:v>
      </x:c>
      <x:c r="M530" s="23" t="n">
        <x:v>0.016129032258064516</x:v>
      </x:c>
      <x:c r="N530" s="17" t="str">
        <x:v>arxiv-paper-eval-20260726-140242-results.jsonl</x:v>
      </x:c>
      <x:c r="O530" s="24" t="str">
        <x:v>2</x:v>
      </x:c>
      <x:c r="P530" s="28" t="str">
        <x:v>直接分析动态高维数据下学习索引的构建与查询成本边界。</x:v>
      </x:c>
      <x:c r="Q530" s="25" t="str"/>
      <x:c r="R530" s="24" t="str">
        <x:f>IF(Q530&lt;&gt;"",Q530,O530)</x:f>
        <x:v>2</x:v>
      </x:c>
      <x:c r="S530" s="29" t="str"/>
    </x:row>
    <x:row r="531" ht="54" customHeight="1">
      <x:c r="A531" s="17" t="str">
        <x:v>csq027-r15</x:v>
      </x:c>
      <x:c r="B531" s="17" t="str">
        <x:v>csq027</x:v>
      </x:c>
      <x:c r="C531" s="17" t="str">
        <x:v>data_management_and_ir</x:v>
      </x:c>
      <x:c r="D531" s="17" t="str">
        <x:v>learned_indexes</x:v>
      </x:c>
      <x:c r="E531" s="27" t="str">
        <x:v>What learned index structures have been proposed, and under which data distributions and update workloads do they outperform or underperform traditional indexes?</x:v>
      </x:c>
      <x:c r="F531" s="22" t="n">
        <x:v>15</x:v>
      </x:c>
      <x:c r="G531" s="17" t="str">
        <x:v>arXiv:2006.12804</x:v>
      </x:c>
      <x:c r="H531" s="27" t="str">
        <x:v>Benchmarking Learned Indexes</x:v>
      </x:c>
      <x:c r="I531" s="17" t="str">
        <x:v>Ryan Marcus; Andreas Kipf; Alexander van Renen; Mihail Stoian; Sanchit Misra; Alfons Kemper; Thomas Neumann; Tim Kraska</x:v>
      </x:c>
      <x:c r="J531" s="22" t="n">
        <x:v>2020</x:v>
      </x:c>
      <x:c r="K531" s="27" t="str">
        <x:v>Recent advancements in learned index structures propose replacing existing index structures, like B-Trees, with approximate learned models. In this work, we present a unified benchmark that compares well-tuned implementations of three learned index structures against several state-of-the-art "traditional" baselines. Using four real-world datasets, we demonstrate that learned index structures can indeed outperform non-learned indexes in read-only in-memory workloads over a dense array. We also investigate the impact of caching, pipelining, dataset size, and key size. We study the performance profile of learned index structures, and build an explanation for why learned models achieve such good performance. Finally, we investigate other important properties of learned index structures, such as their performance in multi-threaded systems and their build times.</x:v>
      </x:c>
      <x:c r="L531" s="17" t="str">
        <x:v>http://arxiv.org/abs/2006.12804v2</x:v>
      </x:c>
      <x:c r="M531" s="23" t="n">
        <x:v>0.016129032258064516</x:v>
      </x:c>
      <x:c r="N531" s="17" t="str">
        <x:v>arxiv-paper-eval-20260726-140242-results.jsonl</x:v>
      </x:c>
      <x:c r="O531" s="24" t="str">
        <x:v>2</x:v>
      </x:c>
      <x:c r="P531" s="28" t="str">
        <x:v>直接基准比较学习索引和传统索引在多数据集、缓存及只读负载下表现。</x:v>
      </x:c>
      <x:c r="Q531" s="25" t="str"/>
      <x:c r="R531" s="24" t="str">
        <x:f>IF(Q531&lt;&gt;"",Q531,O531)</x:f>
        <x:v>2</x:v>
      </x:c>
      <x:c r="S531" s="29" t="str"/>
    </x:row>
    <x:row r="532" ht="54" customHeight="1">
      <x:c r="A532" s="17" t="str">
        <x:v>csq027-r16</x:v>
      </x:c>
      <x:c r="B532" s="17" t="str">
        <x:v>csq027</x:v>
      </x:c>
      <x:c r="C532" s="17" t="str">
        <x:v>data_management_and_ir</x:v>
      </x:c>
      <x:c r="D532" s="17" t="str">
        <x:v>learned_indexes</x:v>
      </x:c>
      <x:c r="E532" s="27" t="str">
        <x:v>What learned index structures have been proposed, and under which data distributions and update workloads do they outperform or underperform traditional indexes?</x:v>
      </x:c>
      <x:c r="F532" s="22" t="n">
        <x:v>16</x:v>
      </x:c>
      <x:c r="G532" s="17" t="str">
        <x:v>arXiv:2406.18892</x:v>
      </x:c>
      <x:c r="H532" s="27" t="str">
        <x:v>LearnedKV: Integrating LSM and Learned Index for Superior Performance on Storage</x:v>
      </x:c>
      <x:c r="I532" s="17" t="str">
        <x:v>Wenlong Wang; David Hung-Chang Du</x:v>
      </x:c>
      <x:c r="J532" s="22" t="n">
        <x:v>2024</x:v>
      </x:c>
      <x:c r="K532" s="27" t="str">
        <x:v>We present LearnedKV, a novel tiered key-value store that seamlessly integrates a Log-Structured Merge (LSM) tree with a Learned Index to achieve superior read and write performance on storage systems. While existing approaches use learned indexes primarily as auxiliary components within LSM trees, LearnedKV employs a two-tier design where the LSM tree handles recent write operations while a separate Learned Index accelerates read performance. Our design includes a non-blocking conversion mechanism that efficiently transforms LSM data into a Learned Index during garbage collection, maintaining high performance without interrupting operations. LearnedKV dramatically reduces LSM size through this tiered approach, leading to significant performance gains in both reads and writes. Extensive evaluations across diverse workloads show that LearnedKV outperforms state-of-the-art LSM-based solutions by up to 4.32x for read operations and 1.43x for writes. The system demonstrates robust performance across different data distributions, access patterns, and storage media including both SSDs and HDDs.</x:v>
      </x:c>
      <x:c r="L532" s="17" t="str">
        <x:v>http://arxiv.org/abs/2406.18892v2</x:v>
      </x:c>
      <x:c r="M532" s="23" t="n">
        <x:v>0.015873015873015872</x:v>
      </x:c>
      <x:c r="N532" s="17" t="str">
        <x:v>arxiv-paper-eval-20260726-140242-results.jsonl</x:v>
      </x:c>
      <x:c r="O532" s="24" t="str">
        <x:v>2</x:v>
      </x:c>
      <x:c r="P532" s="28" t="str">
        <x:v>直接结合LSM与学习索引以适配读写混合存储负载。</x:v>
      </x:c>
      <x:c r="Q532" s="25" t="str"/>
      <x:c r="R532" s="24" t="str">
        <x:f>IF(Q532&lt;&gt;"",Q532,O532)</x:f>
        <x:v>2</x:v>
      </x:c>
      <x:c r="S532" s="29" t="str"/>
    </x:row>
    <x:row r="533" ht="54" customHeight="1">
      <x:c r="A533" s="17" t="str">
        <x:v>csq027-r17</x:v>
      </x:c>
      <x:c r="B533" s="17" t="str">
        <x:v>csq027</x:v>
      </x:c>
      <x:c r="C533" s="17" t="str">
        <x:v>data_management_and_ir</x:v>
      </x:c>
      <x:c r="D533" s="17" t="str">
        <x:v>learned_indexes</x:v>
      </x:c>
      <x:c r="E533" s="27" t="str">
        <x:v>What learned index structures have been proposed, and under which data distributions and update workloads do they outperform or underperform traditional indexes?</x:v>
      </x:c>
      <x:c r="F533" s="22" t="n">
        <x:v>17</x:v>
      </x:c>
      <x:c r="G533" s="17" t="str">
        <x:v>arXiv:2205.11807</x:v>
      </x:c>
      <x:c r="H533" s="27" t="str">
        <x:v>NFL: Robust Learned Index via Distribution Transformation</x:v>
      </x:c>
      <x:c r="I533" s="17" t="str">
        <x:v>Shangyu Wu; Yufei Cui; Jinghuan Yu; Xuan Sun; Tei-Wei Kuo; Chun Jason Xue</x:v>
      </x:c>
      <x:c r="J533" s="22" t="n">
        <x:v>2022</x:v>
      </x:c>
      <x:c r="K533" s="27" t="str">
        <x:v>Recent works on learned index open a new direction for the indexing field. The key insight of the learned index is to approximate the mapping between keys and positions with piece-wise linear functions. Such methods require partitioning key space for a better approximation. Although lots of heuristics are proposed to improve the approximation quality, the bottleneck is that the segmentation overheads could hinder the overall performance. This paper tackles the approximation problem by applying a \textit{distribution transformation} to the keys before constructing the learned index. A two-stage Normalizing-Flow-based Learned index framework (NFL) is proposed, which first transforms the original complex key distribution into a near-uniform distribution, then builds a learned index leveraging the transformed keys. For effective distribution transformation, we propose a Numerical Normalizing Flow (Numerical NF). Based on the characteristics of the transformed keys, we propose a robust After-Flow Learned Index (AFLI). To validate the performance, comprehensive evaluations are conducted on both synthetic and real-world workloads, which shows that the proposed NFL produces the highest throughput and the lowest tail latency compared to the state-of-the-art learned indexes.</x:v>
      </x:c>
      <x:c r="L533" s="17" t="str">
        <x:v>http://arxiv.org/abs/2205.11807v1</x:v>
      </x:c>
      <x:c r="M533" s="23" t="n">
        <x:v>0.015873015873015872</x:v>
      </x:c>
      <x:c r="N533" s="17" t="str">
        <x:v>arxiv-paper-eval-20260726-140242-results.jsonl</x:v>
      </x:c>
      <x:c r="O533" s="24" t="str">
        <x:v>2</x:v>
      </x:c>
      <x:c r="P533" s="28" t="str">
        <x:v>直接通过分布变换增强学习索引在不同数据分布下的鲁棒性。</x:v>
      </x:c>
      <x:c r="Q533" s="25" t="str"/>
      <x:c r="R533" s="24" t="str">
        <x:f>IF(Q533&lt;&gt;"",Q533,O533)</x:f>
        <x:v>2</x:v>
      </x:c>
      <x:c r="S533" s="29" t="str"/>
    </x:row>
    <x:row r="534" ht="54" customHeight="1">
      <x:c r="A534" s="17" t="str">
        <x:v>csq027-r18</x:v>
      </x:c>
      <x:c r="B534" s="17" t="str">
        <x:v>csq027</x:v>
      </x:c>
      <x:c r="C534" s="17" t="str">
        <x:v>data_management_and_ir</x:v>
      </x:c>
      <x:c r="D534" s="17" t="str">
        <x:v>learned_indexes</x:v>
      </x:c>
      <x:c r="E534" s="27" t="str">
        <x:v>What learned index structures have been proposed, and under which data distributions and update workloads do they outperform or underperform traditional indexes?</x:v>
      </x:c>
      <x:c r="F534" s="22" t="n">
        <x:v>18</x:v>
      </x:c>
      <x:c r="G534" s="17" t="str">
        <x:v>arXiv:1712.01208</x:v>
      </x:c>
      <x:c r="H534" s="27" t="str">
        <x:v>The Case for Learned Index Structures</x:v>
      </x:c>
      <x:c r="I534" s="17" t="str">
        <x:v>Tim Kraska; Alex Beutel; Ed H. Chi; Jeffrey Dean; Neoklis Polyzotis</x:v>
      </x:c>
      <x:c r="J534" s="22" t="n">
        <x:v>2017</x:v>
      </x:c>
      <x:c r="K534" s="27" t="str">
        <x:v>Indexes are models: a B-Tree-Index can be seen as a model to map a key to the position of a record within a sorted array, a Hash-Index as a model to map a key to a position of a record within an unsorted array, and a BitMap-Index as a model to indicate if a data record exists or not. In this exploratory research paper, we start from this premise and posit that all existing index structures can be replaced with other types of models, including deep-learning models, which we term learned indexes. The key idea is that a model can learn the sort order or structure of lookup keys and use this signal to effectively predict the position or existence of records. We theoretically analyze under which conditions learned indexes outperform traditional index structures and describe the main challenges in designing learned index structures. Our initial results show, that by using neural nets we are able to outperform cache-optimized B-Trees by up to 70% in speed while saving an order-of-magnitude in memory over several real-world data sets. More importantly though, we believe that the idea of replacing core components of a data management system through learned models has far reaching implications for future systems designs and that this work just provides a glimpse of what might be possible.</x:v>
      </x:c>
      <x:c r="L534" s="17" t="str">
        <x:v>http://arxiv.org/abs/1712.01208v3</x:v>
      </x:c>
      <x:c r="M534" s="23" t="n">
        <x:v>0.015873015873015872</x:v>
      </x:c>
      <x:c r="N534" s="17" t="str">
        <x:v>arxiv-paper-eval-20260726-140242-results.jsonl</x:v>
      </x:c>
      <x:c r="O534" s="24" t="str">
        <x:v>2</x:v>
      </x:c>
      <x:c r="P534" s="28" t="str">
        <x:v>学习索引奠基论文，直接提出模型式索引并与传统结构比较。</x:v>
      </x:c>
      <x:c r="Q534" s="25" t="str"/>
      <x:c r="R534" s="24" t="str">
        <x:f>IF(Q534&lt;&gt;"",Q534,O534)</x:f>
        <x:v>2</x:v>
      </x:c>
      <x:c r="S534" s="29" t="str"/>
    </x:row>
    <x:row r="535" ht="54" customHeight="1">
      <x:c r="A535" s="17" t="str">
        <x:v>csq027-r19</x:v>
      </x:c>
      <x:c r="B535" s="17" t="str">
        <x:v>csq027</x:v>
      </x:c>
      <x:c r="C535" s="17" t="str">
        <x:v>data_management_and_ir</x:v>
      </x:c>
      <x:c r="D535" s="17" t="str">
        <x:v>learned_indexes</x:v>
      </x:c>
      <x:c r="E535" s="27" t="str">
        <x:v>What learned index structures have been proposed, and under which data distributions and update workloads do they outperform or underperform traditional indexes?</x:v>
      </x:c>
      <x:c r="F535" s="22" t="n">
        <x:v>19</x:v>
      </x:c>
      <x:c r="G535" s="17" t="str">
        <x:v>arXiv:2308.15012</x:v>
      </x:c>
      <x:c r="H535" s="27" t="str">
        <x:v>SALI: A Scalable Adaptive Learned Index Framework based on Probability Models</x:v>
      </x:c>
      <x:c r="I535" s="17" t="str">
        <x:v>Jiake Ge; Huanchen Zhang; Boyu Shi; Yuanhui Luo; Yunda Guo; Yunpeng Chai; Yuxing Chen; Anqun Pan</x:v>
      </x:c>
      <x:c r="J535" s="22" t="n">
        <x:v>2023</x:v>
      </x:c>
      <x:c r="K535" s="27" t="str">
        <x:v>The growth in data storage capacity and the increasing demands for high performance have created several challenges for concurrent indexing structures. One promising solution is learned indexes, which use a learning-based approach to fit the distribution of stored data and predictively locate target keys, significantly improving lookup performance. Despite their advantages, prevailing learned indexes exhibit constraints and encounter issues of scalability on multi-core data storage. This paper introduces SALI, the Scalable Adaptive Learned Index framework, which incorporates two strategies aimed at achieving high scalability, improving efficiency, and enhancing the robustness of the learned index. Firstly, a set of node-evolving strategies is defined to enable the learned index to adapt to various workload skews and enhance its concurrency performance in such scenarios. Secondly, a lightweight strategy is proposed to maintain statistical information within the learned index, with the goal of further improving the scalability of the index. Furthermore, to validate their effectiveness, SALI applied the two strategies mentioned above to the learned index structure that utilizes fine-grained write locks, known as LIPP. The experimental results have demonstrated that SALI significantly enhances the insertion throughput with 64 threads by an average of 2.04x compared to the second-best learned index. Furthermore, SALI accomplishes a lookup throughput similar to that of LIPP+.</x:v>
      </x:c>
      <x:c r="L535" s="17" t="str">
        <x:v>http://arxiv.org/abs/2308.15012v2</x:v>
      </x:c>
      <x:c r="M535" s="23" t="n">
        <x:v>0.015625</x:v>
      </x:c>
      <x:c r="N535" s="17" t="str">
        <x:v>arxiv-paper-eval-20260726-140242-results.jsonl</x:v>
      </x:c>
      <x:c r="O535" s="24" t="str">
        <x:v>2</x:v>
      </x:c>
      <x:c r="P535" s="28" t="str">
        <x:v>直接提出面向多核存储的可扩展自适应学习索引。</x:v>
      </x:c>
      <x:c r="Q535" s="25" t="str"/>
      <x:c r="R535" s="24" t="str">
        <x:f>IF(Q535&lt;&gt;"",Q535,O535)</x:f>
        <x:v>2</x:v>
      </x:c>
      <x:c r="S535" s="29" t="str"/>
    </x:row>
    <x:row r="536" ht="54" customHeight="1">
      <x:c r="A536" s="17" t="str">
        <x:v>csq027-r20</x:v>
      </x:c>
      <x:c r="B536" s="17" t="str">
        <x:v>csq027</x:v>
      </x:c>
      <x:c r="C536" s="17" t="str">
        <x:v>data_management_and_ir</x:v>
      </x:c>
      <x:c r="D536" s="17" t="str">
        <x:v>learned_indexes</x:v>
      </x:c>
      <x:c r="E536" s="27" t="str">
        <x:v>What learned index structures have been proposed, and under which data distributions and update workloads do they outperform or underperform traditional indexes?</x:v>
      </x:c>
      <x:c r="F536" s="22" t="n">
        <x:v>20</x:v>
      </x:c>
      <x:c r="G536" s="17" t="str">
        <x:v>arXiv:1902.00655</x:v>
      </x:c>
      <x:c r="H536" s="27" t="str">
        <x:v>Learned Indexes for Dynamic Workloads</x:v>
      </x:c>
      <x:c r="I536" s="17" t="str">
        <x:v>Chuzhe Tang; Zhiyuan Dong; Minjie Wang; Zhaoguo Wang; Haibo Chen</x:v>
      </x:c>
      <x:c r="J536" s="22" t="n">
        <x:v>2019</x:v>
      </x:c>
      <x:c r="K536" s="27" t="str">
        <x:v>The recent proposal of learned index structures opens up a new perspective on how traditional range indexes can be optimized. However, the current learned indexes assume the data distribution is relatively static and the access pattern is uniform, while real-world scenarios consist of skew query distribution and evolving data. In this paper, we demonstrate that the missing consideration of access patterns and dynamic data distribution notably hinders the applicability of learned indexes. To this end, we propose solutions for learned indexes for dynamic workloads (called Doraemon). To improve the latency for skew queries, Doraemon augments the training data with access frequencies. To address the slow model re-training when data distribution shifts, Doraemon caches the previously-trained models and incrementally fine-tunes them for similar access patterns and data distribution. Our preliminary result shows that, Doraemon improves the query latency by 45.1% and reduces the model re-training time to 1/20.</x:v>
      </x:c>
      <x:c r="L536" s="17" t="str">
        <x:v>http://arxiv.org/abs/1902.00655v1</x:v>
      </x:c>
      <x:c r="M536" s="23" t="n">
        <x:v>0.015625</x:v>
      </x:c>
      <x:c r="N536" s="17" t="str">
        <x:v>arxiv-paper-eval-20260726-140242-results.jsonl</x:v>
      </x:c>
      <x:c r="O536" s="24" t="str">
        <x:v>2</x:v>
      </x:c>
      <x:c r="P536" s="28" t="str">
        <x:v>直接研究倾斜访问和演化数据分布下的动态学习索引。</x:v>
      </x:c>
      <x:c r="Q536" s="25" t="str"/>
      <x:c r="R536" s="24" t="str">
        <x:f>IF(Q536&lt;&gt;"",Q536,O536)</x:f>
        <x:v>2</x:v>
      </x:c>
      <x:c r="S536" s="29" t="str"/>
    </x:row>
    <x:row r="537" ht="54" customHeight="1">
      <x:c r="A537" s="17" t="str">
        <x:v>csq028-r01</x:v>
      </x:c>
      <x:c r="B537" s="17" t="str">
        <x:v>csq028</x:v>
      </x:c>
      <x:c r="C537" s="17" t="str">
        <x:v>data_management_and_ir</x:v>
      </x:c>
      <x:c r="D537" s="17" t="str">
        <x:v>vector_search</x:v>
      </x:c>
      <x:c r="E537" s="27" t="str">
        <x:v>How do graph-based, quantization-based, and inverted-file approaches to approximate nearest-neighbor search compare in recall, latency, memory usage, and index construction cost?</x:v>
      </x:c>
      <x:c r="F537" s="22" t="n">
        <x:v>1</x:v>
      </x:c>
      <x:c r="G537" s="17" t="str">
        <x:v>arXiv:2511.16921</x:v>
      </x:c>
      <x:c r="H537" s="27" t="str">
        <x:v>δ-EMG: A Monotonic Graph Index for Approximate Nearest Neighbor Search</x:v>
      </x:c>
      <x:c r="I537" s="17" t="str">
        <x:v>Liming Xiang; Jing Feng; Ziqi Yin; Zijian Li; Daihao Xue; Hongchao Qin; Ronghua Li; Guoren Wang</x:v>
      </x:c>
      <x:c r="J537" s="22" t="n">
        <x:v>2025</x:v>
      </x:c>
      <x:c r="K537" s="27" t="str">
        <x:v>Approximate nearest neighbor (ANN) search in high-dimensional spaces is a foundational component of many modern retrieval and recommendation systems. Currently, almost all algorithms follow an $ε$-Recall-Bounded principle when comparing performance: they require the ANN search results to achieve a recall of more than $1-ε$ and then compare query-per-second (QPS) performance. However, this approach only accounts for the recall of true positive results and does not provide guarantees on the deviation of incorrect results. To address this limitation, we focus on an Error-Bounded ANN method, which ensures that the returned results are a $(1/δ)$-approximation of the true values. Our approach adopts a graph-based framework. To enable Error-Bounded ANN search, we propose a $δ$-EMG (Error-bounded Monotonic Graph), which, for the first time, provides a provable approximation for arbitrary queries. By enforcing a $δ$-monotonic geometric constraint during graph construction, $δ$-EMG ensures that any greedy search converges to a $(1/δ)$-approximate neighbor without backtracking. Building on this foundation, we design an error-bounded top-$k$ ANN search algorithm that adaptively controls approximation accuracy during query time. To make the framework practical at scale, we introduce $δ$-EMQG (Error-bounded Monotonic Quantized Graph), a localized and degree-balanced variant with near-linear construction complexity. We further integrate vector quantization to accelerate distance computation while preserving theoretical guarantees. Extensive experiments on the ANN-Benchmarks dataset demonstrate the effectiveness of our approach. Under a recall requirement of 0.99, our algorithm achieves 19,000 QPS on the SIFT1M dataset, outperforming other methods by more than 40\%.</x:v>
      </x:c>
      <x:c r="L537" s="17" t="str">
        <x:v>http://arxiv.org/abs/2511.16921v1</x:v>
      </x:c>
      <x:c r="M537" s="23" t="n">
        <x:v>0.04616113053613054</x:v>
      </x:c>
      <x:c r="N537" s="17" t="str">
        <x:v>arxiv-paper-eval-20260727-095247-results.jsonl</x:v>
      </x:c>
      <x:c r="O537" s="24" t="str">
        <x:v>2</x:v>
      </x:c>
      <x:c r="P537" s="28" t="str">
        <x:v>直接提出图式ANN索引并以召回与QPS约束评价。</x:v>
      </x:c>
      <x:c r="Q537" s="25" t="str"/>
      <x:c r="R537" s="24" t="str">
        <x:f>IF(Q537&lt;&gt;"",Q537,O537)</x:f>
        <x:v>2</x:v>
      </x:c>
      <x:c r="S537" s="29" t="str"/>
    </x:row>
    <x:row r="538" ht="54" customHeight="1">
      <x:c r="A538" s="17" t="str">
        <x:v>csq028-r02</x:v>
      </x:c>
      <x:c r="B538" s="17" t="str">
        <x:v>csq028</x:v>
      </x:c>
      <x:c r="C538" s="17" t="str">
        <x:v>data_management_and_ir</x:v>
      </x:c>
      <x:c r="D538" s="17" t="str">
        <x:v>vector_search</x:v>
      </x:c>
      <x:c r="E538" s="27" t="str">
        <x:v>How do graph-based, quantization-based, and inverted-file approaches to approximate nearest-neighbor search compare in recall, latency, memory usage, and index construction cost?</x:v>
      </x:c>
      <x:c r="F538" s="22" t="n">
        <x:v>2</x:v>
      </x:c>
      <x:c r="G538" s="17" t="str">
        <x:v>arXiv:2505.17368</x:v>
      </x:c>
      <x:c r="H538" s="27" t="str">
        <x:v>HENN: A Hierarchical Epsilon Net Navigation Graph for Approximate Nearest Neighbor Search</x:v>
      </x:c>
      <x:c r="I538" s="17" t="str">
        <x:v>Mohsen Dehghankar; Abolfazl Asudeh</x:v>
      </x:c>
      <x:c r="J538" s="22" t="n">
        <x:v>2025</x:v>
      </x:c>
      <x:c r="K538" s="27" t="str">
        <x:v>Hierarchical graph-based algorithms such as HNSW have achieved state-of-the-art performance for Approximate Nearest Neighbor (ANN) search in practice, yet they often lack theoretical guarantees on query time or recall due to their heavy use of randomized heuristic constructions. Conversely, existing theoretically grounded structures are typically difficult to implement and struggle to scale in real-world scenarios. We propose the Hierarchical $\varepsilon$-Net Navigation Graph (HENN), a novel graph-based indexing structure for ANN search that combines strong theoretical guarantees with practical efficiency. Built upon the theory of $\varepsilon$-nets, HENN guarantees polylogarithmic worst-case query time while preserving high recall and incurring minimal implementation overhead. Moreover, we establish a probabilistic polylogarithmic query time bound for HNSW, providing theoretical insight into its empirical success. In contrast to these prior hierarchical methods that may degrade to linear query time under adversarial data, HENN maintains provable performance independent of the input data distribution. Empirical evaluations demonstrate that HENN achieves faster query time while maintaining competitive recall on diverse data distributions, including adversarial inputs. These results underscore the effectiveness of HENN as a robust and scalable solution for fast and accurate nearest neighbor search.</x:v>
      </x:c>
      <x:c r="L538" s="17" t="str">
        <x:v>http://arxiv.org/abs/2505.17368v1</x:v>
      </x:c>
      <x:c r="M538" s="23" t="n">
        <x:v>0.030834914611005692</x:v>
      </x:c>
      <x:c r="N538" s="17" t="str">
        <x:v>arxiv-paper-eval-20260727-095247-results.jsonl</x:v>
      </x:c>
      <x:c r="O538" s="24" t="str">
        <x:v>2</x:v>
      </x:c>
      <x:c r="P538" s="28" t="str">
        <x:v>直接提出层次图ANN并讨论查询时间、召回和构建保证。</x:v>
      </x:c>
      <x:c r="Q538" s="25" t="str"/>
      <x:c r="R538" s="24" t="str">
        <x:f>IF(Q538&lt;&gt;"",Q538,O538)</x:f>
        <x:v>2</x:v>
      </x:c>
      <x:c r="S538" s="29" t="str"/>
    </x:row>
    <x:row r="539" ht="54" customHeight="1">
      <x:c r="A539" s="17" t="str">
        <x:v>csq028-r03</x:v>
      </x:c>
      <x:c r="B539" s="17" t="str">
        <x:v>csq028</x:v>
      </x:c>
      <x:c r="C539" s="17" t="str">
        <x:v>data_management_and_ir</x:v>
      </x:c>
      <x:c r="D539" s="17" t="str">
        <x:v>vector_search</x:v>
      </x:c>
      <x:c r="E539" s="27" t="str">
        <x:v>How do graph-based, quantization-based, and inverted-file approaches to approximate nearest-neighbor search compare in recall, latency, memory usage, and index construction cost?</x:v>
      </x:c>
      <x:c r="F539" s="22" t="n">
        <x:v>3</x:v>
      </x:c>
      <x:c r="G539" s="17" t="str">
        <x:v>arXiv:2504.20461</x:v>
      </x:c>
      <x:c r="H539" s="27" t="str">
        <x:v>Efficient Graph-Based Approximate Nearest Neighbor Search Achieving: Low Latency Without Throughput Loss</x:v>
      </x:c>
      <x:c r="I539" s="17" t="str">
        <x:v>Jingjia Luo; Mingxing Zhang; Kang Chen; Xia Liao; Yingdi Shan; Jinlei Jiang; Yongwei Wu</x:v>
      </x:c>
      <x:c r="J539" s="22" t="n">
        <x:v>2025</x:v>
      </x:c>
      <x:c r="K539" s="27" t="str">
        <x:v>The increase in the dimensionality of neural embedding models has enhanced the accuracy of semantic search capabilities but also amplified the computational demands for Approximate Nearest Neighbor Searches (ANNS). This complexity poses significant challenges in online and interactive services, where query latency is a critical performance metric. Traditional graph-based ANNS methods, while effective for managing large datasets, often experience substantial throughput reductions when scaled for intra-query parallelism to minimize latency. This reduction is largely due to inherent inefficiencies in the conventional fork-join parallelism model. To address this problem, we introduce AverSearch, a novel parallel graph-based ANNS framework that overcomes these limitations through a fully asynchronous architecture. Unlike existing frameworks that struggle with balancing latency and throughput, AverSearch utilizes a dynamic workload balancing mechanism that supports continuous, dependency-free processing. This approach not only minimizes latency by eliminating unnecessary synchronization and redundant vertex processing but also maintains high throughput levels. Our evaluations across various datasets, including both traditional benchmarks and modern large-scale model generated datasets, show that AverSearch consistently outperforms current state-of-the-art systems. It achieves up to 2.1-8.9 times higher throughput at comparable latency levels across different datasets and reduces minimum latency by 1.5 to 1.9 times.</x:v>
      </x:c>
      <x:c r="L539" s="17" t="str">
        <x:v>http://arxiv.org/abs/2504.20461v2</x:v>
      </x:c>
      <x:c r="M539" s="23" t="n">
        <x:v>0.029906956136464335</x:v>
      </x:c>
      <x:c r="N539" s="17" t="str">
        <x:v>arxiv-paper-eval-20260727-095247-results.jsonl</x:v>
      </x:c>
      <x:c r="O539" s="24" t="str">
        <x:v>2</x:v>
      </x:c>
      <x:c r="P539" s="28" t="str">
        <x:v>直接分析图式ANN的延迟、吞吐和并行权衡。</x:v>
      </x:c>
      <x:c r="Q539" s="25" t="str"/>
      <x:c r="R539" s="24" t="str">
        <x:f>IF(Q539&lt;&gt;"",Q539,O539)</x:f>
        <x:v>2</x:v>
      </x:c>
      <x:c r="S539" s="29" t="str"/>
    </x:row>
    <x:row r="540" ht="54" customHeight="1">
      <x:c r="A540" s="17" t="str">
        <x:v>csq028-r04</x:v>
      </x:c>
      <x:c r="B540" s="17" t="str">
        <x:v>csq028</x:v>
      </x:c>
      <x:c r="C540" s="17" t="str">
        <x:v>data_management_and_ir</x:v>
      </x:c>
      <x:c r="D540" s="17" t="str">
        <x:v>vector_search</x:v>
      </x:c>
      <x:c r="E540" s="27" t="str">
        <x:v>How do graph-based, quantization-based, and inverted-file approaches to approximate nearest-neighbor search compare in recall, latency, memory usage, and index construction cost?</x:v>
      </x:c>
      <x:c r="F540" s="22" t="n">
        <x:v>4</x:v>
      </x:c>
      <x:c r="G540" s="17" t="str">
        <x:v>arXiv:2503.17911</x:v>
      </x:c>
      <x:c r="H540" s="27" t="str">
        <x:v>VSAG: An Optimized Search Framework for Graph-based Approximate Nearest Neighbor Search</x:v>
      </x:c>
      <x:c r="I540" s="17" t="str">
        <x:v>Xiaoyao Zhong; Haotian Li; Jiabao Jin; Mingyu Yang; Deming Chu; Xiangyu Wang; Zhitao Shen; Wei Jia; George Gu; Yi Xie; Xuemin Lin; Heng Tao Shen; Jingkuan Song; Peng Cheng</x:v>
      </x:c>
      <x:c r="J540" s="22" t="n">
        <x:v>2025</x:v>
      </x:c>
      <x:c r="K540" s="27" t="str">
        <x:v>Approximate nearest neighbor search (ANNS) is a fundamental problem in vector databases and AI infrastructures. Recent graph-based ANNS algorithms have achieved high search accuracy with practical efficiency. Despite the advancements, these algorithms still face performance bottlenecks in production, due to the random memory access patterns of graph-based search and the high computational overheads of vector distance. In addition, the performance of a graph-based ANNS algorithm is highly sensitive to parameters, while selecting the optimal parameters is cost-prohibitive, e.g., manual tuning requires repeatedly re-building the index. This paper introduces VSAG, an open-source framework that aims to enhance the in production performance of graph-based ANNS algorithms. VSAG has been deployed at scale in the services of Ant Group, and it incorporates three key optimizations: (i) efficient memory access: it reduces L3 cache misses with pre-fetching and cache-friendly vector organization; (ii) automated parameter tuning: it automatically selects performance-optimal parameters without requiring index rebuilding; (iii) efficient distance computation: it leverages modern hardware, scalar quantization, and smartly switches to low-precision representation to dramatically reduce the distance computation costs. We evaluate VSAG on real-world datasets. The experimental results show that VSAG achieves the state-of-the-art performance and provides up to 4x speedup over HNSWlib (an industry-standard library) while ensuring the same accuracy.</x:v>
      </x:c>
      <x:c r="L540" s="17" t="str">
        <x:v>http://arxiv.org/abs/2503.17911v3</x:v>
      </x:c>
      <x:c r="M540" s="23" t="n">
        <x:v>0.029571646010002173</x:v>
      </x:c>
      <x:c r="N540" s="17" t="str">
        <x:v>arxiv-paper-eval-20260727-095247-results.jsonl</x:v>
      </x:c>
      <x:c r="O540" s="24" t="str">
        <x:v>2</x:v>
      </x:c>
      <x:c r="P540" s="28" t="str">
        <x:v>直接研究图式ANN的内存访问、距离计算和参数调优成本。</x:v>
      </x:c>
      <x:c r="Q540" s="25" t="str"/>
      <x:c r="R540" s="24" t="str">
        <x:f>IF(Q540&lt;&gt;"",Q540,O540)</x:f>
        <x:v>2</x:v>
      </x:c>
      <x:c r="S540" s="29" t="str"/>
    </x:row>
    <x:row r="541" ht="54" customHeight="1">
      <x:c r="A541" s="17" t="str">
        <x:v>csq028-r05</x:v>
      </x:c>
      <x:c r="B541" s="17" t="str">
        <x:v>csq028</x:v>
      </x:c>
      <x:c r="C541" s="17" t="str">
        <x:v>data_management_and_ir</x:v>
      </x:c>
      <x:c r="D541" s="17" t="str">
        <x:v>vector_search</x:v>
      </x:c>
      <x:c r="E541" s="27" t="str">
        <x:v>How do graph-based, quantization-based, and inverted-file approaches to approximate nearest-neighbor search compare in recall, latency, memory usage, and index construction cost?</x:v>
      </x:c>
      <x:c r="F541" s="22" t="n">
        <x:v>5</x:v>
      </x:c>
      <x:c r="G541" s="17" t="str">
        <x:v>arXiv:2502.13826</x:v>
      </x:c>
      <x:c r="H541" s="27" t="str">
        <x:v>In-Place Updates of a Graph Index for Streaming Approximate Nearest Neighbor Search</x:v>
      </x:c>
      <x:c r="I541" s="17" t="str">
        <x:v>Haike Xu; Magdalen Dobson Manohar; Philip A. Bernstein; Badrish Chandramouli; Richard Wen; Harsha Vardhan Simhadri</x:v>
      </x:c>
      <x:c r="J541" s="22" t="n">
        <x:v>2025</x:v>
      </x:c>
      <x:c r="K541" s="27" t="str">
        <x:v>Indices for approximate nearest neighbor search (ANNS) are a basic component for information retrieval and widely used in database, search, recommendation and RAG systems. In these scenarios, documents or other objects are inserted into and deleted from the working set at a high rate, requiring a stream of updates to the vector index. Algorithms based on proximity graph indices are the most efficient indices for ANNS, winning many benchmark competitions. However, it is challenging to update such graph index at a high rate, while supporting stable recall after many updates. Since the graph is singly-linked, deletions are hard because there is no fast way to find in-neighbors of a deleted vertex. Therefore, to update the graph, state-of-the-art algorithms such as FreshDiskANN accumulate deletions in a batch and periodically consolidate, removing edges to deleted vertices and modifying the graph to ensure recall stability. In this paper, we present IP-DiskANN (InPlaceUpdate-DiskANN), the first algorithm to avoid batch consolidation by efficiently processing each insertion and deletion in-place. Our experiments using standard benchmarks show that IP-DiskANN has stable recall over various lengthy update patterns in both high-recall and low-recall regimes. Further, its query throughput and update speed are better than using the batch consolidation algorithm and HNSW.</x:v>
      </x:c>
      <x:c r="L541" s="17" t="str">
        <x:v>http://arxiv.org/abs/2502.13826v1</x:v>
      </x:c>
      <x:c r="M541" s="23" t="n">
        <x:v>0.028381642512077296</x:v>
      </x:c>
      <x:c r="N541" s="17" t="str">
        <x:v>arxiv-paper-eval-20260727-095247-results.jsonl</x:v>
      </x:c>
      <x:c r="O541" s="24" t="str">
        <x:v>2</x:v>
      </x:c>
      <x:c r="P541" s="28" t="str">
        <x:v>直接研究流式更新下图索引的更新率与召回稳定性。</x:v>
      </x:c>
      <x:c r="Q541" s="25" t="str"/>
      <x:c r="R541" s="24" t="str">
        <x:f>IF(Q541&lt;&gt;"",Q541,O541)</x:f>
        <x:v>2</x:v>
      </x:c>
      <x:c r="S541" s="29" t="str"/>
    </x:row>
    <x:row r="542" ht="54" customHeight="1">
      <x:c r="A542" s="17" t="str">
        <x:v>csq028-r06</x:v>
      </x:c>
      <x:c r="B542" s="17" t="str">
        <x:v>csq028</x:v>
      </x:c>
      <x:c r="C542" s="17" t="str">
        <x:v>data_management_and_ir</x:v>
      </x:c>
      <x:c r="D542" s="17" t="str">
        <x:v>vector_search</x:v>
      </x:c>
      <x:c r="E542" s="27" t="str">
        <x:v>How do graph-based, quantization-based, and inverted-file approaches to approximate nearest-neighbor search compare in recall, latency, memory usage, and index construction cost?</x:v>
      </x:c>
      <x:c r="F542" s="22" t="n">
        <x:v>6</x:v>
      </x:c>
      <x:c r="G542" s="17" t="str">
        <x:v>arXiv:2501.10479</x:v>
      </x:c>
      <x:c r="H542" s="27" t="str">
        <x:v>Lossless Compression of Vector IDs for Approximate Nearest Neighbor Search</x:v>
      </x:c>
      <x:c r="I542" s="17" t="str">
        <x:v>Daniel Severo; Giuseppe Ottaviano; Matthew Muckley; Karen Ullrich; Matthijs Douze</x:v>
      </x:c>
      <x:c r="J542" s="22" t="n">
        <x:v>2025</x:v>
      </x:c>
      <x:c r="K542" s="27" t="str">
        <x:v>Approximate nearest neighbor search for vectors relies on indexes that are most often accessed from RAM. Therefore, storage is the factor limiting the size of the database that can be served from a machine. Lossy vector compression, i.e., embedding quantization, has been applied extensively to reduce the size of indexes. However, for inverted file and graph-based indices, auxiliary data such as vector ids and links (edges) can represent most of the storage cost. We introduce and evaluate lossless compression schemes for these cases. These approaches are based on asymmetric numeral systems or wavelet trees that exploit the fact that the ordering of ids is irrelevant within the data structures. In some settings, we are able to compress the vector ids by a factor 7, with no impact on accuracy or search runtime. On billion-scale datasets, this results in a reduction of 30% of the index size. Furthermore, we show that for some datasets, these methods can also compress the quantized vector codes losslessly, by exploiting sub-optimalities in the original quantization algorithm. The source code for our approach available at https://github.com/facebookresearch/vector_db_id_compression.</x:v>
      </x:c>
      <x:c r="L542" s="17" t="str">
        <x:v>http://arxiv.org/abs/2501.10479v1</x:v>
      </x:c>
      <x:c r="M542" s="23" t="n">
        <x:v>0.028258706467661692</x:v>
      </x:c>
      <x:c r="N542" s="17" t="str">
        <x:v>arxiv-paper-eval-20260727-095247-results.jsonl</x:v>
      </x:c>
      <x:c r="O542" s="24" t="str">
        <x:v>2</x:v>
      </x:c>
      <x:c r="P542" s="28" t="str">
        <x:v>直接比较图和倒排索引辅助数据压缩带来的内存与性能影响。</x:v>
      </x:c>
      <x:c r="Q542" s="25" t="str"/>
      <x:c r="R542" s="24" t="str">
        <x:f>IF(Q542&lt;&gt;"",Q542,O542)</x:f>
        <x:v>2</x:v>
      </x:c>
      <x:c r="S542" s="29" t="str"/>
    </x:row>
    <x:row r="543" ht="54" customHeight="1">
      <x:c r="A543" s="17" t="str">
        <x:v>csq028-r07</x:v>
      </x:c>
      <x:c r="B543" s="17" t="str">
        <x:v>csq028</x:v>
      </x:c>
      <x:c r="C543" s="17" t="str">
        <x:v>data_management_and_ir</x:v>
      </x:c>
      <x:c r="D543" s="17" t="str">
        <x:v>vector_search</x:v>
      </x:c>
      <x:c r="E543" s="27" t="str">
        <x:v>How do graph-based, quantization-based, and inverted-file approaches to approximate nearest-neighbor search compare in recall, latency, memory usage, and index construction cost?</x:v>
      </x:c>
      <x:c r="F543" s="22" t="n">
        <x:v>7</x:v>
      </x:c>
      <x:c r="G543" s="17" t="str">
        <x:v>arXiv:2411.14006</x:v>
      </x:c>
      <x:c r="H543" s="27" t="str">
        <x:v>Experimental comparison of graph-based approximate nearest neighbor search algorithms on edge devices</x:v>
      </x:c>
      <x:c r="I543" s="17" t="str">
        <x:v>Ali Ganbarov; Jicheng Yuan; Anh Le-Tuan; Manfred Hauswirth; Danh Le-Phuoc</x:v>
      </x:c>
      <x:c r="J543" s="22" t="n">
        <x:v>2024</x:v>
      </x:c>
      <x:c r="K543" s="27" t="str">
        <x:v>In this paper, we present an experimental comparison of various graph-based approximate nearest neighbor (ANN) search algorithms deployed on edge devices for real-time nearest neighbor search applications, such as smart city infrastructure and autonomous vehicles. To the best of our knowledge, this specific comparative analysis has not been previously conducted. While existing research has explored graph-based ANN algorithms, it has often been limited to single-threaded implementations on standard commodity hardware. Our study leverages the full computational and storage capabilities of edge devices, incorporating additional metrics such as insertion and deletion latency of new vectors and power consumption. This comprehensive evaluation aims to provide valuable insights into the performance and suitability of these algorithms for edge-based real-time tracking systems enhanced by nearest-neighbor search algorithms.</x:v>
      </x:c>
      <x:c r="L543" s="17" t="str">
        <x:v>http://arxiv.org/abs/2411.14006v1</x:v>
      </x:c>
      <x:c r="M543" s="23" t="n">
        <x:v>0.01639344262295082</x:v>
      </x:c>
      <x:c r="N543" s="17" t="str">
        <x:v>arxiv-paper-eval-20260727-095247-results.jsonl</x:v>
      </x:c>
      <x:c r="O543" s="24" t="str">
        <x:v>2</x:v>
      </x:c>
      <x:c r="P543" s="28" t="str">
        <x:v>直接在边缘设备比较多种图式ANN的实时性能和存储开销。</x:v>
      </x:c>
      <x:c r="Q543" s="25" t="str"/>
      <x:c r="R543" s="24" t="str">
        <x:f>IF(Q543&lt;&gt;"",Q543,O543)</x:f>
        <x:v>2</x:v>
      </x:c>
      <x:c r="S543" s="29" t="str"/>
    </x:row>
    <x:row r="544" ht="54" customHeight="1">
      <x:c r="A544" s="17" t="str">
        <x:v>csq028-r08</x:v>
      </x:c>
      <x:c r="B544" s="17" t="str">
        <x:v>csq028</x:v>
      </x:c>
      <x:c r="C544" s="17" t="str">
        <x:v>data_management_and_ir</x:v>
      </x:c>
      <x:c r="D544" s="17" t="str">
        <x:v>vector_search</x:v>
      </x:c>
      <x:c r="E544" s="27" t="str">
        <x:v>How do graph-based, quantization-based, and inverted-file approaches to approximate nearest-neighbor search compare in recall, latency, memory usage, and index construction cost?</x:v>
      </x:c>
      <x:c r="F544" s="22" t="n">
        <x:v>8</x:v>
      </x:c>
      <x:c r="G544" s="17" t="str">
        <x:v>arXiv:2404.00774</x:v>
      </x:c>
      <x:c r="H544" s="27" t="str">
        <x:v>SOAR: Improved Indexing for Approximate Nearest Neighbor Search</x:v>
      </x:c>
      <x:c r="I544" s="17" t="str">
        <x:v>Philip Sun; David Simcha; Dave Dopson; Ruiqi Guo; Sanjiv Kumar</x:v>
      </x:c>
      <x:c r="J544" s="22" t="n">
        <x:v>2024</x:v>
      </x:c>
      <x:c r="K544" s="27" t="str">
        <x:v>This paper introduces SOAR: Spilling with Orthogonality-Amplified Residuals, a novel data indexing technique for approximate nearest neighbor (ANN) search. SOAR extends upon previous approaches to ANN search, such as spill trees, that utilize multiple redundant representations while partitioning the data to reduce the probability of missing a nearest neighbor during search. Rather than training and computing these redundant representations independently, however, SOAR uses an orthogonality-amplified residual loss, which optimizes each representation to compensate for cases where other representations perform poorly. This drastically improves the overall index quality, resulting in state-of-the-art ANN benchmark performance while maintaining fast indexing times and low memory consumption.</x:v>
      </x:c>
      <x:c r="L544" s="17" t="str">
        <x:v>http://arxiv.org/abs/2404.00774v1</x:v>
      </x:c>
      <x:c r="M544" s="23" t="n">
        <x:v>0.01639344262295082</x:v>
      </x:c>
      <x:c r="N544" s="17" t="str">
        <x:v>arxiv-paper-eval-20260727-095247-results.jsonl</x:v>
      </x:c>
      <x:c r="O544" s="24" t="str">
        <x:v>1</x:v>
      </x:c>
      <x:c r="P544" s="28" t="str">
        <x:v>研究溢出式分区索引，能作ANN方法背景，但不属于题目三类的明确比较。</x:v>
      </x:c>
      <x:c r="Q544" s="25" t="str"/>
      <x:c r="R544" s="24" t="str">
        <x:f>IF(Q544&lt;&gt;"",Q544,O544)</x:f>
        <x:v>1</x:v>
      </x:c>
      <x:c r="S544" s="29" t="str"/>
    </x:row>
    <x:row r="545" ht="54" customHeight="1">
      <x:c r="A545" s="17" t="str">
        <x:v>csq028-r09</x:v>
      </x:c>
      <x:c r="B545" s="17" t="str">
        <x:v>csq028</x:v>
      </x:c>
      <x:c r="C545" s="17" t="str">
        <x:v>data_management_and_ir</x:v>
      </x:c>
      <x:c r="D545" s="17" t="str">
        <x:v>vector_search</x:v>
      </x:c>
      <x:c r="E545" s="27" t="str">
        <x:v>How do graph-based, quantization-based, and inverted-file approaches to approximate nearest-neighbor search compare in recall, latency, memory usage, and index construction cost?</x:v>
      </x:c>
      <x:c r="F545" s="22" t="n">
        <x:v>9</x:v>
      </x:c>
      <x:c r="G545" s="17" t="str">
        <x:v>arXiv:2311.18724</x:v>
      </x:c>
      <x:c r="H545" s="27" t="str">
        <x:v>Routing-Guided Learned Product Quantization for Graph-Based Approximate Nearest Neighbor Search</x:v>
      </x:c>
      <x:c r="I545" s="17" t="str">
        <x:v>Qiang Yue; Xiaoliang Xu; Yuxiang Wang; Yikun Tao; Xuliyuan Luo</x:v>
      </x:c>
      <x:c r="J545" s="22" t="n">
        <x:v>2023</x:v>
      </x:c>
      <x:c r="K545" s="27" t="str">
        <x:v>Given a vector dataset $\mathcal{X}$, a query vector $\vec{x}_q$, graph-based Approximate Nearest Neighbor Search (ANNS) aims to build a proximity graph (PG) as an index of $\mathcal{X}$ and approximately return vectors with minimum distances to $\vec{x}_q$ by searching over the PG index. It suffers from the large-scale $\mathcal{X}$ because a PG with full vectors is too large to fit into the memory, e.g., a billion-scale $\mathcal{X}$ in 128 dimensions would consume nearly 600 GB memory. To solve this, Product Quantization (PQ) integrated graph-based ANNS is proposed to reduce the memory usage, using smaller compact codes of quantized vectors in memory instead of the large original vectors. Existing PQ methods do not consider the important routing features of PG, resulting in low-quality quantized vectors that affect the ANNS's effectiveness. In this paper, we present an end-to-end Routing-guided learned Product Quantization (RPQ) for graph-based ANNS. It consists of (1) a \textit{differentiable quantizer} used to make the standard discrete PQ differentiable to suit for back-propagation of end-to-end learning, (2) a \textit{sampling-based feature extractor} used to extract neighborhood and routing features of a PG, and (3) a \textit{multi-feature joint training module} with two types of feature-aware losses to continuously optimize the differentiable quantizer. As a result, the inherent features of a PG would be embedded into the learned PQ, generating high-quality quantized vectors. Moreover, we integrate our RPQ with the state-of-the-art DiskANN and existing popular PGs to improve their performance. Comprehensive experiments on real-world large-scale datasets (from 1M to 1B) demonstrate RPQ's superiority, e.g., 1.7$\times$-4.2$\times$ improvement on QPS at the same recall@10 of 95\%.</x:v>
      </x:c>
      <x:c r="L545" s="17" t="str">
        <x:v>http://arxiv.org/abs/2311.18724v1</x:v>
      </x:c>
      <x:c r="M545" s="23" t="n">
        <x:v>0.01639344262295082</x:v>
      </x:c>
      <x:c r="N545" s="17" t="str">
        <x:v>arxiv-paper-eval-20260727-095247-results.jsonl</x:v>
      </x:c>
      <x:c r="O545" s="24" t="str">
        <x:v>2</x:v>
      </x:c>
      <x:c r="P545" s="28" t="str">
        <x:v>直接研究PQ压缩图式ANN的内存、路由和查询权衡。</x:v>
      </x:c>
      <x:c r="Q545" s="25" t="str"/>
      <x:c r="R545" s="24" t="str">
        <x:f>IF(Q545&lt;&gt;"",Q545,O545)</x:f>
        <x:v>2</x:v>
      </x:c>
      <x:c r="S545" s="29" t="str"/>
    </x:row>
    <x:row r="546" ht="54" customHeight="1">
      <x:c r="A546" s="17" t="str">
        <x:v>csq028-r10</x:v>
      </x:c>
      <x:c r="B546" s="17" t="str">
        <x:v>csq028</x:v>
      </x:c>
      <x:c r="C546" s="17" t="str">
        <x:v>data_management_and_ir</x:v>
      </x:c>
      <x:c r="D546" s="17" t="str">
        <x:v>vector_search</x:v>
      </x:c>
      <x:c r="E546" s="27" t="str">
        <x:v>How do graph-based, quantization-based, and inverted-file approaches to approximate nearest-neighbor search compare in recall, latency, memory usage, and index construction cost?</x:v>
      </x:c>
      <x:c r="F546" s="22" t="n">
        <x:v>10</x:v>
      </x:c>
      <x:c r="G546" s="17" t="str">
        <x:v>arXiv:2510.05975</x:v>
      </x:c>
      <x:c r="H546" s="27" t="str">
        <x:v>Fast-Convergent Proximity Graphs for Approximate Nearest Neighbor Search</x:v>
      </x:c>
      <x:c r="I546" s="17" t="str">
        <x:v>Binhong Li; Xiao Yan; Shangqi Lu</x:v>
      </x:c>
      <x:c r="J546" s="22" t="n">
        <x:v>2025</x:v>
      </x:c>
      <x:c r="K546" s="27" t="str">
        <x:v>Approximate nearest neighbor (ANN) search in high-dimensional metric spaces is a fundamental problem with many applications. Over the past decade, proximity graph (PG)-based indexes have demonstrated superior empirical performance over alternatives. However, these methods often lack theoretical guarantees regarding the quality of query results, especially in the worst-case scenarios. In this paper, we introduce the α-convergent graph (α-CG), a new PG structure that employs a carefully designed edge pruning rule. This rule eliminates candidate neighbors for each data point p by applying the shifted-scaled triangle inequalities among p, its existing out-neighbors, and new candidates. If the distance between the query point q and its exact nearest neighbor v* is at most τ for some constant τ &gt; 0, our α-CG finds the exact nearest neighbor in poly-logarithmic time, assuming bounded intrinsic dimensionality for the dataset; otherwise, it can find an ANN in the same time. To enhance scalability, we develop the α-convergent neighborhood graph (α-CNG), a practical variant that applies the pruning rule locally within each point's neighbors. We also introduce optimizations to reduce the index construction time. Experimental results show that our α-CNG outperforms existing PGs on real-world datasets. For most datasets, α-CNG can reduce the number of distance computations and search steps by over 15% and 45%, respectively, when compared with the best-performing baseline.</x:v>
      </x:c>
      <x:c r="L546" s="17" t="str">
        <x:v>http://arxiv.org/abs/2510.05975v5</x:v>
      </x:c>
      <x:c r="M546" s="23" t="n">
        <x:v>0.016129032258064516</x:v>
      </x:c>
      <x:c r="N546" s="17" t="str">
        <x:v>arxiv-paper-eval-20260727-095247-results.jsonl</x:v>
      </x:c>
      <x:c r="O546" s="24" t="str">
        <x:v>2</x:v>
      </x:c>
      <x:c r="P546" s="28" t="str">
        <x:v>直接提出低构建成本的近邻图并分析查询质量。</x:v>
      </x:c>
      <x:c r="Q546" s="25" t="str"/>
      <x:c r="R546" s="24" t="str">
        <x:f>IF(Q546&lt;&gt;"",Q546,O546)</x:f>
        <x:v>2</x:v>
      </x:c>
      <x:c r="S546" s="29" t="str"/>
    </x:row>
    <x:row r="547" ht="54" customHeight="1">
      <x:c r="A547" s="17" t="str">
        <x:v>csq028-r11</x:v>
      </x:c>
      <x:c r="B547" s="17" t="str">
        <x:v>csq028</x:v>
      </x:c>
      <x:c r="C547" s="17" t="str">
        <x:v>data_management_and_ir</x:v>
      </x:c>
      <x:c r="D547" s="17" t="str">
        <x:v>vector_search</x:v>
      </x:c>
      <x:c r="E547" s="27" t="str">
        <x:v>How do graph-based, quantization-based, and inverted-file approaches to approximate nearest-neighbor search compare in recall, latency, memory usage, and index construction cost?</x:v>
      </x:c>
      <x:c r="F547" s="22" t="n">
        <x:v>11</x:v>
      </x:c>
      <x:c r="G547" s="17" t="str">
        <x:v>arXiv:2410.18926</x:v>
      </x:c>
      <x:c r="H547" s="27" t="str">
        <x:v>LoRANN: Low-Rank Matrix Factorization for Approximate Nearest Neighbor Search</x:v>
      </x:c>
      <x:c r="I547" s="17" t="str">
        <x:v>Elias Jääsaari; Ville Hyvönen; Teemu Roos</x:v>
      </x:c>
      <x:c r="J547" s="22" t="n">
        <x:v>2024</x:v>
      </x:c>
      <x:c r="K547" s="27" t="str">
        <x:v>Approximate nearest neighbor (ANN) search is a key component in many modern machine learning pipelines; recent use cases include retrieval-augmented generation (RAG) and vector databases. Clustering-based ANN algorithms, that use score computation methods based on product quantization (PQ), are often used in industrial-scale applications due to their scalability and suitability for distributed and disk-based implementations. However, they have slower query times than the leading graph-based ANN algorithms. In this work, we propose a new supervised score computation method based on the observation that inner product approximation is a multivariate (multi-output) regression problem that can be solved efficiently by reduced-rank regression. Our experiments show that on modern high-dimensional data sets, the proposed reduced-rank regression (RRR) method is superior to PQ in both query latency and memory usage. We also introduce LoRANN, a clustering-based ANN library that leverages the proposed score computation method. LoRANN is competitive with the leading graph-based algorithms and outperforms the state-of-the-art GPU ANN methods on high-dimensional data sets.</x:v>
      </x:c>
      <x:c r="L547" s="17" t="str">
        <x:v>http://arxiv.org/abs/2410.18926v1</x:v>
      </x:c>
      <x:c r="M547" s="23" t="n">
        <x:v>0.016129032258064516</x:v>
      </x:c>
      <x:c r="N547" s="17" t="str">
        <x:v>arxiv-paper-eval-20260727-095247-results.jsonl</x:v>
      </x:c>
      <x:c r="O547" s="24" t="str">
        <x:v>2</x:v>
      </x:c>
      <x:c r="P547" s="28" t="str">
        <x:v>直接比较聚类/PQ方法与领先图式ANN的查询性能。</x:v>
      </x:c>
      <x:c r="Q547" s="25" t="str"/>
      <x:c r="R547" s="24" t="str">
        <x:f>IF(Q547&lt;&gt;"",Q547,O547)</x:f>
        <x:v>2</x:v>
      </x:c>
      <x:c r="S547" s="29" t="str"/>
    </x:row>
    <x:row r="548" ht="54" customHeight="1">
      <x:c r="A548" s="17" t="str">
        <x:v>csq028-r12</x:v>
      </x:c>
      <x:c r="B548" s="17" t="str">
        <x:v>csq028</x:v>
      </x:c>
      <x:c r="C548" s="17" t="str">
        <x:v>data_management_and_ir</x:v>
      </x:c>
      <x:c r="D548" s="17" t="str">
        <x:v>vector_search</x:v>
      </x:c>
      <x:c r="E548" s="27" t="str">
        <x:v>How do graph-based, quantization-based, and inverted-file approaches to approximate nearest-neighbor search compare in recall, latency, memory usage, and index construction cost?</x:v>
      </x:c>
      <x:c r="F548" s="22" t="n">
        <x:v>12</x:v>
      </x:c>
      <x:c r="G548" s="17" t="str">
        <x:v>arXiv:2101.12631</x:v>
      </x:c>
      <x:c r="H548" s="27" t="str">
        <x:v>A Comprehensive Survey and Experimental Comparison of Graph-Based Approximate Nearest Neighbor Search</x:v>
      </x:c>
      <x:c r="I548" s="17" t="str">
        <x:v>Mengzhao Wang; Xiaoliang Xu; Qiang Yue; Yuxiang Wang</x:v>
      </x:c>
      <x:c r="J548" s="22" t="n">
        <x:v>2021</x:v>
      </x:c>
      <x:c r="K548" s="27" t="str">
        <x:v>Approximate nearest neighbor search (ANNS) constitutes an important operation in a multitude of applications, including recommendation systems, information retrieval, and pattern recognition. In the past decade, graph-based ANNS algorithms have been the leading paradigm in this domain, with dozens of graph-based ANNS algorithms proposed. Such algorithms aim to provide effective, efficient solutions for retrieving the nearest neighbors for a given query. Nevertheless, these efforts focus on developing and optimizing algorithms with different approaches, so there is a real need for a comprehensive survey about the approaches' relative performance, strengths, and pitfalls. Thus here we provide a thorough comparative analysis and experimental evaluation of 13 representative graph-based ANNS algorithms via a new taxonomy and fine-grained pipeline. We compared each algorithm in a uniform test environment on eight real-world datasets and 12 synthetic datasets with varying sizes and characteristics. Our study yields novel discoveries, offerings several useful principles to improve algorithms, thus designing an optimized method that outperforms the state-of-the-art algorithms. This effort also helped us pinpoint algorithms' working portions, along with rule-of-thumb recommendations about promising research directions and suitable algorithms for practitioners in different fields.</x:v>
      </x:c>
      <x:c r="L548" s="17" t="str">
        <x:v>http://arxiv.org/abs/2101.12631v2</x:v>
      </x:c>
      <x:c r="M548" s="23" t="n">
        <x:v>0.016129032258064516</x:v>
      </x:c>
      <x:c r="N548" s="17" t="str">
        <x:v>arxiv-paper-eval-20260727-095247-results.jsonl</x:v>
      </x:c>
      <x:c r="O548" s="24" t="str">
        <x:v>2</x:v>
      </x:c>
      <x:c r="P548" s="28" t="str">
        <x:v>直接综述并实验比较多种图式ANN算法。</x:v>
      </x:c>
      <x:c r="Q548" s="25" t="str"/>
      <x:c r="R548" s="24" t="str">
        <x:f>IF(Q548&lt;&gt;"",Q548,O548)</x:f>
        <x:v>2</x:v>
      </x:c>
      <x:c r="S548" s="29" t="str"/>
    </x:row>
    <x:row r="549" ht="54" customHeight="1">
      <x:c r="A549" s="17" t="str">
        <x:v>csq028-r13</x:v>
      </x:c>
      <x:c r="B549" s="17" t="str">
        <x:v>csq028</x:v>
      </x:c>
      <x:c r="C549" s="17" t="str">
        <x:v>data_management_and_ir</x:v>
      </x:c>
      <x:c r="D549" s="17" t="str">
        <x:v>vector_search</x:v>
      </x:c>
      <x:c r="E549" s="27" t="str">
        <x:v>How do graph-based, quantization-based, and inverted-file approaches to approximate nearest-neighbor search compare in recall, latency, memory usage, and index construction cost?</x:v>
      </x:c>
      <x:c r="F549" s="22" t="n">
        <x:v>13</x:v>
      </x:c>
      <x:c r="G549" s="17" t="str">
        <x:v>arXiv:2509.25487</x:v>
      </x:c>
      <x:c r="H549" s="27" t="str">
        <x:v>Scalable Disk-Based Approximate Nearest Neighbor Search with Page-Aligned Graph</x:v>
      </x:c>
      <x:c r="I549" s="17" t="str">
        <x:v>Dingyi Kang; Dongming Jiang; Hanshen Yang; Hang Liu; Bingzhe Li</x:v>
      </x:c>
      <x:c r="J549" s="22" t="n">
        <x:v>2025</x:v>
      </x:c>
      <x:c r="K549" s="27" t="str">
        <x:v>Approximate Nearest Neighbor Search (ANNS), as the core of vector databases (VectorDBs), has become widely used in modern AI and ML systems, powering applications from information retrieval to bio-informatics. While graph-based ANNS methods achieve high query efficiency, their scalability is constrained by the available host memory. Recent disk-based ANNS approaches mitigate memory usage by offloading data to Solid-State Drives (SSDs). However, they still suffer from issues such as long I/O traversal path, misalignment with storage I/O granularity, and high in-memory indexing overhead, leading to significant I/O latency and ultimately limiting scalability for large-scale vector search. In this paper, we propose PageANN, a disk-based approximate nearest neighbor search (ANNS) framework designed for high performance and scalability. PageANN introduces a page-node graph structure that aligns logical graph nodes with physical SSD pages, thereby shortening I/O traversal paths and reducing I/O operations. Specifically, similar vectors are clustered into page nodes, and a co-designed disk data layout leverages this structure with a merging technique to store only representative vectors and topology information, avoiding unnecessary reads. To further improve efficiency, we design a memory management strategy that combines lightweight indexing with coordinated memory-disk data allocation, maximizing host memory utilization while minimizing query latency and storage overhead. Experimental results show that PageANN significantly outperforms state-of-the-art (SOTA) disk-based ANNS methods, achieving 1.85x-10.83x higher throughput and 51.7%-91.9% lower latency across different datasets and memory budgets, while maintaining comparable high recall accuracy.</x:v>
      </x:c>
      <x:c r="L549" s="17" t="str">
        <x:v>http://arxiv.org/abs/2509.25487v2</x:v>
      </x:c>
      <x:c r="M549" s="23" t="n">
        <x:v>0.015873015873015872</x:v>
      </x:c>
      <x:c r="N549" s="17" t="str">
        <x:v>arxiv-paper-eval-20260727-095247-results.jsonl</x:v>
      </x:c>
      <x:c r="O549" s="24" t="str">
        <x:v>2</x:v>
      </x:c>
      <x:c r="P549" s="28" t="str">
        <x:v>直接分析磁盘图式ANN的内存、I/O和索引开销。</x:v>
      </x:c>
      <x:c r="Q549" s="25" t="str"/>
      <x:c r="R549" s="24" t="str">
        <x:f>IF(Q549&lt;&gt;"",Q549,O549)</x:f>
        <x:v>2</x:v>
      </x:c>
      <x:c r="S549" s="29" t="str"/>
    </x:row>
    <x:row r="550" ht="54" customHeight="1">
      <x:c r="A550" s="17" t="str">
        <x:v>csq028-r14</x:v>
      </x:c>
      <x:c r="B550" s="17" t="str">
        <x:v>csq028</x:v>
      </x:c>
      <x:c r="C550" s="17" t="str">
        <x:v>data_management_and_ir</x:v>
      </x:c>
      <x:c r="D550" s="17" t="str">
        <x:v>vector_search</x:v>
      </x:c>
      <x:c r="E550" s="27" t="str">
        <x:v>How do graph-based, quantization-based, and inverted-file approaches to approximate nearest-neighbor search compare in recall, latency, memory usage, and index construction cost?</x:v>
      </x:c>
      <x:c r="F550" s="22" t="n">
        <x:v>14</x:v>
      </x:c>
      <x:c r="G550" s="17" t="str">
        <x:v>arXiv:2403.13491</x:v>
      </x:c>
      <x:c r="H550" s="27" t="str">
        <x:v>Dimensionality-Reduction Techniques for Approximate Nearest Neighbor Search: A Survey and Evaluation</x:v>
      </x:c>
      <x:c r="I550" s="17" t="str">
        <x:v>Zeyu Wang; Haoran Xiong; Qitong Wang; Zhenying He; Peng Wang; Themis Palpanas; Wei Wang</x:v>
      </x:c>
      <x:c r="J550" s="22" t="n">
        <x:v>2024</x:v>
      </x:c>
      <x:c r="K550" s="27" t="str">
        <x:v>Approximate Nearest Neighbor Search (ANNS) on high-dimensional vectors has become a fundamental and essential component in various machine learning tasks. Recently, with the rapid development of deep learning models and the applications of Large Language Models (LLMs), the dimensionality of the vectors keeps growing in order to accommodate a richer semantic representation. This poses a major challenge to the ANNS solutions since distance calculation cost in ANNS grows linearly with the dimensionality of vectors. To overcome this challenge, dimensionality-reduction techniques can be leveraged to accelerate the distance calculation in the search process. In this paper, we investigate six dimensionality-reduction techniques that have the potential to improve ANNS solutions, including classical algorithms such as PCA and vector quantization, as well as algorithms based on deep learning approaches. We further describe two frameworks to apply these techniques in the ANNS workflow, and theoretically analyze the time and space costs, as well as the beneficial threshold for the pruning ratio of these techniques. The surveyed techniques are evaluated on six public datasets. The analysis of the results reveals the characteristics of the different families of techniques and provides insights into the promising future research directions.</x:v>
      </x:c>
      <x:c r="L550" s="17" t="str">
        <x:v>http://arxiv.org/abs/2403.13491v2</x:v>
      </x:c>
      <x:c r="M550" s="23" t="n">
        <x:v>0.015873015873015872</x:v>
      </x:c>
      <x:c r="N550" s="17" t="str">
        <x:v>arxiv-paper-eval-20260727-095247-results.jsonl</x:v>
      </x:c>
      <x:c r="O550" s="24" t="str">
        <x:v>1</x:v>
      </x:c>
      <x:c r="P550" s="28" t="str">
        <x:v>研究降维对ANN的影响，属于相邻优化而非图、量化、倒排三类核心。</x:v>
      </x:c>
      <x:c r="Q550" s="25" t="str"/>
      <x:c r="R550" s="24" t="str">
        <x:f>IF(Q550&lt;&gt;"",Q550,O550)</x:f>
        <x:v>1</x:v>
      </x:c>
      <x:c r="S550" s="29" t="str"/>
    </x:row>
    <x:row r="551" ht="54" customHeight="1">
      <x:c r="A551" s="17" t="str">
        <x:v>csq028-r15</x:v>
      </x:c>
      <x:c r="B551" s="17" t="str">
        <x:v>csq028</x:v>
      </x:c>
      <x:c r="C551" s="17" t="str">
        <x:v>data_management_and_ir</x:v>
      </x:c>
      <x:c r="D551" s="17" t="str">
        <x:v>vector_search</x:v>
      </x:c>
      <x:c r="E551" s="27" t="str">
        <x:v>How do graph-based, quantization-based, and inverted-file approaches to approximate nearest-neighbor search compare in recall, latency, memory usage, and index construction cost?</x:v>
      </x:c>
      <x:c r="F551" s="22" t="n">
        <x:v>15</x:v>
      </x:c>
      <x:c r="G551" s="17" t="str">
        <x:v>arXiv:1707.00143</x:v>
      </x:c>
      <x:c r="H551" s="27" t="str">
        <x:v>Fast Approximate Nearest Neighbor Search With The Navigating Spreading-out Graph</x:v>
      </x:c>
      <x:c r="I551" s="17" t="str">
        <x:v>Cong Fu; Chao Xiang; Changxu Wang; Deng Cai</x:v>
      </x:c>
      <x:c r="J551" s="22" t="n">
        <x:v>2017</x:v>
      </x:c>
      <x:c r="K551" s="27" t="str">
        <x:v>Approximate nearest neighbor search (ANNS) is a fundamental problem in databases and data mining. A scalable ANNS algorithm should be both memory-efficient and fast. Some early graph-based approaches have shown attractive theoretical guarantees on search time complexity, but they all suffer from the problem of high indexing time complexity. Recently, some graph-based methods have been proposed to reduce indexing complexity by approximating the traditional graphs; these methods have achieved revolutionary performance on million-scale datasets. Yet, they still can not scale to billion-node databases. In this paper, to further improve the search-efficiency and scalability of graph-based methods, we start by introducing four aspects: (1) ensuring the connectivity of the graph; (2) lowering the average out-degree of the graph for fast traversal; (3) shortening the search path; and (4) reducing the index size. Then, we propose a novel graph structure called Monotonic Relative Neighborhood Graph (MRNG) which guarantees very low search complexity (close to logarithmic time). To further lower the indexing complexity and make it practical for billion-node ANNS problems, we propose a novel graph structure named Navigating Spreading-out Graph (NSG) by approximating the MRNG. The NSG takes the four aspects into account simultaneously. Extensive experiments show that NSG outperforms all the existing algorithms significantly. In addition, NSG shows superior performance in the E-commercial search scenario of Taobao (Alibaba Group) and has been integrated into their search engine at billion-node scale.</x:v>
      </x:c>
      <x:c r="L551" s="17" t="str">
        <x:v>http://arxiv.org/abs/1707.00143v10</x:v>
      </x:c>
      <x:c r="M551" s="23" t="n">
        <x:v>0.015873015873015872</x:v>
      </x:c>
      <x:c r="N551" s="17" t="str">
        <x:v>arxiv-paper-eval-20260727-095247-results.jsonl</x:v>
      </x:c>
      <x:c r="O551" s="24" t="str">
        <x:v>2</x:v>
      </x:c>
      <x:c r="P551" s="28" t="str">
        <x:v>直接讨论图式ANN在查询、内存和高索引成本间的权衡。</x:v>
      </x:c>
      <x:c r="Q551" s="25" t="str"/>
      <x:c r="R551" s="24" t="str">
        <x:f>IF(Q551&lt;&gt;"",Q551,O551)</x:f>
        <x:v>2</x:v>
      </x:c>
      <x:c r="S551" s="29" t="str"/>
    </x:row>
    <x:row r="552" ht="54" customHeight="1">
      <x:c r="A552" s="17" t="str">
        <x:v>csq028-r16</x:v>
      </x:c>
      <x:c r="B552" s="17" t="str">
        <x:v>csq028</x:v>
      </x:c>
      <x:c r="C552" s="17" t="str">
        <x:v>data_management_and_ir</x:v>
      </x:c>
      <x:c r="D552" s="17" t="str">
        <x:v>vector_search</x:v>
      </x:c>
      <x:c r="E552" s="27" t="str">
        <x:v>How do graph-based, quantization-based, and inverted-file approaches to approximate nearest-neighbor search compare in recall, latency, memory usage, and index construction cost?</x:v>
      </x:c>
      <x:c r="F552" s="22" t="n">
        <x:v>16</x:v>
      </x:c>
      <x:c r="G552" s="17" t="str">
        <x:v>arXiv:2406.10938</x:v>
      </x:c>
      <x:c r="H552" s="27" t="str">
        <x:v>DET-LSH: A Locality-Sensitive Hashing Scheme with Dynamic Encoding Tree for Approximate Nearest Neighbor Search</x:v>
      </x:c>
      <x:c r="I552" s="17" t="str">
        <x:v>Jiuqi Wei; Botao Peng; Xiaodong Lee; Themis Palpanas</x:v>
      </x:c>
      <x:c r="J552" s="22" t="n">
        <x:v>2024</x:v>
      </x:c>
      <x:c r="K552" s="27" t="str">
        <x:v>Locality-sensitive hashing (LSH) is a well-known solution for approximate nearest neighbor (ANN) search in high-dimensional spaces due to its robust theoretical guarantee on query accuracy. Traditional LSH-based methods mainly focus on improving the efficiency and accuracy of the query phase by designing different query strategies, but pay little attention to improving the efficiency of the indexing phase. They typically fine-tune existing data-oriented partitioning trees to index data points and support their query strategies. However, their strategy to directly partition the multi-dimensional space is time-consuming, and performance degrades as the space dimensionality increases. In this paper, we design an encoding-based tree called Dynamic Encoding Tree (DE-Tree) to improve the indexing efficiency and support efficient range queries based on Euclidean distance. Based on DE-Tree, we propose a novel LSH scheme called DET-LSH. DET-LSH adopts a novel query strategy, which performs range queries in multiple independent index DE-Trees to reduce the probability of missing exact NN points, thereby improving the query accuracy. Our theoretical studies show that DET-LSH enjoys probabilistic guarantees on query accuracy. Extensive experiments on real-world datasets demonstrate the superiority of DET-LSH over the state-of-the-art LSH-based methods on both efficiency and accuracy. While achieving better query accuracy than competitors, DET-LSH achieves up to 6x speedup in indexing time and 2x speedup in query time over the state-of-the-art LSH-based methods. This paper was published in PVLDB 2024.</x:v>
      </x:c>
      <x:c r="L552" s="17" t="str">
        <x:v>http://arxiv.org/abs/2406.10938v2</x:v>
      </x:c>
      <x:c r="M552" s="23" t="n">
        <x:v>0.015625</x:v>
      </x:c>
      <x:c r="N552" s="17" t="str">
        <x:v>arxiv-paper-eval-20260727-095247-results.jsonl</x:v>
      </x:c>
      <x:c r="O552" s="24" t="str">
        <x:v>1</x:v>
      </x:c>
      <x:c r="P552" s="28" t="str">
        <x:v>研究LSH索引构建与查询效率，属于题目所列三类之外的方法。</x:v>
      </x:c>
      <x:c r="Q552" s="25" t="str"/>
      <x:c r="R552" s="24" t="str">
        <x:f>IF(Q552&lt;&gt;"",Q552,O552)</x:f>
        <x:v>1</x:v>
      </x:c>
      <x:c r="S552" s="29" t="str"/>
    </x:row>
    <x:row r="553" ht="54" customHeight="1">
      <x:c r="A553" s="17" t="str">
        <x:v>csq028-r17</x:v>
      </x:c>
      <x:c r="B553" s="17" t="str">
        <x:v>csq028</x:v>
      </x:c>
      <x:c r="C553" s="17" t="str">
        <x:v>data_management_and_ir</x:v>
      </x:c>
      <x:c r="D553" s="17" t="str">
        <x:v>vector_search</x:v>
      </x:c>
      <x:c r="E553" s="27" t="str">
        <x:v>How do graph-based, quantization-based, and inverted-file approaches to approximate nearest-neighbor search compare in recall, latency, memory usage, and index construction cost?</x:v>
      </x:c>
      <x:c r="F553" s="22" t="n">
        <x:v>17</x:v>
      </x:c>
      <x:c r="G553" s="17" t="str">
        <x:v>arXiv:2411.12229</x:v>
      </x:c>
      <x:c r="H553" s="27" t="str">
        <x:v>SymphonyQG: Towards Symphonious Integration of Quantization and Graph for Approximate Nearest Neighbor Search</x:v>
      </x:c>
      <x:c r="I553" s="17" t="str">
        <x:v>Yutong Gou; Jianyang Gao; Yuexuan Xu; Cheng Long</x:v>
      </x:c>
      <x:c r="J553" s="22" t="n">
        <x:v>2024</x:v>
      </x:c>
      <x:c r="K553" s="27" t="str">
        <x:v>Approximate nearest neighbor (ANN) search in high-dimensional Euclidean space has a broad range of applications. Among existing ANN algorithms, graph-based methods have shown superior performance in terms of the time-accuracy trade-off. However, they face performance bottlenecks due to the random memory accesses caused by the searching process on the graph indices and the costs of computing exact distances to guide the searching process. To relieve the bottlenecks, a recent method named NGT-QG makes an attempt by integrating quantization and graph. It (1) replicates and stores the quantization codes of a vertex's neighbors compactly so that they can be accessed sequentially, and (2) uses a SIMD-based implementation named FastScan to efficiently estimate distances based on the quantization codes in batch for guiding the searching process. While NGT-QG achieves promising improvements over the vanilla graph-based methods, it has not fully unleashed the potential of integrating quantization and graph. For instance, it entails a re-ranking step to compute exact distances at the end, which introduces extra random memory accesses; its graph structure is not jointly designed considering the in-batch nature of FastScan, which causes wastes of computation in searching. In this work, following NGT-QG, we present a new method named SymphonyQG, which achieves more symphonious integration of quantization and graph (e.g., it avoids the explicit re-ranking step and refines the graph structure to be more aligned with FastScan). Based on extensive experiments on real-world datasets, SymphonyQG establishes the new state-of-the-art in terms of the time-accuracy trade-off.</x:v>
      </x:c>
      <x:c r="L553" s="17" t="str">
        <x:v>http://arxiv.org/abs/2411.12229v1</x:v>
      </x:c>
      <x:c r="M553" s="23" t="n">
        <x:v>0.015625</x:v>
      </x:c>
      <x:c r="N553" s="17" t="str">
        <x:v>arxiv-paper-eval-20260727-095247-results.jsonl</x:v>
      </x:c>
      <x:c r="O553" s="24" t="str">
        <x:v>2</x:v>
      </x:c>
      <x:c r="P553" s="28" t="str">
        <x:v>直接融合量化与图索引并分析内存访问和距离计算。</x:v>
      </x:c>
      <x:c r="Q553" s="25" t="str"/>
      <x:c r="R553" s="24" t="str">
        <x:f>IF(Q553&lt;&gt;"",Q553,O553)</x:f>
        <x:v>2</x:v>
      </x:c>
      <x:c r="S553" s="29" t="str"/>
    </x:row>
    <x:row r="554" ht="54" customHeight="1">
      <x:c r="A554" s="17" t="str">
        <x:v>csq028-r18</x:v>
      </x:c>
      <x:c r="B554" s="17" t="str">
        <x:v>csq028</x:v>
      </x:c>
      <x:c r="C554" s="17" t="str">
        <x:v>data_management_and_ir</x:v>
      </x:c>
      <x:c r="D554" s="17" t="str">
        <x:v>vector_search</x:v>
      </x:c>
      <x:c r="E554" s="27" t="str">
        <x:v>How do graph-based, quantization-based, and inverted-file approaches to approximate nearest-neighbor search compare in recall, latency, memory usage, and index construction cost?</x:v>
      </x:c>
      <x:c r="F554" s="22" t="n">
        <x:v>18</x:v>
      </x:c>
      <x:c r="G554" s="17" t="str">
        <x:v>arXiv:2206.01382</x:v>
      </x:c>
      <x:c r="H554" s="27" t="str">
        <x:v>Falconn++: A Locality-sensitive Filtering Approach for Approximate Nearest Neighbor Search</x:v>
      </x:c>
      <x:c r="I554" s="17" t="str">
        <x:v>Ninh Pham; Tao Liu</x:v>
      </x:c>
      <x:c r="J554" s="22" t="n">
        <x:v>2022</x:v>
      </x:c>
      <x:c r="K554" s="27" t="str">
        <x:v>We present Falconn++, a novel locality-sensitive filtering approach for approximate nearest neighbor search on angular distance. Falconn++ can filter out potential far away points in any hash bucket \textit{before} querying, which results in higher quality candidates compared to other hashing-based solutions. Theoretically, Falconn++ asymptotically achieves lower query time complexity than Falconn, an optimal locality-sensitive hashing scheme on angular distance. Empirically, Falconn++ achieves higher recall-speed tradeoffs than Falconn on many real-world data sets. Falconn++ is also competitive with HNSW, an efficient representative of graph-based solutions on high search recall regimes.</x:v>
      </x:c>
      <x:c r="L554" s="17" t="str">
        <x:v>http://arxiv.org/abs/2206.01382v3</x:v>
      </x:c>
      <x:c r="M554" s="23" t="n">
        <x:v>0.015625</x:v>
      </x:c>
      <x:c r="N554" s="17" t="str">
        <x:v>arxiv-paper-eval-20260727-095247-results.jsonl</x:v>
      </x:c>
      <x:c r="O554" s="24" t="str">
        <x:v>1</x:v>
      </x:c>
      <x:c r="P554" s="28" t="str">
        <x:v>研究局部敏感哈希的召回速度权衡，不属于题目三类核心。</x:v>
      </x:c>
      <x:c r="Q554" s="25" t="str"/>
      <x:c r="R554" s="24" t="str">
        <x:f>IF(Q554&lt;&gt;"",Q554,O554)</x:f>
        <x:v>1</x:v>
      </x:c>
      <x:c r="S554" s="29" t="str"/>
    </x:row>
    <x:row r="555" ht="54" customHeight="1">
      <x:c r="A555" s="17" t="str">
        <x:v>csq028-r19</x:v>
      </x:c>
      <x:c r="B555" s="17" t="str">
        <x:v>csq028</x:v>
      </x:c>
      <x:c r="C555" s="17" t="str">
        <x:v>data_management_and_ir</x:v>
      </x:c>
      <x:c r="D555" s="17" t="str">
        <x:v>vector_search</x:v>
      </x:c>
      <x:c r="E555" s="27" t="str">
        <x:v>How do graph-based, quantization-based, and inverted-file approaches to approximate nearest-neighbor search compare in recall, latency, memory usage, and index construction cost?</x:v>
      </x:c>
      <x:c r="F555" s="22" t="n">
        <x:v>19</x:v>
      </x:c>
      <x:c r="G555" s="17" t="str">
        <x:v>arXiv:2502.18113</x:v>
      </x:c>
      <x:c r="H555" s="27" t="str">
        <x:v>Accelerating Graph Indexing for ANNS on Modern CPUs</x:v>
      </x:c>
      <x:c r="I555" s="17" t="str">
        <x:v>Mengzhao Wang; Haotian Wu; Xiangyu Ke; Yunjun Gao; Yifan Zhu; Wenchao Zhou</x:v>
      </x:c>
      <x:c r="J555" s="22" t="n">
        <x:v>2025</x:v>
      </x:c>
      <x:c r="K555" s="27" t="str">
        <x:v>In high-dimensional vector spaces, Approximate Nearest Neighbor Search (ANNS) is a key component in database and artificial intelligence infrastructures. Graph-based methods, particularly HNSW, have emerged as leading solutions among various ANNS approaches, offering an impressive trade-off between search efficiency and accuracy. Many modern vector databases utilize graph indexes as their core algorithms, benefiting from various optimizations to enhance search performance. However, the high indexing time associated with graph algorithms poses a significant challenge, especially given the increasing volume of data, query processing complexity, and dynamic index maintenance demand. This has rendered indexing time a critical performance metric for users. In this paper, we comprehensively analyze the underlying causes of the low graph indexing efficiency on modern CPUs, identifying that distance computation dominates indexing time, primarily due to high memory access latency and suboptimal arithmetic operation efficiency. We demonstrate that distance comparisons during index construction can be effectively performed using compact vector codes at an appropriate compression error. Drawing from insights gained through integrating existing compact coding methods in the graph indexing process, we propose a novel compact coding strategy, named Flash, designed explicitly for graph indexing and optimized for modern CPU architectures. By minimizing random memory accesses and maximizing the utilization of SIMD (Single Instruction, Multiple Data) instructions, Flash significantly enhances cache hit rates and arithmetic operations. Extensive experiments conducted on eight real-world datasets, ranging from ten million to one billion vectors, exhibit that Flash achieves a speedup of 10.4$\times$ to 22.9$\times$ in index construction efficiency, while maintaining or improving search performance.</x:v>
      </x:c>
      <x:c r="L555" s="17" t="str">
        <x:v>http://arxiv.org/abs/2502.18113v1</x:v>
      </x:c>
      <x:c r="M555" s="23" t="n">
        <x:v>0.015384615384615385</x:v>
      </x:c>
      <x:c r="N555" s="17" t="str">
        <x:v>arxiv-paper-eval-20260727-095247-results.jsonl</x:v>
      </x:c>
      <x:c r="O555" s="24" t="str">
        <x:v>2</x:v>
      </x:c>
      <x:c r="P555" s="28" t="str">
        <x:v>直接针对图式ANN的高索引构建时间进行CPU优化。</x:v>
      </x:c>
      <x:c r="Q555" s="25" t="str"/>
      <x:c r="R555" s="24" t="str">
        <x:f>IF(Q555&lt;&gt;"",Q555,O555)</x:f>
        <x:v>2</x:v>
      </x:c>
      <x:c r="S555" s="29" t="str"/>
    </x:row>
    <x:row r="556" ht="54" customHeight="1">
      <x:c r="A556" s="17" t="str">
        <x:v>csq028-r20</x:v>
      </x:c>
      <x:c r="B556" s="17" t="str">
        <x:v>csq028</x:v>
      </x:c>
      <x:c r="C556" s="17" t="str">
        <x:v>data_management_and_ir</x:v>
      </x:c>
      <x:c r="D556" s="17" t="str">
        <x:v>vector_search</x:v>
      </x:c>
      <x:c r="E556" s="27" t="str">
        <x:v>How do graph-based, quantization-based, and inverted-file approaches to approximate nearest-neighbor search compare in recall, latency, memory usage, and index construction cost?</x:v>
      </x:c>
      <x:c r="F556" s="22" t="n">
        <x:v>20</x:v>
      </x:c>
      <x:c r="G556" s="17" t="str">
        <x:v>arXiv:2505.19001</x:v>
      </x:c>
      <x:c r="H556" s="27" t="str">
        <x:v>DARTH: Declarative Recall Through Early Termination for Approximate Nearest Neighbor Search</x:v>
      </x:c>
      <x:c r="I556" s="17" t="str">
        <x:v>Manos Chatzakis; Yannis Papakonstantinou; Themis Palpanas</x:v>
      </x:c>
      <x:c r="J556" s="22" t="n">
        <x:v>2025</x:v>
      </x:c>
      <x:c r="K556" s="27" t="str">
        <x:v>Approximate Nearest Neighbor Search (ANNS) presents an inherent tradeoff between performance and recall (i.e., result quality). Each ANNS algorithm provides its own algorithm-dependent parameters to allow applications to influence the recall/performance tradeoff of their searches. This situation is doubly problematic. First, the application developers have to experiment with these algorithm-dependent parameters to fine-tune the parameters that produce the desired recall for each use case. This process usually takes a lot of effort. Even worse, the chosen parameters may produce good recall for some queries, but bad recall for hard queries. To solve these problems, we present DARTH, a method that uses target declarative recall. DARTH uses a novel method for providing target declarative recall on top of an ANNS index by employing an adaptive early termination strategy integrated into the search algorithm. Through a wide range of experiments, we demonstrate that DARTH effectively meets user-defined recall targets while achieving significant speedups, up to 14.6x (average: 6.8x; median: 5.7x) faster than the search without early termination for HNSW and up to 41.8x (average: 13.6x; median: 8.1x) for IVF. This paper appeared in ACM SIGMOD 2026.</x:v>
      </x:c>
      <x:c r="L556" s="17" t="str">
        <x:v>http://arxiv.org/abs/2505.19001v2</x:v>
      </x:c>
      <x:c r="M556" s="23" t="n">
        <x:v>0.015384615384615385</x:v>
      </x:c>
      <x:c r="N556" s="17" t="str">
        <x:v>arxiv-paper-eval-20260727-095247-results.jsonl</x:v>
      </x:c>
      <x:c r="O556" s="24" t="str">
        <x:v>2</x:v>
      </x:c>
      <x:c r="P556" s="28" t="str">
        <x:v>直接研究ANN算法的召回与性能权衡及提前终止。</x:v>
      </x:c>
      <x:c r="Q556" s="25" t="str"/>
      <x:c r="R556" s="24" t="str">
        <x:f>IF(Q556&lt;&gt;"",Q556,O556)</x:f>
        <x:v>2</x:v>
      </x:c>
      <x:c r="S556" s="29" t="str"/>
    </x:row>
    <x:row r="557" ht="54" customHeight="1">
      <x:c r="A557" s="17" t="str">
        <x:v>csq029-r01</x:v>
      </x:c>
      <x:c r="B557" s="17" t="str">
        <x:v>csq029</x:v>
      </x:c>
      <x:c r="C557" s="17" t="str">
        <x:v>data_management_and_ir</x:v>
      </x:c>
      <x:c r="D557" s="17" t="str">
        <x:v>neural_information_retrieval</x:v>
      </x:c>
      <x:c r="E557" s="27" t="str">
        <x:v>Which benchmarks and metrics are used to evaluate sparse, dense, and hybrid neural information retrieval, and how well do they measure out-of-domain robustness?</x:v>
      </x:c>
      <x:c r="F557" s="22" t="n">
        <x:v>1</x:v>
      </x:c>
      <x:c r="G557" s="17" t="str">
        <x:v>arXiv:2108.08787</x:v>
      </x:c>
      <x:c r="H557" s="27" t="str">
        <x:v>Mr. TyDi: A Multi-lingual Benchmark for Dense Retrieval</x:v>
      </x:c>
      <x:c r="I557" s="17" t="str">
        <x:v>Xinyu Zhang; Xueguang Ma; Peng Shi; Jimmy Lin</x:v>
      </x:c>
      <x:c r="J557" s="22" t="n">
        <x:v>2021</x:v>
      </x:c>
      <x:c r="K557" s="27" t="str">
        <x:v>We present Mr. TyDi, a multi-lingual benchmark dataset for mono-lingual retrieval in eleven typologically diverse languages, designed to evaluate ranking with learned dense representations. The goal of this resource is to spur research in dense retrieval techniques in non-English languages, motivated by recent observations that existing techniques for representation learning perform poorly when applied to out-of-distribution data. As a starting point, we provide zero-shot baselines for this new dataset based on a multi-lingual adaptation of DPR that we call "mDPR". Experiments show that although the effectiveness of mDPR is much lower than BM25, dense representations nevertheless appear to provide valuable relevance signals, improving BM25 results in sparse-dense hybrids. In addition to analyses of our results, we also discuss future challenges and present a research agenda in multi-lingual dense retrieval. Mr. TyDi can be downloaded at https://github.com/castorini/mr.tydi.</x:v>
      </x:c>
      <x:c r="L557" s="17" t="str">
        <x:v>http://arxiv.org/abs/2108.08787v2</x:v>
      </x:c>
      <x:c r="M557" s="23" t="n">
        <x:v>0.03177805800756621</x:v>
      </x:c>
      <x:c r="N557" s="17" t="str">
        <x:v>arxiv-paper-eval-20260727-095426-results.jsonl</x:v>
      </x:c>
      <x:c r="O557" s="24" t="str">
        <x:v>2</x:v>
      </x:c>
      <x:c r="P557" s="28" t="str">
        <x:v>直接提供多语言稠密检索基准并评估分布外零样本表现。</x:v>
      </x:c>
      <x:c r="Q557" s="25" t="str"/>
      <x:c r="R557" s="24" t="str">
        <x:f>IF(Q557&lt;&gt;"",Q557,O557)</x:f>
        <x:v>2</x:v>
      </x:c>
      <x:c r="S557" s="29" t="str"/>
    </x:row>
    <x:row r="558" ht="54" customHeight="1">
      <x:c r="A558" s="17" t="str">
        <x:v>csq029-r02</x:v>
      </x:c>
      <x:c r="B558" s="17" t="str">
        <x:v>csq029</x:v>
      </x:c>
      <x:c r="C558" s="17" t="str">
        <x:v>data_management_and_ir</x:v>
      </x:c>
      <x:c r="D558" s="17" t="str">
        <x:v>neural_information_retrieval</x:v>
      </x:c>
      <x:c r="E558" s="27" t="str">
        <x:v>Which benchmarks and metrics are used to evaluate sparse, dense, and hybrid neural information retrieval, and how well do they measure out-of-domain robustness?</x:v>
      </x:c>
      <x:c r="F558" s="22" t="n">
        <x:v>2</x:v>
      </x:c>
      <x:c r="G558" s="17" t="str">
        <x:v>arXiv:2104.08663</x:v>
      </x:c>
      <x:c r="H558" s="27" t="str">
        <x:v>BEIR: A Heterogenous Benchmark for Zero-shot Evaluation of Information Retrieval Models</x:v>
      </x:c>
      <x:c r="I558" s="17" t="str">
        <x:v>Nandan Thakur; Nils Reimers; Andreas Rücklé; Abhishek Srivastava; Iryna Gurevych</x:v>
      </x:c>
      <x:c r="J558" s="22" t="n">
        <x:v>2021</x:v>
      </x:c>
      <x:c r="K558" s="27" t="str">
        <x:v>Existing neural information retrieval (IR) models have often been studied in homogeneous and narrow settings, which has considerably limited insights into their out-of-distribution (OOD) generalization capabilities. To address this, and to facilitate researchers to broadly evaluate the effectiveness of their models, we introduce Benchmarking-IR (BEIR), a robust and heterogeneous evaluation benchmark for information retrieval. We leverage a careful selection of 18 publicly available datasets from diverse text retrieval tasks and domains and evaluate 10 state-of-the-art retrieval systems including lexical, sparse, dense, late-interaction and re-ranking architectures on the BEIR benchmark. Our results show BM25 is a robust baseline and re-ranking and late-interaction-based models on average achieve the best zero-shot performances, however, at high computational costs. In contrast, dense and sparse-retrieval models are computationally more efficient but often underperform other approaches, highlighting the considerable room for improvement in their generalization capabilities. We hope this framework allows us to better evaluate and understand existing retrieval systems, and contributes to accelerating progress towards better robust and generalizable systems in the future. BEIR is publicly available at https://github.com/UKPLab/beir.</x:v>
      </x:c>
      <x:c r="L558" s="17" t="str">
        <x:v>http://arxiv.org/abs/2104.08663v4</x:v>
      </x:c>
      <x:c r="M558" s="23" t="n">
        <x:v>0.031754032258064516</x:v>
      </x:c>
      <x:c r="N558" s="17" t="str">
        <x:v>arxiv-paper-eval-20260727-095426-results.jsonl</x:v>
      </x:c>
      <x:c r="O558" s="24" t="str">
        <x:v>2</x:v>
      </x:c>
      <x:c r="P558" s="28" t="str">
        <x:v>直接构建异构BEIR基准，比较词法、稀疏、稠密等系统的OOD泛化。</x:v>
      </x:c>
      <x:c r="Q558" s="25" t="str"/>
      <x:c r="R558" s="24" t="str">
        <x:f>IF(Q558&lt;&gt;"",Q558,O558)</x:f>
        <x:v>2</x:v>
      </x:c>
      <x:c r="S558" s="29" t="str"/>
    </x:row>
    <x:row r="559" ht="54" customHeight="1">
      <x:c r="A559" s="17" t="str">
        <x:v>csq029-r03</x:v>
      </x:c>
      <x:c r="B559" s="17" t="str">
        <x:v>csq029</x:v>
      </x:c>
      <x:c r="C559" s="17" t="str">
        <x:v>data_management_and_ir</x:v>
      </x:c>
      <x:c r="D559" s="17" t="str">
        <x:v>neural_information_retrieval</x:v>
      </x:c>
      <x:c r="E559" s="27" t="str">
        <x:v>Which benchmarks and metrics are used to evaluate sparse, dense, and hybrid neural information retrieval, and how well do they measure out-of-domain robustness?</x:v>
      </x:c>
      <x:c r="F559" s="22" t="n">
        <x:v>3</x:v>
      </x:c>
      <x:c r="G559" s="17" t="str">
        <x:v>arXiv:2407.06992</x:v>
      </x:c>
      <x:c r="H559" s="27" t="str">
        <x:v>Robust Neural Information Retrieval: An Adversarial and Out-of-distribution Perspective</x:v>
      </x:c>
      <x:c r="I559" s="17" t="str">
        <x:v>Yu-An Liu; Ruqing Zhang; Jiafeng Guo; Maarten de Rijke; Yixing Fan; Xueqi Cheng</x:v>
      </x:c>
      <x:c r="J559" s="22" t="n">
        <x:v>2024</x:v>
      </x:c>
      <x:c r="K559" s="27" t="str">
        <x:v>Recent advances in neural information retrieval (IR) models have significantly enhanced their effectiveness over various IR tasks. The robustness of these models, essential for ensuring their reliability in practice, has also garnered significant attention. With a wide array of research on robust IR being proposed, we believe it is the opportune moment to consolidate the current status, glean insights from existing methodologies, and lay the groundwork for future development. We view the robustness of IR to be a multifaceted concept, emphasizing its necessity against adversarial attacks, out-of-distribution (OOD) scenarios and performance variance. With a focus on adversarial and OOD robustness, we dissect robustness solutions for dense retrieval models (DRMs) and neural ranking models (NRMs), respectively, recognizing them as pivotal components of the neural IR pipeline. We provide an in-depth discussion of existing methods, datasets, and evaluation metrics, shedding light on challenges and future directions in the era of large language models. To the best of our knowledge, this is the first comprehensive survey on the robustness of neural IR models, and we will also be giving our first tutorial presentation at SIGIR 2024 \url{https://sigir2024-robust-information-retrieval.github.io}. Along with the organization of existing work, we introduce a Benchmark for robust IR (BestIR), a heterogeneous evaluation benchmark for robust neural information retrieval, which is publicly available at \url{https://github.com/Davion-Liu/BestIR}. We hope that this study provides useful clues for future research on the robustness of IR models and helps to develop trustworthy search engines \url{https://github.com/Davion-Liu/Awesome-Robustness-in-Information-Retrieval}.</x:v>
      </x:c>
      <x:c r="L559" s="17" t="str">
        <x:v>http://arxiv.org/abs/2407.06992v2</x:v>
      </x:c>
      <x:c r="M559" s="23" t="n">
        <x:v>0.031544957774465976</x:v>
      </x:c>
      <x:c r="N559" s="17" t="str">
        <x:v>arxiv-paper-eval-20260727-095426-results.jsonl</x:v>
      </x:c>
      <x:c r="O559" s="24" t="str">
        <x:v>2</x:v>
      </x:c>
      <x:c r="P559" s="28" t="str">
        <x:v>直接综述神经检索的对抗与分布外鲁棒性及评价。</x:v>
      </x:c>
      <x:c r="Q559" s="25" t="str"/>
      <x:c r="R559" s="24" t="str">
        <x:f>IF(Q559&lt;&gt;"",Q559,O559)</x:f>
        <x:v>2</x:v>
      </x:c>
      <x:c r="S559" s="29" t="str"/>
    </x:row>
    <x:row r="560" ht="54" customHeight="1">
      <x:c r="A560" s="17" t="str">
        <x:v>csq029-r04</x:v>
      </x:c>
      <x:c r="B560" s="17" t="str">
        <x:v>csq029</x:v>
      </x:c>
      <x:c r="C560" s="17" t="str">
        <x:v>data_management_and_ir</x:v>
      </x:c>
      <x:c r="D560" s="17" t="str">
        <x:v>neural_information_retrieval</x:v>
      </x:c>
      <x:c r="E560" s="27" t="str">
        <x:v>Which benchmarks and metrics are used to evaluate sparse, dense, and hybrid neural information retrieval, and how well do they measure out-of-domain robustness?</x:v>
      </x:c>
      <x:c r="F560" s="22" t="n">
        <x:v>4</x:v>
      </x:c>
      <x:c r="G560" s="17" t="str">
        <x:v>arXiv:2510.03795</x:v>
      </x:c>
      <x:c r="H560" s="27" t="str">
        <x:v>Investigating LLM Variability in Personalized Conversational Information Retrieval</x:v>
      </x:c>
      <x:c r="I560" s="17" t="str">
        <x:v>Simon Lupart; Daniël van Dijk; Eric Langezaal; Ian van Dort; Mohammad Aliannejadi</x:v>
      </x:c>
      <x:c r="J560" s="22" t="n">
        <x:v>2025</x:v>
      </x:c>
      <x:c r="K560" s="27" t="str">
        <x:v>Personalized Conversational Information Retrieval (CIR) has seen rapid progress in recent years, driven by the development of Large Language Models (LLMs). Personalized CIR aims to enhance document retrieval by leveraging user-specific information, such as preferences, knowledge, or constraints, to tailor responses to individual needs. A key resource for this task is the TREC iKAT 2023 dataset, designed to evaluate personalization in CIR pipelines. Building on this resource, Mo et al. explored several strategies for incorporating Personal Textual Knowledge Bases (PTKB) into LLM-based query reformulation. Their findings suggested that personalization from PTKBs could be detrimental and that human annotations were often noisy. However, these conclusions were based on single-run experiments using the GPT-3.5 Turbo model, raising concerns about output variability and repeatability. In this reproducibility study, we rigorously reproduce and extend their work, focusing on LLM output variability and model generalization. We apply the original methods to the new TREC iKAT 2024 dataset and evaluate a diverse range of models, including Llama (1B-70B), Qwen-7B, GPT-4o-mini. Our results show that human-selected PTKBs consistently enhance retrieval performance, while LLM-based selection methods do not reliably outperform manual choices. We further compare variance across datasets and observe higher variability on iKAT than on CAsT, highlighting the challenges of evaluating personalized CIR. Notably, recall-oriented metrics exhibit lower variance than precision-oriented ones, a critical insight for first-stage retrievers. Finally, we underscore the need for multi-run evaluations and variance reporting when assessing LLM-based CIR systems. By broadening evaluation across models, datasets, and metrics, our study contributes to more robust and generalizable practices for personalized CIR.</x:v>
      </x:c>
      <x:c r="L560" s="17" t="str">
        <x:v>http://arxiv.org/abs/2510.03795v1</x:v>
      </x:c>
      <x:c r="M560" s="23" t="n">
        <x:v>0.0304147465437788</x:v>
      </x:c>
      <x:c r="N560" s="17" t="str">
        <x:v>arxiv-paper-eval-20260727-095426-results.jsonl</x:v>
      </x:c>
      <x:c r="O560" s="24" t="str">
        <x:v>0</x:v>
      </x:c>
      <x:c r="P560" s="28" t="str">
        <x:v>研究个性化对话检索输出波动，未比较稀疏、稠密、混合或OOD鲁棒性。</x:v>
      </x:c>
      <x:c r="Q560" s="25" t="str"/>
      <x:c r="R560" s="24" t="str">
        <x:f>IF(Q560&lt;&gt;"",Q560,O560)</x:f>
        <x:v>0</x:v>
      </x:c>
      <x:c r="S560" s="29" t="str"/>
    </x:row>
    <x:row r="561" ht="54" customHeight="1">
      <x:c r="A561" s="17" t="str">
        <x:v>csq029-r05</x:v>
      </x:c>
      <x:c r="B561" s="17" t="str">
        <x:v>csq029</x:v>
      </x:c>
      <x:c r="C561" s="17" t="str">
        <x:v>data_management_and_ir</x:v>
      </x:c>
      <x:c r="D561" s="17" t="str">
        <x:v>neural_information_retrieval</x:v>
      </x:c>
      <x:c r="E561" s="27" t="str">
        <x:v>Which benchmarks and metrics are used to evaluate sparse, dense, and hybrid neural information retrieval, and how well do they measure out-of-domain robustness?</x:v>
      </x:c>
      <x:c r="F561" s="22" t="n">
        <x:v>5</x:v>
      </x:c>
      <x:c r="G561" s="17" t="str">
        <x:v>arXiv:2307.16779</x:v>
      </x:c>
      <x:c r="H561" s="27" t="str">
        <x:v>Lexically-Accelerated Dense Retrieval</x:v>
      </x:c>
      <x:c r="I561" s="17" t="str">
        <x:v>Hrishikesh Kulkarni; Sean MacAvaney; Nazli Goharian; Ophir Frieder</x:v>
      </x:c>
      <x:c r="J561" s="22" t="n">
        <x:v>2023</x:v>
      </x:c>
      <x:c r="K561" s="27" t="str">
        <x:v>Retrieval approaches that score documents based on learned dense vectors (i.e., dense retrieval) rather than lexical signals (i.e., conventional retrieval) are increasingly popular. Their ability to identify related documents that do not necessarily contain the same terms as those appearing in the user's query (thereby improving recall) is one of their key advantages. However, to actually achieve these gains, dense retrieval approaches typically require an exhaustive search over the document collection, making them considerably more expensive at query-time than conventional lexical approaches. Several techniques aim to reduce this computational overhead by approximating the results of a full dense retriever. Although these approaches reasonably approximate the top results, they suffer in terms of recall -- one of the key advantages of dense retrieval. We introduce 'LADR' (Lexically-Accelerated Dense Retrieval), a simple-yet-effective approach that improves the efficiency of existing dense retrieval models without compromising on retrieval effectiveness. LADR uses lexical retrieval techniques to seed a dense retrieval exploration that uses a document proximity graph. We explore two variants of LADR: a proactive approach that expands the search space to the neighbors of all seed documents, and an adaptive approach that selectively searches the documents with the highest estimated relevance in an iterative fashion. Through extensive experiments across a variety of dense retrieval models, we find that LADR establishes a new dense retrieval effectiveness-efficiency Pareto frontier among approximate k nearest neighbor techniques. Further, we find that when tuned to take around 8ms per query in retrieval latency on our hardware, LADR consistently achieves both precision and recall that are on par with an exhaustive search on standard benchmarks.</x:v>
      </x:c>
      <x:c r="L561" s="17" t="str">
        <x:v>http://arxiv.org/abs/2307.16779v1</x:v>
      </x:c>
      <x:c r="M561" s="23" t="n">
        <x:v>0.03007688828584351</x:v>
      </x:c>
      <x:c r="N561" s="17" t="str">
        <x:v>arxiv-paper-eval-20260727-095426-results.jsonl</x:v>
      </x:c>
      <x:c r="O561" s="24" t="str">
        <x:v>1</x:v>
      </x:c>
      <x:c r="P561" s="28" t="str">
        <x:v>研究稠密检索的效率和召回，可作性能指标案例但非OOD评测核心。</x:v>
      </x:c>
      <x:c r="Q561" s="25" t="str"/>
      <x:c r="R561" s="24" t="str">
        <x:f>IF(Q561&lt;&gt;"",Q561,O561)</x:f>
        <x:v>1</x:v>
      </x:c>
      <x:c r="S561" s="29" t="str"/>
    </x:row>
    <x:row r="562" ht="54" customHeight="1">
      <x:c r="A562" s="17" t="str">
        <x:v>csq029-r06</x:v>
      </x:c>
      <x:c r="B562" s="17" t="str">
        <x:v>csq029</x:v>
      </x:c>
      <x:c r="C562" s="17" t="str">
        <x:v>data_management_and_ir</x:v>
      </x:c>
      <x:c r="D562" s="17" t="str">
        <x:v>neural_information_retrieval</x:v>
      </x:c>
      <x:c r="E562" s="27" t="str">
        <x:v>Which benchmarks and metrics are used to evaluate sparse, dense, and hybrid neural information retrieval, and how well do they measure out-of-domain robustness?</x:v>
      </x:c>
      <x:c r="F562" s="22" t="n">
        <x:v>6</x:v>
      </x:c>
      <x:c r="G562" s="17" t="str">
        <x:v>arXiv:2403.18684</x:v>
      </x:c>
      <x:c r="H562" s="27" t="str">
        <x:v>Scaling Laws For Dense Retrieval</x:v>
      </x:c>
      <x:c r="I562" s="17" t="str">
        <x:v>Yan Fang; Jingtao Zhan; Qingyao Ai; Jiaxin Mao; Weihang Su; Jia Chen; Yiqun Liu</x:v>
      </x:c>
      <x:c r="J562" s="22" t="n">
        <x:v>2024</x:v>
      </x:c>
      <x:c r="K562" s="27" t="str">
        <x:v>Scaling up neural models has yielded significant advancements in a wide array of tasks, particularly in language generation. Previous studies have found that the performance of neural models frequently adheres to predictable scaling laws, correlated with factors such as training set size and model size. This insight is invaluable, especially as large-scale experiments grow increasingly resource-intensive. Yet, such scaling law has not been fully explored in dense retrieval due to the discrete nature of retrieval metrics and complex relationships between training data and model sizes in retrieval tasks. In this study, we investigate whether the performance of dense retrieval models follows the scaling law as other neural models. We propose to use contrastive log-likelihood as the evaluation metric and conduct extensive experiments with dense retrieval models implemented with different numbers of parameters and trained with different amounts of annotated data. Results indicate that, under our settings, the performance of dense retrieval models follows a precise power-law scaling related to the model size and the number of annotations. Additionally, we examine scaling with prevalent data augmentation methods to assess the impact of annotation quality, and apply the scaling law to find the best resource allocation strategy under a budget constraint. We believe that these insights will significantly contribute to understanding the scaling effect of dense retrieval models and offer meaningful guidance for future research endeavors.</x:v>
      </x:c>
      <x:c r="L562" s="17" t="str">
        <x:v>http://arxiv.org/abs/2403.18684v2</x:v>
      </x:c>
      <x:c r="M562" s="23" t="n">
        <x:v>0.02803921568627451</x:v>
      </x:c>
      <x:c r="N562" s="17" t="str">
        <x:v>arxiv-paper-eval-20260727-095426-results.jsonl</x:v>
      </x:c>
      <x:c r="O562" s="24" t="str">
        <x:v>1</x:v>
      </x:c>
      <x:c r="P562" s="28" t="str">
        <x:v>研究稠密检索规模规律及检索指标，可作评价背景但不聚焦跨域鲁棒性。</x:v>
      </x:c>
      <x:c r="Q562" s="25" t="str"/>
      <x:c r="R562" s="24" t="str">
        <x:f>IF(Q562&lt;&gt;"",Q562,O562)</x:f>
        <x:v>1</x:v>
      </x:c>
      <x:c r="S562" s="29" t="str"/>
    </x:row>
    <x:row r="563" ht="54" customHeight="1">
      <x:c r="A563" s="17" t="str">
        <x:v>csq029-r07</x:v>
      </x:c>
      <x:c r="B563" s="17" t="str">
        <x:v>csq029</x:v>
      </x:c>
      <x:c r="C563" s="17" t="str">
        <x:v>data_management_and_ir</x:v>
      </x:c>
      <x:c r="D563" s="17" t="str">
        <x:v>neural_information_retrieval</x:v>
      </x:c>
      <x:c r="E563" s="27" t="str">
        <x:v>Which benchmarks and metrics are used to evaluate sparse, dense, and hybrid neural information retrieval, and how well do they measure out-of-domain robustness?</x:v>
      </x:c>
      <x:c r="F563" s="22" t="n">
        <x:v>7</x:v>
      </x:c>
      <x:c r="G563" s="17" t="str">
        <x:v>arXiv:2106.08433</x:v>
      </x:c>
      <x:c r="H563" s="27" t="str">
        <x:v>Combining Lexical and Dense Retrieval for Computationally Efficient Multi-hop Question Answering</x:v>
      </x:c>
      <x:c r="I563" s="17" t="str">
        <x:v>Georgios Sidiropoulos; Nikos Voskarides; Svitlana Vakulenko; Evangelos Kanoulas</x:v>
      </x:c>
      <x:c r="J563" s="22" t="n">
        <x:v>2021</x:v>
      </x:c>
      <x:c r="K563" s="27" t="str">
        <x:v>In simple open-domain question answering (QA), dense retrieval has become one of the standard approaches for retrieving the relevant passages to infer an answer. Recently, dense retrieval also achieved state-of-the-art results in multi-hop QA, where aggregating information from multiple pieces of information and reasoning over them is required. Despite their success, dense retrieval methods are computationally intensive, requiring multiple GPUs to train. In this work, we introduce a hybrid (lexical and dense) retrieval approach that is highly competitive with the state-of-the-art dense retrieval models, while requiring substantially less computational resources. Additionally, we provide an in-depth evaluation of dense retrieval methods on limited computational resource settings, something that is missing from the current literature.</x:v>
      </x:c>
      <x:c r="L563" s="17" t="str">
        <x:v>http://arxiv.org/abs/2106.08433v2</x:v>
      </x:c>
      <x:c r="M563" s="23" t="n">
        <x:v>0.027402402402402402</x:v>
      </x:c>
      <x:c r="N563" s="17" t="str">
        <x:v>arxiv-paper-eval-20260727-095426-results.jsonl</x:v>
      </x:c>
      <x:c r="O563" s="24" t="str">
        <x:v>2</x:v>
      </x:c>
      <x:c r="P563" s="28" t="str">
        <x:v>直接比较词法与稠密混合检索的效果和计算成本。</x:v>
      </x:c>
      <x:c r="Q563" s="25" t="str"/>
      <x:c r="R563" s="24" t="str">
        <x:f>IF(Q563&lt;&gt;"",Q563,O563)</x:f>
        <x:v>2</x:v>
      </x:c>
      <x:c r="S563" s="29" t="str"/>
    </x:row>
    <x:row r="564" ht="54" customHeight="1">
      <x:c r="A564" s="17" t="str">
        <x:v>csq029-r08</x:v>
      </x:c>
      <x:c r="B564" s="17" t="str">
        <x:v>csq029</x:v>
      </x:c>
      <x:c r="C564" s="17" t="str">
        <x:v>data_management_and_ir</x:v>
      </x:c>
      <x:c r="D564" s="17" t="str">
        <x:v>neural_information_retrieval</x:v>
      </x:c>
      <x:c r="E564" s="27" t="str">
        <x:v>Which benchmarks and metrics are used to evaluate sparse, dense, and hybrid neural information retrieval, and how well do they measure out-of-domain robustness?</x:v>
      </x:c>
      <x:c r="F564" s="22" t="n">
        <x:v>8</x:v>
      </x:c>
      <x:c r="G564" s="17" t="str">
        <x:v>arXiv:2210.07774</x:v>
      </x:c>
      <x:c r="H564" s="27" t="str">
        <x:v>Learning To Rank Diversely At Airbnb</x:v>
      </x:c>
      <x:c r="I564" s="17" t="str">
        <x:v>Malay Haldar; Mustafa Abdool; Liwei He; Dillon Davis; Huiji Gao; Sanjeev Katariya</x:v>
      </x:c>
      <x:c r="J564" s="22" t="n">
        <x:v>2022</x:v>
      </x:c>
      <x:c r="K564" s="27" t="str">
        <x:v>Airbnb is a two-sided marketplace, bringing together hosts who own listings for rent, with prospective guests from around the globe. Applying neural network-based learning to rank techniques has led to significant improvements in matching guests with hosts. These improvements in ranking were driven by a core strategy: order the listings by their estimated booking probabilities, then iterate on techniques to make these booking probability estimates more and more accurate. Embedded implicitly in this strategy was an assumption that the booking probability of a listing could be determined independently of other listings in search results. In this paper we discuss how this assumption, pervasive throughout the commonly-used learning to rank frameworks, is false. We provide a theoretical foundation correcting this assumption, followed by efficient neural network architectures based on the theory. Explicitly accounting for possible similarities between listings, and reducing them to diversify the search results generated strong positive impact. We discuss these metric wins as part of the online A/B tests of the theory. Our method provides a practical way to diversify search results for large-scale production ranking systems.</x:v>
      </x:c>
      <x:c r="L564" s="17" t="str">
        <x:v>http://arxiv.org/abs/2210.07774v3</x:v>
      </x:c>
      <x:c r="M564" s="23" t="n">
        <x:v>0.01639344262295082</x:v>
      </x:c>
      <x:c r="N564" s="17" t="str">
        <x:v>arxiv-paper-eval-20260727-095426-results.jsonl</x:v>
      </x:c>
      <x:c r="O564" s="24" t="str">
        <x:v>0</x:v>
      </x:c>
      <x:c r="P564" s="28" t="str">
        <x:v>研究Airbnb排序多样性，与神经检索基准和跨域鲁棒性不对应。</x:v>
      </x:c>
      <x:c r="Q564" s="25" t="str"/>
      <x:c r="R564" s="24" t="str">
        <x:f>IF(Q564&lt;&gt;"",Q564,O564)</x:f>
        <x:v>0</x:v>
      </x:c>
      <x:c r="S564" s="29" t="str"/>
    </x:row>
    <x:row r="565" ht="54" customHeight="1">
      <x:c r="A565" s="17" t="str">
        <x:v>csq029-r09</x:v>
      </x:c>
      <x:c r="B565" s="17" t="str">
        <x:v>csq029</x:v>
      </x:c>
      <x:c r="C565" s="17" t="str">
        <x:v>data_management_and_ir</x:v>
      </x:c>
      <x:c r="D565" s="17" t="str">
        <x:v>neural_information_retrieval</x:v>
      </x:c>
      <x:c r="E565" s="27" t="str">
        <x:v>Which benchmarks and metrics are used to evaluate sparse, dense, and hybrid neural information retrieval, and how well do they measure out-of-domain robustness?</x:v>
      </x:c>
      <x:c r="F565" s="22" t="n">
        <x:v>9</x:v>
      </x:c>
      <x:c r="G565" s="17" t="str">
        <x:v>arXiv:2112.05662</x:v>
      </x:c>
      <x:c r="H565" s="27" t="str">
        <x:v>Match Your Words! A Study of Lexical Matching in Neural Information Retrieval</x:v>
      </x:c>
      <x:c r="I565" s="17" t="str">
        <x:v>Thibault Formal; Benjamin Piwowarski; Stéphane Clinchant</x:v>
      </x:c>
      <x:c r="J565" s="22" t="n">
        <x:v>2021</x:v>
      </x:c>
      <x:c r="K565" s="27" t="str">
        <x:v>Neural Information Retrieval models hold the promise to replace lexical matching models, e.g. BM25, in modern search engines. While their capabilities have fully shone on in-domain datasets like MS MARCO, they have recently been challenged on out-of-domain zero-shot settings (BEIR benchmark), questioning their actual generalization capabilities compared to bag-of-words approaches. Particularly, we wonder if these shortcomings could (partly) be the consequence of the inability of neural IR models to perform lexical matching off-the-shelf. In this work, we propose a measure of discrepancy between the lexical matching performed by any (neural) model and an 'ideal' one. Based on this, we study the behavior of different state-of-the-art neural IR models, focusing on whether they are able to perform lexical matching when it's actually useful, i.e. for important terms. Overall, we show that neural IR models fail to properly generalize term importance on out-of-domain collections or terms almost unseen during training</x:v>
      </x:c>
      <x:c r="L565" s="17" t="str">
        <x:v>http://arxiv.org/abs/2112.05662v2</x:v>
      </x:c>
      <x:c r="M565" s="23" t="n">
        <x:v>0.01639344262295082</x:v>
      </x:c>
      <x:c r="N565" s="17" t="str">
        <x:v>arxiv-paper-eval-20260727-095426-results.jsonl</x:v>
      </x:c>
      <x:c r="O565" s="24" t="str">
        <x:v>2</x:v>
      </x:c>
      <x:c r="P565" s="28" t="str">
        <x:v>直接分析稠密检索在BEIR分布外场景的词法匹配缺陷并提出度量。</x:v>
      </x:c>
      <x:c r="Q565" s="25" t="str"/>
      <x:c r="R565" s="24" t="str">
        <x:f>IF(Q565&lt;&gt;"",Q565,O565)</x:f>
        <x:v>2</x:v>
      </x:c>
      <x:c r="S565" s="29" t="str"/>
    </x:row>
    <x:row r="566" ht="54" customHeight="1">
      <x:c r="A566" s="17" t="str">
        <x:v>csq029-r10</x:v>
      </x:c>
      <x:c r="B566" s="17" t="str">
        <x:v>csq029</x:v>
      </x:c>
      <x:c r="C566" s="17" t="str">
        <x:v>data_management_and_ir</x:v>
      </x:c>
      <x:c r="D566" s="17" t="str">
        <x:v>neural_information_retrieval</x:v>
      </x:c>
      <x:c r="E566" s="27" t="str">
        <x:v>Which benchmarks and metrics are used to evaluate sparse, dense, and hybrid neural information retrieval, and how well do they measure out-of-domain robustness?</x:v>
      </x:c>
      <x:c r="F566" s="22" t="n">
        <x:v>10</x:v>
      </x:c>
      <x:c r="G566" s="17" t="str">
        <x:v>arXiv:2502.15526</x:v>
      </x:c>
      <x:c r="H566" s="27" t="str">
        <x:v>Scaling Sparse and Dense Retrieval in Decoder-Only LLMs</x:v>
      </x:c>
      <x:c r="I566" s="17" t="str">
        <x:v>Hansi Zeng; Julian Killingback; Hamed Zamani</x:v>
      </x:c>
      <x:c r="J566" s="22" t="n">
        <x:v>2025</x:v>
      </x:c>
      <x:c r="K566" s="27" t="str">
        <x:v>Scaling large language models (LLMs) has shown great potential for improving retrieval model performance; however, previous studies have mainly focused on dense retrieval trained with contrastive loss (CL), neglecting the scaling behavior of other retrieval paradigms and optimization techniques, such as sparse retrieval and knowledge distillation (KD). In this work, we conduct a systematic comparative study on how different retrieval paradigms (sparse vs. dense) and fine-tuning objectives (CL vs. KD vs. their combination) affect retrieval performance across different model scales. Using MSMARCO passages as the training dataset, decoder-only LLMs (Llama-3 series: 1B, 3B, 8B), and a fixed compute budget, we evaluate various training configurations on both in-domain (MSMARCO, TREC DL) and out-of-domain (BEIR) benchmarks. Our key findings reveal that: (1) Scaling behaviors emerge clearly only with CL, where larger models achieve significant performance gains, whereas KD-trained models show minimal improvement, performing similarly across the 1B, 3B, and 8B scales. (2) Sparse retrieval models consistently outperform dense retrieval across both in-domain (MSMARCO, TREC DL) and out-of-domain (BEIR) benchmarks, and they demonstrate greater robustness to imperfect supervised signals. (3) We successfully scale sparse retrieval models with the combination of CL and KD losses at 8B scale, achieving state-of-the-art (SOTA) results in all evaluation sets.</x:v>
      </x:c>
      <x:c r="L566" s="17" t="str">
        <x:v>http://arxiv.org/abs/2502.15526v1</x:v>
      </x:c>
      <x:c r="M566" s="23" t="n">
        <x:v>0.016129032258064516</x:v>
      </x:c>
      <x:c r="N566" s="17" t="str">
        <x:v>arxiv-paper-eval-20260727-095426-results.jsonl</x:v>
      </x:c>
      <x:c r="O566" s="24" t="str">
        <x:v>2</x:v>
      </x:c>
      <x:c r="P566" s="28" t="str">
        <x:v>直接系统比较稀疏与稠密范式在不同规模和数据集上的表现。</x:v>
      </x:c>
      <x:c r="Q566" s="25" t="str"/>
      <x:c r="R566" s="24" t="str">
        <x:f>IF(Q566&lt;&gt;"",Q566,O566)</x:f>
        <x:v>2</x:v>
      </x:c>
      <x:c r="S566" s="29" t="str"/>
    </x:row>
    <x:row r="567" ht="54" customHeight="1">
      <x:c r="A567" s="17" t="str">
        <x:v>csq029-r11</x:v>
      </x:c>
      <x:c r="B567" s="17" t="str">
        <x:v>csq029</x:v>
      </x:c>
      <x:c r="C567" s="17" t="str">
        <x:v>data_management_and_ir</x:v>
      </x:c>
      <x:c r="D567" s="17" t="str">
        <x:v>neural_information_retrieval</x:v>
      </x:c>
      <x:c r="E567" s="27" t="str">
        <x:v>Which benchmarks and metrics are used to evaluate sparse, dense, and hybrid neural information retrieval, and how well do they measure out-of-domain robustness?</x:v>
      </x:c>
      <x:c r="F567" s="22" t="n">
        <x:v>11</x:v>
      </x:c>
      <x:c r="G567" s="17" t="str">
        <x:v>arXiv:2509.25716</x:v>
      </x:c>
      <x:c r="H567" s="27" t="str">
        <x:v>DeepCodeSeek: Real-Time API Retrieval for Context-Aware Code Generation</x:v>
      </x:c>
      <x:c r="I567" s="17" t="str">
        <x:v>Esakkivel Esakkiraja; Denis Akhiyarov; Aditya Shanmugham; Chitra Ganapathy</x:v>
      </x:c>
      <x:c r="J567" s="22" t="n">
        <x:v>2025</x:v>
      </x:c>
      <x:c r="K567" s="27" t="str">
        <x:v>Current search techniques are limited to standard RAG query-document applications. In this paper, we propose a novel technique to expand the code and index for predicting the required APIs, directly enabling high-quality, end-to-end code generation for auto-completion and agentic AI applications. We address the problem of API leaks in current code-to-code benchmark datasets by introducing a new dataset built from real-world ServiceNow Script Includes that capture the challenge of unclear API usage intent in the code. Our evaluation metrics show that this method achieves 87.86% top-40 retrieval accuracy, allowing the critical context with APIs needed for successful downstream code generation. To enable real-time predictions, we develop a comprehensive post-training pipeline that optimizes a compact 0.6B reranker through synthetic dataset generation, supervised fine-tuning, and reinforcement learning. This approach enables our compact reranker to outperform a much larger 8B model while maintaining 2.5x reduced latency, effectively addressing the nuances of enterprise-specific code without the computational overhead of larger models.</x:v>
      </x:c>
      <x:c r="L567" s="17" t="str">
        <x:v>http://arxiv.org/abs/2509.25716v1</x:v>
      </x:c>
      <x:c r="M567" s="23" t="n">
        <x:v>0.016129032258064516</x:v>
      </x:c>
      <x:c r="N567" s="17" t="str">
        <x:v>arxiv-paper-eval-20260727-095426-results.jsonl</x:v>
      </x:c>
      <x:c r="O567" s="24" t="str">
        <x:v>1</x:v>
      </x:c>
      <x:c r="P567" s="28" t="str">
        <x:v>提供代码API检索数据和Top-k准确率，但任务专用且未比较三类检索或OOD。</x:v>
      </x:c>
      <x:c r="Q567" s="25" t="str"/>
      <x:c r="R567" s="24" t="str">
        <x:f>IF(Q567&lt;&gt;"",Q567,O567)</x:f>
        <x:v>1</x:v>
      </x:c>
      <x:c r="S567" s="29" t="str"/>
    </x:row>
    <x:row r="568" ht="54" customHeight="1">
      <x:c r="A568" s="17" t="str">
        <x:v>csq029-r12</x:v>
      </x:c>
      <x:c r="B568" s="17" t="str">
        <x:v>csq029</x:v>
      </x:c>
      <x:c r="C568" s="17" t="str">
        <x:v>data_management_and_ir</x:v>
      </x:c>
      <x:c r="D568" s="17" t="str">
        <x:v>neural_information_retrieval</x:v>
      </x:c>
      <x:c r="E568" s="27" t="str">
        <x:v>Which benchmarks and metrics are used to evaluate sparse, dense, and hybrid neural information retrieval, and how well do they measure out-of-domain robustness?</x:v>
      </x:c>
      <x:c r="F568" s="22" t="n">
        <x:v>12</x:v>
      </x:c>
      <x:c r="G568" s="17" t="str">
        <x:v>arXiv:2601.05263</x:v>
      </x:c>
      <x:c r="H568" s="27" t="str">
        <x:v>A General Metric-Space Formulation of the Time Warp Edit Distance (TWED)</x:v>
      </x:c>
      <x:c r="I568" s="17" t="str">
        <x:v>Zhen Yi Lau</x:v>
      </x:c>
      <x:c r="J568" s="22" t="n">
        <x:v>2025</x:v>
      </x:c>
      <x:c r="K568" s="27" t="str">
        <x:v>This short technical note presents a formal generalization of the Time Warp Edit Distance (TWED) proposed by Marteau (2009) to arbitrary metric spaces. By viewing both the observation and temporal domains as metric spaces $(X, d)$ and $(T, Δ)$, we define a Generalized TWED (GTWED) that remains a true metric under mild assumptions. We provide self-contained proofs of its metric properties and show that the classical TWED is recovered as a special case when $X = \mathbb{R}^d$, $T \subset \mathbb{R}$, and $g(x) = x$. This note focuses on the theoretical structure of GTWED and its implications for extending elastic distances beyond time series, which enables the use of TWED-like metrics on sequences over arbitrary domains such as symbolic data, manifolds, or embeddings.</x:v>
      </x:c>
      <x:c r="L568" s="17" t="str">
        <x:v>http://arxiv.org/abs/2601.05263v1</x:v>
      </x:c>
      <x:c r="M568" s="23" t="n">
        <x:v>0.015873015873015872</x:v>
      </x:c>
      <x:c r="N568" s="17" t="str">
        <x:v>arxiv-paper-eval-20260727-095426-results.jsonl</x:v>
      </x:c>
      <x:c r="O568" s="24" t="str">
        <x:v>0</x:v>
      </x:c>
      <x:c r="P568" s="28" t="str">
        <x:v>研究时间扭曲编辑距离的数学度量，与信息检索评价无关。</x:v>
      </x:c>
      <x:c r="Q568" s="25" t="str"/>
      <x:c r="R568" s="24" t="str">
        <x:f>IF(Q568&lt;&gt;"",Q568,O568)</x:f>
        <x:v>0</x:v>
      </x:c>
      <x:c r="S568" s="29" t="str"/>
    </x:row>
    <x:row r="569" ht="54" customHeight="1">
      <x:c r="A569" s="17" t="str">
        <x:v>csq029-r13</x:v>
      </x:c>
      <x:c r="B569" s="17" t="str">
        <x:v>csq029</x:v>
      </x:c>
      <x:c r="C569" s="17" t="str">
        <x:v>data_management_and_ir</x:v>
      </x:c>
      <x:c r="D569" s="17" t="str">
        <x:v>neural_information_retrieval</x:v>
      </x:c>
      <x:c r="E569" s="27" t="str">
        <x:v>Which benchmarks and metrics are used to evaluate sparse, dense, and hybrid neural information retrieval, and how well do they measure out-of-domain robustness?</x:v>
      </x:c>
      <x:c r="F569" s="22" t="n">
        <x:v>13</x:v>
      </x:c>
      <x:c r="G569" s="17" t="str">
        <x:v>arXiv:2412.18768</x:v>
      </x:c>
      <x:c r="H569" s="27" t="str">
        <x:v>On the Robustness of Generative Information Retrieval Models</x:v>
      </x:c>
      <x:c r="I569" s="17" t="str">
        <x:v>Yu-An Liu; Ruqing Zhang; Jiafeng Guo; Changjiang Zhou; Maarten de Rijke; Xueqi Cheng</x:v>
      </x:c>
      <x:c r="J569" s="22" t="n">
        <x:v>2024</x:v>
      </x:c>
      <x:c r="K569" s="27" t="str">
        <x:v>Generative information retrieval methods retrieve documents by directly generating their identifiers. Much effort has been devoted to developing effective generative IR models. Less attention has been paid to the robustness of these models. It is critical to assess the out-of-distribution (OOD) generalization of generative IR models, i.e., how would such models generalize to new distributions? To answer this question, we focus on OOD scenarios from four perspectives in retrieval problems: (i)query variations; (ii)unseen query types; (iii)unseen tasks; and (iv)corpus expansion. Based on this taxonomy, we conduct empirical studies to analyze the OOD robustness of representative generative IR models against dense retrieval models. Our empirical results indicate that the OOD robustness of generative IR models is in need of improvement. By inspecting the OOD robustness of generative IR models we aim to contribute to the development of more reliable IR models. The code is available at \url{https://github.com/Davion-Liu/GR_OOD}.</x:v>
      </x:c>
      <x:c r="L569" s="17" t="str">
        <x:v>http://arxiv.org/abs/2412.18768v1</x:v>
      </x:c>
      <x:c r="M569" s="23" t="n">
        <x:v>0.015873015873015872</x:v>
      </x:c>
      <x:c r="N569" s="17" t="str">
        <x:v>arxiv-paper-eval-20260727-095426-results.jsonl</x:v>
      </x:c>
      <x:c r="O569" s="24" t="str">
        <x:v>1</x:v>
      </x:c>
      <x:c r="P569" s="28" t="str">
        <x:v>研究生成式检索的OOD鲁棒性，相关但不属于稀疏、稠密或混合主线。</x:v>
      </x:c>
      <x:c r="Q569" s="25" t="str"/>
      <x:c r="R569" s="24" t="str">
        <x:f>IF(Q569&lt;&gt;"",Q569,O569)</x:f>
        <x:v>1</x:v>
      </x:c>
      <x:c r="S569" s="29" t="str"/>
    </x:row>
    <x:row r="570" ht="54" customHeight="1">
      <x:c r="A570" s="17" t="str">
        <x:v>csq029-r14</x:v>
      </x:c>
      <x:c r="B570" s="17" t="str">
        <x:v>csq029</x:v>
      </x:c>
      <x:c r="C570" s="17" t="str">
        <x:v>data_management_and_ir</x:v>
      </x:c>
      <x:c r="D570" s="17" t="str">
        <x:v>neural_information_retrieval</x:v>
      </x:c>
      <x:c r="E570" s="27" t="str">
        <x:v>Which benchmarks and metrics are used to evaluate sparse, dense, and hybrid neural information retrieval, and how well do they measure out-of-domain robustness?</x:v>
      </x:c>
      <x:c r="F570" s="22" t="n">
        <x:v>14</x:v>
      </x:c>
      <x:c r="G570" s="17" t="str">
        <x:v>arXiv:2308.08378</x:v>
      </x:c>
      <x:c r="H570" s="27" t="str">
        <x:v>Advancing continual lifelong learning in neural information retrieval: definition, dataset, framework, and empirical evaluation</x:v>
      </x:c>
      <x:c r="I570" s="17" t="str">
        <x:v>Jingrui Hou; Georgina Cosma; Axel Finke</x:v>
      </x:c>
      <x:c r="J570" s="22" t="n">
        <x:v>2023</x:v>
      </x:c>
      <x:c r="K570" s="27" t="str">
        <x:v>Continual learning refers to the capability of a machine learning model to learn and adapt to new information, without compromising its performance on previously learned tasks. Although several studies have investigated continual learning methods for information retrieval tasks, a well-defined task formulation is still lacking, and it is unclear how typical learning strategies perform in this context. To address this challenge, a systematic task formulation of continual neural information retrieval is presented, along with a multiple-topic dataset that simulates continuous information retrieval. A comprehensive continual neural information retrieval framework consisting of typical retrieval models and continual learning strategies is then proposed. Empirical evaluations illustrate that the proposed framework can successfully prevent catastrophic forgetting in neural information retrieval and enhance performance on previously learned tasks. The results indicate that embedding-based retrieval models experience a decline in their continual learning performance as the topic shift distance and dataset volume of new tasks increase. In contrast, pretraining-based models do not show any such correlation. Adopting suitable learning strategies can mitigate the effects of topic shift and data augmentation.</x:v>
      </x:c>
      <x:c r="L570" s="17" t="str">
        <x:v>http://arxiv.org/abs/2308.08378v2</x:v>
      </x:c>
      <x:c r="M570" s="23" t="n">
        <x:v>0.015873015873015872</x:v>
      </x:c>
      <x:c r="N570" s="17" t="str">
        <x:v>arxiv-paper-eval-20260727-095426-results.jsonl</x:v>
      </x:c>
      <x:c r="O570" s="24" t="str">
        <x:v>1</x:v>
      </x:c>
      <x:c r="P570" s="28" t="str">
        <x:v>提出持续神经检索数据集和评价，能反映分布变化但非三类方法对比。</x:v>
      </x:c>
      <x:c r="Q570" s="25" t="str"/>
      <x:c r="R570" s="24" t="str">
        <x:f>IF(Q570&lt;&gt;"",Q570,O570)</x:f>
        <x:v>1</x:v>
      </x:c>
      <x:c r="S570" s="29" t="str"/>
    </x:row>
    <x:row r="571" ht="54" customHeight="1">
      <x:c r="A571" s="17" t="str">
        <x:v>csq029-r15</x:v>
      </x:c>
      <x:c r="B571" s="17" t="str">
        <x:v>csq029</x:v>
      </x:c>
      <x:c r="C571" s="17" t="str">
        <x:v>data_management_and_ir</x:v>
      </x:c>
      <x:c r="D571" s="17" t="str">
        <x:v>neural_information_retrieval</x:v>
      </x:c>
      <x:c r="E571" s="27" t="str">
        <x:v>Which benchmarks and metrics are used to evaluate sparse, dense, and hybrid neural information retrieval, and how well do they measure out-of-domain robustness?</x:v>
      </x:c>
      <x:c r="F571" s="22" t="n">
        <x:v>15</x:v>
      </x:c>
      <x:c r="G571" s="17" t="str">
        <x:v>arXiv:2110.06918</x:v>
      </x:c>
      <x:c r="H571" s="27" t="str">
        <x:v>Salient Phrase Aware Dense Retrieval: Can a Dense Retriever Imitate a Sparse One?</x:v>
      </x:c>
      <x:c r="I571" s="17" t="str">
        <x:v>Xilun Chen; Kushal Lakhotia; Barlas Oğuz; Anchit Gupta; Patrick Lewis; Stan Peshterliev; Yashar Mehdad; Sonal Gupta; Wen-tau Yih</x:v>
      </x:c>
      <x:c r="J571" s="22" t="n">
        <x:v>2021</x:v>
      </x:c>
      <x:c r="K571" s="27" t="str">
        <x:v>Despite their recent popularity and well-known advantages, dense retrievers still lag behind sparse methods such as BM25 in their ability to reliably match salient phrases and rare entities in the query and to generalize to out-of-domain data. It has been argued that this is an inherent limitation of dense models. We rebut this claim by introducing the Salient Phrase Aware Retriever (SPAR), a dense retriever with the lexical matching capacity of a sparse model. We show that a dense Lexical Model Λ can be trained to imitate a sparse one, and SPAR is built by augmenting a standard dense retriever with Λ. Empirically, SPAR shows superior performance on a range of tasks including five question answering datasets, MS MARCO passage retrieval, as well as the EntityQuestions and BEIR benchmarks for out-of-domain evaluation, exceeding the performance of state-of-the-art dense and sparse retrievers. The code and models of SPAR are available at: https://github.com/facebookresearch/dpr-scale/tree/main/spar</x:v>
      </x:c>
      <x:c r="L571" s="17" t="str">
        <x:v>http://arxiv.org/abs/2110.06918v3</x:v>
      </x:c>
      <x:c r="M571" s="23" t="n">
        <x:v>0.015873015873015872</x:v>
      </x:c>
      <x:c r="N571" s="17" t="str">
        <x:v>arxiv-paper-eval-20260727-095426-results.jsonl</x:v>
      </x:c>
      <x:c r="O571" s="24" t="str">
        <x:v>2</x:v>
      </x:c>
      <x:c r="P571" s="28" t="str">
        <x:v>直接研究稠密与稀疏匹配结合及其分布外泛化。</x:v>
      </x:c>
      <x:c r="Q571" s="25" t="str"/>
      <x:c r="R571" s="24" t="str">
        <x:f>IF(Q571&lt;&gt;"",Q571,O571)</x:f>
        <x:v>2</x:v>
      </x:c>
      <x:c r="S571" s="29" t="str"/>
    </x:row>
    <x:row r="572" ht="54" customHeight="1">
      <x:c r="A572" s="17" t="str">
        <x:v>csq029-r16</x:v>
      </x:c>
      <x:c r="B572" s="17" t="str">
        <x:v>csq029</x:v>
      </x:c>
      <x:c r="C572" s="17" t="str">
        <x:v>data_management_and_ir</x:v>
      </x:c>
      <x:c r="D572" s="17" t="str">
        <x:v>neural_information_retrieval</x:v>
      </x:c>
      <x:c r="E572" s="27" t="str">
        <x:v>Which benchmarks and metrics are used to evaluate sparse, dense, and hybrid neural information retrieval, and how well do they measure out-of-domain robustness?</x:v>
      </x:c>
      <x:c r="F572" s="22" t="n">
        <x:v>16</x:v>
      </x:c>
      <x:c r="G572" s="17" t="str">
        <x:v>arXiv:2512.20854</x:v>
      </x:c>
      <x:c r="H572" s="27" t="str">
        <x:v>How important is Recall for Measuring Retrieval Quality?</x:v>
      </x:c>
      <x:c r="I572" s="17" t="str">
        <x:v>Shelly Schwartz; Oleg Vasilyev; Randy Sawaya</x:v>
      </x:c>
      <x:c r="J572" s="22" t="n">
        <x:v>2025</x:v>
      </x:c>
      <x:c r="K572" s="27" t="str">
        <x:v>In realistic retrieval settings with large and evolving knowledge bases, the total number of documents relevant to a query is typically unknown, and recall cannot be computed. In this paper, we evaluate several established strategies for handling this limitation by measuring the correlation between retrieval quality metrics and LLM-based judgments of response quality, where responses are generated from the retrieved documents. We conduct experiments across multiple datasets with a relatively low number of relevant documents (2-15). We also introduce a simple retrieval quality measure that performs well without requiring knowledge of the total number of relevant documents.</x:v>
      </x:c>
      <x:c r="L572" s="17" t="str">
        <x:v>http://arxiv.org/abs/2512.20854v2</x:v>
      </x:c>
      <x:c r="M572" s="23" t="n">
        <x:v>0.015625</x:v>
      </x:c>
      <x:c r="N572" s="17" t="str">
        <x:v>arxiv-paper-eval-20260727-095426-results.jsonl</x:v>
      </x:c>
      <x:c r="O572" s="24" t="str">
        <x:v>2</x:v>
      </x:c>
      <x:c r="P572" s="28" t="str">
        <x:v>直接质疑Recall并评估替代检索质量指标。</x:v>
      </x:c>
      <x:c r="Q572" s="25" t="str"/>
      <x:c r="R572" s="24" t="str">
        <x:f>IF(Q572&lt;&gt;"",Q572,O572)</x:f>
        <x:v>2</x:v>
      </x:c>
      <x:c r="S572" s="29" t="str"/>
    </x:row>
    <x:row r="573" ht="54" customHeight="1">
      <x:c r="A573" s="17" t="str">
        <x:v>csq029-r17</x:v>
      </x:c>
      <x:c r="B573" s="17" t="str">
        <x:v>csq029</x:v>
      </x:c>
      <x:c r="C573" s="17" t="str">
        <x:v>data_management_and_ir</x:v>
      </x:c>
      <x:c r="D573" s="17" t="str">
        <x:v>neural_information_retrieval</x:v>
      </x:c>
      <x:c r="E573" s="27" t="str">
        <x:v>Which benchmarks and metrics are used to evaluate sparse, dense, and hybrid neural information retrieval, and how well do they measure out-of-domain robustness?</x:v>
      </x:c>
      <x:c r="F573" s="22" t="n">
        <x:v>17</x:v>
      </x:c>
      <x:c r="G573" s="17" t="str">
        <x:v>arXiv:2204.11447</x:v>
      </x:c>
      <x:c r="H573" s="27" t="str">
        <x:v>Evaluating Interpolation and Extrapolation Performance of Neural Retrieval Models</x:v>
      </x:c>
      <x:c r="I573" s="17" t="str">
        <x:v>Jingtao Zhan; Xiaohui Xie; Jiaxin Mao; Yiqun Liu; Jiafeng Guo; Min Zhang; Shaoping Ma</x:v>
      </x:c>
      <x:c r="J573" s="22" t="n">
        <x:v>2022</x:v>
      </x:c>
      <x:c r="K573" s="27" t="str">
        <x:v>A retrieval model should not only interpolate the training data but also extrapolate well to the queries that are different from the training data. While neural retrieval models have demonstrated impressive performance on ad-hoc search benchmarks, we still know little about how they perform in terms of interpolation and extrapolation. In this paper, we demonstrate the importance of separately evaluating the two capabilities of neural retrieval models. Firstly, we examine existing ad-hoc search benchmarks from the two perspectives. We investigate the distribution of training and test data and find a considerable overlap in query entities, query intent, and relevance labels. This finding implies that the evaluation on these test sets is biased toward interpolation and cannot accurately reflect the extrapolation capacity. Secondly, we propose a novel evaluation protocol to separately evaluate the interpolation and extrapolation performance on existing benchmark datasets. It resamples the training and test data based on query similarity and utilizes the resampled dataset for training and evaluation. Finally, we leverage the proposed evaluation protocol to comprehensively revisit a number of widely-adopted neural retrieval models. Results show models perform differently when moving from interpolation to extrapolation. For example, representation-based retrieval models perform almost as well as interaction-based retrieval models in terms of interpolation but not extrapolation. Therefore, it is necessary to separately evaluate both interpolation and extrapolation performance and the proposed resampling method serves as a simple yet effective evaluation tool for future IR studies.</x:v>
      </x:c>
      <x:c r="L573" s="17" t="str">
        <x:v>http://arxiv.org/abs/2204.11447v2</x:v>
      </x:c>
      <x:c r="M573" s="23" t="n">
        <x:v>0.015625</x:v>
      </x:c>
      <x:c r="N573" s="17" t="str">
        <x:v>arxiv-paper-eval-20260727-095426-results.jsonl</x:v>
      </x:c>
      <x:c r="O573" s="24" t="str">
        <x:v>2</x:v>
      </x:c>
      <x:c r="P573" s="28" t="str">
        <x:v>直接区分神经检索的插值与外推并分析现有基准分布。</x:v>
      </x:c>
      <x:c r="Q573" s="25" t="str"/>
      <x:c r="R573" s="24" t="str">
        <x:f>IF(Q573&lt;&gt;"",Q573,O573)</x:f>
        <x:v>2</x:v>
      </x:c>
      <x:c r="S573" s="29" t="str"/>
    </x:row>
    <x:row r="574" ht="54" customHeight="1">
      <x:c r="A574" s="17" t="str">
        <x:v>csq029-r18</x:v>
      </x:c>
      <x:c r="B574" s="17" t="str">
        <x:v>csq029</x:v>
      </x:c>
      <x:c r="C574" s="17" t="str">
        <x:v>data_management_and_ir</x:v>
      </x:c>
      <x:c r="D574" s="17" t="str">
        <x:v>neural_information_retrieval</x:v>
      </x:c>
      <x:c r="E574" s="27" t="str">
        <x:v>Which benchmarks and metrics are used to evaluate sparse, dense, and hybrid neural information retrieval, and how well do they measure out-of-domain robustness?</x:v>
      </x:c>
      <x:c r="F574" s="22" t="n">
        <x:v>18</x:v>
      </x:c>
      <x:c r="G574" s="17" t="str">
        <x:v>arXiv:2007.14271</x:v>
      </x:c>
      <x:c r="H574" s="27" t="str">
        <x:v>Declarative Experimentation in Information Retrieval using PyTerrier</x:v>
      </x:c>
      <x:c r="I574" s="17" t="str">
        <x:v>Craig Macdonald; Nicola Tonellotto</x:v>
      </x:c>
      <x:c r="J574" s="22" t="n">
        <x:v>2020</x:v>
      </x:c>
      <x:c r="K574" s="27" t="str">
        <x:v>The advent of deep machine learning platforms such as Tensorflow and Pytorch, developed in expressive high-level languages such as Python, have allowed more expressive representations of deep neural network architectures. We argue that such a powerful formalism is missing in information retrieval (IR), and propose a framework called PyTerrier that allows advanced retrieval pipelines to be expressed, and evaluated, in a declarative manner close to their conceptual design. Like the aforementioned frameworks that compile deep learning experiments into primitive GPU operations, our framework targets IR platforms as backends in order to execute and evaluate retrieval pipelines. Further, we can automatically optimise the retrieval pipelines to increase their efficiency to suite a particular IR platform backend. Our experiments, conducted on TREC Robust and ClueWeb09 test collections, demonstrate the efficiency benefits of these optimisations for retrieval pipelines involving both the Anserini and Terrier IR platforms.</x:v>
      </x:c>
      <x:c r="L574" s="17" t="str">
        <x:v>http://arxiv.org/abs/2007.14271v1</x:v>
      </x:c>
      <x:c r="M574" s="23" t="n">
        <x:v>0.015625</x:v>
      </x:c>
      <x:c r="N574" s="17" t="str">
        <x:v>arxiv-paper-eval-20260727-095426-results.jsonl</x:v>
      </x:c>
      <x:c r="O574" s="24" t="str">
        <x:v>1</x:v>
      </x:c>
      <x:c r="P574" s="28" t="str">
        <x:v>提供可复现实验与评价框架，相关但不回答具体基准和OOD测量效果。</x:v>
      </x:c>
      <x:c r="Q574" s="25" t="str"/>
      <x:c r="R574" s="24" t="str">
        <x:f>IF(Q574&lt;&gt;"",Q574,O574)</x:f>
        <x:v>1</x:v>
      </x:c>
      <x:c r="S574" s="29" t="str"/>
    </x:row>
    <x:row r="575" ht="54" customHeight="1">
      <x:c r="A575" s="17" t="str">
        <x:v>csq029-r19</x:v>
      </x:c>
      <x:c r="B575" s="17" t="str">
        <x:v>csq029</x:v>
      </x:c>
      <x:c r="C575" s="17" t="str">
        <x:v>data_management_and_ir</x:v>
      </x:c>
      <x:c r="D575" s="17" t="str">
        <x:v>neural_information_retrieval</x:v>
      </x:c>
      <x:c r="E575" s="27" t="str">
        <x:v>Which benchmarks and metrics are used to evaluate sparse, dense, and hybrid neural information retrieval, and how well do they measure out-of-domain robustness?</x:v>
      </x:c>
      <x:c r="F575" s="22" t="n">
        <x:v>19</x:v>
      </x:c>
      <x:c r="G575" s="17" t="str">
        <x:v>arXiv:2503.17876</x:v>
      </x:c>
      <x:c r="H575" s="27" t="str">
        <x:v>Satisfactory Medical Consultation based on Terminology-Enhanced Information Retrieval and Emotional In-Context Learning</x:v>
      </x:c>
      <x:c r="I575" s="17" t="str">
        <x:v>Kaiwen Zuo; Jing Tang; Hanbing Qin; Binli Luo; Ligang He; Shiyan Tang</x:v>
      </x:c>
      <x:c r="J575" s="22" t="n">
        <x:v>2025</x:v>
      </x:c>
      <x:c r="K575" s="27" t="str">
        <x:v>Recent advancements in Large Language Models (LLMs) have marked significant progress in understanding and responding to medical inquiries. However, their performance still falls short of the standards set by professional consultations. This paper introduces a novel framework for medical consultation, comprising two main modules: Terminology-Enhanced Information Retrieval (TEIR) and Emotional In-Context Learning (EICL). TEIR ensures implicit reasoning through the utilization of inductive knowledge and key terminology retrieval, overcoming the limitations of restricted domain knowledge in public databases. Additionally, this module features capabilities for processing long context. The EICL module aids in generating sentences with high attribute relevance by memorizing semantic and attribute information from unlabelled corpora and applying controlled retrieval for the required information. Furthermore, a dataset comprising 803,564 consultation records was compiled in China, significantly enhancing the model's capability for complex dialogues and proactive inquiry initiation. Comprehensive experiments demonstrate the proposed method's effectiveness in extending the context window length of existing LLMs. The experimental outcomes and extensive data validate the framework's superiority over five baseline models in terms of BLEU and ROUGE performance metrics, with substantial leads in certain capabilities. Notably, ablation studies confirm the significance of the TEIR and EICL components. In addition, our new framework has the potential to significantly improve patient satisfaction in real clinical consulting situations.</x:v>
      </x:c>
      <x:c r="L575" s="17" t="str">
        <x:v>http://arxiv.org/abs/2503.17876v1</x:v>
      </x:c>
      <x:c r="M575" s="23" t="n">
        <x:v>0.015384615384615385</x:v>
      </x:c>
      <x:c r="N575" s="17" t="str">
        <x:v>arxiv-paper-eval-20260727-095426-results.jsonl</x:v>
      </x:c>
      <x:c r="O575" s="24" t="str">
        <x:v>0</x:v>
      </x:c>
      <x:c r="P575" s="28" t="str">
        <x:v>研究医疗咨询框架，未涉及所问检索范式基准或跨域鲁棒性。</x:v>
      </x:c>
      <x:c r="Q575" s="25" t="str"/>
      <x:c r="R575" s="24" t="str">
        <x:f>IF(Q575&lt;&gt;"",Q575,O575)</x:f>
        <x:v>0</x:v>
      </x:c>
      <x:c r="S575" s="29" t="str"/>
    </x:row>
    <x:row r="576" ht="54" customHeight="1">
      <x:c r="A576" s="17" t="str">
        <x:v>csq029-r20</x:v>
      </x:c>
      <x:c r="B576" s="17" t="str">
        <x:v>csq029</x:v>
      </x:c>
      <x:c r="C576" s="17" t="str">
        <x:v>data_management_and_ir</x:v>
      </x:c>
      <x:c r="D576" s="17" t="str">
        <x:v>neural_information_retrieval</x:v>
      </x:c>
      <x:c r="E576" s="27" t="str">
        <x:v>Which benchmarks and metrics are used to evaluate sparse, dense, and hybrid neural information retrieval, and how well do they measure out-of-domain robustness?</x:v>
      </x:c>
      <x:c r="F576" s="22" t="n">
        <x:v>20</x:v>
      </x:c>
      <x:c r="G576" s="17" t="str">
        <x:v>arXiv:2406.08891</x:v>
      </x:c>
      <x:c r="H576" s="27" t="str">
        <x:v>Robust Information Retrieval</x:v>
      </x:c>
      <x:c r="I576" s="17" t="str">
        <x:v>Yu-An Liu; Ruqing Zhang; Jiafeng Guo; Maarten de Rijke</x:v>
      </x:c>
      <x:c r="J576" s="22" t="n">
        <x:v>2024</x:v>
      </x:c>
      <x:c r="K576" s="27" t="str">
        <x:v>Beyond effectiveness, the robustness of an information retrieval (IR) system is increasingly attracting attention. When deployed, a critical technology such as IR should not only deliver strong performance on average but also have the ability to handle a variety of exceptional situations. In recent years, research into the robustness of IR has seen significant growth, with numerous researchers offering extensive analyses and proposing myriad strategies to address robustness challenges. In this tutorial, we first provide background information covering the basics and a taxonomy of robustness in IR. Then, we examine adversarial robustness and out-of-distribution (OOD) robustness within IR-specific contexts, extensively reviewing recent progress in methods to enhance robustness. The tutorial concludes with a discussion on the robustness of IR in the context of large language models (LLMs), highlighting ongoing challenges and promising directions for future research. This tutorial aims to generate broader attention to robustness issues in IR, facilitate an understanding of the relevant literature, and lower the barrier to entry for interested researchers and practitioners.</x:v>
      </x:c>
      <x:c r="L576" s="17" t="str">
        <x:v>http://arxiv.org/abs/2406.08891v1</x:v>
      </x:c>
      <x:c r="M576" s="23" t="n">
        <x:v>0.015384615384615385</x:v>
      </x:c>
      <x:c r="N576" s="17" t="str">
        <x:v>arxiv-paper-eval-20260727-095426-results.jsonl</x:v>
      </x:c>
      <x:c r="O576" s="24" t="str">
        <x:v>2</x:v>
      </x:c>
      <x:c r="P576" s="28" t="str">
        <x:v>直接综述信息检索鲁棒性，包含分布外场景及评价。</x:v>
      </x:c>
      <x:c r="Q576" s="25" t="str"/>
      <x:c r="R576" s="24" t="str">
        <x:f>IF(Q576&lt;&gt;"",Q576,O576)</x:f>
        <x:v>2</x:v>
      </x:c>
      <x:c r="S576" s="29" t="str"/>
    </x:row>
    <x:row r="577" ht="54" customHeight="1">
      <x:c r="A577" s="17" t="str">
        <x:v>csq030-r01</x:v>
      </x:c>
      <x:c r="B577" s="17" t="str">
        <x:v>csq030</x:v>
      </x:c>
      <x:c r="C577" s="17" t="str">
        <x:v>data_management_and_ir</x:v>
      </x:c>
      <x:c r="D577" s="17" t="str">
        <x:v>text_to_sql</x:v>
      </x:c>
      <x:c r="E577" s="27" t="str">
        <x:v>How have text-to-SQL systems evolved from schema-aware neural parsers to large-language-model-based approaches, and which challenges remain on cross-domain benchmarks?</x:v>
      </x:c>
      <x:c r="F577" s="22" t="n">
        <x:v>1</x:v>
      </x:c>
      <x:c r="G577" s="17" t="str">
        <x:v>arXiv:2505.18929</x:v>
      </x:c>
      <x:c r="H577" s="27" t="str">
        <x:v>Meta-aware Learning in text-to-SQL Large Language Model</x:v>
      </x:c>
      <x:c r="I577" s="17" t="str">
        <x:v>Wenda Zhang</x:v>
      </x:c>
      <x:c r="J577" s="22" t="n">
        <x:v>2025</x:v>
      </x:c>
      <x:c r="K577" s="27" t="str">
        <x:v>The advancements of Large language models (LLMs) have provided great opportunities to text-to-SQL tasks to overcome the main challenges to understand complex domain information and complex database structures in business applications. In this paper, we propose a meta-aware learning framework to integrate domain knowledge, database schema, chain-of-thought reasoning processes, and metadata relationships to improve the SQL generation quality. The proposed framework includes four learning strategies: schema-based learning, Chain-of-Thought (CoT) learning, knowledge-enhanced learning, and key information tokenization. This approach provides a comprehensive understanding of database structure and metadata information towards LLM through fine-tuning to improve its performance on SQL generation within business domains. Through two experimental studies, we have demonstrated the superiority of the proposed methods in execution accuracy, multi-task SQL generation capability, and reduction of catastrophic forgetting.</x:v>
      </x:c>
      <x:c r="L577" s="17" t="str">
        <x:v>http://arxiv.org/abs/2505.18929v1</x:v>
      </x:c>
      <x:c r="M577" s="23" t="n">
        <x:v>0.03252247488101534</x:v>
      </x:c>
      <x:c r="N577" s="17" t="str">
        <x:v>arxiv-paper-eval-20260727-095606-results.jsonl</x:v>
      </x:c>
      <x:c r="O577" s="24" t="str">
        <x:v>2</x:v>
      </x:c>
      <x:c r="P577" s="28" t="str">
        <x:v>直接提出融合模式、元数据与推理的LLM Text-to-SQL方法。</x:v>
      </x:c>
      <x:c r="Q577" s="25" t="str"/>
      <x:c r="R577" s="24" t="str">
        <x:f>IF(Q577&lt;&gt;"",Q577,O577)</x:f>
        <x:v>2</x:v>
      </x:c>
      <x:c r="S577" s="29" t="str"/>
    </x:row>
    <x:row r="578" ht="54" customHeight="1">
      <x:c r="A578" s="17" t="str">
        <x:v>csq030-r02</x:v>
      </x:c>
      <x:c r="B578" s="17" t="str">
        <x:v>csq030</x:v>
      </x:c>
      <x:c r="C578" s="17" t="str">
        <x:v>data_management_and_ir</x:v>
      </x:c>
      <x:c r="D578" s="17" t="str">
        <x:v>text_to_sql</x:v>
      </x:c>
      <x:c r="E578" s="27" t="str">
        <x:v>How have text-to-SQL systems evolved from schema-aware neural parsers to large-language-model-based approaches, and which challenges remain on cross-domain benchmarks?</x:v>
      </x:c>
      <x:c r="F578" s="22" t="n">
        <x:v>2</x:v>
      </x:c>
      <x:c r="G578" s="17" t="str">
        <x:v>arXiv:2501.11498</x:v>
      </x:c>
      <x:c r="H578" s="27" t="str">
        <x:v>Dialect2SQL: A Novel Text-to-SQL Dataset for Arabic Dialects with a Focus on Moroccan Darija</x:v>
      </x:c>
      <x:c r="I578" s="17" t="str">
        <x:v>Salmane Chafik; Saad Ezzini; Ismail Berrada</x:v>
      </x:c>
      <x:c r="J578" s="22" t="n">
        <x:v>2025</x:v>
      </x:c>
      <x:c r="K578" s="27" t="str">
        <x:v>The task of converting natural language questions (NLQs) into executable SQL queries, known as text-to-SQL, has gained significant interest in recent years, as it enables non-technical users to interact with relational databases. Many benchmarks, such as SPIDER and WikiSQL, have contributed to the development of new models and the evaluation of their performance. In addition, other datasets, like SEDE and BIRD, have introduced more challenges and complexities to better map real-world scenarios. However, these datasets primarily focus on high-resource languages such as English and Chinese. In this work, we introduce Dialect2SQL, the first large-scale, cross-domain text-to-SQL dataset in an Arabic dialect. It consists of 9,428 NLQ-SQL pairs across 69 databases in various domains. Along with SQL-related challenges such as long schemas, dirty values, and complex queries, our dataset also incorporates the complexities of the Moroccan dialect, which is known for its diverse source languages, numerous borrowed words, and unique expressions. This demonstrates that our dataset will be a valuable contribution to both the text-to-SQL community and the development of resources for low-resource languages.</x:v>
      </x:c>
      <x:c r="L578" s="17" t="str">
        <x:v>http://arxiv.org/abs/2501.11498v1</x:v>
      </x:c>
      <x:c r="M578" s="23" t="n">
        <x:v>0.031754032258064516</x:v>
      </x:c>
      <x:c r="N578" s="17" t="str">
        <x:v>arxiv-paper-eval-20260727-095606-results.jsonl</x:v>
      </x:c>
      <x:c r="O578" s="24" t="str">
        <x:v>1</x:v>
      </x:c>
      <x:c r="P578" s="28" t="str">
        <x:v>提供阿拉伯方言Text-to-SQL数据集，反映语言泛化挑战但不梳理方法演进。</x:v>
      </x:c>
      <x:c r="Q578" s="25" t="str"/>
      <x:c r="R578" s="24" t="str">
        <x:f>IF(Q578&lt;&gt;"",Q578,O578)</x:f>
        <x:v>1</x:v>
      </x:c>
      <x:c r="S578" s="29" t="str"/>
    </x:row>
    <x:row r="579" ht="54" customHeight="1">
      <x:c r="A579" s="17" t="str">
        <x:v>csq030-r03</x:v>
      </x:c>
      <x:c r="B579" s="17" t="str">
        <x:v>csq030</x:v>
      </x:c>
      <x:c r="C579" s="17" t="str">
        <x:v>data_management_and_ir</x:v>
      </x:c>
      <x:c r="D579" s="17" t="str">
        <x:v>text_to_sql</x:v>
      </x:c>
      <x:c r="E579" s="27" t="str">
        <x:v>How have text-to-SQL systems evolved from schema-aware neural parsers to large-language-model-based approaches, and which challenges remain on cross-domain benchmarks?</x:v>
      </x:c>
      <x:c r="F579" s="22" t="n">
        <x:v>3</x:v>
      </x:c>
      <x:c r="G579" s="17" t="str">
        <x:v>arXiv:2511.10192</x:v>
      </x:c>
      <x:c r="H579" s="27" t="str">
        <x:v>Text2SQL-Flow: A Robust SQL-Aware Data Augmentation Framework for Text-to-SQL</x:v>
      </x:c>
      <x:c r="I579" s="17" t="str">
        <x:v>Qifeng Cai; Hao Liang; Chang Xu; Tao Xie; Wentao Zhang; Bin Cui</x:v>
      </x:c>
      <x:c r="J579" s="22" t="n">
        <x:v>2025</x:v>
      </x:c>
      <x:c r="K579" s="27" t="str">
        <x:v>The data-centric paradigm has emerged as a pivotal direction in artificial intelligence (AI), emphasizing the role of high-quality training data. This shift is especially critical in the Text-to-SQL task, where the scarcity, limited diversity, and structural simplicity of existing datasets constrain model performance. To address these challenges, we propose Text2SQL-Flow, a SQL-aware data augmentation framework that systematically generates large-scale, semantically valid, and structurally diverse Text-to-SQL pairs from limited seed data. Our framework spans six augmentation dimensions and integrates an end-to-end pipeline with auxiliary database selection, SQL executability verification, natural language (NL) question generation, NL-SQL correspondence verification, and chain-of-thought (CoT) reasoning trace generation. Leveraging this framework, we construct SQLFlow, a high-quality dataset comprising 75,386 annotated examples. We demonstrate the utility of SQLFlow in both fine-tuning and prompt-based settings. (1) For open-source large language models (LLMs), fine-tuning with SQLFlow improves problem-solving ability, delivering competitive gains across multiple benchmarks under the same data budget. (2) For closed-source LLMs, we propose a masked alignment retrieval method that uses SQLFlow as both a knowledge base and training data for the retrieval model, enabling structure-aware example matching via fine-grained NL-SQL alignments. Experiments show that our retrieval strategy outperforms existing example retrieval methods, highlighting the combined value of SQLFlow's data quality and our retrieval technique. Overall, our work provides a scalable, data-centric foundation for advancing Text-to-SQL systems and underscores the importance of structured, high-fidelity data in modern AI development. Our code is available at https://github.com/TechNomad-ds/Text2SQL-Flow.</x:v>
      </x:c>
      <x:c r="L579" s="17" t="str">
        <x:v>http://arxiv.org/abs/2511.10192v4</x:v>
      </x:c>
      <x:c r="M579" s="23" t="n">
        <x:v>0.031024531024531024</x:v>
      </x:c>
      <x:c r="N579" s="17" t="str">
        <x:v>arxiv-paper-eval-20260727-095606-results.jsonl</x:v>
      </x:c>
      <x:c r="O579" s="24" t="str">
        <x:v>2</x:v>
      </x:c>
      <x:c r="P579" s="28" t="str">
        <x:v>直接以数据增强解决Text-to-SQL训练数据稀缺和结构多样性问题。</x:v>
      </x:c>
      <x:c r="Q579" s="25" t="str"/>
      <x:c r="R579" s="24" t="str">
        <x:f>IF(Q579&lt;&gt;"",Q579,O579)</x:f>
        <x:v>2</x:v>
      </x:c>
      <x:c r="S579" s="29" t="str"/>
    </x:row>
    <x:row r="580" ht="54" customHeight="1">
      <x:c r="A580" s="17" t="str">
        <x:v>csq030-r04</x:v>
      </x:c>
      <x:c r="B580" s="17" t="str">
        <x:v>csq030</x:v>
      </x:c>
      <x:c r="C580" s="17" t="str">
        <x:v>data_management_and_ir</x:v>
      </x:c>
      <x:c r="D580" s="17" t="str">
        <x:v>text_to_sql</x:v>
      </x:c>
      <x:c r="E580" s="27" t="str">
        <x:v>How have text-to-SQL systems evolved from schema-aware neural parsers to large-language-model-based approaches, and which challenges remain on cross-domain benchmarks?</x:v>
      </x:c>
      <x:c r="F580" s="22" t="n">
        <x:v>4</x:v>
      </x:c>
      <x:c r="G580" s="17" t="str">
        <x:v>arXiv:2407.15186</x:v>
      </x:c>
      <x:c r="H580" s="27" t="str">
        <x:v>A Survey on Employing Large Language Models for Text-to-SQL Tasks</x:v>
      </x:c>
      <x:c r="I580" s="17" t="str">
        <x:v>Liang Shi; Zhengju Tang; Nan Zhang; Xiaotong Zhang; Zhi Yang</x:v>
      </x:c>
      <x:c r="J580" s="22" t="n">
        <x:v>2024</x:v>
      </x:c>
      <x:c r="K580" s="27" t="str">
        <x:v>With the development of the Large Language Models (LLMs), a large range of LLM-based Text-to-SQL(Text2SQL) methods have emerged. This survey provides a comprehensive review of LLM-based Text2SQL studies. We first enumerate classic benchmarks and evaluation metrics. For the two mainstream methods, prompt engineering and finetuning, we introduce a comprehensive taxonomy and offer practical insights into each subcategory. We present an overall analysis of the above methods and various models evaluated on well-known datasets and extract some characteristics. Finally, we discuss the challenges and future directions in this field.</x:v>
      </x:c>
      <x:c r="L580" s="17" t="str">
        <x:v>http://arxiv.org/abs/2407.15186v5</x:v>
      </x:c>
      <x:c r="M580" s="23" t="n">
        <x:v>0.029138513513513514</x:v>
      </x:c>
      <x:c r="N580" s="17" t="str">
        <x:v>arxiv-paper-eval-20260727-095606-results.jsonl</x:v>
      </x:c>
      <x:c r="O580" s="24" t="str">
        <x:v>2</x:v>
      </x:c>
      <x:c r="P580" s="28" t="str">
        <x:v>直接综述LLM Text-to-SQL方法、经典基准、指标和挑战。</x:v>
      </x:c>
      <x:c r="Q580" s="25" t="str"/>
      <x:c r="R580" s="24" t="str">
        <x:f>IF(Q580&lt;&gt;"",Q580,O580)</x:f>
        <x:v>2</x:v>
      </x:c>
      <x:c r="S580" s="29" t="str"/>
    </x:row>
    <x:row r="581" ht="54" customHeight="1">
      <x:c r="A581" s="17" t="str">
        <x:v>csq030-r05</x:v>
      </x:c>
      <x:c r="B581" s="17" t="str">
        <x:v>csq030</x:v>
      </x:c>
      <x:c r="C581" s="17" t="str">
        <x:v>data_management_and_ir</x:v>
      </x:c>
      <x:c r="D581" s="17" t="str">
        <x:v>text_to_sql</x:v>
      </x:c>
      <x:c r="E581" s="27" t="str">
        <x:v>How have text-to-SQL systems evolved from schema-aware neural parsers to large-language-model-based approaches, and which challenges remain on cross-domain benchmarks?</x:v>
      </x:c>
      <x:c r="F581" s="22" t="n">
        <x:v>5</x:v>
      </x:c>
      <x:c r="G581" s="17" t="str">
        <x:v>arXiv:2504.15077</x:v>
      </x:c>
      <x:c r="H581" s="27" t="str">
        <x:v>Think2SQL: Reinforce LLM Reasoning Capabilities for Text2SQL</x:v>
      </x:c>
      <x:c r="I581" s="17" t="str">
        <x:v>Simone Papicchio; Simone Rossi; Luca Cagliero; Paolo Papotti</x:v>
      </x:c>
      <x:c r="J581" s="22" t="n">
        <x:v>2025</x:v>
      </x:c>
      <x:c r="K581" s="27" t="str">
        <x:v>Large Language Models (LLMs) can translate natural language into SQL, but small models struggle with multi-table and complex queries in Zero-Shot Learning (ZSL) settings. While Supervised Fine-Tuning (SFT) helps, it falls short for harder cases. To address this, we study how different reasoning strategies (general-purpose reasoning in ZSL, reasoning traces in SFT, and Reinforcement Learning with Verifiable Reward (RLVR) with novel reward functions) affect Text2SQL performance across four benchmarks. We show that partial scoring rewards, computed via SQL execution, are crucial for guiding models even when outputs are not fully correct. These fine-grained signals lead to consistently better Text2SQL outcomes. Small LLMs benefit most from reasoning-aware SFT and RL, with the 14B Qwen-Coder-2.5 surpassing 400B+ models on challenging datasets like BIRD.</x:v>
      </x:c>
      <x:c r="L581" s="17" t="str">
        <x:v>http://arxiv.org/abs/2504.15077v5</x:v>
      </x:c>
      <x:c r="M581" s="23" t="n">
        <x:v>0.028985507246376812</x:v>
      </x:c>
      <x:c r="N581" s="17" t="str">
        <x:v>arxiv-paper-eval-20260727-095606-results.jsonl</x:v>
      </x:c>
      <x:c r="O581" s="24" t="str">
        <x:v>2</x:v>
      </x:c>
      <x:c r="P581" s="28" t="str">
        <x:v>直接比较多种LLM推理训练策略并跨四个基准评估。</x:v>
      </x:c>
      <x:c r="Q581" s="25" t="str"/>
      <x:c r="R581" s="24" t="str">
        <x:f>IF(Q581&lt;&gt;"",Q581,O581)</x:f>
        <x:v>2</x:v>
      </x:c>
      <x:c r="S581" s="29" t="str"/>
    </x:row>
    <x:row r="582" ht="54" customHeight="1">
      <x:c r="A582" s="17" t="str">
        <x:v>csq030-r06</x:v>
      </x:c>
      <x:c r="B582" s="17" t="str">
        <x:v>csq030</x:v>
      </x:c>
      <x:c r="C582" s="17" t="str">
        <x:v>data_management_and_ir</x:v>
      </x:c>
      <x:c r="D582" s="17" t="str">
        <x:v>text_to_sql</x:v>
      </x:c>
      <x:c r="E582" s="27" t="str">
        <x:v>How have text-to-SQL systems evolved from schema-aware neural parsers to large-language-model-based approaches, and which challenges remain on cross-domain benchmarks?</x:v>
      </x:c>
      <x:c r="F582" s="22" t="n">
        <x:v>6</x:v>
      </x:c>
      <x:c r="G582" s="17" t="str">
        <x:v>arXiv:2406.08426</x:v>
      </x:c>
      <x:c r="H582" s="27" t="str">
        <x:v>Next-Generation Database Interfaces: A Survey of LLM-based Text-to-SQL</x:v>
      </x:c>
      <x:c r="I582" s="17" t="str">
        <x:v>Zijin Hong; Zheng Yuan; Qinggang Zhang; Hao Chen; Junnan Dong; Feiran Huang; Xiao Huang</x:v>
      </x:c>
      <x:c r="J582" s="22" t="n">
        <x:v>2024</x:v>
      </x:c>
      <x:c r="K582" s="27" t="str">
        <x:v>Generating accurate SQL from users' natural language questions (text-to-SQL) remains a long-standing challenge due to the complexities involved in user question understanding, database schema comprehension, and SQL generation. Traditional text-to-SQL systems, which combine human engineering and deep neural networks, have made significant progress. Subsequently, pre-trained language models (PLMs) have been developed for text-to-SQL tasks, achieving promising results. However, as modern databases and user questions grow more complex, PLMs with a limited parameter size often produce incorrect SQL. This necessitates more sophisticated and tailored optimization methods, which restricts the application of PLM-based systems. Recently, large language models (LLMs) have shown significant capabilities in natural language understanding as model scale increases. Thus, integrating LLM-based solutions can bring unique opportunities, improvements, and solutions to text-to-SQL research. In this survey, we provide a comprehensive review of existing LLM-based text-to-SQL studies. Specifically, we offer a brief overview of the technical challenges and evolutionary process of text-to-SQL. Next, we introduce the datasets and metrics designed to evaluate text-to-SQL systems. Subsequently, we present a systematic analysis of recent advances in LLM-based text-to-SQL. Finally, we make a summarization and discuss the remaining challenges in this field and suggest expectations for future research directions. All the related resources of LLM-based, including research papers, benchmarks, and open-source projects, are collected for the community in our repository: https://github.com/DEEP-PolyU/Awesome-LLM-based-Text2SQL.</x:v>
      </x:c>
      <x:c r="L582" s="17" t="str">
        <x:v>http://arxiv.org/abs/2406.08426v8</x:v>
      </x:c>
      <x:c r="M582" s="23" t="n">
        <x:v>0.028594771241830064</x:v>
      </x:c>
      <x:c r="N582" s="17" t="str">
        <x:v>arxiv-paper-eval-20260727-095606-results.jsonl</x:v>
      </x:c>
      <x:c r="O582" s="24" t="str">
        <x:v>2</x:v>
      </x:c>
      <x:c r="P582" s="28" t="str">
        <x:v>直接梳理传统神经、预训练模型到LLM数据库接口的演进与挑战。</x:v>
      </x:c>
      <x:c r="Q582" s="25" t="str"/>
      <x:c r="R582" s="24" t="str">
        <x:f>IF(Q582&lt;&gt;"",Q582,O582)</x:f>
        <x:v>2</x:v>
      </x:c>
      <x:c r="S582" s="29" t="str"/>
    </x:row>
    <x:row r="583" ht="54" customHeight="1">
      <x:c r="A583" s="17" t="str">
        <x:v>csq030-r07</x:v>
      </x:c>
      <x:c r="B583" s="17" t="str">
        <x:v>csq030</x:v>
      </x:c>
      <x:c r="C583" s="17" t="str">
        <x:v>data_management_and_ir</x:v>
      </x:c>
      <x:c r="D583" s="17" t="str">
        <x:v>text_to_sql</x:v>
      </x:c>
      <x:c r="E583" s="27" t="str">
        <x:v>How have text-to-SQL systems evolved from schema-aware neural parsers to large-language-model-based approaches, and which challenges remain on cross-domain benchmarks?</x:v>
      </x:c>
      <x:c r="F583" s="22" t="n">
        <x:v>7</x:v>
      </x:c>
      <x:c r="G583" s="17" t="str">
        <x:v>arXiv:2501.17174</x:v>
      </x:c>
      <x:c r="H583" s="27" t="str">
        <x:v>Extractive Schema Linking for Text-to-SQL</x:v>
      </x:c>
      <x:c r="I583" s="17" t="str">
        <x:v>Michael Glass; Mustafa Eyceoz; Dharmashankar Subramanian; Gaetano Rossiello; Long Vu; Alfio Gliozzo</x:v>
      </x:c>
      <x:c r="J583" s="22" t="n">
        <x:v>2025</x:v>
      </x:c>
      <x:c r="K583" s="27" t="str">
        <x:v>Text-to-SQL is emerging as a practical interface for real world databases. The dominant paradigm for Text-to-SQL is cross-database or schema-independent, supporting application schemas unseen during training. The schema of a database defines the tables, columns, column types and foreign key connections between tables. Real world schemas can be large, containing hundreds of columns, but for any particular query only a small fraction will be relevant. Placing the entire schema in the prompt for an LLM can be impossible for models with smaller token windows and expensive even when the context window is large enough to allow it. Even apart from computational considerations, the accuracy of the model can be improved by focusing the SQL generation on only the relevant portion of the database. Schema linking identifies the portion of the database schema useful for the question. Previous work on schema linking has used graph neural networks, generative LLMs, and cross encoder classifiers. We introduce a new approach to adapt decoder-only LLMs to schema linking that is both computationally more efficient and more accurate than the generative approach. Additionally our extractive approach permits fine-grained control over the precision-recall trade-off for schema linking.</x:v>
      </x:c>
      <x:c r="L583" s="17" t="str">
        <x:v>http://arxiv.org/abs/2501.17174v1</x:v>
      </x:c>
      <x:c r="M583" s="23" t="n">
        <x:v>0.01639344262295082</x:v>
      </x:c>
      <x:c r="N583" s="17" t="str">
        <x:v>arxiv-paper-eval-20260727-095606-results.jsonl</x:v>
      </x:c>
      <x:c r="O583" s="24" t="str">
        <x:v>2</x:v>
      </x:c>
      <x:c r="P583" s="28" t="str">
        <x:v>直接研究跨数据库Text-to-SQL的模式链接和长模式问题。</x:v>
      </x:c>
      <x:c r="Q583" s="25" t="str"/>
      <x:c r="R583" s="24" t="str">
        <x:f>IF(Q583&lt;&gt;"",Q583,O583)</x:f>
        <x:v>2</x:v>
      </x:c>
      <x:c r="S583" s="29" t="str"/>
    </x:row>
    <x:row r="584" ht="54" customHeight="1">
      <x:c r="A584" s="17" t="str">
        <x:v>csq030-r08</x:v>
      </x:c>
      <x:c r="B584" s="17" t="str">
        <x:v>csq030</x:v>
      </x:c>
      <x:c r="C584" s="17" t="str">
        <x:v>data_management_and_ir</x:v>
      </x:c>
      <x:c r="D584" s="17" t="str">
        <x:v>text_to_sql</x:v>
      </x:c>
      <x:c r="E584" s="27" t="str">
        <x:v>How have text-to-SQL systems evolved from schema-aware neural parsers to large-language-model-based approaches, and which challenges remain on cross-domain benchmarks?</x:v>
      </x:c>
      <x:c r="F584" s="22" t="n">
        <x:v>8</x:v>
      </x:c>
      <x:c r="G584" s="17" t="str">
        <x:v>arXiv:2310.18538</x:v>
      </x:c>
      <x:c r="H584" s="27" t="str">
        <x:v>Evaluating Cross-Domain Text-to-SQL Models and Benchmarks</x:v>
      </x:c>
      <x:c r="I584" s="17" t="str">
        <x:v>Mohammadreza Pourreza; Davood Rafiei</x:v>
      </x:c>
      <x:c r="J584" s="22" t="n">
        <x:v>2023</x:v>
      </x:c>
      <x:c r="K584" s="27" t="str">
        <x:v>Text-to-SQL benchmarks play a crucial role in evaluating the progress made in the field and the ranking of different models. However, accurately matching a model-generated SQL query to a reference SQL query in a benchmark fails for various reasons, such as underspecified natural language queries, inherent assumptions in both model-generated and reference queries, and the non-deterministic nature of SQL output under certain conditions. In this paper, we conduct an extensive study of several prominent cross-domain text-to-SQL benchmarks and re-evaluate some of the top-performing models within these benchmarks, by both manually evaluating the SQL queries and rewriting them in equivalent expressions. Our evaluation reveals that attaining a perfect performance on these benchmarks is unfeasible due to the multiple interpretations that can be derived from the provided samples. Furthermore, we find that the true performance of the models is underestimated and their relative performance changes after a re-evaluation. Most notably, our evaluation reveals a surprising discovery: a recent GPT4-based model surpasses the gold standard reference queries in the Spider benchmark in our human evaluation. This finding highlights the importance of interpreting benchmark evaluations cautiously, while also acknowledging the critical role of additional independent evaluations in driving advancements in the field.</x:v>
      </x:c>
      <x:c r="L584" s="17" t="str">
        <x:v>http://arxiv.org/abs/2310.18538v1</x:v>
      </x:c>
      <x:c r="M584" s="23" t="n">
        <x:v>0.01639344262295082</x:v>
      </x:c>
      <x:c r="N584" s="17" t="str">
        <x:v>arxiv-paper-eval-20260727-095606-results.jsonl</x:v>
      </x:c>
      <x:c r="O584" s="24" t="str">
        <x:v>2</x:v>
      </x:c>
      <x:c r="P584" s="28" t="str">
        <x:v>直接重评跨域Text-to-SQL基准、模型与SQL匹配评价缺陷。</x:v>
      </x:c>
      <x:c r="Q584" s="25" t="str"/>
      <x:c r="R584" s="24" t="str">
        <x:f>IF(Q584&lt;&gt;"",Q584,O584)</x:f>
        <x:v>2</x:v>
      </x:c>
      <x:c r="S584" s="29" t="str"/>
    </x:row>
    <x:row r="585" ht="54" customHeight="1">
      <x:c r="A585" s="17" t="str">
        <x:v>csq030-r09</x:v>
      </x:c>
      <x:c r="B585" s="17" t="str">
        <x:v>csq030</x:v>
      </x:c>
      <x:c r="C585" s="17" t="str">
        <x:v>data_management_and_ir</x:v>
      </x:c>
      <x:c r="D585" s="17" t="str">
        <x:v>text_to_sql</x:v>
      </x:c>
      <x:c r="E585" s="27" t="str">
        <x:v>How have text-to-SQL systems evolved from schema-aware neural parsers to large-language-model-based approaches, and which challenges remain on cross-domain benchmarks?</x:v>
      </x:c>
      <x:c r="F585" s="22" t="n">
        <x:v>9</x:v>
      </x:c>
      <x:c r="G585" s="17" t="str">
        <x:v>arXiv:2208.10099</x:v>
      </x:c>
      <x:c r="H585" s="27" t="str">
        <x:v>Recent Advances in Text-to-SQL: A Survey of What We Have and What We Expect</x:v>
      </x:c>
      <x:c r="I585" s="17" t="str">
        <x:v>Naihao Deng; Yulong Chen; Yue Zhang</x:v>
      </x:c>
      <x:c r="J585" s="22" t="n">
        <x:v>2022</x:v>
      </x:c>
      <x:c r="K585" s="27" t="str">
        <x:v>Text-to-SQL has attracted attention from both the natural language processing and database communities because of its ability to convert the semantics in natural language into SQL queries and its practical application in building natural language interfaces to database systems. The major challenges in text-to-SQL lie in encoding the meaning of natural utterances, decoding to SQL queries, and translating the semantics between these two forms. These challenges have been addressed to different extents by the recent advances. However, there is still a lack of comprehensive surveys for this task. To this end, we review recent progress on text-to-SQL for datasets, methods, and evaluation and provide this systematic survey, addressing the aforementioned challenges and discussing potential future directions. We hope that this survey can serve as quick access to existing work and motivate future research.</x:v>
      </x:c>
      <x:c r="L585" s="17" t="str">
        <x:v>http://arxiv.org/abs/2208.10099v1</x:v>
      </x:c>
      <x:c r="M585" s="23" t="n">
        <x:v>0.01639344262295082</x:v>
      </x:c>
      <x:c r="N585" s="17" t="str">
        <x:v>arxiv-paper-eval-20260727-095606-results.jsonl</x:v>
      </x:c>
      <x:c r="O585" s="24" t="str">
        <x:v>2</x:v>
      </x:c>
      <x:c r="P585" s="28" t="str">
        <x:v>直接综述Text-to-SQL方法进展、核心挑战和评价。</x:v>
      </x:c>
      <x:c r="Q585" s="25" t="str"/>
      <x:c r="R585" s="24" t="str">
        <x:f>IF(Q585&lt;&gt;"",Q585,O585)</x:f>
        <x:v>2</x:v>
      </x:c>
      <x:c r="S585" s="29" t="str"/>
    </x:row>
    <x:row r="586" ht="54" customHeight="1">
      <x:c r="A586" s="17" t="str">
        <x:v>csq030-r10</x:v>
      </x:c>
      <x:c r="B586" s="17" t="str">
        <x:v>csq030</x:v>
      </x:c>
      <x:c r="C586" s="17" t="str">
        <x:v>data_management_and_ir</x:v>
      </x:c>
      <x:c r="D586" s="17" t="str">
        <x:v>text_to_sql</x:v>
      </x:c>
      <x:c r="E586" s="27" t="str">
        <x:v>How have text-to-SQL systems evolved from schema-aware neural parsers to large-language-model-based approaches, and which challenges remain on cross-domain benchmarks?</x:v>
      </x:c>
      <x:c r="F586" s="22" t="n">
        <x:v>10</x:v>
      </x:c>
      <x:c r="G586" s="17" t="str">
        <x:v>arXiv:2505.13725</x:v>
      </x:c>
      <x:c r="H586" s="27" t="str">
        <x:v>SQLForge: Synthesizing Reliable and Diverse Data to Enhance Text-to-SQL Reasoning in LLMs</x:v>
      </x:c>
      <x:c r="I586" s="17" t="str">
        <x:v>Yu Guo; Dong Jin; Shenghao Ye; Shuangwu Chen; Jian Yang; Xiaobin Tan</x:v>
      </x:c>
      <x:c r="J586" s="22" t="n">
        <x:v>2025</x:v>
      </x:c>
      <x:c r="K586" s="27" t="str">
        <x:v>Large Language models (LLMs) have demonstrated significant potential in text-to-SQL reasoning tasks, yet a substantial performance gap persists between existing open-source models and their closed-source counterparts. In this paper, we introduce SQLForge, a novel approach for synthesizing reliable and diverse data to enhance text-to-SQL reasoning in LLMs. We improve data reliability through SQL syntax constraints and SQL-to-question reverse translation, ensuring data logic at both structural and semantic levels. We also propose an SQL template enrichment and iterative data domain exploration mechanism to boost data diversity. Building on the augmented data, we fine-tune a variety of open-source models with different architectures and parameter sizes, resulting in a family of models termed SQLForge-LM. SQLForge-LM achieves the state-of-the-art performance on the widely recognized Spider and BIRD benchmarks among the open-source models. Specifically, SQLForge-LM achieves EX accuracy of 85.7% on Spider Dev and 59.8% on BIRD Dev, significantly narrowing the performance gap with closed-source methods.</x:v>
      </x:c>
      <x:c r="L586" s="17" t="str">
        <x:v>http://arxiv.org/abs/2505.13725v1</x:v>
      </x:c>
      <x:c r="M586" s="23" t="n">
        <x:v>0.016129032258064516</x:v>
      </x:c>
      <x:c r="N586" s="17" t="str">
        <x:v>arxiv-paper-eval-20260727-095606-results.jsonl</x:v>
      </x:c>
      <x:c r="O586" s="24" t="str">
        <x:v>2</x:v>
      </x:c>
      <x:c r="P586" s="28" t="str">
        <x:v>直接提出LLM合成数据方法以增强复杂Text-to-SQL推理。</x:v>
      </x:c>
      <x:c r="Q586" s="25" t="str"/>
      <x:c r="R586" s="24" t="str">
        <x:f>IF(Q586&lt;&gt;"",Q586,O586)</x:f>
        <x:v>2</x:v>
      </x:c>
      <x:c r="S586" s="29" t="str"/>
    </x:row>
    <x:row r="587" ht="54" customHeight="1">
      <x:c r="A587" s="17" t="str">
        <x:v>csq030-r11</x:v>
      </x:c>
      <x:c r="B587" s="17" t="str">
        <x:v>csq030</x:v>
      </x:c>
      <x:c r="C587" s="17" t="str">
        <x:v>data_management_and_ir</x:v>
      </x:c>
      <x:c r="D587" s="17" t="str">
        <x:v>text_to_sql</x:v>
      </x:c>
      <x:c r="E587" s="27" t="str">
        <x:v>How have text-to-SQL systems evolved from schema-aware neural parsers to large-language-model-based approaches, and which challenges remain on cross-domain benchmarks?</x:v>
      </x:c>
      <x:c r="F587" s="22" t="n">
        <x:v>11</x:v>
      </x:c>
      <x:c r="G587" s="17" t="str">
        <x:v>arXiv:2408.07702</x:v>
      </x:c>
      <x:c r="H587" s="27" t="str">
        <x:v>The Death of Schema Linking? Text-to-SQL in the Age of Well-Reasoned Language Models</x:v>
      </x:c>
      <x:c r="I587" s="17" t="str">
        <x:v>Karime Maamari; Fadhil Abubaker; Daniel Jaroslawicz; Amine Mhedhbi</x:v>
      </x:c>
      <x:c r="J587" s="22" t="n">
        <x:v>2024</x:v>
      </x:c>
      <x:c r="K587" s="27" t="str">
        <x:v>Schema linking is a crucial step in Text-to-SQL pipelines. Its goal is to retrieve the relevant tables and columns of a target database for a user's query while disregarding irrelevant ones. However, imperfect schema linking can often exclude required columns needed for accurate query generation. In this work, we revisit schema linking when using the latest generation of large language models (LLMs). We find empirically that newer models are adept at utilizing relevant schema elements during generation even in the presence of large numbers of irrelevant ones. As such, our Text-to-SQL pipeline entirely forgoes schema linking in cases where the schema fits within the model's context window in order to minimize issues due to filtering required schema elements. Furthermore, instead of filtering contextual information, we highlight techniques such as augmentation, selection, and correction, and adopt them to improve the accuracy of our Text-to-SQL pipeline. Our approach ranks first on the BIRD benchmark achieving an accuracy of 71.83%.</x:v>
      </x:c>
      <x:c r="L587" s="17" t="str">
        <x:v>http://arxiv.org/abs/2408.07702v2</x:v>
      </x:c>
      <x:c r="M587" s="23" t="n">
        <x:v>0.016129032258064516</x:v>
      </x:c>
      <x:c r="N587" s="17" t="str">
        <x:v>arxiv-paper-eval-20260727-095606-results.jsonl</x:v>
      </x:c>
      <x:c r="O587" s="24" t="str">
        <x:v>2</x:v>
      </x:c>
      <x:c r="P587" s="28" t="str">
        <x:v>直接重新检验LLM时代模式链接的必要性及其失败风险。</x:v>
      </x:c>
      <x:c r="Q587" s="25" t="str"/>
      <x:c r="R587" s="24" t="str">
        <x:f>IF(Q587&lt;&gt;"",Q587,O587)</x:f>
        <x:v>2</x:v>
      </x:c>
      <x:c r="S587" s="29" t="str"/>
    </x:row>
    <x:row r="588" ht="54" customHeight="1">
      <x:c r="A588" s="17" t="str">
        <x:v>csq030-r12</x:v>
      </x:c>
      <x:c r="B588" s="17" t="str">
        <x:v>csq030</x:v>
      </x:c>
      <x:c r="C588" s="17" t="str">
        <x:v>data_management_and_ir</x:v>
      </x:c>
      <x:c r="D588" s="17" t="str">
        <x:v>text_to_sql</x:v>
      </x:c>
      <x:c r="E588" s="27" t="str">
        <x:v>How have text-to-SQL systems evolved from schema-aware neural parsers to large-language-model-based approaches, and which challenges remain on cross-domain benchmarks?</x:v>
      </x:c>
      <x:c r="F588" s="22" t="n">
        <x:v>12</x:v>
      </x:c>
      <x:c r="G588" s="17" t="str">
        <x:v>arXiv:2410.06011</x:v>
      </x:c>
      <x:c r="H588" s="27" t="str">
        <x:v>Large Language Model Enhanced Text-to-SQL Generation: A Survey</x:v>
      </x:c>
      <x:c r="I588" s="17" t="str">
        <x:v>Xiaohu Zhu; Qian Li; Lizhen Cui; Yongkang Liu</x:v>
      </x:c>
      <x:c r="J588" s="22" t="n">
        <x:v>2024</x:v>
      </x:c>
      <x:c r="K588" s="27" t="str">
        <x:v>Text-to-SQL translates natural language queries into Structured Query Language (SQL) commands, enabling users to interact with databases using natural language. Essentially, the text-to-SQL task is a text generation task, and its development is primarily dependent on changes in language models. Especially with the rapid development of Large Language Models (LLMs), the pattern of text-to-SQL has undergone significant changes. Existing survey work mainly focuses on rule-based and neural-based approaches, but it still lacks a survey of Text-to-SQL with LLMs. In this paper, we survey the large language model enhanced text-to-SQL generations, classifying them into prompt engineering, fine-tuning, pre-trained, and Agent groups according to training strategies. We also summarize datasets and evaluation metrics comprehensively. This survey could help people better understand the pattern, research status, and challenges of LLM-based text-to-SQL generations.</x:v>
      </x:c>
      <x:c r="L588" s="17" t="str">
        <x:v>http://arxiv.org/abs/2410.06011v1</x:v>
      </x:c>
      <x:c r="M588" s="23" t="n">
        <x:v>0.015873015873015872</x:v>
      </x:c>
      <x:c r="N588" s="17" t="str">
        <x:v>arxiv-paper-eval-20260727-095606-results.jsonl</x:v>
      </x:c>
      <x:c r="O588" s="24" t="str">
        <x:v>2</x:v>
      </x:c>
      <x:c r="P588" s="28" t="str">
        <x:v>直接综述从神经方法到LLM增强Text-to-SQL的范式变化。</x:v>
      </x:c>
      <x:c r="Q588" s="25" t="str"/>
      <x:c r="R588" s="24" t="str">
        <x:f>IF(Q588&lt;&gt;"",Q588,O588)</x:f>
        <x:v>2</x:v>
      </x:c>
      <x:c r="S588" s="29" t="str"/>
    </x:row>
    <x:row r="589" ht="54" customHeight="1">
      <x:c r="A589" s="17" t="str">
        <x:v>csq030-r13</x:v>
      </x:c>
      <x:c r="B589" s="17" t="str">
        <x:v>csq030</x:v>
      </x:c>
      <x:c r="C589" s="17" t="str">
        <x:v>data_management_and_ir</x:v>
      </x:c>
      <x:c r="D589" s="17" t="str">
        <x:v>text_to_sql</x:v>
      </x:c>
      <x:c r="E589" s="27" t="str">
        <x:v>How have text-to-SQL systems evolved from schema-aware neural parsers to large-language-model-based approaches, and which challenges remain on cross-domain benchmarks?</x:v>
      </x:c>
      <x:c r="F589" s="22" t="n">
        <x:v>13</x:v>
      </x:c>
      <x:c r="G589" s="17" t="str">
        <x:v>arXiv:2310.06302</x:v>
      </x:c>
      <x:c r="H589" s="27" t="str">
        <x:v>Selective Demonstrations for Cross-domain Text-to-SQL</x:v>
      </x:c>
      <x:c r="I589" s="17" t="str">
        <x:v>Shuaichen Chang; Eric Fosler-Lussier</x:v>
      </x:c>
      <x:c r="J589" s="22" t="n">
        <x:v>2023</x:v>
      </x:c>
      <x:c r="K589" s="27" t="str">
        <x:v>Large language models (LLMs) with in-context learning have demonstrated impressive generalization capabilities in the cross-domain text-to-SQL task, without the use of in-domain annotations. However, incorporating in-domain demonstration examples has been found to greatly enhance LLMs' performance. In this paper, we delve into the key factors within in-domain examples that contribute to the improvement and explore whether we can harness these benefits without relying on in-domain annotations. Based on our findings, we propose a demonstration selection framework ODIS which utilizes both out-of-domain examples and synthetically generated in-domain examples to construct demonstrations. By retrieving demonstrations from hybrid sources, ODIS leverages the advantages of both, showcasing its effectiveness compared to baseline methods that rely on a single data source. Furthermore, ODIS outperforms state-of-the-art approaches on two cross-domain text-to-SQL datasets, with improvements of 1.1 and 11.8 points in execution accuracy, respectively.</x:v>
      </x:c>
      <x:c r="L589" s="17" t="str">
        <x:v>http://arxiv.org/abs/2310.06302v1</x:v>
      </x:c>
      <x:c r="M589" s="23" t="n">
        <x:v>0.015873015873015872</x:v>
      </x:c>
      <x:c r="N589" s="17" t="str">
        <x:v>arxiv-paper-eval-20260727-095606-results.jsonl</x:v>
      </x:c>
      <x:c r="O589" s="24" t="str">
        <x:v>2</x:v>
      </x:c>
      <x:c r="P589" s="28" t="str">
        <x:v>直接研究LLM跨域Text-to-SQL的示例选择和泛化。</x:v>
      </x:c>
      <x:c r="Q589" s="25" t="str"/>
      <x:c r="R589" s="24" t="str">
        <x:f>IF(Q589&lt;&gt;"",Q589,O589)</x:f>
        <x:v>2</x:v>
      </x:c>
      <x:c r="S589" s="29" t="str"/>
    </x:row>
    <x:row r="590" ht="54" customHeight="1">
      <x:c r="A590" s="17" t="str">
        <x:v>csq030-r14</x:v>
      </x:c>
      <x:c r="B590" s="17" t="str">
        <x:v>csq030</x:v>
      </x:c>
      <x:c r="C590" s="17" t="str">
        <x:v>data_management_and_ir</x:v>
      </x:c>
      <x:c r="D590" s="17" t="str">
        <x:v>text_to_sql</x:v>
      </x:c>
      <x:c r="E590" s="27" t="str">
        <x:v>How have text-to-SQL systems evolved from schema-aware neural parsers to large-language-model-based approaches, and which challenges remain on cross-domain benchmarks?</x:v>
      </x:c>
      <x:c r="F590" s="22" t="n">
        <x:v>14</x:v>
      </x:c>
      <x:c r="G590" s="17" t="str">
        <x:v>arXiv:2102.01847</x:v>
      </x:c>
      <x:c r="H590" s="27" t="str">
        <x:v>An Investigation Between Schema Linking and Text-to-SQL Performance</x:v>
      </x:c>
      <x:c r="I590" s="17" t="str">
        <x:v>Yasufumi Taniguchi; Hiroki Nakayama; Kubo Takahiro; Jun Suzuki</x:v>
      </x:c>
      <x:c r="J590" s="22" t="n">
        <x:v>2021</x:v>
      </x:c>
      <x:c r="K590" s="27" t="str">
        <x:v>Text-to-SQL is a crucial task toward developing methods for understanding natural language by computers. Recent neural approaches deliver excellent performance; however, models that are difficult to interpret inhibit future developments. Hence, this study aims to provide a better approach toward the interpretation of neural models. We hypothesize that the internal behavior of models at hand becomes much easier to analyze if we identify the detailed performance of schema linking simultaneously as the additional information of the text-to-SQL performance. We provide the ground-truth annotation of schema linking information onto the Spider dataset. We demonstrate the usefulness of the annotated data and how to analyze the current state-of-the-art neural models.</x:v>
      </x:c>
      <x:c r="L590" s="17" t="str">
        <x:v>http://arxiv.org/abs/2102.01847v1</x:v>
      </x:c>
      <x:c r="M590" s="23" t="n">
        <x:v>0.015873015873015872</x:v>
      </x:c>
      <x:c r="N590" s="17" t="str">
        <x:v>arxiv-paper-eval-20260727-095606-results.jsonl</x:v>
      </x:c>
      <x:c r="O590" s="24" t="str">
        <x:v>2</x:v>
      </x:c>
      <x:c r="P590" s="28" t="str">
        <x:v>直接分析神经Text-to-SQL中模式链接与最终性能关系。</x:v>
      </x:c>
      <x:c r="Q590" s="25" t="str"/>
      <x:c r="R590" s="24" t="str">
        <x:f>IF(Q590&lt;&gt;"",Q590,O590)</x:f>
        <x:v>2</x:v>
      </x:c>
      <x:c r="S590" s="29" t="str"/>
    </x:row>
    <x:row r="591" ht="54" customHeight="1">
      <x:c r="A591" s="17" t="str">
        <x:v>csq030-r15</x:v>
      </x:c>
      <x:c r="B591" s="17" t="str">
        <x:v>csq030</x:v>
      </x:c>
      <x:c r="C591" s="17" t="str">
        <x:v>data_management_and_ir</x:v>
      </x:c>
      <x:c r="D591" s="17" t="str">
        <x:v>text_to_sql</x:v>
      </x:c>
      <x:c r="E591" s="27" t="str">
        <x:v>How have text-to-SQL systems evolved from schema-aware neural parsers to large-language-model-based approaches, and which challenges remain on cross-domain benchmarks?</x:v>
      </x:c>
      <x:c r="F591" s="22" t="n">
        <x:v>15</x:v>
      </x:c>
      <x:c r="G591" s="17" t="str">
        <x:v>arXiv:2405.09593</x:v>
      </x:c>
      <x:c r="H591" s="27" t="str">
        <x:v>SQL-to-Schema Enhances Schema Linking in Text-to-SQL</x:v>
      </x:c>
      <x:c r="I591" s="17" t="str">
        <x:v>Sun Yang; Qiong Su; Zhishuai Li; Ziyue Li; Hangyu Mao; Chenxi Liu; Rui Zhao</x:v>
      </x:c>
      <x:c r="J591" s="22" t="n">
        <x:v>2024</x:v>
      </x:c>
      <x:c r="K591" s="27" t="str">
        <x:v>In sophisticated existing Text-to-SQL methods exhibit errors in various proportions, including schema-linking errors (incorrect columns, tables, or extra columns), join errors, nested errors, and group-by errors. Consequently, there is a critical need to filter out unnecessary tables and columns, directing the language models attention to relevant tables and columns with schema-linking, to reduce errors during SQL generation. Previous approaches have involved sorting tables and columns based on their relevance to the question, selecting the top-ranked ones for sorting, or directly identifying the necessary tables and columns for SQL generation. However, these methods face challenges such as lengthy model training times, high consumption of expensive GPT-4 tokens in few-shot prompts, or suboptimal performance in schema linking. Therefore, we propose an inventive schema linking method in two steps: Firstly, generate an initial SQL query by utilizing the complete database schema. Subsequently, extract tables and columns from the initial SQL query to create a concise schema. Using CodeLlama-34B, when comparing the schemas obtained by mainstream methods with ours for SQL generation, our schema performs optimally. Leveraging GPT4, our SQL generation method achieved results that are comparable to mainstream Text-to-SQL methods on the Spider dataset.</x:v>
      </x:c>
      <x:c r="L591" s="17" t="str">
        <x:v>http://arxiv.org/abs/2405.09593v1</x:v>
      </x:c>
      <x:c r="M591" s="23" t="n">
        <x:v>0.015625</x:v>
      </x:c>
      <x:c r="N591" s="17" t="str">
        <x:v>arxiv-paper-eval-20260727-095606-results.jsonl</x:v>
      </x:c>
      <x:c r="O591" s="24" t="str">
        <x:v>2</x:v>
      </x:c>
      <x:c r="P591" s="28" t="str">
        <x:v>直接提出模式链接改进以减少列、表和连接错误。</x:v>
      </x:c>
      <x:c r="Q591" s="25" t="str"/>
      <x:c r="R591" s="24" t="str">
        <x:f>IF(Q591&lt;&gt;"",Q591,O591)</x:f>
        <x:v>2</x:v>
      </x:c>
      <x:c r="S591" s="29" t="str"/>
    </x:row>
    <x:row r="592" ht="54" customHeight="1">
      <x:c r="A592" s="17" t="str">
        <x:v>csq030-r16</x:v>
      </x:c>
      <x:c r="B592" s="17" t="str">
        <x:v>csq030</x:v>
      </x:c>
      <x:c r="C592" s="17" t="str">
        <x:v>data_management_and_ir</x:v>
      </x:c>
      <x:c r="D592" s="17" t="str">
        <x:v>text_to_sql</x:v>
      </x:c>
      <x:c r="E592" s="27" t="str">
        <x:v>How have text-to-SQL systems evolved from schema-aware neural parsers to large-language-model-based approaches, and which challenges remain on cross-domain benchmarks?</x:v>
      </x:c>
      <x:c r="F592" s="22" t="n">
        <x:v>16</x:v>
      </x:c>
      <x:c r="G592" s="17" t="str">
        <x:v>arXiv:2010.12634</x:v>
      </x:c>
      <x:c r="H592" s="27" t="str">
        <x:v>Did You Ask a Good Question? A Cross-Domain Question Intention Classification Benchmark for Text-to-SQL</x:v>
      </x:c>
      <x:c r="I592" s="17" t="str">
        <x:v>Yusen Zhang; Xiangyu Dong; Shuaichen Chang; Tao Yu; Peng Shi; Rui Zhang</x:v>
      </x:c>
      <x:c r="J592" s="22" t="n">
        <x:v>2020</x:v>
      </x:c>
      <x:c r="K592" s="27" t="str">
        <x:v>Neural models have achieved significant results on the text-to-SQL task, in which most current work assumes all the input questions are legal and generates a SQL query for any input. However, in the real scenario, users can input any text that may not be able to be answered by a SQL query. In this work, we propose TriageSQL, the first cross-domain text-to-SQL question intention classification benchmark that requires models to distinguish four types of unanswerable questions from answerable questions. The baseline RoBERTa model achieves a 60% F1 score on the test set, demonstrating the need for further improvement on this task. Our dataset is available at https://github.com/chatc/TriageSQL.</x:v>
      </x:c>
      <x:c r="L592" s="17" t="str">
        <x:v>http://arxiv.org/abs/2010.12634v1</x:v>
      </x:c>
      <x:c r="M592" s="23" t="n">
        <x:v>0.015625</x:v>
      </x:c>
      <x:c r="N592" s="17" t="str">
        <x:v>arxiv-paper-eval-20260727-095606-results.jsonl</x:v>
      </x:c>
      <x:c r="O592" s="24" t="str">
        <x:v>1</x:v>
      </x:c>
      <x:c r="P592" s="28" t="str">
        <x:v>提出跨域不可回答问题分类基准，是剩余真实场景挑战的相邻证据。</x:v>
      </x:c>
      <x:c r="Q592" s="25" t="str"/>
      <x:c r="R592" s="24" t="str">
        <x:f>IF(Q592&lt;&gt;"",Q592,O592)</x:f>
        <x:v>1</x:v>
      </x:c>
      <x:c r="S592" s="29" t="str"/>
    </x:row>
    <x:row r="593" ht="54" customHeight="1">
      <x:c r="A593" s="17" t="str">
        <x:v>csq030-r17</x:v>
      </x:c>
      <x:c r="B593" s="17" t="str">
        <x:v>csq030</x:v>
      </x:c>
      <x:c r="C593" s="17" t="str">
        <x:v>data_management_and_ir</x:v>
      </x:c>
      <x:c r="D593" s="17" t="str">
        <x:v>text_to_sql</x:v>
      </x:c>
      <x:c r="E593" s="27" t="str">
        <x:v>How have text-to-SQL systems evolved from schema-aware neural parsers to large-language-model-based approaches, and which challenges remain on cross-domain benchmarks?</x:v>
      </x:c>
      <x:c r="F593" s="22" t="n">
        <x:v>17</x:v>
      </x:c>
      <x:c r="G593" s="17" t="str">
        <x:v>arXiv:2505.23838</x:v>
      </x:c>
      <x:c r="H593" s="27" t="str">
        <x:v>Exploring the Landscape of Text-to-SQL with Large Language Models: Progresses, Challenges and Opportunities</x:v>
      </x:c>
      <x:c r="I593" s="17" t="str">
        <x:v>Yiming Huang; Jiyu Guo; Wenxin Mao; Cuiyun Gao; Peiyi Han; Chuanyi Liu; Qing Ling</x:v>
      </x:c>
      <x:c r="J593" s="22" t="n">
        <x:v>2025</x:v>
      </x:c>
      <x:c r="K593" s="27" t="str">
        <x:v>Converting natural language (NL) questions into SQL queries, referred to as Text-to-SQL, has emerged as a pivotal technology for facilitating access to relational databases, especially for users without SQL knowledge. Recent progress in large language models (LLMs) has markedly propelled the field of natural language processing (NLP), opening new avenues to improve text-to-SQL systems. This study presents a systematic review of LLM-based text-to-SQL, focusing on four key aspects: (1) an analysis of the research trends in LLM-based text-to-SQL; (2) an in-depth analysis of existing LLM-based text-to-SQL techniques from diverse perspectives; (3) summarization of existing text-to-SQL datasets and evaluation metrics; and (4) discussion on potential obstacles and avenues for future exploration in this domain. This survey seeks to furnish researchers with an in-depth understanding of LLM-based text-to-SQL, sparking new innovations and advancements in this field.</x:v>
      </x:c>
      <x:c r="L593" s="17" t="str">
        <x:v>http://arxiv.org/abs/2505.23838v1</x:v>
      </x:c>
      <x:c r="M593" s="23" t="n">
        <x:v>0.015384615384615385</x:v>
      </x:c>
      <x:c r="N593" s="17" t="str">
        <x:v>arxiv-paper-eval-20260727-095606-results.jsonl</x:v>
      </x:c>
      <x:c r="O593" s="24" t="str">
        <x:v>2</x:v>
      </x:c>
      <x:c r="P593" s="28" t="str">
        <x:v>直接系统综述LLM Text-to-SQL进展、挑战与机会。</x:v>
      </x:c>
      <x:c r="Q593" s="25" t="str"/>
      <x:c r="R593" s="24" t="str">
        <x:f>IF(Q593&lt;&gt;"",Q593,O593)</x:f>
        <x:v>2</x:v>
      </x:c>
      <x:c r="S593" s="29" t="str"/>
    </x:row>
    <x:row r="594" ht="54" customHeight="1">
      <x:c r="A594" s="17" t="str">
        <x:v>csq030-r18</x:v>
      </x:c>
      <x:c r="B594" s="17" t="str">
        <x:v>csq030</x:v>
      </x:c>
      <x:c r="C594" s="17" t="str">
        <x:v>data_management_and_ir</x:v>
      </x:c>
      <x:c r="D594" s="17" t="str">
        <x:v>text_to_sql</x:v>
      </x:c>
      <x:c r="E594" s="27" t="str">
        <x:v>How have text-to-SQL systems evolved from schema-aware neural parsers to large-language-model-based approaches, and which challenges remain on cross-domain benchmarks?</x:v>
      </x:c>
      <x:c r="F594" s="22" t="n">
        <x:v>18</x:v>
      </x:c>
      <x:c r="G594" s="17" t="str">
        <x:v>arXiv:2501.18197</x:v>
      </x:c>
      <x:c r="H594" s="27" t="str">
        <x:v>Fundamental Challenges in Evaluating Text2SQL Solutions and Detecting Their Limitations</x:v>
      </x:c>
      <x:c r="I594" s="17" t="str">
        <x:v>Cedric Renggli; Ihab F. Ilyas; Theodoros Rekatsinas</x:v>
      </x:c>
      <x:c r="J594" s="22" t="n">
        <x:v>2025</x:v>
      </x:c>
      <x:c r="K594" s="27" t="str">
        <x:v>In this work, we dive into the fundamental challenges of evaluating Text2SQL solutions and highlight potential failure causes and the potential risks of relying on aggregate metrics in existing benchmarks. We identify two largely unaddressed limitations in current open benchmarks: (1) data quality issues in the evaluation data, mainly attributed to the lack of capturing the probabilistic nature of translating a natural language description into a structured query (e.g., NL ambiguity), and (2) the bias introduced by using different match functions as approximations for SQL equivalence. To put both limitations into context, we propose a unified taxonomy of all Text2SQL limitations that can lead to both prediction and evaluation errors. We then motivate the taxonomy by providing a survey of Text2SQL limitations using state-of-the-art Text2SQL solutions and benchmarks. We describe the causes of limitations with real-world examples and propose potential mitigation solutions for each category in the taxonomy. We conclude by highlighting the open challenges encountered when deploying such mitigation strategies or attempting to automatically apply the taxonomy.</x:v>
      </x:c>
      <x:c r="L594" s="17" t="str">
        <x:v>http://arxiv.org/abs/2501.18197v1</x:v>
      </x:c>
      <x:c r="M594" s="23" t="n">
        <x:v>0.015384615384615385</x:v>
      </x:c>
      <x:c r="N594" s="17" t="str">
        <x:v>arxiv-paper-eval-20260727-095606-results.jsonl</x:v>
      </x:c>
      <x:c r="O594" s="24" t="str">
        <x:v>2</x:v>
      </x:c>
      <x:c r="P594" s="28" t="str">
        <x:v>直接揭示Text-to-SQL基准数据质量、SQL等价判断和聚合指标局限。</x:v>
      </x:c>
      <x:c r="Q594" s="25" t="str"/>
      <x:c r="R594" s="24" t="str">
        <x:f>IF(Q594&lt;&gt;"",Q594,O594)</x:f>
        <x:v>2</x:v>
      </x:c>
      <x:c r="S594" s="29" t="str"/>
    </x:row>
    <x:row r="595" ht="54" customHeight="1">
      <x:c r="A595" s="17" t="str">
        <x:v>csq030-r19</x:v>
      </x:c>
      <x:c r="B595" s="17" t="str">
        <x:v>csq030</x:v>
      </x:c>
      <x:c r="C595" s="17" t="str">
        <x:v>data_management_and_ir</x:v>
      </x:c>
      <x:c r="D595" s="17" t="str">
        <x:v>text_to_sql</x:v>
      </x:c>
      <x:c r="E595" s="27" t="str">
        <x:v>How have text-to-SQL systems evolved from schema-aware neural parsers to large-language-model-based approaches, and which challenges remain on cross-domain benchmarks?</x:v>
      </x:c>
      <x:c r="F595" s="22" t="n">
        <x:v>19</x:v>
      </x:c>
      <x:c r="G595" s="17" t="str">
        <x:v>arXiv:2411.00073</x:v>
      </x:c>
      <x:c r="H595" s="27" t="str">
        <x:v>RSL-SQL: Robust Schema Linking in Text-to-SQL Generation</x:v>
      </x:c>
      <x:c r="I595" s="17" t="str">
        <x:v>Zhenbiao Cao; Yuanlei Zheng; Zhihao Fan; Xiaojin Zhang; Wei Chen; Xiang Bai</x:v>
      </x:c>
      <x:c r="J595" s="22" t="n">
        <x:v>2024</x:v>
      </x:c>
      <x:c r="K595" s="27" t="str">
        <x:v>Text-to-SQL generation aims to translate natural language questions into SQL statements. In Text-to-SQL based on large language models, schema linking is a widely adopted strategy to streamline the input for LLMs by selecting only relevant schema elements, therefore reducing noise and computational overhead. However, schema linking faces risks that require caution, including the potential omission of necessary elements and disruption of database structural integrity. To address these challenges, we propose a novel framework called RSL-SQL that combines bidirectional schema linking, contextual information augmentation, binary selection strategy, and multi-turn self-correction. We improve the recall of pattern linking using forward and backward pruning methods, achieving a strict recall of 94% while reducing the number of input columns by 83%. Furthermore, it hedges the risk by voting between a full mode and a simplified mode enhanced with contextual information. Experiments on the BIRD and Spider benchmarks demonstrate that our approach achieves SOTA execution accuracy among open-source solutions, with 67.2% on BIRD and 87.9% on Spider using GPT-4o. Furthermore, our approach outperforms a series of GPT-4 based Text-to-SQL systems when adopting DeepSeek (much cheaper) with same intact prompts. Extensive analysis and ablation studies confirm the effectiveness of each component in our framework. The codes are available at https://github.com/Laqcce-cao/RSL-SQL.</x:v>
      </x:c>
      <x:c r="L595" s="17" t="str">
        <x:v>http://arxiv.org/abs/2411.00073v2</x:v>
      </x:c>
      <x:c r="M595" s="23" t="n">
        <x:v>0.015384615384615385</x:v>
      </x:c>
      <x:c r="N595" s="17" t="str">
        <x:v>arxiv-paper-eval-20260727-095606-results.jsonl</x:v>
      </x:c>
      <x:c r="O595" s="24" t="str">
        <x:v>2</x:v>
      </x:c>
      <x:c r="P595" s="28" t="str">
        <x:v>直接提出稳健模式链接框架以解决LLM输入噪声和元素遗漏。</x:v>
      </x:c>
      <x:c r="Q595" s="25" t="str"/>
      <x:c r="R595" s="24" t="str">
        <x:f>IF(Q595&lt;&gt;"",Q595,O595)</x:f>
        <x:v>2</x:v>
      </x:c>
      <x:c r="S595" s="29" t="str"/>
    </x:row>
    <x:row r="596" ht="54" customHeight="1">
      <x:c r="A596" s="17" t="str">
        <x:v>csq030-r20</x:v>
      </x:c>
      <x:c r="B596" s="17" t="str">
        <x:v>csq030</x:v>
      </x:c>
      <x:c r="C596" s="17" t="str">
        <x:v>data_management_and_ir</x:v>
      </x:c>
      <x:c r="D596" s="17" t="str">
        <x:v>text_to_sql</x:v>
      </x:c>
      <x:c r="E596" s="27" t="str">
        <x:v>How have text-to-SQL systems evolved from schema-aware neural parsers to large-language-model-based approaches, and which challenges remain on cross-domain benchmarks?</x:v>
      </x:c>
      <x:c r="F596" s="22" t="n">
        <x:v>20</x:v>
      </x:c>
      <x:c r="G596" s="17" t="str">
        <x:v>arXiv:2109.05157</x:v>
      </x:c>
      <x:c r="H596" s="27" t="str">
        <x:v>Exploring Underexplored Limitations of Cross-Domain Text-to-SQL Generalization</x:v>
      </x:c>
      <x:c r="I596" s="17" t="str">
        <x:v>Yujian Gan; Xinyun Chen; Matthew Purver</x:v>
      </x:c>
      <x:c r="J596" s="22" t="n">
        <x:v>2021</x:v>
      </x:c>
      <x:c r="K596" s="27" t="str">
        <x:v>Recently, there has been significant progress in studying neural networks for translating text descriptions into SQL queries under the zero-shot cross-domain setting. Despite achieving good performance on some public benchmarks, we observe that existing text-to-SQL models do not generalize when facing domain knowledge that does not frequently appear in the training data, which may render the worse prediction performance for unseen domains. In this work, we investigate the robustness of text-to-SQL models when the questions require rarely observed domain knowledge. In particular, we define five types of domain knowledge and introduce Spider-DK (DK is the abbreviation of domain knowledge), a human-curated dataset based on the Spider benchmark for text-to-SQL translation. NL questions in Spider-DK are selected from Spider, and we modify some samples by adding domain knowledge that reflects real-world question paraphrases. We demonstrate that the prediction accuracy dramatically drops on samples that require such domain knowledge, even if the domain knowledge appears in the training set, and the model provides the correct predictions for related training samples.</x:v>
      </x:c>
      <x:c r="L596" s="17" t="str">
        <x:v>http://arxiv.org/abs/2109.05157v1</x:v>
      </x:c>
      <x:c r="M596" s="23" t="n">
        <x:v>0.015384615384615385</x:v>
      </x:c>
      <x:c r="N596" s="17" t="str">
        <x:v>arxiv-paper-eval-20260727-095606-results.jsonl</x:v>
      </x:c>
      <x:c r="O596" s="24" t="str">
        <x:v>2</x:v>
      </x:c>
      <x:c r="P596" s="28" t="str">
        <x:v>直接研究跨域Text-to-SQL对稀有领域知识的泛化失败。</x:v>
      </x:c>
      <x:c r="Q596" s="25" t="str"/>
      <x:c r="R596" s="24" t="str">
        <x:f>IF(Q596&lt;&gt;"",Q596,O596)</x:f>
        <x:v>2</x:v>
      </x:c>
      <x:c r="S596" s="29" t="str"/>
    </x:row>
  </x:sheetData>
  <x:conditionalFormatting sqref="R2:R596">
    <x:cfRule type="cellIs" dxfId="0" priority="1" operator="equal">
      <x:formula>2</x:formula>
    </x:cfRule>
    <x:cfRule type="cellIs" dxfId="1" priority="2" operator="equal">
      <x:formula>1</x:formula>
    </x:cfRule>
    <x:cfRule type="cellIs" dxfId="2" priority="3" operator="equal">
      <x:formula>0</x:formula>
    </x:cfRule>
    <x:cfRule type="containsText" dxfId="3" priority="4" operator="containsText" text="?"/>
  </x:conditionalFormatting>
  <x:dataValidations count="1">
    <x:dataValidation type="list" sqref="Q2:Q596">
      <x:formula1>"0,1,2,?"</x:formula1>
    </x:dataValidation>
  </x:dataValidations>
  <x:pageMargins left="0.7" right="0.7" top="0.75" bottom="0.75" header="0.3" footer="0.3"/>
  <x:tableParts count="1">
    <x:tablePart xmlns:r="http://schemas.openxmlformats.org/officeDocument/2006/relationships" r:id="R301c1e2cb0cd4c87"/>
  </x:tableParts>
</x:worksheet>
</file>