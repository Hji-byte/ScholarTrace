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c262e254db4752" /></Relationships>
</file>

<file path=xl/workbook.xml><?xml version="1.0" encoding="utf-8"?>
<x:workbook xmlns:x="http://schemas.openxmlformats.org/spreadsheetml/2006/main">
  <x:sheets>
    <x:sheet xmlns:r="http://schemas.openxmlformats.org/officeDocument/2006/relationships" name="Summary" sheetId="1" r:id="R6dfb54ed5b924346"/>
    <x:sheet xmlns:r="http://schemas.openxmlformats.org/officeDocument/2006/relationships" name="Labels" sheetId="2" r:id="Rac893697e9cf4c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
    <x:numFmt numFmtId="203" formatCode="0.000000"/>
  </x:numFmts>
  <x:fonts count="6">
    <x:font>
      <x:sz val="11"/>
      <x:name val="Carlito"/>
    </x:font>
    <x:font>
      <x:b/>
      <x:sz val="16"/>
      <x:color rgb="FFFFFFFF"/>
      <x:name val="Carlito"/>
    </x:font>
    <x:font>
      <x:i/>
      <x:sz val="11"/>
      <x:color rgb="FF274C77"/>
      <x:name val="Carlito"/>
    </x:font>
    <x:font>
      <x:b/>
      <x:sz val="11"/>
      <x:color rgb="FFFFFFFF"/>
      <x:name val="Carlito"/>
    </x:font>
    <x:font>
      <x:b/>
      <x:sz val="13"/>
      <x:name val="Carlito"/>
    </x:font>
    <x:font>
      <x:b/>
      <x:sz val="11"/>
      <x:color rgb="FF16324F"/>
      <x:name val="Carlito"/>
    </x:font>
  </x:fonts>
  <x:fills count="6">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2A6F97"/>
      </x:patternFill>
    </x:fill>
    <x:fill>
      <x:patternFill patternType="solid">
        <x:fgColor rgb="FFF7FAFC"/>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horizontal="center"/>
    </x:xf>
    <x:xf numFmtId="0"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201" fontId="0" fillId="0" borderId="0" xfId="0" applyNumberFormat="1" applyFont="1" applyFill="1" applyBorder="1"/>
    <x:xf numFmtId="0" fontId="5"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x:xf>
    <x:xf numFmtId="202" fontId="0" fillId="0" borderId="0" xfId="0" applyNumberFormat="1" applyFont="1" applyFill="1" applyBorder="1"/>
    <x:xf numFmtId="203" fontId="0" fillId="0" borderId="0" xfId="0" applyNumberFormat="1" applyFont="1" applyFill="1" applyBorder="1"/>
  </x:cellXfs>
  <x:cellStyles count="1">
    <x:cellStyle name="Normal" xfId="0"/>
  </x:cellStyles>
  <x:dxfs count="3">
    <x:dxf>
      <x:font>
        <x:color rgb="FF27632A"/>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ae159b307e4ae8" /><Relationship Type="http://schemas.openxmlformats.org/officeDocument/2006/relationships/theme" Target="/xl/theme/theme1.xml" Id="Ra4715266d333429c" /><Relationship Type="http://schemas.openxmlformats.org/officeDocument/2006/relationships/sharedStrings" Target="/xl/sharedStrings.xml" Id="Ra1217d43402d4ae5" /><Relationship Type="http://schemas.openxmlformats.org/officeDocument/2006/relationships/worksheet" Target="/xl/worksheets/sheet1.xml" Id="R6dfb54ed5b924346" /><Relationship Type="http://schemas.openxmlformats.org/officeDocument/2006/relationships/worksheet" Target="/xl/worksheets/sheet2.xml" Id="Rac893697e9cf4cb2" /></Relationships>
</file>

<file path=xl/tables/table1.xml><?xml version="1.0" encoding="utf-8"?>
<x:table xmlns:x="http://schemas.openxmlformats.org/spreadsheetml/2006/main" id="1" name="ChunkLabelsTable" displayName="ChunkLabelsTable" ref="A1:N898" headerRowCount="1" totalsRowCount="0" totalsRowShown="0">
  <x:tableColumns count="14">
    <x:tableColumn id="1" name="item_id"/>
    <x:tableColumn id="2" name="question_id"/>
    <x:tableColumn id="3" name="rank"/>
    <x:tableColumn id="4" name="auto_label"/>
    <x:tableColumn id="5" name="manual_label"/>
    <x:tableColumn id="6" name="final_label"/>
    <x:tableColumn id="7" name="paper_title"/>
    <x:tableColumn id="8" name="page"/>
    <x:tableColumn id="9" name="rrf_score"/>
    <x:tableColumn id="10" name="matched_queries"/>
    <x:tableColumn id="11" name="question"/>
    <x:tableColumn id="12" name="chunk_text"/>
    <x:tableColumn id="13" name="rationale"/>
    <x:tableColumn id="14"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7ad1bdbfe94790"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58" hidden="0" customWidth="1"/>
    <x:col min="3" max="3" width="11" hidden="0" customWidth="1"/>
    <x:col min="4" max="4" width="11" hidden="0" customWidth="1"/>
    <x:col min="5" max="5" width="11" hidden="0" customWidth="1"/>
    <x:col min="6" max="6" width="11" hidden="0" customWidth="1"/>
    <x:col min="7" max="7" width="13" hidden="0" customWidth="1"/>
    <x:col min="8" max="8" width="13" hidden="0" customWidth="1"/>
    <x:col min="9" max="9" width="13" hidden="0" customWidth="1"/>
    <x:col min="10" max="10" width="13" hidden="0" customWidth="1"/>
    <x:col min="11" max="11" width="13" hidden="0" customWidth="1"/>
  </x:cols>
  <x:sheetData>
    <x:row r="1" ht="30" customHeight="1">
      <x:c r="A1" s="2" t="str">
        <x:v>Dense + RRF Chunk Relevance Annotation</x:v>
      </x:c>
      <x:c r="B1" s="2"/>
      <x:c r="C1" s="2"/>
      <x:c r="D1" s="2"/>
      <x:c r="E1" s="2"/>
      <x:c r="F1" s="2"/>
      <x:c r="G1" s="2"/>
      <x:c r="H1" s="2"/>
      <x:c r="I1" s="2"/>
      <x:c r="J1" s="2"/>
    </x:row>
    <x:row r="3" ht="34" customHeight="1">
      <x:c r="A3" s="5" t="str">
        <x:v>Codex 单标注者的第一轮相关性判断，不等同于独立人工 gold label。可在 Labels 的 manual_label 列修正；final_label 会自动采用修正值。</x:v>
      </x:c>
      <x:c r="B3" s="5"/>
      <x:c r="C3" s="5"/>
      <x:c r="D3" s="5"/>
      <x:c r="E3" s="5"/>
      <x:c r="F3" s="5"/>
      <x:c r="G3" s="5"/>
      <x:c r="H3" s="5"/>
      <x:c r="I3" s="5"/>
      <x:c r="J3" s="5"/>
    </x:row>
    <x:row r="5">
      <x:c r="A5" s="8" t="str">
        <x:v>总 chunk</x:v>
      </x:c>
      <x:c r="B5" s="8" t="str">
        <x:v>2 直接证据</x:v>
      </x:c>
      <x:c r="C5" s="8" t="str">
        <x:v>1 部分证据</x:v>
      </x:c>
      <x:c r="D5" s="8" t="str">
        <x:v>0 无关</x:v>
      </x:c>
    </x:row>
    <x:row r="6">
      <x:c r="A6" s="12" t="n">
        <x:v>897</x:v>
      </x:c>
      <x:c r="B6" s="12" t="n">
        <x:f>COUNTIF('Labels'!$F$2:$F$898,"2")</x:f>
        <x:v>676</x:v>
      </x:c>
      <x:c r="C6" s="12" t="n">
        <x:f>COUNTIF('Labels'!$F$2:$F$898,"1")</x:f>
        <x:v>53</x:v>
      </x:c>
      <x:c r="D6" s="12" t="n">
        <x:f>COUNTIF('Labels'!$F$2:$F$898,"0")</x:f>
        <x:v>168</x:v>
      </x:c>
    </x:row>
    <x:row r="9">
      <x:c r="A9" s="16" t="str">
        <x:v>question_id</x:v>
      </x:c>
      <x:c r="B9" s="16" t="str">
        <x:v>question</x:v>
      </x:c>
      <x:c r="C9" s="16" t="str">
        <x:v>chunks</x:v>
      </x:c>
      <x:c r="D9" s="16" t="str">
        <x:v>label 2</x:v>
      </x:c>
      <x:c r="E9" s="16" t="str">
        <x:v>label 1</x:v>
      </x:c>
      <x:c r="F9" s="16" t="str">
        <x:v>label 0</x:v>
      </x:c>
      <x:c r="G9" s="16" t="str">
        <x:v>P@5</x:v>
      </x:c>
      <x:c r="H9" s="16" t="str">
        <x:v>P@10</x:v>
      </x:c>
      <x:c r="I9" s="16" t="str">
        <x:v>P@20</x:v>
      </x:c>
      <x:c r="J9" s="16" t="str">
        <x:v>P@30</x:v>
      </x:c>
      <x:c r="K9" s="16" t="str">
        <x:v>Auto nDCG@10</x:v>
      </x:c>
    </x:row>
    <x:row r="10">
      <x:c r="A10" s="18" t="str">
        <x:v>csq001</x:v>
      </x:c>
      <x:c r="B10" s="19" t="str">
        <x:v>What are the main methods for evaluating retrieval-augmented generation systems, and which retrieval and generation dimensions do they measure?</x:v>
      </x:c>
      <x:c r="C10" s="13" t="n">
        <x:f>COUNTIF('Labels'!$B$2:$B$898,$A10)</x:f>
        <x:v>30</x:v>
      </x:c>
      <x:c r="D10" s="13" t="n">
        <x:f>COUNTIFS('Labels'!$B$2:$B$898,$A10,'Labels'!$F$2:$F$898,"2")</x:f>
        <x:v>26</x:v>
      </x:c>
      <x:c r="E10" s="13" t="n">
        <x:f>COUNTIFS('Labels'!$B$2:$B$898,$A10,'Labels'!$F$2:$F$898,"1")</x:f>
        <x:v>1</x:v>
      </x:c>
      <x:c r="F10" s="13" t="n">
        <x:f>COUNTIFS('Labels'!$B$2:$B$898,$A10,'Labels'!$F$2:$F$898,"0")</x:f>
        <x:v>3</x:v>
      </x:c>
      <x:c r="G10" s="17" t="n">
        <x:f>(COUNTIFS('Labels'!$B$2:$B$898,$A10,'Labels'!$C$2:$C$898,"&lt;=5",'Labels'!$F$2:$F$898,"2")+COUNTIFS('Labels'!$B$2:$B$898,$A10,'Labels'!$C$2:$C$898,"&lt;=5",'Labels'!$F$2:$F$898,"1"))/COUNTIFS('Labels'!$B$2:$B$898,$A10,'Labels'!$C$2:$C$898,"&lt;=5")</x:f>
        <x:v>1</x:v>
      </x:c>
      <x:c r="H10" s="17" t="n">
        <x:f>(COUNTIFS('Labels'!$B$2:$B$898,$A10,'Labels'!$C$2:$C$898,"&lt;=10",'Labels'!$F$2:$F$898,"2")+COUNTIFS('Labels'!$B$2:$B$898,$A10,'Labels'!$C$2:$C$898,"&lt;=10",'Labels'!$F$2:$F$898,"1"))/COUNTIFS('Labels'!$B$2:$B$898,$A10,'Labels'!$C$2:$C$898,"&lt;=10")</x:f>
        <x:v>1</x:v>
      </x:c>
      <x:c r="I10" s="17" t="n">
        <x:f>(COUNTIFS('Labels'!$B$2:$B$898,$A10,'Labels'!$C$2:$C$898,"&lt;=20",'Labels'!$F$2:$F$898,"2")+COUNTIFS('Labels'!$B$2:$B$898,$A10,'Labels'!$C$2:$C$898,"&lt;=20",'Labels'!$F$2:$F$898,"1"))/COUNTIFS('Labels'!$B$2:$B$898,$A10,'Labels'!$C$2:$C$898,"&lt;=20")</x:f>
        <x:v>0.95</x:v>
      </x:c>
      <x:c r="J10" s="17" t="n">
        <x:f>(COUNTIFS('Labels'!$B$2:$B$898,$A10,'Labels'!$C$2:$C$898,"&lt;=30",'Labels'!$F$2:$F$898,"2")+COUNTIFS('Labels'!$B$2:$B$898,$A10,'Labels'!$C$2:$C$898,"&lt;=30",'Labels'!$F$2:$F$898,"1"))/COUNTIFS('Labels'!$B$2:$B$898,$A10,'Labels'!$C$2:$C$898,"&lt;=30")</x:f>
        <x:v>0.9</x:v>
      </x:c>
      <x:c r="K10" s="17" t="n">
        <x:v>1</x:v>
      </x:c>
    </x:row>
    <x:row r="11">
      <x:c r="A11" s="18" t="str">
        <x:v>csq002</x:v>
      </x:c>
      <x:c r="B11" s="19" t="str">
        <x:v>How do speculative decoding, model quantization, and KV-cache optimization differ as methods for accelerating large language model inference?</x:v>
      </x:c>
      <x:c r="C11" s="13" t="n">
        <x:f>COUNTIF('Labels'!$B$2:$B$898,$A11)</x:f>
        <x:v>27</x:v>
      </x:c>
      <x:c r="D11" s="13" t="n">
        <x:f>COUNTIFS('Labels'!$B$2:$B$898,$A11,'Labels'!$F$2:$F$898,"2")</x:f>
        <x:v>21</x:v>
      </x:c>
      <x:c r="E11" s="13" t="n">
        <x:f>COUNTIFS('Labels'!$B$2:$B$898,$A11,'Labels'!$F$2:$F$898,"1")</x:f>
        <x:v>2</x:v>
      </x:c>
      <x:c r="F11" s="13" t="n">
        <x:f>COUNTIFS('Labels'!$B$2:$B$898,$A11,'Labels'!$F$2:$F$898,"0")</x:f>
        <x:v>4</x:v>
      </x:c>
      <x:c r="G11" s="17" t="n">
        <x:f>(COUNTIFS('Labels'!$B$2:$B$898,$A11,'Labels'!$C$2:$C$898,"&lt;=5",'Labels'!$F$2:$F$898,"2")+COUNTIFS('Labels'!$B$2:$B$898,$A11,'Labels'!$C$2:$C$898,"&lt;=5",'Labels'!$F$2:$F$898,"1"))/COUNTIFS('Labels'!$B$2:$B$898,$A11,'Labels'!$C$2:$C$898,"&lt;=5")</x:f>
        <x:v>0.8</x:v>
      </x:c>
      <x:c r="H11" s="17" t="n">
        <x:f>(COUNTIFS('Labels'!$B$2:$B$898,$A11,'Labels'!$C$2:$C$898,"&lt;=10",'Labels'!$F$2:$F$898,"2")+COUNTIFS('Labels'!$B$2:$B$898,$A11,'Labels'!$C$2:$C$898,"&lt;=10",'Labels'!$F$2:$F$898,"1"))/COUNTIFS('Labels'!$B$2:$B$898,$A11,'Labels'!$C$2:$C$898,"&lt;=10")</x:f>
        <x:v>0.9</x:v>
      </x:c>
      <x:c r="I11" s="17" t="n">
        <x:f>(COUNTIFS('Labels'!$B$2:$B$898,$A11,'Labels'!$C$2:$C$898,"&lt;=20",'Labels'!$F$2:$F$898,"2")+COUNTIFS('Labels'!$B$2:$B$898,$A11,'Labels'!$C$2:$C$898,"&lt;=20",'Labels'!$F$2:$F$898,"1"))/COUNTIFS('Labels'!$B$2:$B$898,$A11,'Labels'!$C$2:$C$898,"&lt;=20")</x:f>
        <x:v>0.85</x:v>
      </x:c>
      <x:c r="J11" s="17" t="n">
        <x:f>(COUNTIFS('Labels'!$B$2:$B$898,$A11,'Labels'!$C$2:$C$898,"&lt;=30",'Labels'!$F$2:$F$898,"2")+COUNTIFS('Labels'!$B$2:$B$898,$A11,'Labels'!$C$2:$C$898,"&lt;=30",'Labels'!$F$2:$F$898,"1"))/COUNTIFS('Labels'!$B$2:$B$898,$A11,'Labels'!$C$2:$C$898,"&lt;=30")</x:f>
        <x:v>0.8518518518518519</x:v>
      </x:c>
      <x:c r="K11" s="17" t="n">
        <x:v>0.8899541168509599</x:v>
      </x:c>
    </x:row>
    <x:row r="12">
      <x:c r="A12" s="18" t="str">
        <x:v>csq003</x:v>
      </x:c>
      <x:c r="B12" s="19" t="str">
        <x:v>Which automatic and human evaluation methods are used to measure hallucination and factual consistency in large language models, and what evidence exists about their reliability?</x:v>
      </x:c>
      <x:c r="C12" s="13" t="n">
        <x:f>COUNTIF('Labels'!$B$2:$B$898,$A12)</x:f>
        <x:v>30</x:v>
      </x:c>
      <x:c r="D12" s="13" t="n">
        <x:f>COUNTIFS('Labels'!$B$2:$B$898,$A12,'Labels'!$F$2:$F$898,"2")</x:f>
        <x:v>24</x:v>
      </x:c>
      <x:c r="E12" s="13" t="n">
        <x:f>COUNTIFS('Labels'!$B$2:$B$898,$A12,'Labels'!$F$2:$F$898,"1")</x:f>
        <x:v>4</x:v>
      </x:c>
      <x:c r="F12" s="13" t="n">
        <x:f>COUNTIFS('Labels'!$B$2:$B$898,$A12,'Labels'!$F$2:$F$898,"0")</x:f>
        <x:v>2</x:v>
      </x:c>
      <x:c r="G12" s="17" t="n">
        <x:f>(COUNTIFS('Labels'!$B$2:$B$898,$A12,'Labels'!$C$2:$C$898,"&lt;=5",'Labels'!$F$2:$F$898,"2")+COUNTIFS('Labels'!$B$2:$B$898,$A12,'Labels'!$C$2:$C$898,"&lt;=5",'Labels'!$F$2:$F$898,"1"))/COUNTIFS('Labels'!$B$2:$B$898,$A12,'Labels'!$C$2:$C$898,"&lt;=5")</x:f>
        <x:v>0.8</x:v>
      </x:c>
      <x:c r="H12" s="17" t="n">
        <x:f>(COUNTIFS('Labels'!$B$2:$B$898,$A12,'Labels'!$C$2:$C$898,"&lt;=10",'Labels'!$F$2:$F$898,"2")+COUNTIFS('Labels'!$B$2:$B$898,$A12,'Labels'!$C$2:$C$898,"&lt;=10",'Labels'!$F$2:$F$898,"1"))/COUNTIFS('Labels'!$B$2:$B$898,$A12,'Labels'!$C$2:$C$898,"&lt;=10")</x:f>
        <x:v>0.9</x:v>
      </x:c>
      <x:c r="I12" s="17" t="n">
        <x:f>(COUNTIFS('Labels'!$B$2:$B$898,$A12,'Labels'!$C$2:$C$898,"&lt;=20",'Labels'!$F$2:$F$898,"2")+COUNTIFS('Labels'!$B$2:$B$898,$A12,'Labels'!$C$2:$C$898,"&lt;=20",'Labels'!$F$2:$F$898,"1"))/COUNTIFS('Labels'!$B$2:$B$898,$A12,'Labels'!$C$2:$C$898,"&lt;=20")</x:f>
        <x:v>0.9</x:v>
      </x:c>
      <x:c r="J12" s="17" t="n">
        <x:f>(COUNTIFS('Labels'!$B$2:$B$898,$A12,'Labels'!$C$2:$C$898,"&lt;=30",'Labels'!$F$2:$F$898,"2")+COUNTIFS('Labels'!$B$2:$B$898,$A12,'Labels'!$C$2:$C$898,"&lt;=30",'Labels'!$F$2:$F$898,"1"))/COUNTIFS('Labels'!$B$2:$B$898,$A12,'Labels'!$C$2:$C$898,"&lt;=30")</x:f>
        <x:v>0.9333333333333333</x:v>
      </x:c>
      <x:c r="K12" s="17" t="n">
        <x:v>0.914856882358379</x:v>
      </x:c>
    </x:row>
    <x:row r="13">
      <x:c r="A13" s="18" t="str">
        <x:v>csq004</x:v>
      </x:c>
      <x:c r="B13" s="19" t="str">
        <x:v>What limitations and biases have been identified in LLM-as-a-judge evaluation, and which mitigation strategies have been proposed?</x:v>
      </x:c>
      <x:c r="C13" s="13" t="n">
        <x:f>COUNTIF('Labels'!$B$2:$B$898,$A13)</x:f>
        <x:v>30</x:v>
      </x:c>
      <x:c r="D13" s="13" t="n">
        <x:f>COUNTIFS('Labels'!$B$2:$B$898,$A13,'Labels'!$F$2:$F$898,"2")</x:f>
        <x:v>27</x:v>
      </x:c>
      <x:c r="E13" s="13" t="n">
        <x:f>COUNTIFS('Labels'!$B$2:$B$898,$A13,'Labels'!$F$2:$F$898,"1")</x:f>
        <x:v>0</x:v>
      </x:c>
      <x:c r="F13" s="13" t="n">
        <x:f>COUNTIFS('Labels'!$B$2:$B$898,$A13,'Labels'!$F$2:$F$898,"0")</x:f>
        <x:v>3</x:v>
      </x:c>
      <x:c r="G13" s="17" t="n">
        <x:f>(COUNTIFS('Labels'!$B$2:$B$898,$A13,'Labels'!$C$2:$C$898,"&lt;=5",'Labels'!$F$2:$F$898,"2")+COUNTIFS('Labels'!$B$2:$B$898,$A13,'Labels'!$C$2:$C$898,"&lt;=5",'Labels'!$F$2:$F$898,"1"))/COUNTIFS('Labels'!$B$2:$B$898,$A13,'Labels'!$C$2:$C$898,"&lt;=5")</x:f>
        <x:v>1</x:v>
      </x:c>
      <x:c r="H13" s="17" t="n">
        <x:f>(COUNTIFS('Labels'!$B$2:$B$898,$A13,'Labels'!$C$2:$C$898,"&lt;=10",'Labels'!$F$2:$F$898,"2")+COUNTIFS('Labels'!$B$2:$B$898,$A13,'Labels'!$C$2:$C$898,"&lt;=10",'Labels'!$F$2:$F$898,"1"))/COUNTIFS('Labels'!$B$2:$B$898,$A13,'Labels'!$C$2:$C$898,"&lt;=10")</x:f>
        <x:v>0.8</x:v>
      </x:c>
      <x:c r="I13" s="17" t="n">
        <x:f>(COUNTIFS('Labels'!$B$2:$B$898,$A13,'Labels'!$C$2:$C$898,"&lt;=20",'Labels'!$F$2:$F$898,"2")+COUNTIFS('Labels'!$B$2:$B$898,$A13,'Labels'!$C$2:$C$898,"&lt;=20",'Labels'!$F$2:$F$898,"1"))/COUNTIFS('Labels'!$B$2:$B$898,$A13,'Labels'!$C$2:$C$898,"&lt;=20")</x:f>
        <x:v>0.9</x:v>
      </x:c>
      <x:c r="J13" s="17" t="n">
        <x:f>(COUNTIFS('Labels'!$B$2:$B$898,$A13,'Labels'!$C$2:$C$898,"&lt;=30",'Labels'!$F$2:$F$898,"2")+COUNTIFS('Labels'!$B$2:$B$898,$A13,'Labels'!$C$2:$C$898,"&lt;=30",'Labels'!$F$2:$F$898,"1"))/COUNTIFS('Labels'!$B$2:$B$898,$A13,'Labels'!$C$2:$C$898,"&lt;=30")</x:f>
        <x:v>0.9</x:v>
      </x:c>
      <x:c r="K13" s="17" t="n">
        <x:v>0.8643145546088337</x:v>
      </x:c>
    </x:row>
    <x:row r="14">
      <x:c r="A14" s="18" t="str">
        <x:v>csq005</x:v>
      </x:c>
      <x:c r="B14" s="19" t="str">
        <x:v>How have methods for extending the effective context length of transformer language models evolved, and what trade-offs do they make in memory, latency, and retrieval quality?</x:v>
      </x:c>
      <x:c r="C14" s="13" t="n">
        <x:f>COUNTIF('Labels'!$B$2:$B$898,$A14)</x:f>
        <x:v>30</x:v>
      </x:c>
      <x:c r="D14" s="13" t="n">
        <x:f>COUNTIFS('Labels'!$B$2:$B$898,$A14,'Labels'!$F$2:$F$898,"2")</x:f>
        <x:v>19</x:v>
      </x:c>
      <x:c r="E14" s="13" t="n">
        <x:f>COUNTIFS('Labels'!$B$2:$B$898,$A14,'Labels'!$F$2:$F$898,"1")</x:f>
        <x:v>1</x:v>
      </x:c>
      <x:c r="F14" s="13" t="n">
        <x:f>COUNTIFS('Labels'!$B$2:$B$898,$A14,'Labels'!$F$2:$F$898,"0")</x:f>
        <x:v>10</x:v>
      </x:c>
      <x:c r="G14" s="17" t="n">
        <x:f>(COUNTIFS('Labels'!$B$2:$B$898,$A14,'Labels'!$C$2:$C$898,"&lt;=5",'Labels'!$F$2:$F$898,"2")+COUNTIFS('Labels'!$B$2:$B$898,$A14,'Labels'!$C$2:$C$898,"&lt;=5",'Labels'!$F$2:$F$898,"1"))/COUNTIFS('Labels'!$B$2:$B$898,$A14,'Labels'!$C$2:$C$898,"&lt;=5")</x:f>
        <x:v>0.4</x:v>
      </x:c>
      <x:c r="H14" s="17" t="n">
        <x:f>(COUNTIFS('Labels'!$B$2:$B$898,$A14,'Labels'!$C$2:$C$898,"&lt;=10",'Labels'!$F$2:$F$898,"2")+COUNTIFS('Labels'!$B$2:$B$898,$A14,'Labels'!$C$2:$C$898,"&lt;=10",'Labels'!$F$2:$F$898,"1"))/COUNTIFS('Labels'!$B$2:$B$898,$A14,'Labels'!$C$2:$C$898,"&lt;=10")</x:f>
        <x:v>0.6</x:v>
      </x:c>
      <x:c r="I14" s="17" t="n">
        <x:f>(COUNTIFS('Labels'!$B$2:$B$898,$A14,'Labels'!$C$2:$C$898,"&lt;=20",'Labels'!$F$2:$F$898,"2")+COUNTIFS('Labels'!$B$2:$B$898,$A14,'Labels'!$C$2:$C$898,"&lt;=20",'Labels'!$F$2:$F$898,"1"))/COUNTIFS('Labels'!$B$2:$B$898,$A14,'Labels'!$C$2:$C$898,"&lt;=20")</x:f>
        <x:v>0.6</x:v>
      </x:c>
      <x:c r="J14" s="17" t="n">
        <x:f>(COUNTIFS('Labels'!$B$2:$B$898,$A14,'Labels'!$C$2:$C$898,"&lt;=30",'Labels'!$F$2:$F$898,"2")+COUNTIFS('Labels'!$B$2:$B$898,$A14,'Labels'!$C$2:$C$898,"&lt;=30",'Labels'!$F$2:$F$898,"1"))/COUNTIFS('Labels'!$B$2:$B$898,$A14,'Labels'!$C$2:$C$898,"&lt;=30")</x:f>
        <x:v>0.6666666666666666</x:v>
      </x:c>
      <x:c r="K14" s="17" t="n">
        <x:v>0.45209576806144763</x:v>
      </x:c>
    </x:row>
    <x:row r="15">
      <x:c r="A15" s="18" t="str">
        <x:v>csq006</x:v>
      </x:c>
      <x:c r="B15" s="19" t="str">
        <x:v>What are the main parameter-efficient fine-tuning methods, and how do they reduce trainable parameters while preserving downstream performance?</x:v>
      </x:c>
      <x:c r="C15" s="13" t="n">
        <x:f>COUNTIF('Labels'!$B$2:$B$898,$A15)</x:f>
        <x:v>30</x:v>
      </x:c>
      <x:c r="D15" s="13" t="n">
        <x:f>COUNTIFS('Labels'!$B$2:$B$898,$A15,'Labels'!$F$2:$F$898,"2")</x:f>
        <x:v>27</x:v>
      </x:c>
      <x:c r="E15" s="13" t="n">
        <x:f>COUNTIFS('Labels'!$B$2:$B$898,$A15,'Labels'!$F$2:$F$898,"1")</x:f>
        <x:v>1</x:v>
      </x:c>
      <x:c r="F15" s="13" t="n">
        <x:f>COUNTIFS('Labels'!$B$2:$B$898,$A15,'Labels'!$F$2:$F$898,"0")</x:f>
        <x:v>2</x:v>
      </x:c>
      <x:c r="G15" s="17" t="n">
        <x:f>(COUNTIFS('Labels'!$B$2:$B$898,$A15,'Labels'!$C$2:$C$898,"&lt;=5",'Labels'!$F$2:$F$898,"2")+COUNTIFS('Labels'!$B$2:$B$898,$A15,'Labels'!$C$2:$C$898,"&lt;=5",'Labels'!$F$2:$F$898,"1"))/COUNTIFS('Labels'!$B$2:$B$898,$A15,'Labels'!$C$2:$C$898,"&lt;=5")</x:f>
        <x:v>1</x:v>
      </x:c>
      <x:c r="H15" s="17" t="n">
        <x:f>(COUNTIFS('Labels'!$B$2:$B$898,$A15,'Labels'!$C$2:$C$898,"&lt;=10",'Labels'!$F$2:$F$898,"2")+COUNTIFS('Labels'!$B$2:$B$898,$A15,'Labels'!$C$2:$C$898,"&lt;=10",'Labels'!$F$2:$F$898,"1"))/COUNTIFS('Labels'!$B$2:$B$898,$A15,'Labels'!$C$2:$C$898,"&lt;=10")</x:f>
        <x:v>1</x:v>
      </x:c>
      <x:c r="I15" s="17" t="n">
        <x:f>(COUNTIFS('Labels'!$B$2:$B$898,$A15,'Labels'!$C$2:$C$898,"&lt;=20",'Labels'!$F$2:$F$898,"2")+COUNTIFS('Labels'!$B$2:$B$898,$A15,'Labels'!$C$2:$C$898,"&lt;=20",'Labels'!$F$2:$F$898,"1"))/COUNTIFS('Labels'!$B$2:$B$898,$A15,'Labels'!$C$2:$C$898,"&lt;=20")</x:f>
        <x:v>0.95</x:v>
      </x:c>
      <x:c r="J15" s="17" t="n">
        <x:f>(COUNTIFS('Labels'!$B$2:$B$898,$A15,'Labels'!$C$2:$C$898,"&lt;=30",'Labels'!$F$2:$F$898,"2")+COUNTIFS('Labels'!$B$2:$B$898,$A15,'Labels'!$C$2:$C$898,"&lt;=30",'Labels'!$F$2:$F$898,"1"))/COUNTIFS('Labels'!$B$2:$B$898,$A15,'Labels'!$C$2:$C$898,"&lt;=30")</x:f>
        <x:v>0.9333333333333333</x:v>
      </x:c>
      <x:c r="K15" s="17" t="n">
        <x:v>0.955830517697074</x:v>
      </x:c>
    </x:row>
    <x:row r="16">
      <x:c r="A16" s="18" t="str">
        <x:v>csq007</x:v>
      </x:c>
      <x:c r="B16" s="19" t="str">
        <x:v>How do major federated learning optimization methods address client heterogeneity and non-IID data, and how do their assumptions differ?</x:v>
      </x:c>
      <x:c r="C16" s="13" t="n">
        <x:f>COUNTIF('Labels'!$B$2:$B$898,$A16)</x:f>
        <x:v>30</x:v>
      </x:c>
      <x:c r="D16" s="13" t="n">
        <x:f>COUNTIFS('Labels'!$B$2:$B$898,$A16,'Labels'!$F$2:$F$898,"2")</x:f>
        <x:v>22</x:v>
      </x:c>
      <x:c r="E16" s="13" t="n">
        <x:f>COUNTIFS('Labels'!$B$2:$B$898,$A16,'Labels'!$F$2:$F$898,"1")</x:f>
        <x:v>1</x:v>
      </x:c>
      <x:c r="F16" s="13" t="n">
        <x:f>COUNTIFS('Labels'!$B$2:$B$898,$A16,'Labels'!$F$2:$F$898,"0")</x:f>
        <x:v>7</x:v>
      </x:c>
      <x:c r="G16" s="17" t="n">
        <x:f>(COUNTIFS('Labels'!$B$2:$B$898,$A16,'Labels'!$C$2:$C$898,"&lt;=5",'Labels'!$F$2:$F$898,"2")+COUNTIFS('Labels'!$B$2:$B$898,$A16,'Labels'!$C$2:$C$898,"&lt;=5",'Labels'!$F$2:$F$898,"1"))/COUNTIFS('Labels'!$B$2:$B$898,$A16,'Labels'!$C$2:$C$898,"&lt;=5")</x:f>
        <x:v>0.4</x:v>
      </x:c>
      <x:c r="H16" s="17" t="n">
        <x:f>(COUNTIFS('Labels'!$B$2:$B$898,$A16,'Labels'!$C$2:$C$898,"&lt;=10",'Labels'!$F$2:$F$898,"2")+COUNTIFS('Labels'!$B$2:$B$898,$A16,'Labels'!$C$2:$C$898,"&lt;=10",'Labels'!$F$2:$F$898,"1"))/COUNTIFS('Labels'!$B$2:$B$898,$A16,'Labels'!$C$2:$C$898,"&lt;=10")</x:f>
        <x:v>0.5</x:v>
      </x:c>
      <x:c r="I16" s="17" t="n">
        <x:f>(COUNTIFS('Labels'!$B$2:$B$898,$A16,'Labels'!$C$2:$C$898,"&lt;=20",'Labels'!$F$2:$F$898,"2")+COUNTIFS('Labels'!$B$2:$B$898,$A16,'Labels'!$C$2:$C$898,"&lt;=20",'Labels'!$F$2:$F$898,"1"))/COUNTIFS('Labels'!$B$2:$B$898,$A16,'Labels'!$C$2:$C$898,"&lt;=20")</x:f>
        <x:v>0.7</x:v>
      </x:c>
      <x:c r="J16" s="17" t="n">
        <x:f>(COUNTIFS('Labels'!$B$2:$B$898,$A16,'Labels'!$C$2:$C$898,"&lt;=30",'Labels'!$F$2:$F$898,"2")+COUNTIFS('Labels'!$B$2:$B$898,$A16,'Labels'!$C$2:$C$898,"&lt;=30",'Labels'!$F$2:$F$898,"1"))/COUNTIFS('Labels'!$B$2:$B$898,$A16,'Labels'!$C$2:$C$898,"&lt;=30")</x:f>
        <x:v>0.7666666666666667</x:v>
      </x:c>
      <x:c r="K16" s="17" t="n">
        <x:v>0.4105719800676482</x:v>
      </x:c>
    </x:row>
    <x:row r="17">
      <x:c r="A17" s="18" t="str">
        <x:v>csq008</x:v>
      </x:c>
      <x:c r="B17" s="19" t="str">
        <x:v>Which metrics and benchmark protocols are used to evaluate uncertainty calibration in deep neural networks, and what failure modes do these metrics miss?</x:v>
      </x:c>
      <x:c r="C17" s="13" t="n">
        <x:f>COUNTIF('Labels'!$B$2:$B$898,$A17)</x:f>
        <x:v>30</x:v>
      </x:c>
      <x:c r="D17" s="13" t="n">
        <x:f>COUNTIFS('Labels'!$B$2:$B$898,$A17,'Labels'!$F$2:$F$898,"2")</x:f>
        <x:v>22</x:v>
      </x:c>
      <x:c r="E17" s="13" t="n">
        <x:f>COUNTIFS('Labels'!$B$2:$B$898,$A17,'Labels'!$F$2:$F$898,"1")</x:f>
        <x:v>5</x:v>
      </x:c>
      <x:c r="F17" s="13" t="n">
        <x:f>COUNTIFS('Labels'!$B$2:$B$898,$A17,'Labels'!$F$2:$F$898,"0")</x:f>
        <x:v>3</x:v>
      </x:c>
      <x:c r="G17" s="17" t="n">
        <x:f>(COUNTIFS('Labels'!$B$2:$B$898,$A17,'Labels'!$C$2:$C$898,"&lt;=5",'Labels'!$F$2:$F$898,"2")+COUNTIFS('Labels'!$B$2:$B$898,$A17,'Labels'!$C$2:$C$898,"&lt;=5",'Labels'!$F$2:$F$898,"1"))/COUNTIFS('Labels'!$B$2:$B$898,$A17,'Labels'!$C$2:$C$898,"&lt;=5")</x:f>
        <x:v>0.8</x:v>
      </x:c>
      <x:c r="H17" s="17" t="n">
        <x:f>(COUNTIFS('Labels'!$B$2:$B$898,$A17,'Labels'!$C$2:$C$898,"&lt;=10",'Labels'!$F$2:$F$898,"2")+COUNTIFS('Labels'!$B$2:$B$898,$A17,'Labels'!$C$2:$C$898,"&lt;=10",'Labels'!$F$2:$F$898,"1"))/COUNTIFS('Labels'!$B$2:$B$898,$A17,'Labels'!$C$2:$C$898,"&lt;=10")</x:f>
        <x:v>0.9</x:v>
      </x:c>
      <x:c r="I17" s="17" t="n">
        <x:f>(COUNTIFS('Labels'!$B$2:$B$898,$A17,'Labels'!$C$2:$C$898,"&lt;=20",'Labels'!$F$2:$F$898,"2")+COUNTIFS('Labels'!$B$2:$B$898,$A17,'Labels'!$C$2:$C$898,"&lt;=20",'Labels'!$F$2:$F$898,"1"))/COUNTIFS('Labels'!$B$2:$B$898,$A17,'Labels'!$C$2:$C$898,"&lt;=20")</x:f>
        <x:v>0.9</x:v>
      </x:c>
      <x:c r="J17" s="17" t="n">
        <x:f>(COUNTIFS('Labels'!$B$2:$B$898,$A17,'Labels'!$C$2:$C$898,"&lt;=30",'Labels'!$F$2:$F$898,"2")+COUNTIFS('Labels'!$B$2:$B$898,$A17,'Labels'!$C$2:$C$898,"&lt;=30",'Labels'!$F$2:$F$898,"1"))/COUNTIFS('Labels'!$B$2:$B$898,$A17,'Labels'!$C$2:$C$898,"&lt;=30")</x:f>
        <x:v>0.9</x:v>
      </x:c>
      <x:c r="K17" s="17" t="n">
        <x:v>0.810014872939691</x:v>
      </x:c>
    </x:row>
    <x:row r="18">
      <x:c r="A18" s="18" t="str">
        <x:v>csq009</x:v>
      </x:c>
      <x:c r="B18" s="19" t="str">
        <x:v>What causes over-smoothing and over-squashing in graph neural networks, and which mitigation methods are supported by empirical and theoretical research?</x:v>
      </x:c>
      <x:c r="C18" s="13" t="n">
        <x:f>COUNTIF('Labels'!$B$2:$B$898,$A18)</x:f>
        <x:v>30</x:v>
      </x:c>
      <x:c r="D18" s="13" t="n">
        <x:f>COUNTIFS('Labels'!$B$2:$B$898,$A18,'Labels'!$F$2:$F$898,"2")</x:f>
        <x:v>21</x:v>
      </x:c>
      <x:c r="E18" s="13" t="n">
        <x:f>COUNTIFS('Labels'!$B$2:$B$898,$A18,'Labels'!$F$2:$F$898,"1")</x:f>
        <x:v>1</x:v>
      </x:c>
      <x:c r="F18" s="13" t="n">
        <x:f>COUNTIFS('Labels'!$B$2:$B$898,$A18,'Labels'!$F$2:$F$898,"0")</x:f>
        <x:v>8</x:v>
      </x:c>
      <x:c r="G18" s="17" t="n">
        <x:f>(COUNTIFS('Labels'!$B$2:$B$898,$A18,'Labels'!$C$2:$C$898,"&lt;=5",'Labels'!$F$2:$F$898,"2")+COUNTIFS('Labels'!$B$2:$B$898,$A18,'Labels'!$C$2:$C$898,"&lt;=5",'Labels'!$F$2:$F$898,"1"))/COUNTIFS('Labels'!$B$2:$B$898,$A18,'Labels'!$C$2:$C$898,"&lt;=5")</x:f>
        <x:v>0.6</x:v>
      </x:c>
      <x:c r="H18" s="17" t="n">
        <x:f>(COUNTIFS('Labels'!$B$2:$B$898,$A18,'Labels'!$C$2:$C$898,"&lt;=10",'Labels'!$F$2:$F$898,"2")+COUNTIFS('Labels'!$B$2:$B$898,$A18,'Labels'!$C$2:$C$898,"&lt;=10",'Labels'!$F$2:$F$898,"1"))/COUNTIFS('Labels'!$B$2:$B$898,$A18,'Labels'!$C$2:$C$898,"&lt;=10")</x:f>
        <x:v>0.6</x:v>
      </x:c>
      <x:c r="I18" s="17" t="n">
        <x:f>(COUNTIFS('Labels'!$B$2:$B$898,$A18,'Labels'!$C$2:$C$898,"&lt;=20",'Labels'!$F$2:$F$898,"2")+COUNTIFS('Labels'!$B$2:$B$898,$A18,'Labels'!$C$2:$C$898,"&lt;=20",'Labels'!$F$2:$F$898,"1"))/COUNTIFS('Labels'!$B$2:$B$898,$A18,'Labels'!$C$2:$C$898,"&lt;=20")</x:f>
        <x:v>0.7</x:v>
      </x:c>
      <x:c r="J18" s="17" t="n">
        <x:f>(COUNTIFS('Labels'!$B$2:$B$898,$A18,'Labels'!$C$2:$C$898,"&lt;=30",'Labels'!$F$2:$F$898,"2")+COUNTIFS('Labels'!$B$2:$B$898,$A18,'Labels'!$C$2:$C$898,"&lt;=30",'Labels'!$F$2:$F$898,"1"))/COUNTIFS('Labels'!$B$2:$B$898,$A18,'Labels'!$C$2:$C$898,"&lt;=30")</x:f>
        <x:v>0.7333333333333333</x:v>
      </x:c>
      <x:c r="K18" s="17" t="n">
        <x:v>0.5111707781750245</x:v>
      </x:c>
    </x:row>
    <x:row r="19">
      <x:c r="A19" s="18" t="str">
        <x:v>csq010</x:v>
      </x:c>
      <x:c r="B19" s="19" t="str">
        <x:v>How have self-supervised representation learning objectives evolved from contrastive learning to non-contrastive and masked-prediction approaches?</x:v>
      </x:c>
      <x:c r="C19" s="13" t="n">
        <x:f>COUNTIF('Labels'!$B$2:$B$898,$A19)</x:f>
        <x:v>30</x:v>
      </x:c>
      <x:c r="D19" s="13" t="n">
        <x:f>COUNTIFS('Labels'!$B$2:$B$898,$A19,'Labels'!$F$2:$F$898,"2")</x:f>
        <x:v>17</x:v>
      </x:c>
      <x:c r="E19" s="13" t="n">
        <x:f>COUNTIFS('Labels'!$B$2:$B$898,$A19,'Labels'!$F$2:$F$898,"1")</x:f>
        <x:v>0</x:v>
      </x:c>
      <x:c r="F19" s="13" t="n">
        <x:f>COUNTIFS('Labels'!$B$2:$B$898,$A19,'Labels'!$F$2:$F$898,"0")</x:f>
        <x:v>13</x:v>
      </x:c>
      <x:c r="G19" s="17" t="n">
        <x:f>(COUNTIFS('Labels'!$B$2:$B$898,$A19,'Labels'!$C$2:$C$898,"&lt;=5",'Labels'!$F$2:$F$898,"2")+COUNTIFS('Labels'!$B$2:$B$898,$A19,'Labels'!$C$2:$C$898,"&lt;=5",'Labels'!$F$2:$F$898,"1"))/COUNTIFS('Labels'!$B$2:$B$898,$A19,'Labels'!$C$2:$C$898,"&lt;=5")</x:f>
        <x:v>0.2</x:v>
      </x:c>
      <x:c r="H19" s="17" t="n">
        <x:f>(COUNTIFS('Labels'!$B$2:$B$898,$A19,'Labels'!$C$2:$C$898,"&lt;=10",'Labels'!$F$2:$F$898,"2")+COUNTIFS('Labels'!$B$2:$B$898,$A19,'Labels'!$C$2:$C$898,"&lt;=10",'Labels'!$F$2:$F$898,"1"))/COUNTIFS('Labels'!$B$2:$B$898,$A19,'Labels'!$C$2:$C$898,"&lt;=10")</x:f>
        <x:v>0.4</x:v>
      </x:c>
      <x:c r="I19" s="17" t="n">
        <x:f>(COUNTIFS('Labels'!$B$2:$B$898,$A19,'Labels'!$C$2:$C$898,"&lt;=20",'Labels'!$F$2:$F$898,"2")+COUNTIFS('Labels'!$B$2:$B$898,$A19,'Labels'!$C$2:$C$898,"&lt;=20",'Labels'!$F$2:$F$898,"1"))/COUNTIFS('Labels'!$B$2:$B$898,$A19,'Labels'!$C$2:$C$898,"&lt;=20")</x:f>
        <x:v>0.45</x:v>
      </x:c>
      <x:c r="J19" s="17" t="n">
        <x:f>(COUNTIFS('Labels'!$B$2:$B$898,$A19,'Labels'!$C$2:$C$898,"&lt;=30",'Labels'!$F$2:$F$898,"2")+COUNTIFS('Labels'!$B$2:$B$898,$A19,'Labels'!$C$2:$C$898,"&lt;=30",'Labels'!$F$2:$F$898,"1"))/COUNTIFS('Labels'!$B$2:$B$898,$A19,'Labels'!$C$2:$C$898,"&lt;=30")</x:f>
        <x:v>0.5666666666666667</x:v>
      </x:c>
      <x:c r="K19" s="17" t="n">
        <x:v>0.3214961622634444</x:v>
      </x:c>
    </x:row>
    <x:row r="20">
      <x:c r="A20" s="18" t="str">
        <x:v>csq011</x:v>
      </x:c>
      <x:c r="B20" s="19" t="str">
        <x:v>What are the main neural representations for novel-view synthesis, including neural radiance fields and 3D Gaussian splatting, and what are their computational trade-offs?</x:v>
      </x:c>
      <x:c r="C20" s="13" t="n">
        <x:f>COUNTIF('Labels'!$B$2:$B$898,$A20)</x:f>
        <x:v>30</x:v>
      </x:c>
      <x:c r="D20" s="13" t="n">
        <x:f>COUNTIFS('Labels'!$B$2:$B$898,$A20,'Labels'!$F$2:$F$898,"2")</x:f>
        <x:v>25</x:v>
      </x:c>
      <x:c r="E20" s="13" t="n">
        <x:f>COUNTIFS('Labels'!$B$2:$B$898,$A20,'Labels'!$F$2:$F$898,"1")</x:f>
        <x:v>0</x:v>
      </x:c>
      <x:c r="F20" s="13" t="n">
        <x:f>COUNTIFS('Labels'!$B$2:$B$898,$A20,'Labels'!$F$2:$F$898,"0")</x:f>
        <x:v>5</x:v>
      </x:c>
      <x:c r="G20" s="17" t="n">
        <x:f>(COUNTIFS('Labels'!$B$2:$B$898,$A20,'Labels'!$C$2:$C$898,"&lt;=5",'Labels'!$F$2:$F$898,"2")+COUNTIFS('Labels'!$B$2:$B$898,$A20,'Labels'!$C$2:$C$898,"&lt;=5",'Labels'!$F$2:$F$898,"1"))/COUNTIFS('Labels'!$B$2:$B$898,$A20,'Labels'!$C$2:$C$898,"&lt;=5")</x:f>
        <x:v>1</x:v>
      </x:c>
      <x:c r="H20" s="17" t="n">
        <x:f>(COUNTIFS('Labels'!$B$2:$B$898,$A20,'Labels'!$C$2:$C$898,"&lt;=10",'Labels'!$F$2:$F$898,"2")+COUNTIFS('Labels'!$B$2:$B$898,$A20,'Labels'!$C$2:$C$898,"&lt;=10",'Labels'!$F$2:$F$898,"1"))/COUNTIFS('Labels'!$B$2:$B$898,$A20,'Labels'!$C$2:$C$898,"&lt;=10")</x:f>
        <x:v>1</x:v>
      </x:c>
      <x:c r="I20" s="17" t="n">
        <x:f>(COUNTIFS('Labels'!$B$2:$B$898,$A20,'Labels'!$C$2:$C$898,"&lt;=20",'Labels'!$F$2:$F$898,"2")+COUNTIFS('Labels'!$B$2:$B$898,$A20,'Labels'!$C$2:$C$898,"&lt;=20",'Labels'!$F$2:$F$898,"1"))/COUNTIFS('Labels'!$B$2:$B$898,$A20,'Labels'!$C$2:$C$898,"&lt;=20")</x:f>
        <x:v>0.9</x:v>
      </x:c>
      <x:c r="J20" s="17" t="n">
        <x:f>(COUNTIFS('Labels'!$B$2:$B$898,$A20,'Labels'!$C$2:$C$898,"&lt;=30",'Labels'!$F$2:$F$898,"2")+COUNTIFS('Labels'!$B$2:$B$898,$A20,'Labels'!$C$2:$C$898,"&lt;=30",'Labels'!$F$2:$F$898,"1"))/COUNTIFS('Labels'!$B$2:$B$898,$A20,'Labels'!$C$2:$C$898,"&lt;=30")</x:f>
        <x:v>0.8333333333333334</x:v>
      </x:c>
      <x:c r="K20" s="17" t="n">
        <x:v>1</x:v>
      </x:c>
    </x:row>
    <x:row r="21">
      <x:c r="A21" s="18" t="str">
        <x:v>csq012</x:v>
      </x:c>
      <x:c r="B21" s="19" t="str">
        <x:v>How do diffusion-based and autoregressive image generation models compare in training objectives, sampling cost, controllability, and output quality?</x:v>
      </x:c>
      <x:c r="C21" s="13" t="n">
        <x:f>COUNTIF('Labels'!$B$2:$B$898,$A21)</x:f>
        <x:v>30</x:v>
      </x:c>
      <x:c r="D21" s="13" t="n">
        <x:f>COUNTIFS('Labels'!$B$2:$B$898,$A21,'Labels'!$F$2:$F$898,"2")</x:f>
        <x:v>29</x:v>
      </x:c>
      <x:c r="E21" s="13" t="n">
        <x:f>COUNTIFS('Labels'!$B$2:$B$898,$A21,'Labels'!$F$2:$F$898,"1")</x:f>
        <x:v>0</x:v>
      </x:c>
      <x:c r="F21" s="13" t="n">
        <x:f>COUNTIFS('Labels'!$B$2:$B$898,$A21,'Labels'!$F$2:$F$898,"0")</x:f>
        <x:v>1</x:v>
      </x:c>
      <x:c r="G21" s="17" t="n">
        <x:f>(COUNTIFS('Labels'!$B$2:$B$898,$A21,'Labels'!$C$2:$C$898,"&lt;=5",'Labels'!$F$2:$F$898,"2")+COUNTIFS('Labels'!$B$2:$B$898,$A21,'Labels'!$C$2:$C$898,"&lt;=5",'Labels'!$F$2:$F$898,"1"))/COUNTIFS('Labels'!$B$2:$B$898,$A21,'Labels'!$C$2:$C$898,"&lt;=5")</x:f>
        <x:v>1</x:v>
      </x:c>
      <x:c r="H21" s="17" t="n">
        <x:f>(COUNTIFS('Labels'!$B$2:$B$898,$A21,'Labels'!$C$2:$C$898,"&lt;=10",'Labels'!$F$2:$F$898,"2")+COUNTIFS('Labels'!$B$2:$B$898,$A21,'Labels'!$C$2:$C$898,"&lt;=10",'Labels'!$F$2:$F$898,"1"))/COUNTIFS('Labels'!$B$2:$B$898,$A21,'Labels'!$C$2:$C$898,"&lt;=10")</x:f>
        <x:v>0.9</x:v>
      </x:c>
      <x:c r="I21" s="17" t="n">
        <x:f>(COUNTIFS('Labels'!$B$2:$B$898,$A21,'Labels'!$C$2:$C$898,"&lt;=20",'Labels'!$F$2:$F$898,"2")+COUNTIFS('Labels'!$B$2:$B$898,$A21,'Labels'!$C$2:$C$898,"&lt;=20",'Labels'!$F$2:$F$898,"1"))/COUNTIFS('Labels'!$B$2:$B$898,$A21,'Labels'!$C$2:$C$898,"&lt;=20")</x:f>
        <x:v>0.95</x:v>
      </x:c>
      <x:c r="J21" s="17" t="n">
        <x:f>(COUNTIFS('Labels'!$B$2:$B$898,$A21,'Labels'!$C$2:$C$898,"&lt;=30",'Labels'!$F$2:$F$898,"2")+COUNTIFS('Labels'!$B$2:$B$898,$A21,'Labels'!$C$2:$C$898,"&lt;=30",'Labels'!$F$2:$F$898,"1"))/COUNTIFS('Labels'!$B$2:$B$898,$A21,'Labels'!$C$2:$C$898,"&lt;=30")</x:f>
        <x:v>0.9666666666666667</x:v>
      </x:c>
      <x:c r="K21" s="17" t="n">
        <x:v>0.9216017310213247</x:v>
      </x:c>
    </x:row>
    <x:row r="22">
      <x:c r="A22" s="18" t="str">
        <x:v>csq013</x:v>
      </x:c>
      <x:c r="B22" s="19" t="str">
        <x:v>Which benchmarks and metrics have been proposed to evaluate hallucination in vision-language models, and what aspects of model behavior does each benchmark test?</x:v>
      </x:c>
      <x:c r="C22" s="13" t="n">
        <x:f>COUNTIF('Labels'!$B$2:$B$898,$A22)</x:f>
        <x:v>30</x:v>
      </x:c>
      <x:c r="D22" s="13" t="n">
        <x:f>COUNTIFS('Labels'!$B$2:$B$898,$A22,'Labels'!$F$2:$F$898,"2")</x:f>
        <x:v>21</x:v>
      </x:c>
      <x:c r="E22" s="13" t="n">
        <x:f>COUNTIFS('Labels'!$B$2:$B$898,$A22,'Labels'!$F$2:$F$898,"1")</x:f>
        <x:v>0</x:v>
      </x:c>
      <x:c r="F22" s="13" t="n">
        <x:f>COUNTIFS('Labels'!$B$2:$B$898,$A22,'Labels'!$F$2:$F$898,"0")</x:f>
        <x:v>9</x:v>
      </x:c>
      <x:c r="G22" s="17" t="n">
        <x:f>(COUNTIFS('Labels'!$B$2:$B$898,$A22,'Labels'!$C$2:$C$898,"&lt;=5",'Labels'!$F$2:$F$898,"2")+COUNTIFS('Labels'!$B$2:$B$898,$A22,'Labels'!$C$2:$C$898,"&lt;=5",'Labels'!$F$2:$F$898,"1"))/COUNTIFS('Labels'!$B$2:$B$898,$A22,'Labels'!$C$2:$C$898,"&lt;=5")</x:f>
        <x:v>0.6</x:v>
      </x:c>
      <x:c r="H22" s="17" t="n">
        <x:f>(COUNTIFS('Labels'!$B$2:$B$898,$A22,'Labels'!$C$2:$C$898,"&lt;=10",'Labels'!$F$2:$F$898,"2")+COUNTIFS('Labels'!$B$2:$B$898,$A22,'Labels'!$C$2:$C$898,"&lt;=10",'Labels'!$F$2:$F$898,"1"))/COUNTIFS('Labels'!$B$2:$B$898,$A22,'Labels'!$C$2:$C$898,"&lt;=10")</x:f>
        <x:v>0.5</x:v>
      </x:c>
      <x:c r="I22" s="17" t="n">
        <x:f>(COUNTIFS('Labels'!$B$2:$B$898,$A22,'Labels'!$C$2:$C$898,"&lt;=20",'Labels'!$F$2:$F$898,"2")+COUNTIFS('Labels'!$B$2:$B$898,$A22,'Labels'!$C$2:$C$898,"&lt;=20",'Labels'!$F$2:$F$898,"1"))/COUNTIFS('Labels'!$B$2:$B$898,$A22,'Labels'!$C$2:$C$898,"&lt;=20")</x:f>
        <x:v>0.65</x:v>
      </x:c>
      <x:c r="J22" s="17" t="n">
        <x:f>(COUNTIFS('Labels'!$B$2:$B$898,$A22,'Labels'!$C$2:$C$898,"&lt;=30",'Labels'!$F$2:$F$898,"2")+COUNTIFS('Labels'!$B$2:$B$898,$A22,'Labels'!$C$2:$C$898,"&lt;=30",'Labels'!$F$2:$F$898,"1"))/COUNTIFS('Labels'!$B$2:$B$898,$A22,'Labels'!$C$2:$C$898,"&lt;=30")</x:f>
        <x:v>0.7</x:v>
      </x:c>
      <x:c r="K22" s="17" t="n">
        <x:v>0.5509662124799075</x:v>
      </x:c>
    </x:row>
    <x:row r="23">
      <x:c r="A23" s="18" t="str">
        <x:v>csq014</x:v>
      </x:c>
      <x:c r="B23" s="19" t="str">
        <x:v>What limitations of adversarial training as a defense for image classifiers have been established, particularly regarding accuracy, computational cost, and generalization to unseen attacks?</x:v>
      </x:c>
      <x:c r="C23" s="13" t="n">
        <x:f>COUNTIF('Labels'!$B$2:$B$898,$A23)</x:f>
        <x:v>30</x:v>
      </x:c>
      <x:c r="D23" s="13" t="n">
        <x:f>COUNTIFS('Labels'!$B$2:$B$898,$A23,'Labels'!$F$2:$F$898,"2")</x:f>
        <x:v>21</x:v>
      </x:c>
      <x:c r="E23" s="13" t="n">
        <x:f>COUNTIFS('Labels'!$B$2:$B$898,$A23,'Labels'!$F$2:$F$898,"1")</x:f>
        <x:v>5</x:v>
      </x:c>
      <x:c r="F23" s="13" t="n">
        <x:f>COUNTIFS('Labels'!$B$2:$B$898,$A23,'Labels'!$F$2:$F$898,"0")</x:f>
        <x:v>4</x:v>
      </x:c>
      <x:c r="G23" s="17" t="n">
        <x:f>(COUNTIFS('Labels'!$B$2:$B$898,$A23,'Labels'!$C$2:$C$898,"&lt;=5",'Labels'!$F$2:$F$898,"2")+COUNTIFS('Labels'!$B$2:$B$898,$A23,'Labels'!$C$2:$C$898,"&lt;=5",'Labels'!$F$2:$F$898,"1"))/COUNTIFS('Labels'!$B$2:$B$898,$A23,'Labels'!$C$2:$C$898,"&lt;=5")</x:f>
        <x:v>1</x:v>
      </x:c>
      <x:c r="H23" s="17" t="n">
        <x:f>(COUNTIFS('Labels'!$B$2:$B$898,$A23,'Labels'!$C$2:$C$898,"&lt;=10",'Labels'!$F$2:$F$898,"2")+COUNTIFS('Labels'!$B$2:$B$898,$A23,'Labels'!$C$2:$C$898,"&lt;=10",'Labels'!$F$2:$F$898,"1"))/COUNTIFS('Labels'!$B$2:$B$898,$A23,'Labels'!$C$2:$C$898,"&lt;=10")</x:f>
        <x:v>0.8</x:v>
      </x:c>
      <x:c r="I23" s="17" t="n">
        <x:f>(COUNTIFS('Labels'!$B$2:$B$898,$A23,'Labels'!$C$2:$C$898,"&lt;=20",'Labels'!$F$2:$F$898,"2")+COUNTIFS('Labels'!$B$2:$B$898,$A23,'Labels'!$C$2:$C$898,"&lt;=20",'Labels'!$F$2:$F$898,"1"))/COUNTIFS('Labels'!$B$2:$B$898,$A23,'Labels'!$C$2:$C$898,"&lt;=20")</x:f>
        <x:v>0.85</x:v>
      </x:c>
      <x:c r="J23" s="17" t="n">
        <x:f>(COUNTIFS('Labels'!$B$2:$B$898,$A23,'Labels'!$C$2:$C$898,"&lt;=30",'Labels'!$F$2:$F$898,"2")+COUNTIFS('Labels'!$B$2:$B$898,$A23,'Labels'!$C$2:$C$898,"&lt;=30",'Labels'!$F$2:$F$898,"1"))/COUNTIFS('Labels'!$B$2:$B$898,$A23,'Labels'!$C$2:$C$898,"&lt;=30")</x:f>
        <x:v>0.8666666666666667</x:v>
      </x:c>
      <x:c r="K23" s="17" t="n">
        <x:v>0.6841140052782574</x:v>
      </x:c>
    </x:row>
    <x:row r="24">
      <x:c r="A24" s="18" t="str">
        <x:v>csq015</x:v>
      </x:c>
      <x:c r="B24" s="19" t="str">
        <x:v>What are the main approaches for reducing communication and latency costs in Byzantine fault-tolerant consensus protocols?</x:v>
      </x:c>
      <x:c r="C24" s="13" t="n">
        <x:f>COUNTIF('Labels'!$B$2:$B$898,$A24)</x:f>
        <x:v>30</x:v>
      </x:c>
      <x:c r="D24" s="13" t="n">
        <x:f>COUNTIFS('Labels'!$B$2:$B$898,$A24,'Labels'!$F$2:$F$898,"2")</x:f>
        <x:v>26</x:v>
      </x:c>
      <x:c r="E24" s="13" t="n">
        <x:f>COUNTIFS('Labels'!$B$2:$B$898,$A24,'Labels'!$F$2:$F$898,"1")</x:f>
        <x:v>2</x:v>
      </x:c>
      <x:c r="F24" s="13" t="n">
        <x:f>COUNTIFS('Labels'!$B$2:$B$898,$A24,'Labels'!$F$2:$F$898,"0")</x:f>
        <x:v>2</x:v>
      </x:c>
      <x:c r="G24" s="17" t="n">
        <x:f>(COUNTIFS('Labels'!$B$2:$B$898,$A24,'Labels'!$C$2:$C$898,"&lt;=5",'Labels'!$F$2:$F$898,"2")+COUNTIFS('Labels'!$B$2:$B$898,$A24,'Labels'!$C$2:$C$898,"&lt;=5",'Labels'!$F$2:$F$898,"1"))/COUNTIFS('Labels'!$B$2:$B$898,$A24,'Labels'!$C$2:$C$898,"&lt;=5")</x:f>
        <x:v>1</x:v>
      </x:c>
      <x:c r="H24" s="17" t="n">
        <x:f>(COUNTIFS('Labels'!$B$2:$B$898,$A24,'Labels'!$C$2:$C$898,"&lt;=10",'Labels'!$F$2:$F$898,"2")+COUNTIFS('Labels'!$B$2:$B$898,$A24,'Labels'!$C$2:$C$898,"&lt;=10",'Labels'!$F$2:$F$898,"1"))/COUNTIFS('Labels'!$B$2:$B$898,$A24,'Labels'!$C$2:$C$898,"&lt;=10")</x:f>
        <x:v>1</x:v>
      </x:c>
      <x:c r="I24" s="17" t="n">
        <x:f>(COUNTIFS('Labels'!$B$2:$B$898,$A24,'Labels'!$C$2:$C$898,"&lt;=20",'Labels'!$F$2:$F$898,"2")+COUNTIFS('Labels'!$B$2:$B$898,$A24,'Labels'!$C$2:$C$898,"&lt;=20",'Labels'!$F$2:$F$898,"1"))/COUNTIFS('Labels'!$B$2:$B$898,$A24,'Labels'!$C$2:$C$898,"&lt;=20")</x:f>
        <x:v>1</x:v>
      </x:c>
      <x:c r="J24" s="17" t="n">
        <x:f>(COUNTIFS('Labels'!$B$2:$B$898,$A24,'Labels'!$C$2:$C$898,"&lt;=30",'Labels'!$F$2:$F$898,"2")+COUNTIFS('Labels'!$B$2:$B$898,$A24,'Labels'!$C$2:$C$898,"&lt;=30",'Labels'!$F$2:$F$898,"1"))/COUNTIFS('Labels'!$B$2:$B$898,$A24,'Labels'!$C$2:$C$898,"&lt;=30")</x:f>
        <x:v>0.9333333333333333</x:v>
      </x:c>
      <x:c r="K24" s="17" t="n">
        <x:v>1</x:v>
      </x:c>
    </x:row>
    <x:row r="25">
      <x:c r="A25" s="18" t="str">
        <x:v>csq016</x:v>
      </x:c>
      <x:c r="B25" s="19" t="str">
        <x:v>How do research systems mitigate cold starts in serverless computing, and how do prewarming, snapshotting, and prediction-based approaches compare?</x:v>
      </x:c>
      <x:c r="C25" s="13" t="n">
        <x:f>COUNTIF('Labels'!$B$2:$B$898,$A25)</x:f>
        <x:v>30</x:v>
      </x:c>
      <x:c r="D25" s="13" t="n">
        <x:f>COUNTIFS('Labels'!$B$2:$B$898,$A25,'Labels'!$F$2:$F$898,"2")</x:f>
        <x:v>23</x:v>
      </x:c>
      <x:c r="E25" s="13" t="n">
        <x:f>COUNTIFS('Labels'!$B$2:$B$898,$A25,'Labels'!$F$2:$F$898,"1")</x:f>
        <x:v>0</x:v>
      </x:c>
      <x:c r="F25" s="13" t="n">
        <x:f>COUNTIFS('Labels'!$B$2:$B$898,$A25,'Labels'!$F$2:$F$898,"0")</x:f>
        <x:v>7</x:v>
      </x:c>
      <x:c r="G25" s="17" t="n">
        <x:f>(COUNTIFS('Labels'!$B$2:$B$898,$A25,'Labels'!$C$2:$C$898,"&lt;=5",'Labels'!$F$2:$F$898,"2")+COUNTIFS('Labels'!$B$2:$B$898,$A25,'Labels'!$C$2:$C$898,"&lt;=5",'Labels'!$F$2:$F$898,"1"))/COUNTIFS('Labels'!$B$2:$B$898,$A25,'Labels'!$C$2:$C$898,"&lt;=5")</x:f>
        <x:v>1</x:v>
      </x:c>
      <x:c r="H25" s="17" t="n">
        <x:f>(COUNTIFS('Labels'!$B$2:$B$898,$A25,'Labels'!$C$2:$C$898,"&lt;=10",'Labels'!$F$2:$F$898,"2")+COUNTIFS('Labels'!$B$2:$B$898,$A25,'Labels'!$C$2:$C$898,"&lt;=10",'Labels'!$F$2:$F$898,"1"))/COUNTIFS('Labels'!$B$2:$B$898,$A25,'Labels'!$C$2:$C$898,"&lt;=10")</x:f>
        <x:v>0.8</x:v>
      </x:c>
      <x:c r="I25" s="17" t="n">
        <x:f>(COUNTIFS('Labels'!$B$2:$B$898,$A25,'Labels'!$C$2:$C$898,"&lt;=20",'Labels'!$F$2:$F$898,"2")+COUNTIFS('Labels'!$B$2:$B$898,$A25,'Labels'!$C$2:$C$898,"&lt;=20",'Labels'!$F$2:$F$898,"1"))/COUNTIFS('Labels'!$B$2:$B$898,$A25,'Labels'!$C$2:$C$898,"&lt;=20")</x:f>
        <x:v>0.85</x:v>
      </x:c>
      <x:c r="J25" s="17" t="n">
        <x:f>(COUNTIFS('Labels'!$B$2:$B$898,$A25,'Labels'!$C$2:$C$898,"&lt;=30",'Labels'!$F$2:$F$898,"2")+COUNTIFS('Labels'!$B$2:$B$898,$A25,'Labels'!$C$2:$C$898,"&lt;=30",'Labels'!$F$2:$F$898,"1"))/COUNTIFS('Labels'!$B$2:$B$898,$A25,'Labels'!$C$2:$C$898,"&lt;=30")</x:f>
        <x:v>0.7666666666666667</x:v>
      </x:c>
      <x:c r="K25" s="17" t="n">
        <x:v>0.8603818544462509</x:v>
      </x:c>
    </x:row>
    <x:row r="26">
      <x:c r="A26" s="18" t="str">
        <x:v>csq017</x:v>
      </x:c>
      <x:c r="B26" s="19" t="str">
        <x:v>Which workloads, metrics, and experimental methodologies are used to evaluate datacenter cluster schedulers?</x:v>
      </x:c>
      <x:c r="C26" s="13" t="n">
        <x:f>COUNTIF('Labels'!$B$2:$B$898,$A26)</x:f>
        <x:v>30</x:v>
      </x:c>
      <x:c r="D26" s="13" t="n">
        <x:f>COUNTIFS('Labels'!$B$2:$B$898,$A26,'Labels'!$F$2:$F$898,"2")</x:f>
        <x:v>23</x:v>
      </x:c>
      <x:c r="E26" s="13" t="n">
        <x:f>COUNTIFS('Labels'!$B$2:$B$898,$A26,'Labels'!$F$2:$F$898,"1")</x:f>
        <x:v>4</x:v>
      </x:c>
      <x:c r="F26" s="13" t="n">
        <x:f>COUNTIFS('Labels'!$B$2:$B$898,$A26,'Labels'!$F$2:$F$898,"0")</x:f>
        <x:v>3</x:v>
      </x:c>
      <x:c r="G26" s="17" t="n">
        <x:f>(COUNTIFS('Labels'!$B$2:$B$898,$A26,'Labels'!$C$2:$C$898,"&lt;=5",'Labels'!$F$2:$F$898,"2")+COUNTIFS('Labels'!$B$2:$B$898,$A26,'Labels'!$C$2:$C$898,"&lt;=5",'Labels'!$F$2:$F$898,"1"))/COUNTIFS('Labels'!$B$2:$B$898,$A26,'Labels'!$C$2:$C$898,"&lt;=5")</x:f>
        <x:v>1</x:v>
      </x:c>
      <x:c r="H26" s="17" t="n">
        <x:f>(COUNTIFS('Labels'!$B$2:$B$898,$A26,'Labels'!$C$2:$C$898,"&lt;=10",'Labels'!$F$2:$F$898,"2")+COUNTIFS('Labels'!$B$2:$B$898,$A26,'Labels'!$C$2:$C$898,"&lt;=10",'Labels'!$F$2:$F$898,"1"))/COUNTIFS('Labels'!$B$2:$B$898,$A26,'Labels'!$C$2:$C$898,"&lt;=10")</x:f>
        <x:v>0.9</x:v>
      </x:c>
      <x:c r="I26" s="17" t="n">
        <x:f>(COUNTIFS('Labels'!$B$2:$B$898,$A26,'Labels'!$C$2:$C$898,"&lt;=20",'Labels'!$F$2:$F$898,"2")+COUNTIFS('Labels'!$B$2:$B$898,$A26,'Labels'!$C$2:$C$898,"&lt;=20",'Labels'!$F$2:$F$898,"1"))/COUNTIFS('Labels'!$B$2:$B$898,$A26,'Labels'!$C$2:$C$898,"&lt;=20")</x:f>
        <x:v>0.9</x:v>
      </x:c>
      <x:c r="J26" s="17" t="n">
        <x:f>(COUNTIFS('Labels'!$B$2:$B$898,$A26,'Labels'!$C$2:$C$898,"&lt;=30",'Labels'!$F$2:$F$898,"2")+COUNTIFS('Labels'!$B$2:$B$898,$A26,'Labels'!$C$2:$C$898,"&lt;=30",'Labels'!$F$2:$F$898,"1"))/COUNTIFS('Labels'!$B$2:$B$898,$A26,'Labels'!$C$2:$C$898,"&lt;=30")</x:f>
        <x:v>0.9</x:v>
      </x:c>
      <x:c r="K26" s="17" t="n">
        <x:v>0.8049393433114125</x:v>
      </x:c>
    </x:row>
    <x:row r="27">
      <x:c r="A27" s="18" t="str">
        <x:v>csq018</x:v>
      </x:c>
      <x:c r="B27" s="19" t="str">
        <x:v>How have programmable data planes and in-network computing evolved, and which classes of distributed applications have benefited from them?</x:v>
      </x:c>
      <x:c r="C27" s="13" t="n">
        <x:f>COUNTIF('Labels'!$B$2:$B$898,$A27)</x:f>
        <x:v>30</x:v>
      </x:c>
      <x:c r="D27" s="13" t="n">
        <x:f>COUNTIFS('Labels'!$B$2:$B$898,$A27,'Labels'!$F$2:$F$898,"2")</x:f>
        <x:v>20</x:v>
      </x:c>
      <x:c r="E27" s="13" t="n">
        <x:f>COUNTIFS('Labels'!$B$2:$B$898,$A27,'Labels'!$F$2:$F$898,"1")</x:f>
        <x:v>1</x:v>
      </x:c>
      <x:c r="F27" s="13" t="n">
        <x:f>COUNTIFS('Labels'!$B$2:$B$898,$A27,'Labels'!$F$2:$F$898,"0")</x:f>
        <x:v>9</x:v>
      </x:c>
      <x:c r="G27" s="17" t="n">
        <x:f>(COUNTIFS('Labels'!$B$2:$B$898,$A27,'Labels'!$C$2:$C$898,"&lt;=5",'Labels'!$F$2:$F$898,"2")+COUNTIFS('Labels'!$B$2:$B$898,$A27,'Labels'!$C$2:$C$898,"&lt;=5",'Labels'!$F$2:$F$898,"1"))/COUNTIFS('Labels'!$B$2:$B$898,$A27,'Labels'!$C$2:$C$898,"&lt;=5")</x:f>
        <x:v>0.8</x:v>
      </x:c>
      <x:c r="H27" s="17" t="n">
        <x:f>(COUNTIFS('Labels'!$B$2:$B$898,$A27,'Labels'!$C$2:$C$898,"&lt;=10",'Labels'!$F$2:$F$898,"2")+COUNTIFS('Labels'!$B$2:$B$898,$A27,'Labels'!$C$2:$C$898,"&lt;=10",'Labels'!$F$2:$F$898,"1"))/COUNTIFS('Labels'!$B$2:$B$898,$A27,'Labels'!$C$2:$C$898,"&lt;=10")</x:f>
        <x:v>0.8</x:v>
      </x:c>
      <x:c r="I27" s="17" t="n">
        <x:f>(COUNTIFS('Labels'!$B$2:$B$898,$A27,'Labels'!$C$2:$C$898,"&lt;=20",'Labels'!$F$2:$F$898,"2")+COUNTIFS('Labels'!$B$2:$B$898,$A27,'Labels'!$C$2:$C$898,"&lt;=20",'Labels'!$F$2:$F$898,"1"))/COUNTIFS('Labels'!$B$2:$B$898,$A27,'Labels'!$C$2:$C$898,"&lt;=20")</x:f>
        <x:v>0.8</x:v>
      </x:c>
      <x:c r="J27" s="17" t="n">
        <x:f>(COUNTIFS('Labels'!$B$2:$B$898,$A27,'Labels'!$C$2:$C$898,"&lt;=30",'Labels'!$F$2:$F$898,"2")+COUNTIFS('Labels'!$B$2:$B$898,$A27,'Labels'!$C$2:$C$898,"&lt;=30",'Labels'!$F$2:$F$898,"1"))/COUNTIFS('Labels'!$B$2:$B$898,$A27,'Labels'!$C$2:$C$898,"&lt;=30")</x:f>
        <x:v>0.7</x:v>
      </x:c>
      <x:c r="K27" s="17" t="n">
        <x:v>0.7975167679274938</x:v>
      </x:c>
    </x:row>
    <x:row r="28">
      <x:c r="A28" s="18" t="str">
        <x:v>csq019</x:v>
      </x:c>
      <x:c r="B28" s="19" t="str">
        <x:v>What methods are used for training deep learning models with differential privacy, and how do they manage the privacy-utility-computation trade-off?</x:v>
      </x:c>
      <x:c r="C28" s="13" t="n">
        <x:f>COUNTIF('Labels'!$B$2:$B$898,$A28)</x:f>
        <x:v>30</x:v>
      </x:c>
      <x:c r="D28" s="13" t="n">
        <x:f>COUNTIFS('Labels'!$B$2:$B$898,$A28,'Labels'!$F$2:$F$898,"2")</x:f>
        <x:v>25</x:v>
      </x:c>
      <x:c r="E28" s="13" t="n">
        <x:f>COUNTIFS('Labels'!$B$2:$B$898,$A28,'Labels'!$F$2:$F$898,"1")</x:f>
        <x:v>2</x:v>
      </x:c>
      <x:c r="F28" s="13" t="n">
        <x:f>COUNTIFS('Labels'!$B$2:$B$898,$A28,'Labels'!$F$2:$F$898,"0")</x:f>
        <x:v>3</x:v>
      </x:c>
      <x:c r="G28" s="17" t="n">
        <x:f>(COUNTIFS('Labels'!$B$2:$B$898,$A28,'Labels'!$C$2:$C$898,"&lt;=5",'Labels'!$F$2:$F$898,"2")+COUNTIFS('Labels'!$B$2:$B$898,$A28,'Labels'!$C$2:$C$898,"&lt;=5",'Labels'!$F$2:$F$898,"1"))/COUNTIFS('Labels'!$B$2:$B$898,$A28,'Labels'!$C$2:$C$898,"&lt;=5")</x:f>
        <x:v>1</x:v>
      </x:c>
      <x:c r="H28" s="17" t="n">
        <x:f>(COUNTIFS('Labels'!$B$2:$B$898,$A28,'Labels'!$C$2:$C$898,"&lt;=10",'Labels'!$F$2:$F$898,"2")+COUNTIFS('Labels'!$B$2:$B$898,$A28,'Labels'!$C$2:$C$898,"&lt;=10",'Labels'!$F$2:$F$898,"1"))/COUNTIFS('Labels'!$B$2:$B$898,$A28,'Labels'!$C$2:$C$898,"&lt;=10")</x:f>
        <x:v>0.9</x:v>
      </x:c>
      <x:c r="I28" s="17" t="n">
        <x:f>(COUNTIFS('Labels'!$B$2:$B$898,$A28,'Labels'!$C$2:$C$898,"&lt;=20",'Labels'!$F$2:$F$898,"2")+COUNTIFS('Labels'!$B$2:$B$898,$A28,'Labels'!$C$2:$C$898,"&lt;=20",'Labels'!$F$2:$F$898,"1"))/COUNTIFS('Labels'!$B$2:$B$898,$A28,'Labels'!$C$2:$C$898,"&lt;=20")</x:f>
        <x:v>0.95</x:v>
      </x:c>
      <x:c r="J28" s="17" t="n">
        <x:f>(COUNTIFS('Labels'!$B$2:$B$898,$A28,'Labels'!$C$2:$C$898,"&lt;=30",'Labels'!$F$2:$F$898,"2")+COUNTIFS('Labels'!$B$2:$B$898,$A28,'Labels'!$C$2:$C$898,"&lt;=30",'Labels'!$F$2:$F$898,"1"))/COUNTIFS('Labels'!$B$2:$B$898,$A28,'Labels'!$C$2:$C$898,"&lt;=30")</x:f>
        <x:v>0.9</x:v>
      </x:c>
      <x:c r="K28" s="17" t="n">
        <x:v>0.8774322487183986</x:v>
      </x:c>
    </x:row>
    <x:row r="29">
      <x:c r="A29" s="18" t="str">
        <x:v>csq020</x:v>
      </x:c>
      <x:c r="B29" s="19" t="str">
        <x:v>How do black-box and white-box membership inference attacks against machine learning models compare in their assumptions, methods, and evaluations?</x:v>
      </x:c>
      <x:c r="C29" s="13" t="n">
        <x:f>COUNTIF('Labels'!$B$2:$B$898,$A29)</x:f>
        <x:v>30</x:v>
      </x:c>
      <x:c r="D29" s="13" t="n">
        <x:f>COUNTIFS('Labels'!$B$2:$B$898,$A29,'Labels'!$F$2:$F$898,"2")</x:f>
        <x:v>26</x:v>
      </x:c>
      <x:c r="E29" s="13" t="n">
        <x:f>COUNTIFS('Labels'!$B$2:$B$898,$A29,'Labels'!$F$2:$F$898,"1")</x:f>
        <x:v>0</x:v>
      </x:c>
      <x:c r="F29" s="13" t="n">
        <x:f>COUNTIFS('Labels'!$B$2:$B$898,$A29,'Labels'!$F$2:$F$898,"0")</x:f>
        <x:v>4</x:v>
      </x:c>
      <x:c r="G29" s="17" t="n">
        <x:f>(COUNTIFS('Labels'!$B$2:$B$898,$A29,'Labels'!$C$2:$C$898,"&lt;=5",'Labels'!$F$2:$F$898,"2")+COUNTIFS('Labels'!$B$2:$B$898,$A29,'Labels'!$C$2:$C$898,"&lt;=5",'Labels'!$F$2:$F$898,"1"))/COUNTIFS('Labels'!$B$2:$B$898,$A29,'Labels'!$C$2:$C$898,"&lt;=5")</x:f>
        <x:v>1</x:v>
      </x:c>
      <x:c r="H29" s="17" t="n">
        <x:f>(COUNTIFS('Labels'!$B$2:$B$898,$A29,'Labels'!$C$2:$C$898,"&lt;=10",'Labels'!$F$2:$F$898,"2")+COUNTIFS('Labels'!$B$2:$B$898,$A29,'Labels'!$C$2:$C$898,"&lt;=10",'Labels'!$F$2:$F$898,"1"))/COUNTIFS('Labels'!$B$2:$B$898,$A29,'Labels'!$C$2:$C$898,"&lt;=10")</x:f>
        <x:v>0.9</x:v>
      </x:c>
      <x:c r="I29" s="17" t="n">
        <x:f>(COUNTIFS('Labels'!$B$2:$B$898,$A29,'Labels'!$C$2:$C$898,"&lt;=20",'Labels'!$F$2:$F$898,"2")+COUNTIFS('Labels'!$B$2:$B$898,$A29,'Labels'!$C$2:$C$898,"&lt;=20",'Labels'!$F$2:$F$898,"1"))/COUNTIFS('Labels'!$B$2:$B$898,$A29,'Labels'!$C$2:$C$898,"&lt;=20")</x:f>
        <x:v>0.85</x:v>
      </x:c>
      <x:c r="J29" s="17" t="n">
        <x:f>(COUNTIFS('Labels'!$B$2:$B$898,$A29,'Labels'!$C$2:$C$898,"&lt;=30",'Labels'!$F$2:$F$898,"2")+COUNTIFS('Labels'!$B$2:$B$898,$A29,'Labels'!$C$2:$C$898,"&lt;=30",'Labels'!$F$2:$F$898,"1"))/COUNTIFS('Labels'!$B$2:$B$898,$A29,'Labels'!$C$2:$C$898,"&lt;=30")</x:f>
        <x:v>0.8666666666666667</x:v>
      </x:c>
      <x:c r="K29" s="17" t="n">
        <x:v>0.9216017310213247</x:v>
      </x:c>
    </x:row>
    <x:row r="30">
      <x:c r="A30" s="18" t="str">
        <x:v>csq021</x:v>
      </x:c>
      <x:c r="B30" s="19" t="str">
        <x:v>Which datasets, benchmarks, and metrics are used to evaluate software supply-chain vulnerability and malicious-package detection methods?</x:v>
      </x:c>
      <x:c r="C30" s="13" t="n">
        <x:f>COUNTIF('Labels'!$B$2:$B$898,$A30)</x:f>
        <x:v>30</x:v>
      </x:c>
      <x:c r="D30" s="13" t="n">
        <x:f>COUNTIFS('Labels'!$B$2:$B$898,$A30,'Labels'!$F$2:$F$898,"2")</x:f>
        <x:v>21</x:v>
      </x:c>
      <x:c r="E30" s="13" t="n">
        <x:f>COUNTIFS('Labels'!$B$2:$B$898,$A30,'Labels'!$F$2:$F$898,"1")</x:f>
        <x:v>5</x:v>
      </x:c>
      <x:c r="F30" s="13" t="n">
        <x:f>COUNTIFS('Labels'!$B$2:$B$898,$A30,'Labels'!$F$2:$F$898,"0")</x:f>
        <x:v>4</x:v>
      </x:c>
      <x:c r="G30" s="17" t="n">
        <x:f>(COUNTIFS('Labels'!$B$2:$B$898,$A30,'Labels'!$C$2:$C$898,"&lt;=5",'Labels'!$F$2:$F$898,"2")+COUNTIFS('Labels'!$B$2:$B$898,$A30,'Labels'!$C$2:$C$898,"&lt;=5",'Labels'!$F$2:$F$898,"1"))/COUNTIFS('Labels'!$B$2:$B$898,$A30,'Labels'!$C$2:$C$898,"&lt;=5")</x:f>
        <x:v>1</x:v>
      </x:c>
      <x:c r="H30" s="17" t="n">
        <x:f>(COUNTIFS('Labels'!$B$2:$B$898,$A30,'Labels'!$C$2:$C$898,"&lt;=10",'Labels'!$F$2:$F$898,"2")+COUNTIFS('Labels'!$B$2:$B$898,$A30,'Labels'!$C$2:$C$898,"&lt;=10",'Labels'!$F$2:$F$898,"1"))/COUNTIFS('Labels'!$B$2:$B$898,$A30,'Labels'!$C$2:$C$898,"&lt;=10")</x:f>
        <x:v>0.8</x:v>
      </x:c>
      <x:c r="I30" s="17" t="n">
        <x:f>(COUNTIFS('Labels'!$B$2:$B$898,$A30,'Labels'!$C$2:$C$898,"&lt;=20",'Labels'!$F$2:$F$898,"2")+COUNTIFS('Labels'!$B$2:$B$898,$A30,'Labels'!$C$2:$C$898,"&lt;=20",'Labels'!$F$2:$F$898,"1"))/COUNTIFS('Labels'!$B$2:$B$898,$A30,'Labels'!$C$2:$C$898,"&lt;=20")</x:f>
        <x:v>0.85</x:v>
      </x:c>
      <x:c r="J30" s="17" t="n">
        <x:f>(COUNTIFS('Labels'!$B$2:$B$898,$A30,'Labels'!$C$2:$C$898,"&lt;=30",'Labels'!$F$2:$F$898,"2")+COUNTIFS('Labels'!$B$2:$B$898,$A30,'Labels'!$C$2:$C$898,"&lt;=30",'Labels'!$F$2:$F$898,"1"))/COUNTIFS('Labels'!$B$2:$B$898,$A30,'Labels'!$C$2:$C$898,"&lt;=30")</x:f>
        <x:v>0.8666666666666667</x:v>
      </x:c>
      <x:c r="K30" s="17" t="n">
        <x:v>0.6442227883107535</x:v>
      </x:c>
    </x:row>
    <x:row r="31">
      <x:c r="A31" s="18" t="str">
        <x:v>csq022</x:v>
      </x:c>
      <x:c r="B31" s="19" t="str">
        <x:v>What security and privacy attacks against federated learning have been demonstrated, and which proposed defenses remain limited under adaptive attackers?</x:v>
      </x:c>
      <x:c r="C31" s="13" t="n">
        <x:f>COUNTIF('Labels'!$B$2:$B$898,$A31)</x:f>
        <x:v>30</x:v>
      </x:c>
      <x:c r="D31" s="13" t="n">
        <x:f>COUNTIFS('Labels'!$B$2:$B$898,$A31,'Labels'!$F$2:$F$898,"2")</x:f>
        <x:v>16</x:v>
      </x:c>
      <x:c r="E31" s="13" t="n">
        <x:f>COUNTIFS('Labels'!$B$2:$B$898,$A31,'Labels'!$F$2:$F$898,"1")</x:f>
        <x:v>3</x:v>
      </x:c>
      <x:c r="F31" s="13" t="n">
        <x:f>COUNTIFS('Labels'!$B$2:$B$898,$A31,'Labels'!$F$2:$F$898,"0")</x:f>
        <x:v>11</x:v>
      </x:c>
      <x:c r="G31" s="17" t="n">
        <x:f>(COUNTIFS('Labels'!$B$2:$B$898,$A31,'Labels'!$C$2:$C$898,"&lt;=5",'Labels'!$F$2:$F$898,"2")+COUNTIFS('Labels'!$B$2:$B$898,$A31,'Labels'!$C$2:$C$898,"&lt;=5",'Labels'!$F$2:$F$898,"1"))/COUNTIFS('Labels'!$B$2:$B$898,$A31,'Labels'!$C$2:$C$898,"&lt;=5")</x:f>
        <x:v>0.8</x:v>
      </x:c>
      <x:c r="H31" s="17" t="n">
        <x:f>(COUNTIFS('Labels'!$B$2:$B$898,$A31,'Labels'!$C$2:$C$898,"&lt;=10",'Labels'!$F$2:$F$898,"2")+COUNTIFS('Labels'!$B$2:$B$898,$A31,'Labels'!$C$2:$C$898,"&lt;=10",'Labels'!$F$2:$F$898,"1"))/COUNTIFS('Labels'!$B$2:$B$898,$A31,'Labels'!$C$2:$C$898,"&lt;=10")</x:f>
        <x:v>0.7</x:v>
      </x:c>
      <x:c r="I31" s="17" t="n">
        <x:f>(COUNTIFS('Labels'!$B$2:$B$898,$A31,'Labels'!$C$2:$C$898,"&lt;=20",'Labels'!$F$2:$F$898,"2")+COUNTIFS('Labels'!$B$2:$B$898,$A31,'Labels'!$C$2:$C$898,"&lt;=20",'Labels'!$F$2:$F$898,"1"))/COUNTIFS('Labels'!$B$2:$B$898,$A31,'Labels'!$C$2:$C$898,"&lt;=20")</x:f>
        <x:v>0.75</x:v>
      </x:c>
      <x:c r="J31" s="17" t="n">
        <x:f>(COUNTIFS('Labels'!$B$2:$B$898,$A31,'Labels'!$C$2:$C$898,"&lt;=30",'Labels'!$F$2:$F$898,"2")+COUNTIFS('Labels'!$B$2:$B$898,$A31,'Labels'!$C$2:$C$898,"&lt;=30",'Labels'!$F$2:$F$898,"1"))/COUNTIFS('Labels'!$B$2:$B$898,$A31,'Labels'!$C$2:$C$898,"&lt;=30")</x:f>
        <x:v>0.6333333333333333</x:v>
      </x:c>
      <x:c r="K31" s="17" t="n">
        <x:v>0.7529694065526481</x:v>
      </x:c>
    </x:row>
    <x:row r="32">
      <x:c r="A32" s="18" t="str">
        <x:v>csq023</x:v>
      </x:c>
      <x:c r="B32" s="19" t="str">
        <x:v>What are the main neural and large-language-model-based approaches to automated program repair, and how do they generate and validate patches?</x:v>
      </x:c>
      <x:c r="C32" s="13" t="n">
        <x:f>COUNTIF('Labels'!$B$2:$B$898,$A32)</x:f>
        <x:v>30</x:v>
      </x:c>
      <x:c r="D32" s="13" t="n">
        <x:f>COUNTIFS('Labels'!$B$2:$B$898,$A32,'Labels'!$F$2:$F$898,"2")</x:f>
        <x:v>16</x:v>
      </x:c>
      <x:c r="E32" s="13" t="n">
        <x:f>COUNTIFS('Labels'!$B$2:$B$898,$A32,'Labels'!$F$2:$F$898,"1")</x:f>
        <x:v>2</x:v>
      </x:c>
      <x:c r="F32" s="13" t="n">
        <x:f>COUNTIFS('Labels'!$B$2:$B$898,$A32,'Labels'!$F$2:$F$898,"0")</x:f>
        <x:v>12</x:v>
      </x:c>
      <x:c r="G32" s="17" t="n">
        <x:f>(COUNTIFS('Labels'!$B$2:$B$898,$A32,'Labels'!$C$2:$C$898,"&lt;=5",'Labels'!$F$2:$F$898,"2")+COUNTIFS('Labels'!$B$2:$B$898,$A32,'Labels'!$C$2:$C$898,"&lt;=5",'Labels'!$F$2:$F$898,"1"))/COUNTIFS('Labels'!$B$2:$B$898,$A32,'Labels'!$C$2:$C$898,"&lt;=5")</x:f>
        <x:v>0.6</x:v>
      </x:c>
      <x:c r="H32" s="17" t="n">
        <x:f>(COUNTIFS('Labels'!$B$2:$B$898,$A32,'Labels'!$C$2:$C$898,"&lt;=10",'Labels'!$F$2:$F$898,"2")+COUNTIFS('Labels'!$B$2:$B$898,$A32,'Labels'!$C$2:$C$898,"&lt;=10",'Labels'!$F$2:$F$898,"1"))/COUNTIFS('Labels'!$B$2:$B$898,$A32,'Labels'!$C$2:$C$898,"&lt;=10")</x:f>
        <x:v>0.4</x:v>
      </x:c>
      <x:c r="I32" s="17" t="n">
        <x:f>(COUNTIFS('Labels'!$B$2:$B$898,$A32,'Labels'!$C$2:$C$898,"&lt;=20",'Labels'!$F$2:$F$898,"2")+COUNTIFS('Labels'!$B$2:$B$898,$A32,'Labels'!$C$2:$C$898,"&lt;=20",'Labels'!$F$2:$F$898,"1"))/COUNTIFS('Labels'!$B$2:$B$898,$A32,'Labels'!$C$2:$C$898,"&lt;=20")</x:f>
        <x:v>0.55</x:v>
      </x:c>
      <x:c r="J32" s="17" t="n">
        <x:f>(COUNTIFS('Labels'!$B$2:$B$898,$A32,'Labels'!$C$2:$C$898,"&lt;=30",'Labels'!$F$2:$F$898,"2")+COUNTIFS('Labels'!$B$2:$B$898,$A32,'Labels'!$C$2:$C$898,"&lt;=30",'Labels'!$F$2:$F$898,"1"))/COUNTIFS('Labels'!$B$2:$B$898,$A32,'Labels'!$C$2:$C$898,"&lt;=30")</x:f>
        <x:v>0.6</x:v>
      </x:c>
      <x:c r="K32" s="17" t="n">
        <x:v>0.5135285497500329</x:v>
      </x:c>
    </x:row>
    <x:row r="33">
      <x:c r="A33" s="18" t="str">
        <x:v>csq024</x:v>
      </x:c>
      <x:c r="B33" s="19" t="str">
        <x:v>How do execution-based, test-based, and model-based evaluation approaches for code generation compare?</x:v>
      </x:c>
      <x:c r="C33" s="13" t="n">
        <x:f>COUNTIF('Labels'!$B$2:$B$898,$A33)</x:f>
        <x:v>30</x:v>
      </x:c>
      <x:c r="D33" s="13" t="n">
        <x:f>COUNTIFS('Labels'!$B$2:$B$898,$A33,'Labels'!$F$2:$F$898,"2")</x:f>
        <x:v>24</x:v>
      </x:c>
      <x:c r="E33" s="13" t="n">
        <x:f>COUNTIFS('Labels'!$B$2:$B$898,$A33,'Labels'!$F$2:$F$898,"1")</x:f>
        <x:v>0</x:v>
      </x:c>
      <x:c r="F33" s="13" t="n">
        <x:f>COUNTIFS('Labels'!$B$2:$B$898,$A33,'Labels'!$F$2:$F$898,"0")</x:f>
        <x:v>6</x:v>
      </x:c>
      <x:c r="G33" s="17" t="n">
        <x:f>(COUNTIFS('Labels'!$B$2:$B$898,$A33,'Labels'!$C$2:$C$898,"&lt;=5",'Labels'!$F$2:$F$898,"2")+COUNTIFS('Labels'!$B$2:$B$898,$A33,'Labels'!$C$2:$C$898,"&lt;=5",'Labels'!$F$2:$F$898,"1"))/COUNTIFS('Labels'!$B$2:$B$898,$A33,'Labels'!$C$2:$C$898,"&lt;=5")</x:f>
        <x:v>1</x:v>
      </x:c>
      <x:c r="H33" s="17" t="n">
        <x:f>(COUNTIFS('Labels'!$B$2:$B$898,$A33,'Labels'!$C$2:$C$898,"&lt;=10",'Labels'!$F$2:$F$898,"2")+COUNTIFS('Labels'!$B$2:$B$898,$A33,'Labels'!$C$2:$C$898,"&lt;=10",'Labels'!$F$2:$F$898,"1"))/COUNTIFS('Labels'!$B$2:$B$898,$A33,'Labels'!$C$2:$C$898,"&lt;=10")</x:f>
        <x:v>0.9</x:v>
      </x:c>
      <x:c r="I33" s="17" t="n">
        <x:f>(COUNTIFS('Labels'!$B$2:$B$898,$A33,'Labels'!$C$2:$C$898,"&lt;=20",'Labels'!$F$2:$F$898,"2")+COUNTIFS('Labels'!$B$2:$B$898,$A33,'Labels'!$C$2:$C$898,"&lt;=20",'Labels'!$F$2:$F$898,"1"))/COUNTIFS('Labels'!$B$2:$B$898,$A33,'Labels'!$C$2:$C$898,"&lt;=20")</x:f>
        <x:v>0.9</x:v>
      </x:c>
      <x:c r="J33" s="17" t="n">
        <x:f>(COUNTIFS('Labels'!$B$2:$B$898,$A33,'Labels'!$C$2:$C$898,"&lt;=30",'Labels'!$F$2:$F$898,"2")+COUNTIFS('Labels'!$B$2:$B$898,$A33,'Labels'!$C$2:$C$898,"&lt;=30",'Labels'!$F$2:$F$898,"1"))/COUNTIFS('Labels'!$B$2:$B$898,$A33,'Labels'!$C$2:$C$898,"&lt;=30")</x:f>
        <x:v>0.8</x:v>
      </x:c>
      <x:c r="K33" s="17" t="n">
        <x:v>0.9363792118010482</x:v>
      </x:c>
    </x:row>
    <x:row r="34">
      <x:c r="A34" s="18" t="str">
        <x:v>csq025</x:v>
      </x:c>
      <x:c r="B34" s="19" t="str">
        <x:v>Which datasets and evaluation protocols are used for machine-learning-based source-code vulnerability detection, and which forms of data leakage can inflate reported performance?</x:v>
      </x:c>
      <x:c r="C34" s="13" t="n">
        <x:f>COUNTIF('Labels'!$B$2:$B$898,$A34)</x:f>
        <x:v>30</x:v>
      </x:c>
      <x:c r="D34" s="13" t="n">
        <x:f>COUNTIFS('Labels'!$B$2:$B$898,$A34,'Labels'!$F$2:$F$898,"2")</x:f>
        <x:v>27</x:v>
      </x:c>
      <x:c r="E34" s="13" t="n">
        <x:f>COUNTIFS('Labels'!$B$2:$B$898,$A34,'Labels'!$F$2:$F$898,"1")</x:f>
        <x:v>2</x:v>
      </x:c>
      <x:c r="F34" s="13" t="n">
        <x:f>COUNTIFS('Labels'!$B$2:$B$898,$A34,'Labels'!$F$2:$F$898,"0")</x:f>
        <x:v>1</x:v>
      </x:c>
      <x:c r="G34" s="17" t="n">
        <x:f>(COUNTIFS('Labels'!$B$2:$B$898,$A34,'Labels'!$C$2:$C$898,"&lt;=5",'Labels'!$F$2:$F$898,"2")+COUNTIFS('Labels'!$B$2:$B$898,$A34,'Labels'!$C$2:$C$898,"&lt;=5",'Labels'!$F$2:$F$898,"1"))/COUNTIFS('Labels'!$B$2:$B$898,$A34,'Labels'!$C$2:$C$898,"&lt;=5")</x:f>
        <x:v>1</x:v>
      </x:c>
      <x:c r="H34" s="17" t="n">
        <x:f>(COUNTIFS('Labels'!$B$2:$B$898,$A34,'Labels'!$C$2:$C$898,"&lt;=10",'Labels'!$F$2:$F$898,"2")+COUNTIFS('Labels'!$B$2:$B$898,$A34,'Labels'!$C$2:$C$898,"&lt;=10",'Labels'!$F$2:$F$898,"1"))/COUNTIFS('Labels'!$B$2:$B$898,$A34,'Labels'!$C$2:$C$898,"&lt;=10")</x:f>
        <x:v>1</x:v>
      </x:c>
      <x:c r="I34" s="17" t="n">
        <x:f>(COUNTIFS('Labels'!$B$2:$B$898,$A34,'Labels'!$C$2:$C$898,"&lt;=20",'Labels'!$F$2:$F$898,"2")+COUNTIFS('Labels'!$B$2:$B$898,$A34,'Labels'!$C$2:$C$898,"&lt;=20",'Labels'!$F$2:$F$898,"1"))/COUNTIFS('Labels'!$B$2:$B$898,$A34,'Labels'!$C$2:$C$898,"&lt;=20")</x:f>
        <x:v>0.95</x:v>
      </x:c>
      <x:c r="J34" s="17" t="n">
        <x:f>(COUNTIFS('Labels'!$B$2:$B$898,$A34,'Labels'!$C$2:$C$898,"&lt;=30",'Labels'!$F$2:$F$898,"2")+COUNTIFS('Labels'!$B$2:$B$898,$A34,'Labels'!$C$2:$C$898,"&lt;=30",'Labels'!$F$2:$F$898,"1"))/COUNTIFS('Labels'!$B$2:$B$898,$A34,'Labels'!$C$2:$C$898,"&lt;=30")</x:f>
        <x:v>0.9666666666666667</x:v>
      </x:c>
      <x:c r="K34" s="17" t="n">
        <x:v>1</x:v>
      </x:c>
    </x:row>
    <x:row r="35">
      <x:c r="A35" s="18" t="str">
        <x:v>csq026</x:v>
      </x:c>
      <x:c r="B35" s="19" t="str">
        <x:v>What limitations have been reported for large-language-model agents on repository-level software engineering tasks, especially in localization, long-context reasoning, testing, and reproducibility?</x:v>
      </x:c>
      <x:c r="C35" s="13" t="n">
        <x:f>COUNTIF('Labels'!$B$2:$B$898,$A35)</x:f>
        <x:v>30</x:v>
      </x:c>
      <x:c r="D35" s="13" t="n">
        <x:f>COUNTIFS('Labels'!$B$2:$B$898,$A35,'Labels'!$F$2:$F$898,"2")</x:f>
        <x:v>19</x:v>
      </x:c>
      <x:c r="E35" s="13" t="n">
        <x:f>COUNTIFS('Labels'!$B$2:$B$898,$A35,'Labels'!$F$2:$F$898,"1")</x:f>
        <x:v>5</x:v>
      </x:c>
      <x:c r="F35" s="13" t="n">
        <x:f>COUNTIFS('Labels'!$B$2:$B$898,$A35,'Labels'!$F$2:$F$898,"0")</x:f>
        <x:v>6</x:v>
      </x:c>
      <x:c r="G35" s="17" t="n">
        <x:f>(COUNTIFS('Labels'!$B$2:$B$898,$A35,'Labels'!$C$2:$C$898,"&lt;=5",'Labels'!$F$2:$F$898,"2")+COUNTIFS('Labels'!$B$2:$B$898,$A35,'Labels'!$C$2:$C$898,"&lt;=5",'Labels'!$F$2:$F$898,"1"))/COUNTIFS('Labels'!$B$2:$B$898,$A35,'Labels'!$C$2:$C$898,"&lt;=5")</x:f>
        <x:v>1</x:v>
      </x:c>
      <x:c r="H35" s="17" t="n">
        <x:f>(COUNTIFS('Labels'!$B$2:$B$898,$A35,'Labels'!$C$2:$C$898,"&lt;=10",'Labels'!$F$2:$F$898,"2")+COUNTIFS('Labels'!$B$2:$B$898,$A35,'Labels'!$C$2:$C$898,"&lt;=10",'Labels'!$F$2:$F$898,"1"))/COUNTIFS('Labels'!$B$2:$B$898,$A35,'Labels'!$C$2:$C$898,"&lt;=10")</x:f>
        <x:v>1</x:v>
      </x:c>
      <x:c r="I35" s="17" t="n">
        <x:f>(COUNTIFS('Labels'!$B$2:$B$898,$A35,'Labels'!$C$2:$C$898,"&lt;=20",'Labels'!$F$2:$F$898,"2")+COUNTIFS('Labels'!$B$2:$B$898,$A35,'Labels'!$C$2:$C$898,"&lt;=20",'Labels'!$F$2:$F$898,"1"))/COUNTIFS('Labels'!$B$2:$B$898,$A35,'Labels'!$C$2:$C$898,"&lt;=20")</x:f>
        <x:v>0.8</x:v>
      </x:c>
      <x:c r="J35" s="17" t="n">
        <x:f>(COUNTIFS('Labels'!$B$2:$B$898,$A35,'Labels'!$C$2:$C$898,"&lt;=30",'Labels'!$F$2:$F$898,"2")+COUNTIFS('Labels'!$B$2:$B$898,$A35,'Labels'!$C$2:$C$898,"&lt;=30",'Labels'!$F$2:$F$898,"1"))/COUNTIFS('Labels'!$B$2:$B$898,$A35,'Labels'!$C$2:$C$898,"&lt;=30")</x:f>
        <x:v>0.8</x:v>
      </x:c>
      <x:c r="K35" s="17" t="n">
        <x:v>0.7606971932189102</x:v>
      </x:c>
    </x:row>
    <x:row r="36">
      <x:c r="A36" s="18" t="str">
        <x:v>csq027</x:v>
      </x:c>
      <x:c r="B36" s="19" t="str">
        <x:v>What learned index structures have been proposed, and under which data distributions and update workloads do they outperform or underperform traditional indexes?</x:v>
      </x:c>
      <x:c r="C36" s="13" t="n">
        <x:f>COUNTIF('Labels'!$B$2:$B$898,$A36)</x:f>
        <x:v>30</x:v>
      </x:c>
      <x:c r="D36" s="13" t="n">
        <x:f>COUNTIFS('Labels'!$B$2:$B$898,$A36,'Labels'!$F$2:$F$898,"2")</x:f>
        <x:v>18</x:v>
      </x:c>
      <x:c r="E36" s="13" t="n">
        <x:f>COUNTIFS('Labels'!$B$2:$B$898,$A36,'Labels'!$F$2:$F$898,"1")</x:f>
        <x:v>1</x:v>
      </x:c>
      <x:c r="F36" s="13" t="n">
        <x:f>COUNTIFS('Labels'!$B$2:$B$898,$A36,'Labels'!$F$2:$F$898,"0")</x:f>
        <x:v>11</x:v>
      </x:c>
      <x:c r="G36" s="17" t="n">
        <x:f>(COUNTIFS('Labels'!$B$2:$B$898,$A36,'Labels'!$C$2:$C$898,"&lt;=5",'Labels'!$F$2:$F$898,"2")+COUNTIFS('Labels'!$B$2:$B$898,$A36,'Labels'!$C$2:$C$898,"&lt;=5",'Labels'!$F$2:$F$898,"1"))/COUNTIFS('Labels'!$B$2:$B$898,$A36,'Labels'!$C$2:$C$898,"&lt;=5")</x:f>
        <x:v>0.8</x:v>
      </x:c>
      <x:c r="H36" s="17" t="n">
        <x:f>(COUNTIFS('Labels'!$B$2:$B$898,$A36,'Labels'!$C$2:$C$898,"&lt;=10",'Labels'!$F$2:$F$898,"2")+COUNTIFS('Labels'!$B$2:$B$898,$A36,'Labels'!$C$2:$C$898,"&lt;=10",'Labels'!$F$2:$F$898,"1"))/COUNTIFS('Labels'!$B$2:$B$898,$A36,'Labels'!$C$2:$C$898,"&lt;=10")</x:f>
        <x:v>0.7</x:v>
      </x:c>
      <x:c r="I36" s="17" t="n">
        <x:f>(COUNTIFS('Labels'!$B$2:$B$898,$A36,'Labels'!$C$2:$C$898,"&lt;=20",'Labels'!$F$2:$F$898,"2")+COUNTIFS('Labels'!$B$2:$B$898,$A36,'Labels'!$C$2:$C$898,"&lt;=20",'Labels'!$F$2:$F$898,"1"))/COUNTIFS('Labels'!$B$2:$B$898,$A36,'Labels'!$C$2:$C$898,"&lt;=20")</x:f>
        <x:v>0.7</x:v>
      </x:c>
      <x:c r="J36" s="17" t="n">
        <x:f>(COUNTIFS('Labels'!$B$2:$B$898,$A36,'Labels'!$C$2:$C$898,"&lt;=30",'Labels'!$F$2:$F$898,"2")+COUNTIFS('Labels'!$B$2:$B$898,$A36,'Labels'!$C$2:$C$898,"&lt;=30",'Labels'!$F$2:$F$898,"1"))/COUNTIFS('Labels'!$B$2:$B$898,$A36,'Labels'!$C$2:$C$898,"&lt;=30")</x:f>
        <x:v>0.6333333333333333</x:v>
      </x:c>
      <x:c r="K36" s="17" t="n">
        <x:v>0.70937536504841</x:v>
      </x:c>
    </x:row>
    <x:row r="37">
      <x:c r="A37" s="18" t="str">
        <x:v>csq028</x:v>
      </x:c>
      <x:c r="B37" s="19" t="str">
        <x:v>How do graph-based, quantization-based, and inverted-file approaches to approximate nearest-neighbor search compare in recall, latency, memory usage, and index construction cost?</x:v>
      </x:c>
      <x:c r="C37" s="13" t="n">
        <x:f>COUNTIF('Labels'!$B$2:$B$898,$A37)</x:f>
        <x:v>30</x:v>
      </x:c>
      <x:c r="D37" s="13" t="n">
        <x:f>COUNTIFS('Labels'!$B$2:$B$898,$A37,'Labels'!$F$2:$F$898,"2")</x:f>
        <x:v>20</x:v>
      </x:c>
      <x:c r="E37" s="13" t="n">
        <x:f>COUNTIFS('Labels'!$B$2:$B$898,$A37,'Labels'!$F$2:$F$898,"1")</x:f>
        <x:v>4</x:v>
      </x:c>
      <x:c r="F37" s="13" t="n">
        <x:f>COUNTIFS('Labels'!$B$2:$B$898,$A37,'Labels'!$F$2:$F$898,"0")</x:f>
        <x:v>6</x:v>
      </x:c>
      <x:c r="G37" s="17" t="n">
        <x:f>(COUNTIFS('Labels'!$B$2:$B$898,$A37,'Labels'!$C$2:$C$898,"&lt;=5",'Labels'!$F$2:$F$898,"2")+COUNTIFS('Labels'!$B$2:$B$898,$A37,'Labels'!$C$2:$C$898,"&lt;=5",'Labels'!$F$2:$F$898,"1"))/COUNTIFS('Labels'!$B$2:$B$898,$A37,'Labels'!$C$2:$C$898,"&lt;=5")</x:f>
        <x:v>0.8</x:v>
      </x:c>
      <x:c r="H37" s="17" t="n">
        <x:f>(COUNTIFS('Labels'!$B$2:$B$898,$A37,'Labels'!$C$2:$C$898,"&lt;=10",'Labels'!$F$2:$F$898,"2")+COUNTIFS('Labels'!$B$2:$B$898,$A37,'Labels'!$C$2:$C$898,"&lt;=10",'Labels'!$F$2:$F$898,"1"))/COUNTIFS('Labels'!$B$2:$B$898,$A37,'Labels'!$C$2:$C$898,"&lt;=10")</x:f>
        <x:v>0.8</x:v>
      </x:c>
      <x:c r="I37" s="17" t="n">
        <x:f>(COUNTIFS('Labels'!$B$2:$B$898,$A37,'Labels'!$C$2:$C$898,"&lt;=20",'Labels'!$F$2:$F$898,"2")+COUNTIFS('Labels'!$B$2:$B$898,$A37,'Labels'!$C$2:$C$898,"&lt;=20",'Labels'!$F$2:$F$898,"1"))/COUNTIFS('Labels'!$B$2:$B$898,$A37,'Labels'!$C$2:$C$898,"&lt;=20")</x:f>
        <x:v>0.85</x:v>
      </x:c>
      <x:c r="J37" s="17" t="n">
        <x:f>(COUNTIFS('Labels'!$B$2:$B$898,$A37,'Labels'!$C$2:$C$898,"&lt;=30",'Labels'!$F$2:$F$898,"2")+COUNTIFS('Labels'!$B$2:$B$898,$A37,'Labels'!$C$2:$C$898,"&lt;=30",'Labels'!$F$2:$F$898,"1"))/COUNTIFS('Labels'!$B$2:$B$898,$A37,'Labels'!$C$2:$C$898,"&lt;=30")</x:f>
        <x:v>0.8</x:v>
      </x:c>
      <x:c r="K37" s="17" t="n">
        <x:v>0.7337026897571411</x:v>
      </x:c>
    </x:row>
    <x:row r="38">
      <x:c r="A38" s="18" t="str">
        <x:v>csq029</x:v>
      </x:c>
      <x:c r="B38" s="19" t="str">
        <x:v>Which benchmarks and metrics are used to evaluate sparse, dense, and hybrid neural information retrieval, and how well do they measure out-of-domain robustness?</x:v>
      </x:c>
      <x:c r="C38" s="13" t="n">
        <x:f>COUNTIF('Labels'!$B$2:$B$898,$A38)</x:f>
        <x:v>30</x:v>
      </x:c>
      <x:c r="D38" s="13" t="n">
        <x:f>COUNTIFS('Labels'!$B$2:$B$898,$A38,'Labels'!$F$2:$F$898,"2")</x:f>
        <x:v>27</x:v>
      </x:c>
      <x:c r="E38" s="13" t="n">
        <x:f>COUNTIFS('Labels'!$B$2:$B$898,$A38,'Labels'!$F$2:$F$898,"1")</x:f>
        <x:v>1</x:v>
      </x:c>
      <x:c r="F38" s="13" t="n">
        <x:f>COUNTIFS('Labels'!$B$2:$B$898,$A38,'Labels'!$F$2:$F$898,"0")</x:f>
        <x:v>2</x:v>
      </x:c>
      <x:c r="G38" s="17" t="n">
        <x:f>(COUNTIFS('Labels'!$B$2:$B$898,$A38,'Labels'!$C$2:$C$898,"&lt;=5",'Labels'!$F$2:$F$898,"2")+COUNTIFS('Labels'!$B$2:$B$898,$A38,'Labels'!$C$2:$C$898,"&lt;=5",'Labels'!$F$2:$F$898,"1"))/COUNTIFS('Labels'!$B$2:$B$898,$A38,'Labels'!$C$2:$C$898,"&lt;=5")</x:f>
        <x:v>1</x:v>
      </x:c>
      <x:c r="H38" s="17" t="n">
        <x:f>(COUNTIFS('Labels'!$B$2:$B$898,$A38,'Labels'!$C$2:$C$898,"&lt;=10",'Labels'!$F$2:$F$898,"2")+COUNTIFS('Labels'!$B$2:$B$898,$A38,'Labels'!$C$2:$C$898,"&lt;=10",'Labels'!$F$2:$F$898,"1"))/COUNTIFS('Labels'!$B$2:$B$898,$A38,'Labels'!$C$2:$C$898,"&lt;=10")</x:f>
        <x:v>0.9</x:v>
      </x:c>
      <x:c r="I38" s="17" t="n">
        <x:f>(COUNTIFS('Labels'!$B$2:$B$898,$A38,'Labels'!$C$2:$C$898,"&lt;=20",'Labels'!$F$2:$F$898,"2")+COUNTIFS('Labels'!$B$2:$B$898,$A38,'Labels'!$C$2:$C$898,"&lt;=20",'Labels'!$F$2:$F$898,"1"))/COUNTIFS('Labels'!$B$2:$B$898,$A38,'Labels'!$C$2:$C$898,"&lt;=20")</x:f>
        <x:v>0.9</x:v>
      </x:c>
      <x:c r="J38" s="17" t="n">
        <x:f>(COUNTIFS('Labels'!$B$2:$B$898,$A38,'Labels'!$C$2:$C$898,"&lt;=30",'Labels'!$F$2:$F$898,"2")+COUNTIFS('Labels'!$B$2:$B$898,$A38,'Labels'!$C$2:$C$898,"&lt;=30",'Labels'!$F$2:$F$898,"1"))/COUNTIFS('Labels'!$B$2:$B$898,$A38,'Labels'!$C$2:$C$898,"&lt;=30")</x:f>
        <x:v>0.9333333333333333</x:v>
      </x:c>
      <x:c r="K38" s="17" t="n">
        <x:v>0.9363792118010482</x:v>
      </x:c>
    </x:row>
    <x:row r="39">
      <x:c r="A39" s="18" t="str">
        <x:v>csq030</x:v>
      </x:c>
      <x:c r="B39" s="19" t="str">
        <x:v>How have text-to-SQL systems evolved from schema-aware neural parsers to large-language-model-based approaches, and which challenges remain on cross-domain benchmarks?</x:v>
      </x:c>
      <x:c r="C39" s="13" t="n">
        <x:f>COUNTIF('Labels'!$B$2:$B$898,$A39)</x:f>
        <x:v>30</x:v>
      </x:c>
      <x:c r="D39" s="13" t="n">
        <x:f>COUNTIFS('Labels'!$B$2:$B$898,$A39,'Labels'!$F$2:$F$898,"2")</x:f>
        <x:v>23</x:v>
      </x:c>
      <x:c r="E39" s="13" t="n">
        <x:f>COUNTIFS('Labels'!$B$2:$B$898,$A39,'Labels'!$F$2:$F$898,"1")</x:f>
        <x:v>0</x:v>
      </x:c>
      <x:c r="F39" s="13" t="n">
        <x:f>COUNTIFS('Labels'!$B$2:$B$898,$A39,'Labels'!$F$2:$F$898,"0")</x:f>
        <x:v>7</x:v>
      </x:c>
      <x:c r="G39" s="17" t="n">
        <x:f>(COUNTIFS('Labels'!$B$2:$B$898,$A39,'Labels'!$C$2:$C$898,"&lt;=5",'Labels'!$F$2:$F$898,"2")+COUNTIFS('Labels'!$B$2:$B$898,$A39,'Labels'!$C$2:$C$898,"&lt;=5",'Labels'!$F$2:$F$898,"1"))/COUNTIFS('Labels'!$B$2:$B$898,$A39,'Labels'!$C$2:$C$898,"&lt;=5")</x:f>
        <x:v>0.8</x:v>
      </x:c>
      <x:c r="H39" s="17" t="n">
        <x:f>(COUNTIFS('Labels'!$B$2:$B$898,$A39,'Labels'!$C$2:$C$898,"&lt;=10",'Labels'!$F$2:$F$898,"2")+COUNTIFS('Labels'!$B$2:$B$898,$A39,'Labels'!$C$2:$C$898,"&lt;=10",'Labels'!$F$2:$F$898,"1"))/COUNTIFS('Labels'!$B$2:$B$898,$A39,'Labels'!$C$2:$C$898,"&lt;=10")</x:f>
        <x:v>0.8</x:v>
      </x:c>
      <x:c r="I39" s="17" t="n">
        <x:f>(COUNTIFS('Labels'!$B$2:$B$898,$A39,'Labels'!$C$2:$C$898,"&lt;=20",'Labels'!$F$2:$F$898,"2")+COUNTIFS('Labels'!$B$2:$B$898,$A39,'Labels'!$C$2:$C$898,"&lt;=20",'Labels'!$F$2:$F$898,"1"))/COUNTIFS('Labels'!$B$2:$B$898,$A39,'Labels'!$C$2:$C$898,"&lt;=20")</x:f>
        <x:v>0.75</x:v>
      </x:c>
      <x:c r="J39" s="17" t="n">
        <x:f>(COUNTIFS('Labels'!$B$2:$B$898,$A39,'Labels'!$C$2:$C$898,"&lt;=30",'Labels'!$F$2:$F$898,"2")+COUNTIFS('Labels'!$B$2:$B$898,$A39,'Labels'!$C$2:$C$898,"&lt;=30",'Labels'!$F$2:$F$898,"1"))/COUNTIFS('Labels'!$B$2:$B$898,$A39,'Labels'!$C$2:$C$898,"&lt;=30")</x:f>
        <x:v>0.7666666666666667</x:v>
      </x:c>
      <x:c r="K39" s="17" t="n">
        <x:v>0.7162874455029681</x:v>
      </x:c>
    </x:row>
  </x:sheetData>
  <x:mergeCells>
    <x:mergeCell ref="A1:J1"/>
    <x:mergeCell ref="A3:J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7" hidden="0" customWidth="1"/>
    <x:col min="4" max="4" width="12" hidden="0" customWidth="1"/>
    <x:col min="5" max="5" width="12" hidden="0" customWidth="1"/>
    <x:col min="6" max="6" width="12" hidden="0" customWidth="1"/>
    <x:col min="7" max="7" width="42" hidden="0" customWidth="1"/>
    <x:col min="8" max="8" width="7" hidden="0" customWidth="1"/>
    <x:col min="9" max="9" width="12" hidden="0" customWidth="1"/>
    <x:col min="10" max="10" width="12" hidden="0" customWidth="1"/>
    <x:col min="11" max="11" width="55" hidden="0" customWidth="1"/>
    <x:col min="12" max="12" width="90" hidden="0" customWidth="1"/>
    <x:col min="13" max="13" width="35" hidden="0" customWidth="1"/>
    <x:col min="14" max="14" width="28" hidden="0" customWidth="1"/>
  </x:cols>
  <x:sheetData>
    <x:row r="1" ht="28" customHeight="1">
      <x:c r="A1" s="16" t="str">
        <x:v>item_id</x:v>
      </x:c>
      <x:c r="B1" s="16" t="str">
        <x:v>question_id</x:v>
      </x:c>
      <x:c r="C1" s="16" t="str">
        <x:v>rank</x:v>
      </x:c>
      <x:c r="D1" s="16" t="str">
        <x:v>auto_label</x:v>
      </x:c>
      <x:c r="E1" s="16" t="str">
        <x:v>manual_label</x:v>
      </x:c>
      <x:c r="F1" s="16" t="str">
        <x:v>final_label</x:v>
      </x:c>
      <x:c r="G1" s="16" t="str">
        <x:v>paper_title</x:v>
      </x:c>
      <x:c r="H1" s="16" t="str">
        <x:v>page</x:v>
      </x:c>
      <x:c r="I1" s="16" t="str">
        <x:v>rrf_score</x:v>
      </x:c>
      <x:c r="J1" s="16" t="str">
        <x:v>matched_queries</x:v>
      </x:c>
      <x:c r="K1" s="16" t="str">
        <x:v>question</x:v>
      </x:c>
      <x:c r="L1" s="16" t="str">
        <x:v>chunk_text</x:v>
      </x:c>
      <x:c r="M1" s="16" t="str">
        <x:v>rationale</x:v>
      </x:c>
      <x:c r="N1" s="16" t="str">
        <x:v>url</x:v>
      </x:c>
    </x:row>
    <x:row r="2" ht="58" customHeight="1">
      <x:c r="A2" s="13" t="str">
        <x:v>csq001-c001</x:v>
      </x:c>
      <x:c r="B2" s="13" t="str">
        <x:v>csq001</x:v>
      </x:c>
      <x:c r="C2" s="21" t="n">
        <x:v>1</x:v>
      </x:c>
      <x:c r="D2" s="20" t="str">
        <x:v>2</x:v>
      </x:c>
      <x:c r="E2" s="20" t="str"/>
      <x:c r="F2" s="20" t="str">
        <x:f>IF(E2="",D2,E2)</x:f>
        <x:v>2</x:v>
      </x:c>
      <x:c r="G2" s="13" t="str">
        <x:v>Ragas: Automated Evaluation of Retrieval Augmented Generation</x:v>
      </x:c>
      <x:c r="H2" s="13" t="n">
        <x:v>0</x:v>
      </x:c>
      <x:c r="I2" s="22" t="n">
        <x:v>0.07965312201166247</x:v>
      </x:c>
      <x:c r="J2" s="13" t="n">
        <x:v>5</x:v>
      </x:c>
      <x:c r="K2" s="19" t="str">
        <x:v>What are the main methods for evaluating retrieval-augmented generation systems, and which retrieval and generation dimensions do they measure?</x:v>
      </x:c>
      <x:c r="L2" s="19" t="str">
        <x:v>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ground truth human annotations. We posit that
such a framework can crucially contribute to
faster evaluation cycles of RAG architectures,
which is especially important given the fast
adoption of LLMs.
1 Introduction
Language Models (LMs) capture a vast amount
of knowledge about the world, which allows them
to answer questions without accessing any exter-
nal sources. This idea of LMs as repositories of
knowledge emerged shortly after the introduction</x:v>
      </x:c>
      <x:c r="M2" s="19" t="str">
        <x:v>该段包含可直接回答问题的方法、指标、比较或研究发现。</x:v>
      </x:c>
      <x:c r="N2" s="13" t="str">
        <x:v>http://arxiv.org/abs/2309.15217v2</x:v>
      </x:c>
    </x:row>
    <x:row r="3" ht="58" customHeight="1">
      <x:c r="A3" s="13" t="str">
        <x:v>csq001-c002</x:v>
      </x:c>
      <x:c r="B3" s="13" t="str">
        <x:v>csq001</x:v>
      </x:c>
      <x:c r="C3" s="21" t="n">
        <x:v>2</x:v>
      </x:c>
      <x:c r="D3" s="20" t="str">
        <x:v>2</x:v>
      </x:c>
      <x:c r="E3" s="20" t="str"/>
      <x:c r="F3" s="20" t="str">
        <x:f>IF(E3="",D3,E3)</x:f>
        <x:v>2</x:v>
      </x:c>
      <x:c r="G3" s="13" t="str">
        <x:v>Exploring Information Retrieval Landscapes: An Investigation of a Novel Evaluation Techniques and Comparative Document Splitting Methods</x:v>
      </x:c>
      <x:c r="H3" s="13" t="n">
        <x:v>0</x:v>
      </x:c>
      <x:c r="I3" s="22" t="n">
        <x:v>0.07953770338521908</x:v>
      </x:c>
      <x:c r="J3" s="13" t="n">
        <x:v>5</x:v>
      </x:c>
      <x:c r="K3" s="19" t="str">
        <x:v>What are the main methods for evaluating retrieval-augmented generation systems, and which retrieval and generation dimensions do they measure?</x:v>
      </x:c>
      <x:c r="L3" s="19" t="str">
        <x:v>open-source model to generate a comprehensive dataset of question-and-answer pairs, simulating 
realistic retrieval scenarios to enhance testing efficiency and metric reliability. The evaluation 
employs weighted scoring metrics, including SequenceMatcher, BLEU, METEOR, and BERT 
Score, to assess the system's accuracy and relevance. This approach establishes a refined standard 
for evaluating the precision of RAG systems, with future resea rch focusing on optimizing chunk 
and overlap sizes to improve retrieval accuracy and efficiency.</x:v>
      </x:c>
      <x:c r="M3" s="19" t="str">
        <x:v>该段包含可直接回答问题的方法、指标、比较或研究发现。</x:v>
      </x:c>
      <x:c r="N3" s="13" t="str">
        <x:v>http://arxiv.org/abs/2409.08479v2</x:v>
      </x:c>
    </x:row>
    <x:row r="4" ht="58" customHeight="1">
      <x:c r="A4" s="13" t="str">
        <x:v>csq001-c003</x:v>
      </x:c>
      <x:c r="B4" s="13" t="str">
        <x:v>csq001</x:v>
      </x:c>
      <x:c r="C4" s="21" t="n">
        <x:v>3</x:v>
      </x:c>
      <x:c r="D4" s="20" t="str">
        <x:v>2</x:v>
      </x:c>
      <x:c r="E4" s="20" t="str"/>
      <x:c r="F4" s="20" t="str">
        <x:f>IF(E4="",D4,E4)</x:f>
        <x:v>2</x:v>
      </x:c>
      <x:c r="G4" s="13" t="str">
        <x:v>FATHOMS-RAG: A Framework for the Assessment of Thinking and Observation in Multimodal Systems that use Retrieval Augmented Generation</x:v>
      </x:c>
      <x:c r="H4" s="13" t="n">
        <x:v>1</x:v>
      </x:c>
      <x:c r="I4" s="22" t="n">
        <x:v>0.07866797364748185</x:v>
      </x:c>
      <x:c r="J4" s="13" t="n">
        <x:v>5</x:v>
      </x:c>
      <x:c r="K4" s="19" t="str">
        <x:v>What are the main methods for evaluating retrieval-augmented generation systems, and which retrieval and generation dimensions do they measure?</x:v>
      </x:c>
      <x:c r="L4" s="19" t="str">
        <x:v>C. RAG System Evaluation and Hallucination Detection
Yanget al.introduce the CRAG benchmark, which eval-
uates RAG systems’ generation capabilities under various
retrieval conditions. However, CRAG focuses primarily on
how generation behaves given retrieved context, rather than
evaluating the retrieval mechanisms themselves or providing
end-to-end pipeline assessment [7].
RAGAS (Retrieval Augmented Generation Assessment)
provides a framework for evaluating individual RAG compo-
nents through metrics such as context precision, context recall,
and answer relevancy [8]. While useful for component-level
analysis, RAGAS does allow for evaluation of RAG pipelines
as a whole.
Detecting hallucinations in model outputs has been ap-
proached from several directions. Recent work includes proba-
bilistic uncertainty estimation through semantic entropy (Far-</x:v>
      </x:c>
      <x:c r="M4" s="19" t="str">
        <x:v>该段包含可直接回答问题的方法、指标、比较或研究发现。</x:v>
      </x:c>
      <x:c r="N4" s="13" t="str">
        <x:v>http://arxiv.org/abs/2510.08945v3</x:v>
      </x:c>
    </x:row>
    <x:row r="5" ht="58" customHeight="1">
      <x:c r="A5" s="13" t="str">
        <x:v>csq001-c004</x:v>
      </x:c>
      <x:c r="B5" s="13" t="str">
        <x:v>csq001</x:v>
      </x:c>
      <x:c r="C5" s="21" t="n">
        <x:v>4</x:v>
      </x:c>
      <x:c r="D5" s="20" t="str">
        <x:v>2</x:v>
      </x:c>
      <x:c r="E5" s="20" t="str"/>
      <x:c r="F5" s="20" t="str">
        <x:f>IF(E5="",D5,E5)</x:f>
        <x:v>2</x:v>
      </x:c>
      <x:c r="G5" s="13" t="str">
        <x:v>RAG-Check: Evaluating Multimodal Retrieval Augmented Generation Performance</x:v>
      </x:c>
      <x:c r="H5" s="13" t="n">
        <x:v>1</x:v>
      </x:c>
      <x:c r="I5" s="22" t="n">
        <x:v>0.07248359800873291</x:v>
      </x:c>
      <x:c r="J5" s="13" t="n">
        <x:v>5</x:v>
      </x:c>
      <x:c r="K5" s="19" t="str">
        <x:v>What are the main methods for evaluating retrieval-augmented generation systems, and which retrieval and generation dimensions do they measure?</x:v>
      </x:c>
      <x:c r="L5" s="19" t="str">
        <x:v>the designed RS and CS scores with human evaluation for a
RAG system. (v) While CS and RS can be used to evaluate the
reliability of an instance of the response generated by RAG,
we show a different use of the tools developed in this paper by
comparing the average performance of different RAG systems
in terms of the relevancy of their retrieval and the correctness</x:v>
      </x:c>
      <x:c r="M5" s="19" t="str">
        <x:v>该段包含可直接回答问题的方法、指标、比较或研究发现。</x:v>
      </x:c>
      <x:c r="N5" s="13" t="str">
        <x:v>http://arxiv.org/abs/2501.03995v1</x:v>
      </x:c>
    </x:row>
    <x:row r="6" ht="58" customHeight="1">
      <x:c r="A6" s="13" t="str">
        <x:v>csq001-c005</x:v>
      </x:c>
      <x:c r="B6" s="13" t="str">
        <x:v>csq001</x:v>
      </x:c>
      <x:c r="C6" s="21" t="n">
        <x:v>5</x:v>
      </x:c>
      <x:c r="D6" s="20" t="str">
        <x:v>2</x:v>
      </x:c>
      <x:c r="E6" s="20" t="str"/>
      <x:c r="F6" s="20" t="str">
        <x:f>IF(E6="",D6,E6)</x:f>
        <x:v>2</x:v>
      </x:c>
      <x:c r="G6" s="13" t="str">
        <x:v>Ragas: Automated Evaluation of Retrieval Augmented Generation</x:v>
      </x:c>
      <x:c r="H6" s="13" t="n">
        <x:v>4</x:v>
      </x:c>
      <x:c r="I6" s="22" t="n">
        <x:v>0.06185494629340972</x:v>
      </x:c>
      <x:c r="J6" s="13" t="n">
        <x:v>4</x:v>
      </x:c>
      <x:c r="K6" s="19" t="str">
        <x:v>What are the main methods for evaluating retrieval-augmented generation systems, and which retrieval and generation dimensions do they measure?</x:v>
      </x:c>
      <x:c r="L6" s="19" t="str">
        <x:v>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x:v>
      </x:c>
      <x:c r="M6" s="19" t="str">
        <x:v>该段包含可直接回答问题的方法、指标、比较或研究发现。</x:v>
      </x:c>
      <x:c r="N6" s="13" t="str">
        <x:v>http://arxiv.org/abs/2309.15217v2</x:v>
      </x:c>
    </x:row>
    <x:row r="7" ht="58" customHeight="1">
      <x:c r="A7" s="13" t="str">
        <x:v>csq001-c006</x:v>
      </x:c>
      <x:c r="B7" s="13" t="str">
        <x:v>csq001</x:v>
      </x:c>
      <x:c r="C7" s="21" t="n">
        <x:v>6</x:v>
      </x:c>
      <x:c r="D7" s="20" t="str">
        <x:v>2</x:v>
      </x:c>
      <x:c r="E7" s="20" t="str"/>
      <x:c r="F7" s="20" t="str">
        <x:f>IF(E7="",D7,E7)</x:f>
        <x:v>2</x:v>
      </x:c>
      <x:c r="G7" s="13" t="str">
        <x:v>Ragas: Automated Evaluation of Retrieval Augmented Generation</x:v>
      </x:c>
      <x:c r="H7" s="13" t="n">
        <x:v>1</x:v>
      </x:c>
      <x:c r="I7" s="22" t="n">
        <x:v>0.05937128639334521</x:v>
      </x:c>
      <x:c r="J7" s="13" t="n">
        <x:v>4</x:v>
      </x:c>
      <x:c r="K7" s="19" t="str">
        <x:v>What are the main methods for evaluating retrieval-augmented generation systems, and which retrieval and generation dimensions do they measure?</x:v>
      </x:c>
      <x:c r="L7" s="19" t="str">
        <x:v>generally, generations, have been typically used
in the literature, most approaches have relied on
the availability of one or more reference answers.
For instance, BERTScore (Zhang et al., 2020)
and MoverScore (Zhao et al., 2019) use contex-
tualised embeddings, produced by a pre-trained
BERT model, to compare the similarity between
the generated answer and the reference answers.
BARTScore (Yuan et al., 2021) similarly uses refer-
ence answers to compute aspects such as precision
(estimated as the probability of generating the gen-
erated answer given the reference) and recall (esti-
mated as the probability of generating the reference
given the generated answer).
3 Evaluation Strategies
We consider a standard RAG setting, where given a
question q, the system first retrieves some context
c(q) and then uses the retrieved context to generate
an answer as(q). When building a RAG system,</x:v>
      </x:c>
      <x:c r="M7" s="19" t="str">
        <x:v>该段包含可直接回答问题的方法、指标、比较或研究发现。</x:v>
      </x:c>
      <x:c r="N7" s="13" t="str">
        <x:v>http://arxiv.org/abs/2309.15217v2</x:v>
      </x:c>
    </x:row>
    <x:row r="8" ht="58" customHeight="1">
      <x:c r="A8" s="13" t="str">
        <x:v>csq001-c007</x:v>
      </x:c>
      <x:c r="B8" s="13" t="str">
        <x:v>csq001</x:v>
      </x:c>
      <x:c r="C8" s="21" t="n">
        <x:v>7</x:v>
      </x:c>
      <x:c r="D8" s="20" t="str">
        <x:v>2</x:v>
      </x:c>
      <x:c r="E8" s="20" t="str"/>
      <x:c r="F8" s="20" t="str">
        <x:f>IF(E8="",D8,E8)</x:f>
        <x:v>2</x:v>
      </x:c>
      <x:c r="G8" s="13" t="str">
        <x:v>Ragas: Automated Evaluation of Retrieval Augmented Generation</x:v>
      </x:c>
      <x:c r="H8" s="13" t="n">
        <x:v>0</x:v>
      </x:c>
      <x:c r="I8" s="22" t="n">
        <x:v>0.05891585624860273</x:v>
      </x:c>
      <x:c r="J8" s="13" t="n">
        <x:v>4</x:v>
      </x:c>
      <x:c r="K8" s="19" t="str">
        <x:v>What are the main methods for evaluating retrieval-augmented generation systems, and which retrieval and generation dimensions do they measure?</x:v>
      </x:c>
      <x:c r="L8" s="19" t="str">
        <x:v>Ragas: Automated Evaluation of Retrieval Augmented Generation
Shahul Es†, Jithin James †, Luis Espinosa-Anke ∗♢, Steven Schockaert ∗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x:v>
      </x:c>
      <x:c r="M8" s="19" t="str">
        <x:v>该段包含可直接回答问题的方法、指标、比较或研究发现。</x:v>
      </x:c>
      <x:c r="N8" s="13" t="str">
        <x:v>http://arxiv.org/abs/2309.15217v2</x:v>
      </x:c>
    </x:row>
    <x:row r="9" ht="58" customHeight="1">
      <x:c r="A9" s="13" t="str">
        <x:v>csq001-c008</x:v>
      </x:c>
      <x:c r="B9" s="13" t="str">
        <x:v>csq001</x:v>
      </x:c>
      <x:c r="C9" s="21" t="n">
        <x:v>8</x:v>
      </x:c>
      <x:c r="D9" s="20" t="str">
        <x:v>2</x:v>
      </x:c>
      <x:c r="E9" s="20" t="str"/>
      <x:c r="F9" s="20" t="str">
        <x:f>IF(E9="",D9,E9)</x:f>
        <x:v>2</x:v>
      </x:c>
      <x:c r="G9" s="13" t="str">
        <x:v>OmniBench-RAG: A Multi-Domain Evaluation Platform for Retrieval-Augmented Generation Tools</x:v>
      </x:c>
      <x:c r="H9" s="13" t="n">
        <x:v>0</x:v>
      </x:c>
      <x:c r="I9" s="22" t="n">
        <x:v>0.04621952999562108</x:v>
      </x:c>
      <x:c r="J9" s="13" t="n">
        <x:v>3</x:v>
      </x:c>
      <x:c r="K9" s="19" t="str">
        <x:v>What are the main methods for evaluating retrieval-augmented generation systems, and which retrieval and generation dimensions do they measure?</x:v>
      </x:c>
      <x:c r="L9" s="19" t="str">
        <x:v>for multi domain evaluation of RAG systems. The platform
quantifies performance gains across accuracy and efficiency
dimensions, spanning nine knowledge fields including culture,
geography, and health. We introduce two standardized metrics:
Improvements (accuracy gains) and Transformation (efficiency
differences between pre RAG and post RAG models), enabling
reproducible comparisons across models and tasks. The platform
features dynamic test generation, modular evaluation pipelines,
and automated knowledge base construction. Our evaluation
reveals striking variability in RAG effectiveness, from significant
gains in culture to declines in mathematics, highlighting the
critical importance of systematic, domain aware assessment. A
demonstration video is available at: https://www.youtube.com/
watch?v=BZx83QFcTCI. Code and datasets: https://github.com/
Garnett-Liang/Omnibench-RAG.</x:v>
      </x:c>
      <x:c r="M9" s="19" t="str">
        <x:v>该段包含可直接回答问题的方法、指标、比较或研究发现。</x:v>
      </x:c>
      <x:c r="N9" s="13" t="str">
        <x:v>http://arxiv.org/abs/2508.05650v1</x:v>
      </x:c>
    </x:row>
    <x:row r="10" ht="58" customHeight="1">
      <x:c r="A10" s="13" t="str">
        <x:v>csq001-c009</x:v>
      </x:c>
      <x:c r="B10" s="13" t="str">
        <x:v>csq001</x:v>
      </x:c>
      <x:c r="C10" s="21" t="n">
        <x:v>9</x:v>
      </x:c>
      <x:c r="D10" s="20" t="str">
        <x:v>2</x:v>
      </x:c>
      <x:c r="E10" s="20" t="str"/>
      <x:c r="F10" s="20" t="str">
        <x:f>IF(E10="",D10,E10)</x:f>
        <x:v>2</x:v>
      </x:c>
      <x:c r="G10" s="13" t="str">
        <x:v>Exploring Information Retrieval Landscapes: An Investigation of a Novel Evaluation Techniques and Comparative Document Splitting Methods</x:v>
      </x:c>
      <x:c r="H10" s="13" t="n">
        <x:v>4</x:v>
      </x:c>
      <x:c r="I10" s="22" t="n">
        <x:v>0.044583251360744966</x:v>
      </x:c>
      <x:c r="J10" s="13" t="n">
        <x:v>3</x:v>
      </x:c>
      <x:c r="K10" s="19" t="str">
        <x:v>What are the main methods for evaluating retrieval-augmented generation systems, and which retrieval and generation dimensions do they measure?</x:v>
      </x:c>
      <x:c r="L10" s="19" t="str">
        <x:v>of optimal text segments for question generation, followed by  the model producing relevant 
questions and answers. The results were compiled into an Excel dataset, "eval_ds.xlsx," which 
served as a crucial resource for subsequent performance analyses. This automation enhances 
testing efficiency and ensures that perfo rmance metrics are based on consistently generated, 
controlled data, significantly improving the reliability of the findings. 
4.2 Optimized Scoring Techniques for RAG Systems 
Evaluation 
A novel multi-metric scoring approach has been adopted to evaluate the outputs of the RAG 
system, designed to assess the quality of responses across dimensions of accuracy and relevance. 
The evaluation framework incorporates four primary metrics: SequenceMatcher [11], BiLingual 
Evaluation Understudy (BLEU) [12], Metric for Evaluation of Translation with Explicit ORdering</x:v>
      </x:c>
      <x:c r="M10" s="19" t="str">
        <x:v>该段包含可直接回答问题的方法、指标、比较或研究发现。</x:v>
      </x:c>
      <x:c r="N10" s="13" t="str">
        <x:v>http://arxiv.org/abs/2409.08479v2</x:v>
      </x:c>
    </x:row>
    <x:row r="11" ht="58" customHeight="1">
      <x:c r="A11" s="13" t="str">
        <x:v>csq001-c010</x:v>
      </x:c>
      <x:c r="B11" s="13" t="str">
        <x:v>csq001</x:v>
      </x:c>
      <x:c r="C11" s="21" t="n">
        <x:v>10</x:v>
      </x:c>
      <x:c r="D11" s="20" t="str">
        <x:v>2</x:v>
      </x:c>
      <x:c r="E11" s="20" t="str"/>
      <x:c r="F11" s="20" t="str">
        <x:f>IF(E11="",D11,E11)</x:f>
        <x:v>2</x:v>
      </x:c>
      <x:c r="G11" s="13" t="str">
        <x:v>RAG-Check: Evaluating Multimodal Retrieval Augmented Generation Performance</x:v>
      </x:c>
      <x:c r="H11" s="13" t="n">
        <x:v>2</x:v>
      </x:c>
      <x:c r="I11" s="22" t="n">
        <x:v>0.04189515602559081</x:v>
      </x:c>
      <x:c r="J11" s="13" t="n">
        <x:v>3</x:v>
      </x:c>
      <x:c r="K11" s="19" t="str">
        <x:v>What are the main methods for evaluating retrieval-augmented generation systems, and which retrieval and generation dimensions do they measure?</x:v>
      </x:c>
      <x:c r="L11" s="19" t="str">
        <x:v>if the original data is in text form, it is used as is, whereas a
VLM is employed to convert any images into text descriptions.
Both “selection block” and “generation block” are illustrated
in Fig. 2.
III. RAG-C HECK
Our main objective in RAG-check is to evaluate both the
selection process (i.e., how relevant the “retrieved documents”
are to the query) and the generation process (i.e., which parts
of the LLM response are supported by the RAG context). Note
that the generation process comprises response generation
and possibly text-based context generation. In particular, we
introduce two quantitative measures: the relevance score (RS)
and the correctness score (CS) for multi-modal RAG schemes
to determine the performance of the selection and generation
process, respectively. The RS provides a quantitative measure
between zero (least relevant) and one (most relevant) for each</x:v>
      </x:c>
      <x:c r="M11" s="19" t="str">
        <x:v>该段包含可直接回答问题的方法、指标、比较或研究发现。</x:v>
      </x:c>
      <x:c r="N11" s="13" t="str">
        <x:v>http://arxiv.org/abs/2501.03995v1</x:v>
      </x:c>
    </x:row>
    <x:row r="12" ht="58" customHeight="1">
      <x:c r="A12" s="13" t="str">
        <x:v>csq001-c011</x:v>
      </x:c>
      <x:c r="B12" s="13" t="str">
        <x:v>csq001</x:v>
      </x:c>
      <x:c r="C12" s="21" t="n">
        <x:v>11</x:v>
      </x:c>
      <x:c r="D12" s="20" t="str">
        <x:v>2</x:v>
      </x:c>
      <x:c r="E12" s="20" t="str"/>
      <x:c r="F12" s="20" t="str">
        <x:f>IF(E12="",D12,E12)</x:f>
        <x:v>2</x:v>
      </x:c>
      <x:c r="G12" s="13" t="str">
        <x:v>OmniBench-RAG: A Multi-Domain Evaluation Platform for Retrieval-Augmented Generation Tools</x:v>
      </x:c>
      <x:c r="H12" s="13" t="n">
        <x:v>0</x:v>
      </x:c>
      <x:c r="I12" s="22" t="n">
        <x:v>0.04147640791476408</x:v>
      </x:c>
      <x:c r="J12" s="13" t="n">
        <x:v>3</x:v>
      </x:c>
      <x:c r="K12" s="19" t="str">
        <x:v>What are the main methods for evaluating retrieval-augmented generation systems, and which retrieval and generation dimensions do they measure?</x:v>
      </x:c>
      <x:c r="L12" s="19" t="str">
        <x:v>making cross-domain performance analysis labor-intensive and
inconsistent. Moreover, key metrics in leading frameworks
(e.g., LLM-based scoring in Ragas [8]) inadvertently introduce
randomness due to reliance on large language models in the
evaluation loop, undermining result reproducibility. Second,
they employ static datasets and coarse-grained metrics.
Most frameworks rely on fixed benchmarks and document-
level retrieval metrics (e.g., MRR@k[9]), missing the critical
sub-document precision needed to assess whether models
extract specific facts accurately. They also lack the ability to
dynamically generate test cases that probe complex reasoning
patterns. Third, they fail to capture the computational
trade-offs inherent in RAG systems. Without automated
profiling of resource utilization and efficiency metrics, practi-
tioners cannot make informed decisions about the cost-benefit</x:v>
      </x:c>
      <x:c r="M12" s="19" t="str">
        <x:v>该段包含可直接回答问题的方法、指标、比较或研究发现。</x:v>
      </x:c>
      <x:c r="N12" s="13" t="str">
        <x:v>http://arxiv.org/abs/2508.05650v1</x:v>
      </x:c>
    </x:row>
    <x:row r="13" ht="58" customHeight="1">
      <x:c r="A13" s="13" t="str">
        <x:v>csq001-c012</x:v>
      </x:c>
      <x:c r="B13" s="13" t="str">
        <x:v>csq001</x:v>
      </x:c>
      <x:c r="C13" s="21" t="n">
        <x:v>12</x:v>
      </x:c>
      <x:c r="D13" s="20" t="str">
        <x:v>2</x:v>
      </x:c>
      <x:c r="E13" s="20" t="str"/>
      <x:c r="F13" s="20" t="str">
        <x:f>IF(E13="",D13,E13)</x:f>
        <x:v>2</x:v>
      </x:c>
      <x:c r="G13" s="13" t="str">
        <x:v>OmniBench-RAG: A Multi-Domain Evaluation Platform for Retrieval-Augmented Generation Tools</x:v>
      </x:c>
      <x:c r="H13" s="13" t="n">
        <x:v>0</x:v>
      </x:c>
      <x:c r="I13" s="22" t="n">
        <x:v>0.029957522915269395</x:v>
      </x:c>
      <x:c r="J13" s="13" t="n">
        <x:v>2</x:v>
      </x:c>
      <x:c r="K13" s="19" t="str">
        <x:v>What are the main methods for evaluating retrieval-augmented generation systems, and which retrieval and generation dimensions do they measure?</x:v>
      </x:c>
      <x:c r="L13" s="19" t="str">
        <x:v>OmniBench-RAG: A Multi-Domain Evaluation
Platform for Retrieval-Augmented Generation Tools
Jiaxuan Liang *, Shide Zhou *, and Kailong Wang †
Huazhong University of Science and Technology
{liangjx, shidez, wangkl }@hust.edu.cn
Abstract—While Retrieval Augmented Generation (RAG) is
now widely adopted to enhance LLMs, evaluating its true
performance benefits in a reproducible and interpretable way
remains a major hurdle. Existing methods often fall short: they
lack domain coverage, employ coarse metrics that miss sub
document precision, and fail to capture computational trade
offs. Most critically, they provide no standardized framework
for comparing RAG effectiveness across different models and
domains.
We introduce OmniBench RAG, a novel automated platform
for multi domain evaluation of RAG systems. The platform
quantifies performance gains across accuracy and efficiency</x:v>
      </x:c>
      <x:c r="M13" s="19" t="str">
        <x:v>该段包含可直接回答问题的方法、指标、比较或研究发现。</x:v>
      </x:c>
      <x:c r="N13" s="13" t="str">
        <x:v>http://arxiv.org/abs/2508.05650v1</x:v>
      </x:c>
    </x:row>
    <x:row r="14" ht="58" customHeight="1">
      <x:c r="A14" s="13" t="str">
        <x:v>csq001-c013</x:v>
      </x:c>
      <x:c r="B14" s="13" t="str">
        <x:v>csq001</x:v>
      </x:c>
      <x:c r="C14" s="21" t="n">
        <x:v>13</x:v>
      </x:c>
      <x:c r="D14" s="20" t="str">
        <x:v>2</x:v>
      </x:c>
      <x:c r="E14" s="20" t="str"/>
      <x:c r="F14" s="20" t="str">
        <x:f>IF(E14="",D14,E14)</x:f>
        <x:v>2</x:v>
      </x:c>
      <x:c r="G14" s="13" t="str">
        <x:v>Optimizing and Evaluating Enterprise Retrieval-Augmented Generation (RAG): A Content Design Perspective</x:v>
      </x:c>
      <x:c r="H14" s="13" t="n">
        <x:v>1</x:v>
      </x:c>
      <x:c r="I14" s="22" t="n">
        <x:v>0.029437229437229435</x:v>
      </x:c>
      <x:c r="J14" s="13" t="n">
        <x:v>2</x:v>
      </x:c>
      <x:c r="K14" s="19" t="str">
        <x:v>What are the main methods for evaluating retrieval-augmented generation systems, and which retrieval and generation dimensions do they measure?</x:v>
      </x:c>
      <x:c r="L14" s="19" t="str">
        <x:v>not based on size, but at the chapter or section level[5].
The dominant search method in early RAG literature has been
vector embeddings. Now, combining multiple search strategies (in-
cluding traditional ones2) is increasing[19, 32].
When evaluating results from a deployed RAG solution, multiple
authors have acknowledged manual work is required[10, 33, 49].
To assist with human evaluation, [27] and [6] propose identifying
facts in questions, retrieved knowledge base content, and gener-
ated answers to confirm facts agree. ARES[35] and RAGAS[9] vali-
date question-context relevance, context-answer faithfulness, and
question-answer relevance. When evaluating their RAG solutions,
[1] identify seven points of failure: 1) missing content; 2) search
failure; 3) context window limitations; 4) poor answer generated by
the LLM; 5) incorrect output format; 6) vague answers; and 7) in-</x:v>
      </x:c>
      <x:c r="M14" s="19" t="str">
        <x:v>该段包含可直接回答问题的方法、指标、比较或研究发现。</x:v>
      </x:c>
      <x:c r="N14" s="13" t="str">
        <x:v>http://arxiv.org/abs/2410.12812v1</x:v>
      </x:c>
    </x:row>
    <x:row r="15" ht="58" customHeight="1">
      <x:c r="A15" s="13" t="str">
        <x:v>csq001-c014</x:v>
      </x:c>
      <x:c r="B15" s="13" t="str">
        <x:v>csq001</x:v>
      </x:c>
      <x:c r="C15" s="21" t="n">
        <x:v>14</x:v>
      </x:c>
      <x:c r="D15" s="20" t="str">
        <x:v>2</x:v>
      </x:c>
      <x:c r="E15" s="20" t="str"/>
      <x:c r="F15" s="20" t="str">
        <x:f>IF(E15="",D15,E15)</x:f>
        <x:v>2</x:v>
      </x:c>
      <x:c r="G15" s="13" t="str">
        <x:v>Optimizing and Evaluating Enterprise Retrieval-Augmented Generation (RAG): A Content Design Perspective</x:v>
      </x:c>
      <x:c r="H15" s="13" t="n">
        <x:v>0</x:v>
      </x:c>
      <x:c r="I15" s="22" t="n">
        <x:v>0.029418126757516764</x:v>
      </x:c>
      <x:c r="J15" s="13" t="n">
        <x:v>2</x:v>
      </x:c>
      <x:c r="K15" s="19" t="str">
        <x:v>What are the main methods for evaluating retrieval-augmented generation systems, and which retrieval and generation dimensions do they measure?</x:v>
      </x:c>
      <x:c r="L15" s="19" t="str">
        <x:v>answers, using methods such as exact match, cosine similarity,
BLEU, ROUGE, METEOR, BertScore, or using LLMs as judges[49].
Those evaluation metrics have not been useful for evaluating our
RAG results for novel questions from real users.
In this paper, we share our experience building enterprise-scale
RAG solutions, with a focus on three aspects:
• RAG implementation – Our solutions are modular. Our re-
triever and generative components are closed boxes, accessed
through APIs, with a limited ability to fine-tune.
• Knowledge base content – We are able to improve results
by optimizing the knowledge base content itself. We developed
content strategy and writing guidelines for RAG.
• Evaluating results – We test our RAG solutions with real user
questions before making the solutions available to external users.
We evaluate run-time answers after the solutions are launched.</x:v>
      </x:c>
      <x:c r="M15" s="19" t="str">
        <x:v>该段包含可直接回答问题的方法、指标、比较或研究发现。</x:v>
      </x:c>
      <x:c r="N15" s="13" t="str">
        <x:v>http://arxiv.org/abs/2410.12812v1</x:v>
      </x:c>
    </x:row>
    <x:row r="16" ht="58" customHeight="1">
      <x:c r="A16" s="13" t="str">
        <x:v>csq001-c015</x:v>
      </x:c>
      <x:c r="B16" s="13" t="str">
        <x:v>csq001</x:v>
      </x:c>
      <x:c r="C16" s="21" t="n">
        <x:v>15</x:v>
      </x:c>
      <x:c r="D16" s="20" t="str">
        <x:v>1</x:v>
      </x:c>
      <x:c r="E16" s="20" t="str"/>
      <x:c r="F16" s="20" t="str">
        <x:f>IF(E16="",D16,E16)</x:f>
        <x:v>1</x:v>
      </x:c>
      <x:c r="G16" s="13" t="str">
        <x:v>Ragas: Automated Evaluation of Retrieval Augmented Generation</x:v>
      </x:c>
      <x:c r="H16" s="13" t="n">
        <x:v>0</x:v>
      </x:c>
      <x:c r="I16" s="22" t="n">
        <x:v>0.0288981288981289</x:v>
      </x:c>
      <x:c r="J16" s="13" t="n">
        <x:v>2</x:v>
      </x:c>
      <x:c r="K16" s="19" t="str">
        <x:v>What are the main methods for evaluating retrieval-augmented generation systems, and which retrieval and generation dimensions do they measure?</x:v>
      </x:c>
      <x:c r="L16" s="19" t="str">
        <x:v>swers are considered, which may not be represen-
tative of how the system will be used.
To address these issues, in this paper we present
Ragas1, a framework for the automated assessment
1Ragas is available at https://github.com/
explodinggradients/ragas.
arXiv:2309.15217v2  [cs.CL]  28 Apr 2025</x:v>
      </x:c>
      <x:c r="M16" s="19" t="str">
        <x:v>该段提供相关背景或侧面信息，但没有直接回答问题核心。</x:v>
      </x:c>
      <x:c r="N16" s="13" t="str">
        <x:v>http://arxiv.org/abs/2309.15217v2</x:v>
      </x:c>
    </x:row>
    <x:row r="17" ht="58" customHeight="1">
      <x:c r="A17" s="13" t="str">
        <x:v>csq001-c016</x:v>
      </x:c>
      <x:c r="B17" s="13" t="str">
        <x:v>csq001</x:v>
      </x:c>
      <x:c r="C17" s="21" t="n">
        <x:v>16</x:v>
      </x:c>
      <x:c r="D17" s="20" t="str">
        <x:v>2</x:v>
      </x:c>
      <x:c r="E17" s="20" t="str"/>
      <x:c r="F17" s="20" t="str">
        <x:f>IF(E17="",D17,E17)</x:f>
        <x:v>2</x:v>
      </x:c>
      <x:c r="G17" s="13" t="str">
        <x:v>OmniBench-RAG: A Multi-Domain Evaluation Platform for Retrieval-Augmented Generation Tools</x:v>
      </x:c>
      <x:c r="H17" s="13" t="n">
        <x:v>1</x:v>
      </x:c>
      <x:c r="I17" s="22" t="n">
        <x:v>0.02862400327131466</x:v>
      </x:c>
      <x:c r="J17" s="13" t="n">
        <x:v>2</x:v>
      </x:c>
      <x:c r="K17" s="19" t="str">
        <x:v>What are the main methods for evaluating retrieval-augmented generation systems, and which retrieval and generation dimensions do they measure?</x:v>
      </x:c>
      <x:c r="L17" s="19" t="str">
        <x:v>automating the entire evaluation workflow (i.e., from
dataset generation to multi-dimensional analysis across
nine knowledge domains), OmniBench-RAG provides
actionable insights into the nuanced interplay between model
architecture, retrieval quality, and computational efficiency,
empowering both researchers and practitioners to make
data-driven decisions about RAG deployment.
The main contributions of our evaluation platform are:
• Automated Parallel Evaluation Architecture. Dual-track
system that simultaneously evaluates vanilla and RAG-
enhanced models, automatically capturing accuracy, latency,
GPU utilization, and memory consumption metrics for direct
performance comparison.
• Standardized Quantification Metrics. Introduction of Im-
provements (absolute accuracy gains) and Transformation
(normalized efficiency trade-offs) metrics for reproducible</x:v>
      </x:c>
      <x:c r="M17" s="19" t="str">
        <x:v>该段包含可直接回答问题的方法、指标、比较或研究发现。</x:v>
      </x:c>
      <x:c r="N17" s="13" t="str">
        <x:v>http://arxiv.org/abs/2508.05650v1</x:v>
      </x:c>
    </x:row>
    <x:row r="18" ht="58" customHeight="1">
      <x:c r="A18" s="13" t="str">
        <x:v>csq001-c017</x:v>
      </x:c>
      <x:c r="B18" s="13" t="str">
        <x:v>csq001</x:v>
      </x:c>
      <x:c r="C18" s="21" t="n">
        <x:v>17</x:v>
      </x:c>
      <x:c r="D18" s="20" t="str">
        <x:v>2</x:v>
      </x:c>
      <x:c r="E18" s="20" t="str"/>
      <x:c r="F18" s="20" t="str">
        <x:f>IF(E18="",D18,E18)</x:f>
        <x:v>2</x:v>
      </x:c>
      <x:c r="G18" s="13" t="str">
        <x:v>Ragas: Automated Evaluation of Retrieval Augmented Generation</x:v>
      </x:c>
      <x:c r="H18" s="13" t="n">
        <x:v>4</x:v>
      </x:c>
      <x:c r="I18" s="22" t="n">
        <x:v>0.027598020555767037</x:v>
      </x:c>
      <x:c r="J18" s="13" t="n">
        <x:v>2</x:v>
      </x:c>
      <x:c r="K18" s="19" t="str">
        <x:v>What are the main methods for evaluating retrieval-augmented generation systems, and which retrieval and generation dimensions do they measure?</x:v>
      </x:c>
      <x:c r="L18" s="19" t="str">
        <x:v>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x:v>
      </x:c>
      <x:c r="M18" s="19" t="str">
        <x:v>该段包含可直接回答问题的方法、指标、比较或研究发现。</x:v>
      </x:c>
      <x:c r="N18" s="13" t="str">
        <x:v>http://arxiv.org/abs/2309.15217v2</x:v>
      </x:c>
    </x:row>
    <x:row r="19" ht="58" customHeight="1">
      <x:c r="A19" s="13" t="str">
        <x:v>csq001-c018</x:v>
      </x:c>
      <x:c r="B19" s="13" t="str">
        <x:v>csq001</x:v>
      </x:c>
      <x:c r="C19" s="21" t="n">
        <x:v>18</x:v>
      </x:c>
      <x:c r="D19" s="20" t="str">
        <x:v>2</x:v>
      </x:c>
      <x:c r="E19" s="20" t="str"/>
      <x:c r="F19" s="20" t="str">
        <x:f>IF(E19="",D19,E19)</x:f>
        <x:v>2</x:v>
      </x:c>
      <x:c r="G19" s="13" t="str">
        <x:v>RAG-Check: Evaluating Multimodal Retrieval Augmented Generation Performance</x:v>
      </x:c>
      <x:c r="H19" s="13" t="n">
        <x:v>0</x:v>
      </x:c>
      <x:c r="I19" s="22" t="n">
        <x:v>0.027031963470319637</x:v>
      </x:c>
      <x:c r="J19" s="13" t="n">
        <x:v>2</x:v>
      </x:c>
      <x:c r="K19" s="19" t="str">
        <x:v>What are the main methods for evaluating retrieval-augmented generation systems, and which retrieval and generation dimensions do they measure?</x:v>
      </x:c>
      <x:c r="L19" s="19" t="str">
        <x:v>used by multi-modal language models (MLLMs) like GPT-4o,
which may hallucinate. To address this, we propose a novel
framework to evaluate the reliability of multi-modal RAG using
two performance measures: (i) the relevancy score (RS), assessing
the relevance of retrieved entries to the query, and (ii) the
correctness score (CS), evaluating the accuracy of the generated
response. We train RS and CS models using a ChatGPT-derived
database and human evaluator samples. Results show that both
models achieve 88% accuracy on test data. Additionally, we
construct a 5000-sample human-annotated database evaluating
the relevancy of retrieved pieces and the correctness of response
statements. Our RS model aligns with human preferences 20%
more often than CLIP in retrieval, and our CS model matches
human preferences 91% of the time. Finally, we assess various</x:v>
      </x:c>
      <x:c r="M19" s="19" t="str">
        <x:v>该段包含可直接回答问题的方法、指标、比较或研究发现。</x:v>
      </x:c>
      <x:c r="N19" s="13" t="str">
        <x:v>http://arxiv.org/abs/2501.03995v1</x:v>
      </x:c>
    </x:row>
    <x:row r="20" ht="58" customHeight="1">
      <x:c r="A20" s="13" t="str">
        <x:v>csq001-c019</x:v>
      </x:c>
      <x:c r="B20" s="13" t="str">
        <x:v>csq001</x:v>
      </x:c>
      <x:c r="C20" s="21" t="n">
        <x:v>19</x:v>
      </x:c>
      <x:c r="D20" s="20" t="str">
        <x:v>2</x:v>
      </x:c>
      <x:c r="E20" s="20" t="str"/>
      <x:c r="F20" s="20" t="str">
        <x:f>IF(E20="",D20,E20)</x:f>
        <x:v>2</x:v>
      </x:c>
      <x:c r="G20" s="13" t="str">
        <x:v>Optimizing and Evaluating Enterprise Retrieval-Augmented Generation (RAG): A Content Design Perspective</x:v>
      </x:c>
      <x:c r="H20" s="13" t="n">
        <x:v>4</x:v>
      </x:c>
      <x:c r="I20" s="22" t="n">
        <x:v>0.015625</x:v>
      </x:c>
      <x:c r="J20" s="13" t="n">
        <x:v>1</x:v>
      </x:c>
      <x:c r="K20" s="19" t="str">
        <x:v>What are the main methods for evaluating retrieval-augmented generation systems, and which retrieval and generation dimensions do they measure?</x:v>
      </x:c>
      <x:c r="L20" s="19" t="str">
        <x:v>RAG: A Content Design Perspective ICAAI ’24, October 2024, London, UK
5 EV ALUATING RAG RESULTS
We created a web app that streamlines the task of manually review-
ing and evaluating answers our RAG solutions return to users. Fig.
5 shows the evaluation page of the app. On the left is the user’s
question as well as some metadata, such as the language in which
the question was submitted and the question classification. In the
middle is the answer that was returned to the user, complete with
generated answer text and links to relevant topics. On the right is
a list of criteria:
• Valid question - Should we be able to answer this question?
• Correct class - Was the question classified correctly?
• Article exists - Is there a topic to answer the question?
• Search success - Did search find the relevant topics?
• Good answer - Is the answer accurate, complete, helpful?</x:v>
      </x:c>
      <x:c r="M20" s="19" t="str">
        <x:v>该段包含可直接回答问题的方法、指标、比较或研究发现。</x:v>
      </x:c>
      <x:c r="N20" s="13" t="str">
        <x:v>http://arxiv.org/abs/2410.12812v1</x:v>
      </x:c>
    </x:row>
    <x:row r="21" ht="58" customHeight="1">
      <x:c r="A21" s="13" t="str">
        <x:v>csq001-c020</x:v>
      </x:c>
      <x:c r="B21" s="13" t="str">
        <x:v>csq001</x:v>
      </x:c>
      <x:c r="C21" s="21" t="n">
        <x:v>20</x:v>
      </x:c>
      <x:c r="D21" s="20" t="str">
        <x:v>0</x:v>
      </x:c>
      <x:c r="E21" s="20" t="str"/>
      <x:c r="F21" s="20" t="str">
        <x:f>IF(E21="",D21,E21)</x:f>
        <x:v>0</x:v>
      </x:c>
      <x:c r="G21" s="13" t="str">
        <x:v>Optimizing and Evaluating Enterprise Retrieval-Augmented Generation (RAG): A Content Design Perspective</x:v>
      </x:c>
      <x:c r="H21" s="13" t="n">
        <x:v>5</x:v>
      </x:c>
      <x:c r="I21" s="22" t="n">
        <x:v>0.015151515151515152</x:v>
      </x:c>
      <x:c r="J21" s="13" t="n">
        <x:v>1</x:v>
      </x:c>
      <x:c r="K21" s="19" t="str">
        <x:v>What are the main methods for evaluating retrieval-augmented generation systems, and which retrieval and generation dimensions do they measure?</x:v>
      </x:c>
      <x:c r="L21" s="19" t="str">
        <x:v>[8] Emily Dinan, Stephen Roller, Kurt Shuster, Angela Fan, Michael Auli, and Jason
Weston. 2019. Wizard of Wikipedia: Knowledge-Powered Conversational agents.
arXiv:1811.01241
[9] Shahul Es, Jithin James, Luis Espinosa-Anke, and Steven Schockaert.
2023. RAGAS: Automated Evaluation of Retrieval Augmented Generation.
arXiv:2309.15217
[10] Kshitij Fadnis, Siva Sankalp Patel, Odellia Boni, Yannis Katsis, Sara Rosenthal,
Benjamin Sznajder, and Marina Danilevsky. 2024. InspectorRAGet: An Introspec-
tion Platform for RAG Evaluation. arXiv:2404.17347
[11] Masoomali Fatehkia, Ji Kim Lucas, and Sanjay Chawla. 2024. T-RAG: Lessons
from the LLM Trenches. arXiv:2402.07483
[12] Philip Feldman. James R. Foulds and Shimei Pan. 2024. RAGged Edges: The
Double-Edged Sword of Retrieval-Augmented Chatbots. arXiv:2403.01193</x:v>
      </x:c>
      <x:c r="M21" s="19" t="str">
        <x:v>该段为无关内容、泛泛提及或参考文献片段，不能作为回答证据。</x:v>
      </x:c>
      <x:c r="N21" s="13" t="str">
        <x:v>http://arxiv.org/abs/2410.12812v1</x:v>
      </x:c>
    </x:row>
    <x:row r="22" ht="58" customHeight="1">
      <x:c r="A22" s="13" t="str">
        <x:v>csq001-c021</x:v>
      </x:c>
      <x:c r="B22" s="13" t="str">
        <x:v>csq001</x:v>
      </x:c>
      <x:c r="C22" s="21" t="n">
        <x:v>21</x:v>
      </x:c>
      <x:c r="D22" s="20" t="str">
        <x:v>2</x:v>
      </x:c>
      <x:c r="E22" s="20" t="str"/>
      <x:c r="F22" s="20" t="str">
        <x:f>IF(E22="",D22,E22)</x:f>
        <x:v>2</x:v>
      </x:c>
      <x:c r="G22" s="13" t="str">
        <x:v>Ragas: Automated Evaluation of Retrieval Augmented Generation</x:v>
      </x:c>
      <x:c r="H22" s="13" t="n">
        <x:v>0</x:v>
      </x:c>
      <x:c r="I22" s="22" t="n">
        <x:v>0.014925373134328358</x:v>
      </x:c>
      <x:c r="J22" s="13" t="n">
        <x:v>1</x:v>
      </x:c>
      <x:c r="K22" s="19" t="str">
        <x:v>What are the main methods for evaluating retrieval-augmented generation systems, and which retrieval and generation dimensions do they measure?</x:v>
      </x:c>
      <x:c r="L22" s="19" t="str">
        <x:v>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x:v>
      </x:c>
      <x:c r="M22" s="19" t="str">
        <x:v>该段包含可直接回答问题的方法、指标、比较或研究发现。</x:v>
      </x:c>
      <x:c r="N22" s="13" t="str">
        <x:v>http://arxiv.org/abs/2309.15217v2</x:v>
      </x:c>
    </x:row>
    <x:row r="23" ht="58" customHeight="1">
      <x:c r="A23" s="13" t="str">
        <x:v>csq001-c022</x:v>
      </x:c>
      <x:c r="B23" s="13" t="str">
        <x:v>csq001</x:v>
      </x:c>
      <x:c r="C23" s="21" t="n">
        <x:v>22</x:v>
      </x:c>
      <x:c r="D23" s="20" t="str">
        <x:v>2</x:v>
      </x:c>
      <x:c r="E23" s="20" t="str"/>
      <x:c r="F23" s="20" t="str">
        <x:f>IF(E23="",D23,E23)</x:f>
        <x:v>2</x:v>
      </x:c>
      <x:c r="G23" s="13" t="str">
        <x:v>FATHOMS-RAG: A Framework for the Assessment of Thinking and Observation in Multimodal Systems that use Retrieval Augmented Generation</x:v>
      </x:c>
      <x:c r="H23" s="13" t="n">
        <x:v>0</x:v>
      </x:c>
      <x:c r="I23" s="22" t="n">
        <x:v>0.014925373134328358</x:v>
      </x:c>
      <x:c r="J23" s="13" t="n">
        <x:v>1</x:v>
      </x:c>
      <x:c r="K23" s="19" t="str">
        <x:v>What are the main methods for evaluating retrieval-augmented generation systems, and which retrieval and generation dimensions do they measure?</x:v>
      </x:c>
      <x:c r="L23" s="19" t="str">
        <x:v>their applicability to pipeline-level evaluations.
In this work, we address these gaps by introducing a
benchmark for multimodal RAG evaluation with three core
contributions. First, we construct a curated dataset of 93
questions spanning five categories: text-only, tables, images,
multimodal, and cross-document multimodal, derived from
eight open-access scientific papers. Second, we propose an
evaluation methodology that combines phrase-level recall for
arXiv:2510.08945v3  [cs.AI]  21 May 2026</x:v>
      </x:c>
      <x:c r="M23" s="19" t="str">
        <x:v>该段包含可直接回答问题的方法、指标、比较或研究发现。</x:v>
      </x:c>
      <x:c r="N23" s="13" t="str">
        <x:v>http://arxiv.org/abs/2510.08945v3</x:v>
      </x:c>
    </x:row>
    <x:row r="24" ht="58" customHeight="1">
      <x:c r="A24" s="13" t="str">
        <x:v>csq001-c023</x:v>
      </x:c>
      <x:c r="B24" s="13" t="str">
        <x:v>csq001</x:v>
      </x:c>
      <x:c r="C24" s="21" t="n">
        <x:v>23</x:v>
      </x:c>
      <x:c r="D24" s="20" t="str">
        <x:v>0</x:v>
      </x:c>
      <x:c r="E24" s="20" t="str"/>
      <x:c r="F24" s="20" t="str">
        <x:f>IF(E24="",D24,E24)</x:f>
        <x:v>0</x:v>
      </x:c>
      <x:c r="G24" s="13" t="str">
        <x:v>Optimizing and Evaluating Enterprise Retrieval-Augmented Generation (RAG): A Content Design Perspective</x:v>
      </x:c>
      <x:c r="H24" s="13" t="n">
        <x:v>5</x:v>
      </x:c>
      <x:c r="I24" s="22" t="n">
        <x:v>0.014705882352941176</x:v>
      </x:c>
      <x:c r="J24" s="13" t="n">
        <x:v>1</x:v>
      </x:c>
      <x:c r="K24" s="19" t="str">
        <x:v>What are the main methods for evaluating retrieval-augmented generation systems, and which retrieval and generation dimensions do they measure?</x:v>
      </x:c>
      <x:c r="L24" s="19" t="str">
        <x:v>[34] Pranav Rajpurkar, Jian Zhang, Konstantin Lopyrev, and Percy Liang.
2016. SQuAD: 100,000+ Questions for Machine Comprehension of Text.
arXiv:1606.05250
[35] Jon Saad-Falcon, Omar Khattab, Christopher Potts, and Matei Zaharia. 2024.
ARES: An Automated Evaluation Framework for Retrieval-Augmented Genera-
tion Systems. arXiv:2311.09476
[36] Alireza Salemi and Hamed Zamani. 2024. Evaluating Retrieval Quality in
Retrieval-Augmented Generation. arXiv:2404.13781
[37] Kunal Sawarkar, Abhilasha Mangal, and Shivam Raj Solanki. 2024. Blended RAG:
Improving RAG (Retriever-Augmented Generation) Accuracy with Semantic
Search and Hybrid Query-Based Retrievers. arXiv:2404.07220
[38] Shamane Siriwardhana, Rivindu Weerasekera, Elliott Wen, Tharindu Kalu-
arachchi, Rajib Rana, and Suranga Nanayakkara. 2022. Improving the Domain
Adaptation of Retrieval Augmented Generation (RAG) Models for Open Domain</x:v>
      </x:c>
      <x:c r="M24" s="19" t="str">
        <x:v>该段为无关内容、泛泛提及或参考文献片段，不能作为回答证据。</x:v>
      </x:c>
      <x:c r="N24" s="13" t="str">
        <x:v>http://arxiv.org/abs/2410.12812v1</x:v>
      </x:c>
    </x:row>
    <x:row r="25" ht="58" customHeight="1">
      <x:c r="A25" s="13" t="str">
        <x:v>csq001-c024</x:v>
      </x:c>
      <x:c r="B25" s="13" t="str">
        <x:v>csq001</x:v>
      </x:c>
      <x:c r="C25" s="21" t="n">
        <x:v>24</x:v>
      </x:c>
      <x:c r="D25" s="20" t="str">
        <x:v>2</x:v>
      </x:c>
      <x:c r="E25" s="20" t="str"/>
      <x:c r="F25" s="20" t="str">
        <x:f>IF(E25="",D25,E25)</x:f>
        <x:v>2</x:v>
      </x:c>
      <x:c r="G25" s="13" t="str">
        <x:v>RAG-Check: Evaluating Multimodal Retrieval Augmented Generation Performance</x:v>
      </x:c>
      <x:c r="H25" s="13" t="n">
        <x:v>4</x:v>
      </x:c>
      <x:c r="I25" s="22" t="n">
        <x:v>0.014705882352941176</x:v>
      </x:c>
      <x:c r="J25" s="13" t="n">
        <x:v>1</x:v>
      </x:c>
      <x:c r="K25" s="19" t="str">
        <x:v>What are the main methods for evaluating retrieval-augmented generation systems, and which retrieval and generation dimensions do they measure?</x:v>
      </x:c>
      <x:c r="L25" s="19" t="str">
        <x:v>the context in the statement. For example, if an evaluation of
the statement: sk = “A boy with a cowboy hat is riding a white
horse in &lt;image1&gt;”, the CS is only computed by using the
template: “I am giving you a statement. Evaluate this statement
and answer by either ‘correct’ or ‘incorrect’: sk”, where the
embeddings of image1 are inserted in the position of the token
&lt;image1&gt;.
IV. N UMERICAL RESULT
In this section, we present numerical results on the training
and evaluation of our proposed RS and CS models. The
intended use case of the RS and CS score in this paper is
to evaluate any particular instances of response invoked by a
query when using a given RAG. In this process, RS assesses
the performance of the selection scheme of the RAG and CS
assesses the performance of the generation scheme (response
and possibly combined with context generation) of the RAG.</x:v>
      </x:c>
      <x:c r="M25" s="19" t="str">
        <x:v>该段包含可直接回答问题的方法、指标、比较或研究发现。</x:v>
      </x:c>
      <x:c r="N25" s="13" t="str">
        <x:v>http://arxiv.org/abs/2501.03995v1</x:v>
      </x:c>
    </x:row>
    <x:row r="26" ht="58" customHeight="1">
      <x:c r="A26" s="13" t="str">
        <x:v>csq001-c025</x:v>
      </x:c>
      <x:c r="B26" s="13" t="str">
        <x:v>csq001</x:v>
      </x:c>
      <x:c r="C26" s="21" t="n">
        <x:v>25</x:v>
      </x:c>
      <x:c r="D26" s="20" t="str">
        <x:v>2</x:v>
      </x:c>
      <x:c r="E26" s="20" t="str"/>
      <x:c r="F26" s="20" t="str">
        <x:f>IF(E26="",D26,E26)</x:f>
        <x:v>2</x:v>
      </x:c>
      <x:c r="G26" s="13" t="str">
        <x:v>Benchmarking Retrieval-Augmented Generation for Medicine</x:v>
      </x:c>
      <x:c r="H26" s="13" t="n">
        <x:v>0</x:v>
      </x:c>
      <x:c r="I26" s="22" t="n">
        <x:v>0.014492753623188406</x:v>
      </x:c>
      <x:c r="J26" s="13" t="n">
        <x:v>1</x:v>
      </x:c>
      <x:c r="K26" s="19" t="str">
        <x:v>What are the main methods for evaluating retrieval-augmented generation systems, and which retrieval and generation dimensions do they measure?</x:v>
      </x:c>
      <x:c r="L26" s="19" t="str">
        <x:v>Benchmarking Retrieval-Augmented Generation for Medicine
Guangzhi Xiong♣†, Qiao Jin ♡†, Zhiyong Lu ♡§, Aidong Zhang ♣§
♣ Univeristy of Virginia
♡ National Library of Medicine, National Institutes of Health
{hhu4zu, aidong}@virginia.edu
{qiao.jin, zhiyong.lu}@nih.gov
Abstract
While large language models (LLMs) have
achieved state-of-the-art performance on a wide
range of medical question answering (QA)
tasks, they still face challenges with halluci-
nations and outdated knowledge. Retrieval-
augmented generation (RAG) is a promising so-
lution and has been widely adopted. However, a
RAG system can involve multiple flexible com-
ponents, and there is a lack of best practices
regarding the optimal RAG setting for various
medical purposes. To systematically evaluate
such systems, we propose the Medical Informa-
tion Retrieval-Augmented Generation Evalua-</x:v>
      </x:c>
      <x:c r="M26" s="19" t="str">
        <x:v>该段包含可直接回答问题的方法、指标、比较或研究发现。</x:v>
      </x:c>
      <x:c r="N26" s="13" t="str">
        <x:v>http://arxiv.org/abs/2402.13178v2</x:v>
      </x:c>
    </x:row>
    <x:row r="27" ht="58" customHeight="1">
      <x:c r="A27" s="13" t="str">
        <x:v>csq001-c026</x:v>
      </x:c>
      <x:c r="B27" s="13" t="str">
        <x:v>csq001</x:v>
      </x:c>
      <x:c r="C27" s="21" t="n">
        <x:v>26</x:v>
      </x:c>
      <x:c r="D27" s="20" t="str">
        <x:v>2</x:v>
      </x:c>
      <x:c r="E27" s="20" t="str"/>
      <x:c r="F27" s="20" t="str">
        <x:f>IF(E27="",D27,E27)</x:f>
        <x:v>2</x:v>
      </x:c>
      <x:c r="G27" s="13" t="str">
        <x:v>Visual-RAG: Benchmarking Text-to-Image Retrieval Augmented Generation for Visual Knowledge Intensive Queries</x:v>
      </x:c>
      <x:c r="H27" s="13" t="n">
        <x:v>4</x:v>
      </x:c>
      <x:c r="I27" s="22" t="n">
        <x:v>0.014285714285714285</x:v>
      </x:c>
      <x:c r="J27" s="13" t="n">
        <x:v>1</x:v>
      </x:c>
      <x:c r="K27" s="19" t="str">
        <x:v>What are the main methods for evaluating retrieval-augmented generation systems, and which retrieval and generation dimensions do they measure?</x:v>
      </x:c>
      <x:c r="L27" s="19" t="str">
        <x:v>200–300 images corresponding to the species for each query.
Dense Retrievers. Three dense retriever models are eval-
uated: (1) The commonly used multimodal retriever CLIP
(clip-vit-large-patch14-336, Radford et al. 2021). (2) A re-
cent CLIP variant, BGE (BGE-VL-large, Zhou et al. 2024.
(3) MLLM-based retriever, VLM2Vec-qwen2VL-2B (Jiang
et al. 2025). The search indexes are constructed with the
FAISS library (Douze et al. 2024) using flat inner product
index. RAG experiments in following sections adopt images
retrieved by CLIP, as CLIP is being adopted as the de-facto
retriever in previous multimodal RAG works.
Generation Evaluation. Previous work has relied predom-
inantly on exact-match or recall-based metrics to assess an-
swer correctness. However, such methods are prone to over-
looking partial hallucinations blended with ground-truth an-</x:v>
      </x:c>
      <x:c r="M27" s="19" t="str">
        <x:v>该段包含可直接回答问题的方法、指标、比较或研究发现。</x:v>
      </x:c>
      <x:c r="N27" s="13" t="str">
        <x:v>http://arxiv.org/abs/2502.16636v2</x:v>
      </x:c>
    </x:row>
    <x:row r="28" ht="58" customHeight="1">
      <x:c r="A28" s="13" t="str">
        <x:v>csq001-c027</x:v>
      </x:c>
      <x:c r="B28" s="13" t="str">
        <x:v>csq001</x:v>
      </x:c>
      <x:c r="C28" s="21" t="n">
        <x:v>27</x:v>
      </x:c>
      <x:c r="D28" s="20" t="str">
        <x:v>2</x:v>
      </x:c>
      <x:c r="E28" s="20" t="str"/>
      <x:c r="F28" s="20" t="str">
        <x:f>IF(E28="",D28,E28)</x:f>
        <x:v>2</x:v>
      </x:c>
      <x:c r="G28" s="13" t="str">
        <x:v>FATHOMS-RAG: A Framework for the Assessment of Thinking and Observation in Multimodal Systems that use Retrieval Augmented Generation</x:v>
      </x:c>
      <x:c r="H28" s="13" t="n">
        <x:v>0</x:v>
      </x:c>
      <x:c r="I28" s="22" t="n">
        <x:v>0.014285714285714285</x:v>
      </x:c>
      <x:c r="J28" s="13" t="n">
        <x:v>1</x:v>
      </x:c>
      <x:c r="K28" s="19" t="str">
        <x:v>What are the main methods for evaluating retrieval-augmented generation systems, and which retrieval and generation dimensions do they measure?</x:v>
      </x:c>
      <x:c r="L28" s="19" t="str">
        <x:v>as a promising paradigm for improving factual accuracy in large
language models (LLMs). We introduce a benchmark designed
to evaluate RAG pipelines as a whole, evaluating a pipeline’s
ability to ingest, retrieve, and reason about several modalities
of information, differentiating it from existing benchmarks that
focus on particular aspects such as retrieval. We present (1) a
small, human-created dataset of 93 questions designed to evaluate
a pipeline’s ability to ingest textual data, tables, images, and data
spread across these modalities in one or more documents; (2) a
phrase-level recall metric for correctness; (3) a nearest-neighbor
embedding classifier to identify potential pipeline hallucinations;
(4) a comparative evaluation of 2 pipelines built with open-source
retrieval mechanisms and 4 closed-source foundation models;</x:v>
      </x:c>
      <x:c r="M28" s="19" t="str">
        <x:v>该段包含可直接回答问题的方法、指标、比较或研究发现。</x:v>
      </x:c>
      <x:c r="N28" s="13" t="str">
        <x:v>http://arxiv.org/abs/2510.08945v3</x:v>
      </x:c>
    </x:row>
    <x:row r="29" ht="58" customHeight="1">
      <x:c r="A29" s="13" t="str">
        <x:v>csq001-c028</x:v>
      </x:c>
      <x:c r="B29" s="13" t="str">
        <x:v>csq001</x:v>
      </x:c>
      <x:c r="C29" s="21" t="n">
        <x:v>28</x:v>
      </x:c>
      <x:c r="D29" s="20" t="str">
        <x:v>2</x:v>
      </x:c>
      <x:c r="E29" s="20" t="str"/>
      <x:c r="F29" s="20" t="str">
        <x:f>IF(E29="",D29,E29)</x:f>
        <x:v>2</x:v>
      </x:c>
      <x:c r="G29" s="13" t="str">
        <x:v>Exploring Information Retrieval Landscapes: An Investigation of a Novel Evaluation Techniques and Comparative Document Splitting Methods</x:v>
      </x:c>
      <x:c r="H29" s="13" t="n">
        <x:v>16</x:v>
      </x:c>
      <x:c r="I29" s="22" t="n">
        <x:v>0.014084507042253521</x:v>
      </x:c>
      <x:c r="J29" s="13" t="n">
        <x:v>1</x:v>
      </x:c>
      <x:c r="K29" s="19" t="str">
        <x:v>What are the main methods for evaluating retrieval-augmented generation systems, and which retrieval and generation dimensions do they measure?</x:v>
      </x:c>
      <x:c r="L29" s="19" t="str">
        <x:v>17 
and the complexity of novels. The RCS consistently outperformed the Token -based Splitter, 
highlighting the importance of selecting a splitting method aligned with the document’s structure. 
Further refinement of chunk and overlap sizes could enhance retrieval accuracy and efficiency. 
Future research should focus on optimizing these parameters across various document types.  The 
introduction of a novel evaluation methodology, using an open -source model to generate a large 
dataset of question-and-answer pairs, simulates realistic retrieval scenarios and provides a robust 
framework for assessing RAG systems. This approach, combined with weighted scoring metrics 
(SequenceMatcher, BLEU, METEOR, and BERT Score), offers a comprehensive evaluation of 
system accuracy and relevance. Future work should apply and refine this technique across different</x:v>
      </x:c>
      <x:c r="M29" s="19" t="str">
        <x:v>该段包含可直接回答问题的方法、指标、比较或研究发现。</x:v>
      </x:c>
      <x:c r="N29" s="13" t="str">
        <x:v>http://arxiv.org/abs/2409.08479v2</x:v>
      </x:c>
    </x:row>
    <x:row r="30" ht="58" customHeight="1">
      <x:c r="A30" s="13" t="str">
        <x:v>csq001-c029</x:v>
      </x:c>
      <x:c r="B30" s="13" t="str">
        <x:v>csq001</x:v>
      </x:c>
      <x:c r="C30" s="21" t="n">
        <x:v>29</x:v>
      </x:c>
      <x:c r="D30" s="20" t="str">
        <x:v>0</x:v>
      </x:c>
      <x:c r="E30" s="20" t="str"/>
      <x:c r="F30" s="20" t="str">
        <x:f>IF(E30="",D30,E30)</x:f>
        <x:v>0</x:v>
      </x:c>
      <x:c r="G30" s="13" t="str">
        <x:v>Optimizing and Evaluating Enterprise Retrieval-Augmented Generation (RAG): A Content Design Perspective</x:v>
      </x:c>
      <x:c r="H30" s="13" t="n">
        <x:v>5</x:v>
      </x:c>
      <x:c r="I30" s="22" t="n">
        <x:v>0.013888888888888888</x:v>
      </x:c>
      <x:c r="J30" s="13" t="n">
        <x:v>1</x:v>
      </x:c>
      <x:c r="K30" s="19" t="str">
        <x:v>What are the main methods for evaluating retrieval-augmented generation systems, and which retrieval and generation dimensions do they measure?</x:v>
      </x:c>
      <x:c r="L30" s="19" t="str">
        <x:v>Double-Edged Sword of Retrieval-Augmented Chatbots. arXiv:2403.01193
[13] Yunfan Gao, Yun Xiong, Xinyu Gao, Kangxiang Jia, Jinliu Pan, Yuxi Bi, Yi Dai, Ji-
awei Sun, Meng Wang, and Haofen Wang. 2024. Retrieval-Augmented Generation
for Large Language Models: A Survey. arXiv:2312.10997
[14] Mor Geva, Daniel Khashabi, Elad Segal, Tushar Khot, Dan Roth, and Jonathan
Berant. 2021. Did Aristotle Use a Laptop? A Question Answering Benchmark
with Implicit Reasoning Strategies. arXiv:2101.02235
[15] Hiroaki Hayashi, Prashant Budania, Peng Wang, Chris Ackerson, Raj Neervannan,
and Graham Neubig. 2020. WikiAsp: A Dataset for Multi-domain Aspect-based
Summarization. arXiv:2011.07832
[16] Xanh Ho, Anh-Khoa Duong Nguyen, Saku Sugawara, and Akiko Aizawa. 2020.
Constructing A Multi-hop QA Dataset for Comprehensive Evaluation of Reason-
ing Steps. arXiv:2011.01060</x:v>
      </x:c>
      <x:c r="M30" s="19" t="str">
        <x:v>该段为无关内容、泛泛提及或参考文献片段，不能作为回答证据。</x:v>
      </x:c>
      <x:c r="N30" s="13" t="str">
        <x:v>http://arxiv.org/abs/2410.12812v1</x:v>
      </x:c>
    </x:row>
    <x:row r="31" ht="58" customHeight="1">
      <x:c r="A31" s="13" t="str">
        <x:v>csq001-c030</x:v>
      </x:c>
      <x:c r="B31" s="13" t="str">
        <x:v>csq001</x:v>
      </x:c>
      <x:c r="C31" s="21" t="n">
        <x:v>30</x:v>
      </x:c>
      <x:c r="D31" s="20" t="str">
        <x:v>2</x:v>
      </x:c>
      <x:c r="E31" s="20" t="str"/>
      <x:c r="F31" s="20" t="str">
        <x:f>IF(E31="",D31,E31)</x:f>
        <x:v>2</x:v>
      </x:c>
      <x:c r="G31" s="13" t="str">
        <x:v>Optimizing and Evaluating Enterprise Retrieval-Augmented Generation (RAG): A Content Design Perspective</x:v>
      </x:c>
      <x:c r="H31" s="13" t="n">
        <x:v>0</x:v>
      </x:c>
      <x:c r="I31" s="22" t="n">
        <x:v>0.0136986301369863</x:v>
      </x:c>
      <x:c r="J31" s="13" t="n">
        <x:v>1</x:v>
      </x:c>
      <x:c r="K31" s="19" t="str">
        <x:v>What are the main methods for evaluating retrieval-augmented generation systems, and which retrieval and generation dimensions do they measure?</x:v>
      </x:c>
      <x:c r="L31" s="19" t="str">
        <x:v>example, our experience over the past few years - using different
search methods and LLMs, and many knowledge base collections -
has been that simple changes to the way we create knowledge base
content can have a huge impact on our RAG solutions’ success. In
this paper, we also discuss how we monitor and evaluate results.
Common RAG benchmark evaluation techniques have not been
useful for evaluating responses to novel user questions, so we have
found a flexible, "human in the lead" approach is required.
CCS CONCEPTS
• Computing methodologies→ Artificial intelligence; Natu-
ral language generation ; • Applied computing→ Document
management and text processing .
KEYWORDS
Retrieval-augmented generation, RAG, Large language models
ACM Reference Format:
Sarah Packowski, Inge Halilovic, Jenifer Schlotfeldt, and Trish Smith. 2024.</x:v>
      </x:c>
      <x:c r="M31" s="19" t="str">
        <x:v>该段包含可直接回答问题的方法、指标、比较或研究发现。</x:v>
      </x:c>
      <x:c r="N31" s="13" t="str">
        <x:v>http://arxiv.org/abs/2410.12812v1</x:v>
      </x:c>
    </x:row>
    <x:row r="32" ht="58" customHeight="1">
      <x:c r="A32" s="13" t="str">
        <x:v>csq002-c001</x:v>
      </x:c>
      <x:c r="B32" s="13" t="str">
        <x:v>csq002</x:v>
      </x:c>
      <x:c r="C32" s="21" t="n">
        <x:v>1</x:v>
      </x:c>
      <x:c r="D32" s="20" t="str">
        <x:v>2</x:v>
      </x:c>
      <x:c r="E32" s="20" t="str"/>
      <x:c r="F32" s="20" t="str">
        <x:f>IF(E32="",D32,E32)</x:f>
        <x:v>2</x:v>
      </x:c>
      <x:c r="G32" s="13" t="str">
        <x:v>QuantSpec: Self-Speculative Decoding with Hierarchical Quantized KV Cache</x:v>
      </x:c>
      <x:c r="H32" s="13" t="n">
        <x:v>0</x:v>
      </x:c>
      <x:c r="I32" s="22" t="n">
        <x:v>0.0803975388851116</x:v>
      </x:c>
      <x:c r="J32" s="13" t="n">
        <x:v>5</x:v>
      </x:c>
      <x:c r="K32" s="19" t="str">
        <x:v>How do speculative decoding, model quantization, and KV-cache optimization differ as methods for accelerating large language model inference?</x:v>
      </x:c>
      <x:c r="L32" s="19" t="str">
        <x:v>inefficient KV cache optimization strategies and
result in low acceptance rates. To address these
challenges, we propose a novel self-speculative
decoding framework, QuantSpec, where the draft
model shares the architecture of the target model
but employs a hierarchical 4-bit quantized KV
cache and 4-bit quantized weights for accelera-
tion. QuantSpec maintains high acceptance rates
(&gt;90%) and reliably provides consistent end-
to-end speedups upto ∼ 2.5×, outperforming
other self-speculative decoding methods that use
sparse KV cache for long-context LLM inference.
QuantSpec also reduces the memory requirements
by ∼ 1.3× compared to these alternatives.
1. Introduction
Large Language Models (LLMs) have been widely used in
recent years, revolutionizing natural language processing
(NLP) and artificial intelligence (AI) applications. As their</x:v>
      </x:c>
      <x:c r="M32" s="19" t="str">
        <x:v>该段包含可直接回答问题的方法、指标、比较或研究发现。</x:v>
      </x:c>
      <x:c r="N32" s="13" t="str">
        <x:v>http://arxiv.org/abs/2502.10424v1</x:v>
      </x:c>
    </x:row>
    <x:row r="33" ht="58" customHeight="1">
      <x:c r="A33" s="13" t="str">
        <x:v>csq002-c002</x:v>
      </x:c>
      <x:c r="B33" s="13" t="str">
        <x:v>csq002</x:v>
      </x:c>
      <x:c r="C33" s="21" t="n">
        <x:v>2</x:v>
      </x:c>
      <x:c r="D33" s="20" t="str">
        <x:v>2</x:v>
      </x:c>
      <x:c r="E33" s="20" t="str"/>
      <x:c r="F33" s="20" t="str">
        <x:f>IF(E33="",D33,E33)</x:f>
        <x:v>2</x:v>
      </x:c>
      <x:c r="G33" s="13" t="str">
        <x:v>QuantSpec: Self-Speculative Decoding with Hierarchical Quantized KV Cache</x:v>
      </x:c>
      <x:c r="H33" s="13" t="n">
        <x:v>0</x:v>
      </x:c>
      <x:c r="I33" s="22" t="n">
        <x:v>0.08014952301209573</x:v>
      </x:c>
      <x:c r="J33" s="13" t="n">
        <x:v>5</x:v>
      </x:c>
      <x:c r="K33" s="19" t="str">
        <x:v>How do speculative decoding, model quantization, and KV-cache optimization differ as methods for accelerating large language model inference?</x:v>
      </x:c>
      <x:c r="L33" s="19" t="str">
        <x:v>QuantSpec: Self-Speculative Decoding with Hierarchical Quantized KV Cache
Rishabh Tiwari 1 * Haocheng Xi 1 * Aditya Tomar1 * Coleman Hooper 1 Sehoon Kim 1 Maxwell Horton 2
Mahyar Najibi 2 Michael W. Mahoney1 3 4 Kurt Keutzer 1 Amir Gholami 1 3
Abstract
Large Language Models (LLMs) are increasingly
being deployed on edge devices for long-context
settings, creating a growing need for fast and ef-
ficient long-context inference. In these scenar-
ios, the Key-Value (KV) cache is the primary
bottleneck in terms of both GPU memory and
latency, as the full KV cache must be loaded for
each decoding step. While speculative decod-
ing is a widely accepted technique to accelerate
autoregressive decoding, existing methods often
struggle to achieve significant speedups due to
inefficient KV cache optimization strategies and
result in low acceptance rates. To address these</x:v>
      </x:c>
      <x:c r="M33" s="19" t="str">
        <x:v>该段包含可直接回答问题的方法、指标、比较或研究发现。</x:v>
      </x:c>
      <x:c r="N33" s="13" t="str">
        <x:v>http://arxiv.org/abs/2502.10424v1</x:v>
      </x:c>
    </x:row>
    <x:row r="34" ht="58" customHeight="1">
      <x:c r="A34" s="13" t="str">
        <x:v>csq002-c003</x:v>
      </x:c>
      <x:c r="B34" s="13" t="str">
        <x:v>csq002</x:v>
      </x:c>
      <x:c r="C34" s="21" t="n">
        <x:v>3</x:v>
      </x:c>
      <x:c r="D34" s="20" t="str">
        <x:v>0</x:v>
      </x:c>
      <x:c r="E34" s="20" t="str"/>
      <x:c r="F34" s="20" t="str">
        <x:f>IF(E34="",D34,E34)</x:f>
        <x:v>0</x:v>
      </x:c>
      <x:c r="G34" s="13" t="str">
        <x:v>QuantSpec: Self-Speculative Decoding with Hierarchical Quantized KV Cache</x:v>
      </x:c>
      <x:c r="H34" s="13" t="n">
        <x:v>9</x:v>
      </x:c>
      <x:c r="I34" s="22" t="n">
        <x:v>0.07924679985690734</x:v>
      </x:c>
      <x:c r="J34" s="13" t="n">
        <x:v>5</x:v>
      </x:c>
      <x:c r="K34" s="19" t="str">
        <x:v>How do speculative decoding, model quantization, and KV-cache optimization differ as methods for accelerating large language model inference?</x:v>
      </x:c>
      <x:c r="L34" s="19" t="str">
        <x:v>QuantSpec: Self-Speculative Decoding with Hierarchical Quantized KV Cache
Kim, S., Hooper, C., Gholami, A., Dong, Z., Li,
X., Shen, S., Mahoney, M. W., and Keutzer, K.
Squeezellm: Dense-and-sparse quantization. arXiv
preprint arXiv:2306.07629, 2023a.
Kim, S., Hooper, C., Wattanawong, T., Kang, M., Yan, R.,
Genc, H., Dinh, G., Huang, Q., Keutzer, K., Mahoney,
M. W., Shao, Y . S., and Gholami, A. Full stack opti-
mization of transformer inference: a survey, 2023b. URL
https://arxiv.org/abs/2302.14017.
Kim, S., Mangalam, K., Moon, S., Malik, J., Mahoney,
M. W., Gholami, A., and Keutzer, K. Speculative decod-
ing with big little decoder. Advances in Neural Informa-
tion Processing Systems, 36, 2024.
Leviathan, Y ., Kalman, M., and Matias, Y . Fast inference
from transformers via speculative decoding. In Inter-
national Conference on Machine Learning , pp. 19274–
19286. PMLR, 2023.</x:v>
      </x:c>
      <x:c r="M34" s="19" t="str">
        <x:v>该段为无关内容、泛泛提及或参考文献片段，不能作为回答证据。</x:v>
      </x:c>
      <x:c r="N34" s="13" t="str">
        <x:v>http://arxiv.org/abs/2502.10424v1</x:v>
      </x:c>
    </x:row>
    <x:row r="35" ht="58" customHeight="1">
      <x:c r="A35" s="13" t="str">
        <x:v>csq002-c004</x:v>
      </x:c>
      <x:c r="B35" s="13" t="str">
        <x:v>csq002</x:v>
      </x:c>
      <x:c r="C35" s="21" t="n">
        <x:v>4</x:v>
      </x:c>
      <x:c r="D35" s="20" t="str">
        <x:v>2</x:v>
      </x:c>
      <x:c r="E35" s="20" t="str"/>
      <x:c r="F35" s="20" t="str">
        <x:f>IF(E35="",D35,E35)</x:f>
        <x:v>2</x:v>
      </x:c>
      <x:c r="G35" s="13" t="str">
        <x:v>QuantSpec: Self-Speculative Decoding with Hierarchical Quantized KV Cache</x:v>
      </x:c>
      <x:c r="H35" s="13" t="n">
        <x:v>1</x:v>
      </x:c>
      <x:c r="I35" s="22" t="n">
        <x:v>0.07866068926519747</x:v>
      </x:c>
      <x:c r="J35" s="13" t="n">
        <x:v>5</x:v>
      </x:c>
      <x:c r="K35" s="19" t="str">
        <x:v>How do speculative decoding, model quantization, and KV-cache optimization differ as methods for accelerating large language model inference?</x:v>
      </x:c>
      <x:c r="L35" s="19" t="str">
        <x:v>duce the memory footprint and computational complexity in
large-scale neural networks. Weight-only quantization (Lin
et al., 2024; Kim et al., 2023a; Shao et al., 2023; Chee et al.,
2024) focuses on reducing the precision of model weights to
reduce the memory requirements of the model. As models
grow larger, the memory footprint of KV caches can become
substantial, especially for long input sequences. KV cache
quantization (Liu et al., 2024c; Hooper et al., 2024; Kang
et al., 2024) addresses this issue by quantizing the key and
value caches to enable longer sequence inference.
2.3. Speculative Decoding
Speculative decoding has become an important technique
for improving the inference efficiency of LLMs (Leviathan
et al., 2023; Chen et al., 2023; Kim et al., 2024). It uses a
smaller draft model to rapidly generate candidate tokens,</x:v>
      </x:c>
      <x:c r="M35" s="19" t="str">
        <x:v>该段包含可直接回答问题的方法、指标、比较或研究发现。</x:v>
      </x:c>
      <x:c r="N35" s="13" t="str">
        <x:v>http://arxiv.org/abs/2502.10424v1</x:v>
      </x:c>
    </x:row>
    <x:row r="36" ht="58" customHeight="1">
      <x:c r="A36" s="13" t="str">
        <x:v>csq002-c005</x:v>
      </x:c>
      <x:c r="B36" s="13" t="str">
        <x:v>csq002</x:v>
      </x:c>
      <x:c r="C36" s="21" t="n">
        <x:v>5</x:v>
      </x:c>
      <x:c r="D36" s="20" t="str">
        <x:v>2</x:v>
      </x:c>
      <x:c r="E36" s="20" t="str"/>
      <x:c r="F36" s="20" t="str">
        <x:f>IF(E36="",D36,E36)</x:f>
        <x:v>2</x:v>
      </x:c>
      <x:c r="G36" s="13" t="str">
        <x:v>QuantSpec: Self-Speculative Decoding with Hierarchical Quantized KV Cache</x:v>
      </x:c>
      <x:c r="H36" s="13" t="n">
        <x:v>8</x:v>
      </x:c>
      <x:c r="I36" s="22" t="n">
        <x:v>0.07717837717837718</x:v>
      </x:c>
      <x:c r="J36" s="13" t="n">
        <x:v>5</x:v>
      </x:c>
      <x:c r="K36" s="19" t="str">
        <x:v>How do speculative decoding, model quantization, and KV-cache optimization differ as methods for accelerating large language model inference?</x:v>
      </x:c>
      <x:c r="L36" s="19" t="str">
        <x:v>QuantSpec: Self-Speculative Decoding with Hierarchical Quantized KV Cache
vanced quantization techniques with speculative decoding,
it is possible to significantly improve processing speed with-
out compromising the accuracy and performance of LLMs.
This work paves the way for more scalable and effective
deployment of LLMs in applications that require extensive
contextual understanding, offering a robust solution to the
challenges posed by long-context settings.
Acknowledgements
We acknowledge gracious support from Apple team. We
also appreciate the support from Microsoft through their
Accelerating Foundation Model Research. Furthermore, we
appreciate support from Google Cloud, the Google TRC
team, and specifically Jonathan Caton, Divy Thakkar, and
Prof. David Patterson. Prof. Keutzer’s lab is sponsored
by the Intel corporation, Intel One-API, Intel VLAB team,</x:v>
      </x:c>
      <x:c r="M36" s="19" t="str">
        <x:v>该段包含可直接回答问题的方法、指标、比较或研究发现。</x:v>
      </x:c>
      <x:c r="N36" s="13" t="str">
        <x:v>http://arxiv.org/abs/2502.10424v1</x:v>
      </x:c>
    </x:row>
    <x:row r="37" ht="58" customHeight="1">
      <x:c r="A37" s="13" t="str">
        <x:v>csq002-c006</x:v>
      </x:c>
      <x:c r="B37" s="13" t="str">
        <x:v>csq002</x:v>
      </x:c>
      <x:c r="C37" s="21" t="n">
        <x:v>6</x:v>
      </x:c>
      <x:c r="D37" s="20" t="str">
        <x:v>2</x:v>
      </x:c>
      <x:c r="E37" s="20" t="str"/>
      <x:c r="F37" s="20" t="str">
        <x:f>IF(E37="",D37,E37)</x:f>
        <x:v>2</x:v>
      </x:c>
      <x:c r="G37" s="13" t="str">
        <x:v>Reasoning Language Model Inference Serving Unveiled: An Empirical Study</x:v>
      </x:c>
      <x:c r="H37" s="13" t="n">
        <x:v>34</x:v>
      </x:c>
      <x:c r="I37" s="22" t="n">
        <x:v>0.07425477602108038</x:v>
      </x:c>
      <x:c r="J37" s="13" t="n">
        <x:v>5</x:v>
      </x:c>
      <x:c r="K37" s="19" t="str">
        <x:v>How do speculative decoding, model quantization, and KV-cache optimization differ as methods for accelerating large language model inference?</x:v>
      </x:c>
      <x:c r="L37" s="19" t="str">
        <x:v>AIME24 36.67 6m34s 499.62 98.4701 586687
GPQA 31.33 23m07s 461.52 94.4508 1879225
J.2 KV Cache Quantization
Full results of KV Cache quantization with different models are listed in Table 12, 13.
J.3 Prefix Caching
Full results of KV Cache quantization evaluation with different models are listed in Table 14, 15, 16,
17.
J.4 Speculative Decoding
The visualizatio for 7B model SD is in Figure 11. Full results of speculative decoding evaluation with
different models are listed in this subsection. For RLLM, results are presneted in Table 18, 19, 20, 21.
35</x:v>
      </x:c>
      <x:c r="M37" s="19" t="str">
        <x:v>该段包含可直接回答问题的方法、指标、比较或研究发现。</x:v>
      </x:c>
      <x:c r="N37" s="13" t="str">
        <x:v>http://arxiv.org/abs/2510.18672v1</x:v>
      </x:c>
    </x:row>
    <x:row r="38" ht="58" customHeight="1">
      <x:c r="A38" s="13" t="str">
        <x:v>csq002-c007</x:v>
      </x:c>
      <x:c r="B38" s="13" t="str">
        <x:v>csq002</x:v>
      </x:c>
      <x:c r="C38" s="21" t="n">
        <x:v>7</x:v>
      </x:c>
      <x:c r="D38" s="20" t="str">
        <x:v>2</x:v>
      </x:c>
      <x:c r="E38" s="20" t="str"/>
      <x:c r="F38" s="20" t="str">
        <x:f>IF(E38="",D38,E38)</x:f>
        <x:v>2</x:v>
      </x:c>
      <x:c r="G38" s="13" t="str">
        <x:v>QuantSpec: Self-Speculative Decoding with Hierarchical Quantized KV Cache</x:v>
      </x:c>
      <x:c r="H38" s="13" t="n">
        <x:v>5</x:v>
      </x:c>
      <x:c r="I38" s="22" t="n">
        <x:v>0.05848140077577099</x:v>
      </x:c>
      <x:c r="J38" s="13" t="n">
        <x:v>4</x:v>
      </x:c>
      <x:c r="K38" s="19" t="str">
        <x:v>How do speculative decoding, model quantization, and KV-cache optimization differ as methods for accelerating large language model inference?</x:v>
      </x:c>
      <x:c r="L38" s="19" t="str">
        <x:v>full precision, which is beneficial for the acceptance rate.
(2) Quantization and KV cache movement will only happen
every G decoding steps, which significantly reduces the
overhead. (3) The design is compatible with speculative
decoding since we can discard the KV cache for rejected
tokens very flexibly by only operating on the second full-
6</x:v>
      </x:c>
      <x:c r="M38" s="19" t="str">
        <x:v>该段包含可直接回答问题的方法、指标、比较或研究发现。</x:v>
      </x:c>
      <x:c r="N38" s="13" t="str">
        <x:v>http://arxiv.org/abs/2502.10424v1</x:v>
      </x:c>
    </x:row>
    <x:row r="39" ht="58" customHeight="1">
      <x:c r="A39" s="13" t="str">
        <x:v>csq002-c008</x:v>
      </x:c>
      <x:c r="B39" s="13" t="str">
        <x:v>csq002</x:v>
      </x:c>
      <x:c r="C39" s="21" t="n">
        <x:v>8</x:v>
      </x:c>
      <x:c r="D39" s="20" t="str">
        <x:v>2</x:v>
      </x:c>
      <x:c r="E39" s="20" t="str"/>
      <x:c r="F39" s="20" t="str">
        <x:f>IF(E39="",D39,E39)</x:f>
        <x:v>2</x:v>
      </x:c>
      <x:c r="G39" s="13" t="str">
        <x:v>QuantSpec: Self-Speculative Decoding with Hierarchical Quantized KV Cache</x:v>
      </x:c>
      <x:c r="H39" s="13" t="n">
        <x:v>7</x:v>
      </x:c>
      <x:c r="I39" s="22" t="n">
        <x:v>0.05623210239880411</x:v>
      </x:c>
      <x:c r="J39" s="13" t="n">
        <x:v>4</x:v>
      </x:c>
      <x:c r="K39" s="19" t="str">
        <x:v>How do speculative decoding, model quantization, and KV-cache optimization differ as methods for accelerating large language model inference?</x:v>
      </x:c>
      <x:c r="L39" s="19" t="str">
        <x:v>baseline as we scale the context length. We report QuantSpec with
KV cache-only quantization, weight-only quantization, and both.
Benchmarked on Llama-2-7B-32k-Instruct using PG-19.
6. Conclusions
In this paper, we have introduced a novel approach to en-
hance the efficiency and scalability of Large Language
Models (LLMs) in long-context settings through quantized
speculative decoding. Our method addresses the increas-
ing memory and computational demands by optimizing the
Key-Value (KV) cache operations, which become a sig-
nificant bottleneck as the context length grows. We pro-
pose a double full-precision cache buffer to resolve conflicts
between per-group quantization and speculative decoding.
Our comprehensive approach shows that by integrating ad-
8</x:v>
      </x:c>
      <x:c r="M39" s="19" t="str">
        <x:v>该段包含可直接回答问题的方法、指标、比较或研究发现。</x:v>
      </x:c>
      <x:c r="N39" s="13" t="str">
        <x:v>http://arxiv.org/abs/2502.10424v1</x:v>
      </x:c>
    </x:row>
    <x:row r="40" ht="58" customHeight="1">
      <x:c r="A40" s="13" t="str">
        <x:v>csq002-c009</x:v>
      </x:c>
      <x:c r="B40" s="13" t="str">
        <x:v>csq002</x:v>
      </x:c>
      <x:c r="C40" s="21" t="n">
        <x:v>9</x:v>
      </x:c>
      <x:c r="D40" s="20" t="str">
        <x:v>2</x:v>
      </x:c>
      <x:c r="E40" s="20" t="str"/>
      <x:c r="F40" s="20" t="str">
        <x:f>IF(E40="",D40,E40)</x:f>
        <x:v>2</x:v>
      </x:c>
      <x:c r="G40" s="13" t="str">
        <x:v>QuantSpec: Self-Speculative Decoding with Hierarchical Quantized KV Cache</x:v>
      </x:c>
      <x:c r="H40" s="13" t="n">
        <x:v>1</x:v>
      </x:c>
      <x:c r="I40" s="22" t="n">
        <x:v>0.056180870311305094</x:v>
      </x:c>
      <x:c r="J40" s="13" t="n">
        <x:v>4</x:v>
      </x:c>
      <x:c r="K40" s="19" t="str">
        <x:v>How do speculative decoding, model quantization, and KV-cache optimization differ as methods for accelerating large language model inference?</x:v>
      </x:c>
      <x:c r="L40" s="19" t="str">
        <x:v>QuantSpec: Self-Speculative Decoding with Hierarchical Quantized KV Cache
cantly, leading to suboptimal speedup. Moreover, traditional
speculative decoding methods maintain the KV cache for
both the target model and the draft model, causing a large
memory footprint. Therefore, finding a solution that both
optimizes the KV cache’s memory efficiency and improves
the acceptance rate within speculative decoding is essential
for performant LLMs in long-context applications.
To mitigate these issues and to enable efficient and accu-
rate long-context inference, we propose QuantSpec, a self-
speculative decoding method that utilizes 4-bit weights and
a 4-bit hierarchical KV cache to speedup long-context infer-
ence. In particular we make the following contributions:
• We perform a comprehensive analysis of LLM infer-
ence to identify bottlenecks across various context</x:v>
      </x:c>
      <x:c r="M40" s="19" t="str">
        <x:v>该段包含可直接回答问题的方法、指标、比较或研究发现。</x:v>
      </x:c>
      <x:c r="N40" s="13" t="str">
        <x:v>http://arxiv.org/abs/2502.10424v1</x:v>
      </x:c>
    </x:row>
    <x:row r="41" ht="58" customHeight="1">
      <x:c r="A41" s="13" t="str">
        <x:v>csq002-c010</x:v>
      </x:c>
      <x:c r="B41" s="13" t="str">
        <x:v>csq002</x:v>
      </x:c>
      <x:c r="C41" s="21" t="n">
        <x:v>10</x:v>
      </x:c>
      <x:c r="D41" s="20" t="str">
        <x:v>2</x:v>
      </x:c>
      <x:c r="E41" s="20" t="str"/>
      <x:c r="F41" s="20" t="str">
        <x:f>IF(E41="",D41,E41)</x:f>
        <x:v>2</x:v>
      </x:c>
      <x:c r="G41" s="13" t="str">
        <x:v>QuantSpec: Self-Speculative Decoding with Hierarchical Quantized KV Cache</x:v>
      </x:c>
      <x:c r="H41" s="13" t="n">
        <x:v>6</x:v>
      </x:c>
      <x:c r="I41" s="22" t="n">
        <x:v>0.043916969772983816</x:v>
      </x:c>
      <x:c r="J41" s="13" t="n">
        <x:v>3</x:v>
      </x:c>
      <x:c r="K41" s="19" t="str">
        <x:v>How do speculative decoding, model quantization, and KV-cache optimization differ as methods for accelerating large language model inference?</x:v>
      </x:c>
      <x:c r="L41" s="19" t="str">
        <x:v>use a double full-precision cache buffer for higher accep-
tance rates and flexibility with speculative decoding. Then
in the decoding stage, when generating draft tokens, we only
load the upper 4-bit of the KV cache and achieve speedup
by significantly reducing the memory load/store operations.
When verifying these draft tokens, we load both the upper
and lower 4-bit KV cache representations and dequantize
them into their INT8 representation to achieve performance
that is comparable with an FP16 KV cache. If the full-
precision buffer is saturated, after verification we quantize
and clear one-half of the full-precision buffer to prepare for
the next round of generation. The whole algorithm can be
visualized in Figure 3 (and Algorithm 1 in Appendix).
5. Evaluation
In this section, we evaluate the performance of QuantSpec
across multiple datasets and context lengths. Our evalua-</x:v>
      </x:c>
      <x:c r="M41" s="19" t="str">
        <x:v>该段包含可直接回答问题的方法、指标、比较或研究发现。</x:v>
      </x:c>
      <x:c r="N41" s="13" t="str">
        <x:v>http://arxiv.org/abs/2502.10424v1</x:v>
      </x:c>
    </x:row>
    <x:row r="42" ht="58" customHeight="1">
      <x:c r="A42" s="13" t="str">
        <x:v>csq002-c011</x:v>
      </x:c>
      <x:c r="B42" s="13" t="str">
        <x:v>csq002</x:v>
      </x:c>
      <x:c r="C42" s="21" t="n">
        <x:v>11</x:v>
      </x:c>
      <x:c r="D42" s="20" t="str">
        <x:v>2</x:v>
      </x:c>
      <x:c r="E42" s="20" t="str"/>
      <x:c r="F42" s="20" t="str">
        <x:f>IF(E42="",D42,E42)</x:f>
        <x:v>2</x:v>
      </x:c>
      <x:c r="G42" s="13" t="str">
        <x:v>QSpec: Speculative Decoding with Complementary Quantization Schemes</x:v>
      </x:c>
      <x:c r="H42" s="13" t="n">
        <x:v>0</x:v>
      </x:c>
      <x:c r="I42" s="22" t="n">
        <x:v>0.042553917553917554</x:v>
      </x:c>
      <x:c r="J42" s="13" t="n">
        <x:v>3</x:v>
      </x:c>
      <x:c r="K42" s="19" t="str">
        <x:v>How do speculative decoding, model quantization, and KV-cache optimization differ as methods for accelerating large language model inference?</x:v>
      </x:c>
      <x:c r="L42" s="19" t="str">
        <x:v>QSPEC: Speculative Decoding with Complementary Quantization Schemes
Juntao Zhao, Wenhao Lu, Sheng Wang, Lingpeng Kong, and Chuan Wu
{juntaozh, whlu, u3009618}@connect.hku.hk,{lpk, cwu}@cs.hku.hk
Abstract
Quantization is widely adopted to accelerate
inference and reduce memory consumption
in large language models (LLMs). While
activation-weight joint quantization enables ef-
ficient low-precision decoding, it suffers from
substantial performance degradation on multi-
step reasoning tasks. We propose QSPEC, a
novel quantization paradigm that decouples ef-
ficiency from quality by integrating two com-
plementary schemes via speculative decoding:
low-precision joint quantization for fast draft-
ing and high-precision weight-only quantiza-
tion for accurate verification. QSPECreuses
both weights and KV cache across stages, en-
abling near-zero-cost switching without retrain-</x:v>
      </x:c>
      <x:c r="M42" s="19" t="str">
        <x:v>该段包含可直接回答问题的方法、指标、比较或研究发现。</x:v>
      </x:c>
      <x:c r="N42" s="13" t="str">
        <x:v>http://arxiv.org/abs/2410.11305v3</x:v>
      </x:c>
    </x:row>
    <x:row r="43" ht="58" customHeight="1">
      <x:c r="A43" s="13" t="str">
        <x:v>csq002-c012</x:v>
      </x:c>
      <x:c r="B43" s="13" t="str">
        <x:v>csq002</x:v>
      </x:c>
      <x:c r="C43" s="21" t="n">
        <x:v>12</x:v>
      </x:c>
      <x:c r="D43" s="20" t="str">
        <x:v>2</x:v>
      </x:c>
      <x:c r="E43" s="20" t="str"/>
      <x:c r="F43" s="20" t="str">
        <x:f>IF(E43="",D43,E43)</x:f>
        <x:v>2</x:v>
      </x:c>
      <x:c r="G43" s="13" t="str">
        <x:v>QSpec: Speculative Decoding with Complementary Quantization Schemes</x:v>
      </x:c>
      <x:c r="H43" s="13" t="n">
        <x:v>4</x:v>
      </x:c>
      <x:c r="I43" s="22" t="n">
        <x:v>0.041688116688116686</x:v>
      </x:c>
      <x:c r="J43" s="13" t="n">
        <x:v>3</x:v>
      </x:c>
      <x:c r="K43" s="19" t="str">
        <x:v>How do speculative decoding, model quantization, and KV-cache optimization differ as methods for accelerating large language model inference?</x:v>
      </x:c>
      <x:c r="L43" s="19" t="str">
        <x:v>W4A16 for accepted tokens, enabling subsequent
decoding to benefit from higher-quality context.
This design not only boosts token acceptance rates
but also sets QSPECapart from prior specula-
tive decoding methods, which use separate models
and cannot reuse KV representations. By sharing
weights and reusing KV caches within a single
model, QSPECeliminates the need for dual cache
maintenance, reducing memory usage without sac-
rificing accuracy.
As shown in Table 2, we compare QSPEC
against individual quantization configurations (i.e.,
W4A4 and W4A16) and speculative decoding in
terms of memory, computation, and generation.
QSPECprovides four key benefits:(1) Memory-
Efficient.By sharing weights and overwriting
KV caches, QSPECincurs memory costs on par
with standalone high-precision activation quanti-
zation without any memory overhead caused by</x:v>
      </x:c>
      <x:c r="M43" s="19" t="str">
        <x:v>该段包含可直接回答问题的方法、指标、比较或研究发现。</x:v>
      </x:c>
      <x:c r="N43" s="13" t="str">
        <x:v>http://arxiv.org/abs/2410.11305v3</x:v>
      </x:c>
    </x:row>
    <x:row r="44" ht="58" customHeight="1">
      <x:c r="A44" s="13" t="str">
        <x:v>csq002-c013</x:v>
      </x:c>
      <x:c r="B44" s="13" t="str">
        <x:v>csq002</x:v>
      </x:c>
      <x:c r="C44" s="21" t="n">
        <x:v>13</x:v>
      </x:c>
      <x:c r="D44" s="20" t="str">
        <x:v>2</x:v>
      </x:c>
      <x:c r="E44" s="20" t="str"/>
      <x:c r="F44" s="20" t="str">
        <x:f>IF(E44="",D44,E44)</x:f>
        <x:v>2</x:v>
      </x:c>
      <x:c r="G44" s="13" t="str">
        <x:v>QuantSpec: Self-Speculative Decoding with Hierarchical Quantized KV Cache</x:v>
      </x:c>
      <x:c r="H44" s="13" t="n">
        <x:v>4</x:v>
      </x:c>
      <x:c r="I44" s="22" t="n">
        <x:v>0.04155272919978802</x:v>
      </x:c>
      <x:c r="J44" s="13" t="n">
        <x:v>3</x:v>
      </x:c>
      <x:c r="K44" s="19" t="str">
        <x:v>How do speculative decoding, model quantization, and KV-cache optimization differ as methods for accelerating large language model inference?</x:v>
      </x:c>
      <x:c r="L44" s="19" t="str">
        <x:v>inefficient combination of conventional quantization strate-
gies with the reject-and-revert-back mechanism specific to
speculative decoding methods by proposing a full-precision
KV cache buffer in QuantSpec. As we further explain in
Section 4.3, this helps achieve high acceptance rates for the
draft model and thus results in greater end-to-end speedup.
4.2. Hierarchical KV Cache
We propose a 4-bit hierarchical KV cache wherein we strate-
gically structure each tensor’s representation such that the
draft and target models are able to dynamically reconstruct
their KV cache without any on-the-fly quantization over-
head. Firstly, we observe that using an INT8 KV cache for
the target model is comparable in terms of accuracy and
performance with the same target model using an FP16 KV
cache. To demonstrate this, we conduct a perplexity analysis</x:v>
      </x:c>
      <x:c r="M44" s="19" t="str">
        <x:v>该段包含可直接回答问题的方法、指标、比较或研究发现。</x:v>
      </x:c>
      <x:c r="N44" s="13" t="str">
        <x:v>http://arxiv.org/abs/2502.10424v1</x:v>
      </x:c>
    </x:row>
    <x:row r="45" ht="58" customHeight="1">
      <x:c r="A45" s="13" t="str">
        <x:v>csq002-c014</x:v>
      </x:c>
      <x:c r="B45" s="13" t="str">
        <x:v>csq002</x:v>
      </x:c>
      <x:c r="C45" s="21" t="n">
        <x:v>14</x:v>
      </x:c>
      <x:c r="D45" s="20" t="str">
        <x:v>2</x:v>
      </x:c>
      <x:c r="E45" s="20" t="str"/>
      <x:c r="F45" s="20" t="str">
        <x:f>IF(E45="",D45,E45)</x:f>
        <x:v>2</x:v>
      </x:c>
      <x:c r="G45" s="13" t="str">
        <x:v>QuantSpec: Self-Speculative Decoding with Hierarchical Quantized KV Cache</x:v>
      </x:c>
      <x:c r="H45" s="13" t="n">
        <x:v>16</x:v>
      </x:c>
      <x:c r="I45" s="22" t="n">
        <x:v>0.029910714285714284</x:v>
      </x:c>
      <x:c r="J45" s="13" t="n">
        <x:v>2</x:v>
      </x:c>
      <x:c r="K45" s="19" t="str">
        <x:v>How do speculative decoding, model quantization, and KV-cache optimization differ as methods for accelerating large language model inference?</x:v>
      </x:c>
      <x:c r="L45" s="19" t="str">
        <x:v>QuantSpec: Self-Speculative Decoding with Hierarchical Quantized KV Cache
Algorithm 1 QuantSpec Algorithm
Input: Model M, Upper 4-bit Cache CU , Lower 4-bit Cache CL, Full Precision Cache Buffer [CF1 , CF2 ],
Input: Prefill Length SP , Target Decode Length SD, Prefill Context X = [x0, · · ·, xSP −1], Speculate Length γ
Input: Number of Layers L, Sensitive Layer Number LS, Quantization Group Size G
Function: PREFILL, DRAFT, TARGET, VERITY, QUANTIZE, REJECTCACHE
Notation: Verified tokens xi, generated draft tokens gi, logits of draft model qi, logits of target model pi, number of
tokens already been generated in total N, number of tokens already been generated in this speculate step n, number of
tokens accepted in this speculate step v
Prefill Stage
1: XSP , CKV ← PREFILL(M, X&lt;SP ) ▷ KV Cache is written together for simplicity</x:v>
      </x:c>
      <x:c r="M45" s="19" t="str">
        <x:v>该段包含可直接回答问题的方法、指标、比较或研究发现。</x:v>
      </x:c>
      <x:c r="N45" s="13" t="str">
        <x:v>http://arxiv.org/abs/2502.10424v1</x:v>
      </x:c>
    </x:row>
    <x:row r="46" ht="58" customHeight="1">
      <x:c r="A46" s="13" t="str">
        <x:v>csq002-c015</x:v>
      </x:c>
      <x:c r="B46" s="13" t="str">
        <x:v>csq002</x:v>
      </x:c>
      <x:c r="C46" s="21" t="n">
        <x:v>15</x:v>
      </x:c>
      <x:c r="D46" s="20" t="str">
        <x:v>1</x:v>
      </x:c>
      <x:c r="E46" s="20" t="str"/>
      <x:c r="F46" s="20" t="str">
        <x:f>IF(E46="",D46,E46)</x:f>
        <x:v>1</x:v>
      </x:c>
      <x:c r="G46" s="13" t="str">
        <x:v>Reasoning Language Model Inference Serving Unveiled: An Empirical Study</x:v>
      </x:c>
      <x:c r="H46" s="13" t="n">
        <x:v>17</x:v>
      </x:c>
      <x:c r="I46" s="22" t="n">
        <x:v>0.029236022193768675</x:v>
      </x:c>
      <x:c r="J46" s="13" t="n">
        <x:v>2</x:v>
      </x:c>
      <x:c r="K46" s="19" t="str">
        <x:v>How do speculative decoding, model quantization, and KV-cache optimization differ as methods for accelerating large language model inference?</x:v>
      </x:c>
      <x:c r="L46" s="19" t="str">
        <x:v>optimization: KV cache quantization [ 44], KV cache reuse and dropping; (4) efficient decoding:
speculating decoding [45] [49] [50], flash decoding [60] ;(5) system optimization: prefill-decoding
disaggregation architecture like [24] [61] [62]; (6) model and algorithm optimization: hard-aware
algorithm like flash attention [60], linear attention, mixture of expert.
Recent advances in LLM inference have yielded a variety of specialized frameworks and serving
engines that maximize GPU utilization through optimized kernels and memory strategies. High-
performance libraries such as NVIDIA’s FasterTransformer [66] and TensorRT-LLM [18], alongside
open-source systems like vLLM [16] and SGLang [34], employ different techniques with continuous
batching[23], speculative decoding[45], prefill-decode disaggregation[24] and many other methods,</x:v>
      </x:c>
      <x:c r="M46" s="19" t="str">
        <x:v>该段提供相关背景或侧面信息，但没有直接回答问题核心。</x:v>
      </x:c>
      <x:c r="N46" s="13" t="str">
        <x:v>http://arxiv.org/abs/2510.18672v1</x:v>
      </x:c>
    </x:row>
    <x:row r="47" ht="58" customHeight="1">
      <x:c r="A47" s="13" t="str">
        <x:v>csq002-c016</x:v>
      </x:c>
      <x:c r="B47" s="13" t="str">
        <x:v>csq002</x:v>
      </x:c>
      <x:c r="C47" s="21" t="n">
        <x:v>16</x:v>
      </x:c>
      <x:c r="D47" s="20" t="str">
        <x:v>0</x:v>
      </x:c>
      <x:c r="E47" s="20" t="str"/>
      <x:c r="F47" s="20" t="str">
        <x:f>IF(E47="",D47,E47)</x:f>
        <x:v>0</x:v>
      </x:c>
      <x:c r="G47" s="13" t="str">
        <x:v>QuantSpec: Self-Speculative Decoding with Hierarchical Quantized KV Cache</x:v>
      </x:c>
      <x:c r="H47" s="13" t="n">
        <x:v>8</x:v>
      </x:c>
      <x:c r="I47" s="22" t="n">
        <x:v>0.028814262023217248</x:v>
      </x:c>
      <x:c r="J47" s="13" t="n">
        <x:v>2</x:v>
      </x:c>
      <x:c r="K47" s="19" t="str">
        <x:v>How do speculative decoding, model quantization, and KV-cache optimization differ as methods for accelerating large language model inference?</x:v>
      </x:c>
      <x:c r="L47" s="19" t="str">
        <x:v>Chee, J., Cai, Y ., Kuleshov, V ., and De Sa, C. M. Quip: 2-bit
quantization of large language models with guarantees.
Advances in Neural Information Processing Systems , 36,
2024.
Chen, C., Borgeaud, S., Irving, G., Lespiau, J.-B., Sifre,
L., and Jumper, J. Accelerating large language model
decoding with speculative sampling. arXiv preprint
arXiv:2302.01318, 2023.
Chen, S., Liu, Z., Wu, Z., Zheng, C., Cong, P., Jiang,
Z., Su, L., and Yang, T. Int-flashattention: Enabling
flash attention for int8 quantization. arXiv preprint
arXiv:2409.16997, 2024a.
Chen, Z., May, A., Svirschevski, R., Huang, Y ., Ryabinin,
M., Jia, Z., and Chen, B. Sequoia: Scalable, robust, and
hardware-aware speculative decoding. arXiv preprint
arXiv:2402.12374, 2024b.
Dao, T., Fu, D. Y ., Ermon, S., Rudra, A., and R´e, C. Flashat-
tention: Fast and memory-efficient exact attention with io-</x:v>
      </x:c>
      <x:c r="M47" s="19" t="str">
        <x:v>该段为无关内容、泛泛提及或参考文献片段，不能作为回答证据。</x:v>
      </x:c>
      <x:c r="N47" s="13" t="str">
        <x:v>http://arxiv.org/abs/2502.10424v1</x:v>
      </x:c>
    </x:row>
    <x:row r="48" ht="58" customHeight="1">
      <x:c r="A48" s="13" t="str">
        <x:v>csq002-c017</x:v>
      </x:c>
      <x:c r="B48" s="13" t="str">
        <x:v>csq002</x:v>
      </x:c>
      <x:c r="C48" s="21" t="n">
        <x:v>17</x:v>
      </x:c>
      <x:c r="D48" s="20" t="str">
        <x:v>0</x:v>
      </x:c>
      <x:c r="E48" s="20" t="str"/>
      <x:c r="F48" s="20" t="str">
        <x:f>IF(E48="",D48,E48)</x:f>
        <x:v>0</x:v>
      </x:c>
      <x:c r="G48" s="13" t="str">
        <x:v>QuantSpec: Self-Speculative Decoding with Hierarchical Quantized KV Cache</x:v>
      </x:c>
      <x:c r="H48" s="13" t="n">
        <x:v>8</x:v>
      </x:c>
      <x:c r="I48" s="22" t="n">
        <x:v>0.028404512489927477</x:v>
      </x:c>
      <x:c r="J48" s="13" t="n">
        <x:v>2</x:v>
      </x:c>
      <x:c r="K48" s="19" t="str">
        <x:v>How do speculative decoding, model quantization, and KV-cache optimization differ as methods for accelerating large language model inference?</x:v>
      </x:c>
      <x:c r="L48" s="19" t="str">
        <x:v>tradeoff for long context generation with speculative
decoding. In The Thirteenth International Conference
on Learning Representations , 2025. URL https://
openreview.net/forum?id=CS2JWaziYr.
Bhendawade, N., Belousova, I., Fu, Q., Mason, H., Raste-
gari, M., and Najibi, M. Speculative streaming: Fast
llm inference without auxiliary models. arXiv preprint
arXiv:2402.11131, 2024.
Brandon, W., Mishra, M., Nrusimha, A., Panda, R.,
and Kelly, J. R. Reducing transformer key-value
cache size with cross-layer attention. arXiv preprint
arXiv:2405.12981, 2024.
Cai, T., Li, Y ., Geng, Z., Peng, H., Lee, J. D., Chen, D.,
and Dao, T. Medusa: Simple llm inference acceleration
framework with multiple decoding heads. arXiv preprint
arXiv:2401.10774, 2024.
Chee, J., Cai, Y ., Kuleshov, V ., and De Sa, C. M. Quip: 2-bit
quantization of large language models with guarantees.</x:v>
      </x:c>
      <x:c r="M48" s="19" t="str">
        <x:v>该段为无关内容、泛泛提及或参考文献片段，不能作为回答证据。</x:v>
      </x:c>
      <x:c r="N48" s="13" t="str">
        <x:v>http://arxiv.org/abs/2502.10424v1</x:v>
      </x:c>
    </x:row>
    <x:row r="49" ht="58" customHeight="1">
      <x:c r="A49" s="13" t="str">
        <x:v>csq002-c018</x:v>
      </x:c>
      <x:c r="B49" s="13" t="str">
        <x:v>csq002</x:v>
      </x:c>
      <x:c r="C49" s="21" t="n">
        <x:v>18</x:v>
      </x:c>
      <x:c r="D49" s="20" t="str">
        <x:v>2</x:v>
      </x:c>
      <x:c r="E49" s="20" t="str"/>
      <x:c r="F49" s="20" t="str">
        <x:f>IF(E49="",D49,E49)</x:f>
        <x:v>2</x:v>
      </x:c>
      <x:c r="G49" s="13" t="str">
        <x:v>QuantSpec: Self-Speculative Decoding with Hierarchical Quantized KV Cache</x:v>
      </x:c>
      <x:c r="H49" s="13" t="n">
        <x:v>5</x:v>
      </x:c>
      <x:c r="I49" s="22" t="n">
        <x:v>0.027598020555767037</x:v>
      </x:c>
      <x:c r="J49" s="13" t="n">
        <x:v>2</x:v>
      </x:c>
      <x:c r="K49" s="19" t="str">
        <x:v>How do speculative decoding, model quantization, and KV-cache optimization differ as methods for accelerating large language model inference?</x:v>
      </x:c>
      <x:c r="L49" s="19" t="str">
        <x:v>QuantSpec: Self-Speculative Decoding with Hierarchical Quantized KV Cache
Input TokensTarget Model(FP16 Weight)FP16 KVCache
ResidualCache
②  Quantize the Quantization Error 
Lower INT4CacheUpper INT4Cache
①  Quantize the KV Cache③  Maintain the recentcache in Full PrecisionUpper INT4CacheLower INT4Cache
Target Model(FP16 Weight)Draft Model(INT4 Weight)
Load Upper INT4Load All 8-bit
√Candidate TokensGenerate Verify
Accepted Tokens···Rejected Tokens√√√ × ×
(a) During prefill, our hierarchical KV cache quantizes the FP16 KVcache to get the upper and lower INT4 representations.(b) During decoding, our hierarchical KV Cache loads the Upper INT4 KVCache for the draft model and loads all 8-bits for the target model.
Figure 3. How our Hierarchical KV Cache works in the speculative decoding setting.
the KV cache in the higher INT8 precision. To represent</x:v>
      </x:c>
      <x:c r="M49" s="19" t="str">
        <x:v>该段包含可直接回答问题的方法、指标、比较或研究发现。</x:v>
      </x:c>
      <x:c r="N49" s="13" t="str">
        <x:v>http://arxiv.org/abs/2502.10424v1</x:v>
      </x:c>
    </x:row>
    <x:row r="50" ht="58" customHeight="1">
      <x:c r="A50" s="13" t="str">
        <x:v>csq002-c019</x:v>
      </x:c>
      <x:c r="B50" s="13" t="str">
        <x:v>csq002</x:v>
      </x:c>
      <x:c r="C50" s="21" t="n">
        <x:v>19</x:v>
      </x:c>
      <x:c r="D50" s="20" t="str">
        <x:v>2</x:v>
      </x:c>
      <x:c r="E50" s="20" t="str"/>
      <x:c r="F50" s="20" t="str">
        <x:f>IF(E50="",D50,E50)</x:f>
        <x:v>2</x:v>
      </x:c>
      <x:c r="G50" s="13" t="str">
        <x:v>QuantSpec: Self-Speculative Decoding with Hierarchical Quantized KV Cache</x:v>
      </x:c>
      <x:c r="H50" s="13" t="n">
        <x:v>0</x:v>
      </x:c>
      <x:c r="I50" s="22" t="n">
        <x:v>0.0273972602739726</x:v>
      </x:c>
      <x:c r="J50" s="13" t="n">
        <x:v>2</x:v>
      </x:c>
      <x:c r="K50" s="19" t="str">
        <x:v>How do speculative decoding, model quantization, and KV-cache optimization differ as methods for accelerating large language model inference?</x:v>
      </x:c>
      <x:c r="L50" s="19" t="str">
        <x:v>baseline across several context lengths. Benchmarked on LWM-
Text-Chat-128k.
tails across extended sequences. However, long-context
inference presents significant challenges in terms of effi-
ciency and scalability. For example, token eviction (Zhang
et al., 2024c; Ge et al., 2023; Liu et al., 2024b) and KV
cache quantization (Liu et al., 2024c; Kang et al., 2024;
Hooper et al., 2024) have been proposed to improve the
efficiency for long-context inference. However, they often
entail noticeable degradation in generation quality.
One promising alternative to enhance the efficiency of LLMs
while preserving generation quality is speculative decod-
ing (Leviathan et al., 2023; Chen et al., 2023; Kim et al.,
2024). This method accelerates inference by using a smaller
(draft) model to rapidly generate candidate tokens, and uses
the original (target) model to verify these tokens to ensure</x:v>
      </x:c>
      <x:c r="M50" s="19" t="str">
        <x:v>该段包含可直接回答问题的方法、指标、比较或研究发现。</x:v>
      </x:c>
      <x:c r="N50" s="13" t="str">
        <x:v>http://arxiv.org/abs/2502.10424v1</x:v>
      </x:c>
    </x:row>
    <x:row r="51" ht="58" customHeight="1">
      <x:c r="A51" s="13" t="str">
        <x:v>csq002-c020</x:v>
      </x:c>
      <x:c r="B51" s="13" t="str">
        <x:v>csq002</x:v>
      </x:c>
      <x:c r="C51" s="21" t="n">
        <x:v>20</x:v>
      </x:c>
      <x:c r="D51" s="20" t="str">
        <x:v>2</x:v>
      </x:c>
      <x:c r="E51" s="20" t="str"/>
      <x:c r="F51" s="20" t="str">
        <x:f>IF(E51="",D51,E51)</x:f>
        <x:v>2</x:v>
      </x:c>
      <x:c r="G51" s="13" t="str">
        <x:v>QuantSpec: Self-Speculative Decoding with Hierarchical Quantized KV Cache</x:v>
      </x:c>
      <x:c r="H51" s="13" t="n">
        <x:v>5</x:v>
      </x:c>
      <x:c r="I51" s="22" t="n">
        <x:v>0.02666666666666667</x:v>
      </x:c>
      <x:c r="J51" s="13" t="n">
        <x:v>2</x:v>
      </x:c>
      <x:c r="K51" s="19" t="str">
        <x:v>How do speculative decoding, model quantization, and KV-cache optimization differ as methods for accelerating large language model inference?</x:v>
      </x:c>
      <x:c r="L51" s="19" t="str">
        <x:v>caches pose efficiency challenges when combined with spec-
ulative decoding. Regarding the value cache wherein the
values are quantized along the token axis, the naive strategy
of directly quantizing newly generated tokens at each decod-
ing step is expensive, as it introduces high computational
overhead that occurs very frequently. Moreoever, regarding
the key cache for which we apply quantization along the
channel axis, the naive approach is to store multiple tokens
in full precision until they equal the quantization group size,
and then quantize them. However, since the KV cache for
the most recent tokens is no longer preserved in full preci-
sion after quantization, this strategy adversally affects the
acceptance rate, thus reducing the effectiveness of specula-
tive decoding. Moreover, since speculative decoding may
result in frequent rollbacks due to the target model rejecting</x:v>
      </x:c>
      <x:c r="M51" s="19" t="str">
        <x:v>该段包含可直接回答问题的方法、指标、比较或研究发现。</x:v>
      </x:c>
      <x:c r="N51" s="13" t="str">
        <x:v>http://arxiv.org/abs/2502.10424v1</x:v>
      </x:c>
    </x:row>
    <x:row r="52" ht="58" customHeight="1">
      <x:c r="A52" s="13" t="str">
        <x:v>csq002-c021</x:v>
      </x:c>
      <x:c r="B52" s="13" t="str">
        <x:v>csq002</x:v>
      </x:c>
      <x:c r="C52" s="21" t="n">
        <x:v>21</x:v>
      </x:c>
      <x:c r="D52" s="20" t="str">
        <x:v>0</x:v>
      </x:c>
      <x:c r="E52" s="20" t="str"/>
      <x:c r="F52" s="20" t="str">
        <x:f>IF(E52="",D52,E52)</x:f>
        <x:v>0</x:v>
      </x:c>
      <x:c r="G52" s="13" t="str">
        <x:v>Reasoning Language Model Inference Serving Unveiled: An Empirical Study</x:v>
      </x:c>
      <x:c r="H52" s="13" t="n">
        <x:v>11</x:v>
      </x:c>
      <x:c r="I52" s="22" t="n">
        <x:v>0.014925373134328358</x:v>
      </x:c>
      <x:c r="J52" s="13" t="n">
        <x:v>1</x:v>
      </x:c>
      <x:c r="K52" s="19" t="str">
        <x:v>How do speculative decoding, model quantization, and KV-cache optimization differ as methods for accelerating large language model inference?</x:v>
      </x:c>
      <x:c r="L52" s="19" t="str">
        <x:v>Processing Systems, 35:14651–14662, 2022.
[42] Tim Dettmers, Artidoro Pagnoni, Ari Holtzman, and Luke Zettlemoyer. Qlora: Efficient
finetuning of quantized llms.Advances in neural information processing systems, 36:10088–
10115, 2023.
[43] bitsandbytes foundation. bitsandbytes, 2022.
[44] vllm project. Llm compressor, 2024.
[45] Charlie Chen, Sebastian Borgeaud, Geoffrey Irving, Jean-Baptiste Lespiau, Laurent Sifre, and
John Jumper. Accelerating large language model decoding with speculative sampling.arXiv
preprint arXiv:2302.01318, 2023.
[46] Heming Xia, Zhe Yang, Qingxiu Dong, Peiyi Wang, Yongqi Li, Tao Ge, Tianyu Liu, Wenjie Li,
and Zhifang Sui. Unlocking efficiency in large language model inference: A comprehensive
survey of speculative decoding. In Lun-Wei Ku, Andre Martins, and Vivek Srikumar, editors,</x:v>
      </x:c>
      <x:c r="M52" s="19" t="str">
        <x:v>该段为无关内容、泛泛提及或参考文献片段，不能作为回答证据。</x:v>
      </x:c>
      <x:c r="N52" s="13" t="str">
        <x:v>http://arxiv.org/abs/2510.18672v1</x:v>
      </x:c>
    </x:row>
    <x:row r="53" ht="58" customHeight="1">
      <x:c r="A53" s="13" t="str">
        <x:v>csq002-c022</x:v>
      </x:c>
      <x:c r="B53" s="13" t="str">
        <x:v>csq002</x:v>
      </x:c>
      <x:c r="C53" s="21" t="n">
        <x:v>22</x:v>
      </x:c>
      <x:c r="D53" s="20" t="str">
        <x:v>1</x:v>
      </x:c>
      <x:c r="E53" s="20" t="str"/>
      <x:c r="F53" s="20" t="str">
        <x:f>IF(E53="",D53,E53)</x:f>
        <x:v>1</x:v>
      </x:c>
      <x:c r="G53" s="13" t="str">
        <x:v>QuantSpec: Self-Speculative Decoding with Hierarchical Quantized KV Cache</x:v>
      </x:c>
      <x:c r="H53" s="13" t="n">
        <x:v>7</x:v>
      </x:c>
      <x:c r="I53" s="22" t="n">
        <x:v>0.014492753623188406</x:v>
      </x:c>
      <x:c r="J53" s="13" t="n">
        <x:v>1</x:v>
      </x:c>
      <x:c r="K53" s="19" t="str">
        <x:v>How do speculative decoding, model quantization, and KV-cache optimization differ as methods for accelerating large language model inference?</x:v>
      </x:c>
      <x:c r="L53" s="19" t="str">
        <x:v>QuantSpec: Self-Speculative Decoding with Hierarchical Quantized KV Cache
5.1. Setup
All experiments are performed on a node equipped with
8 NVIDIA RTX A6000 GPUs. We evaluate QuantSpec
using long-context variants of LLaMA-2 and LWM models
as target models. For benchmarking decoding speedup,
we use PG-19 (Rae et al., 2019), (a language modeling
benchmark) and two long context summarization datasets,
namely ∞BENCH Sum (Zhang et al., 2024b; Yen et al., 2024)
and Multi-LexSum (Shen et al., 2022; Yen et al., 2024).
More details about the datasets are provided in Appendix
F. Following Anonymous (2025), we compare against two
recent sparse KV-based self-speculative decoding baselines:
StreamingLLM (Anonymous, 2025; Xiao et al., 2023a) and
SnapKV (Anonymous, 2025; Li et al., 2024a). To ensure
a fair comparison, the draft KV budget for the baselines</x:v>
      </x:c>
      <x:c r="M53" s="19" t="str">
        <x:v>该段提供相关背景或侧面信息，但没有直接回答问题核心。</x:v>
      </x:c>
      <x:c r="N53" s="13" t="str">
        <x:v>http://arxiv.org/abs/2502.10424v1</x:v>
      </x:c>
    </x:row>
    <x:row r="54" ht="58" customHeight="1">
      <x:c r="A54" s="13" t="str">
        <x:v>csq002-c023</x:v>
      </x:c>
      <x:c r="B54" s="13" t="str">
        <x:v>csq002</x:v>
      </x:c>
      <x:c r="C54" s="21" t="n">
        <x:v>23</x:v>
      </x:c>
      <x:c r="D54" s="20" t="str">
        <x:v>2</x:v>
      </x:c>
      <x:c r="E54" s="20" t="str"/>
      <x:c r="F54" s="20" t="str">
        <x:f>IF(E54="",D54,E54)</x:f>
        <x:v>2</x:v>
      </x:c>
      <x:c r="G54" s="13" t="str">
        <x:v>QSpec: Speculative Decoding with Complementary Quantization Schemes</x:v>
      </x:c>
      <x:c r="H54" s="13" t="n">
        <x:v>1</x:v>
      </x:c>
      <x:c r="I54" s="22" t="n">
        <x:v>0.014285714285714285</x:v>
      </x:c>
      <x:c r="J54" s="13" t="n">
        <x:v>1</x:v>
      </x:c>
      <x:c r="K54" s="19" t="str">
        <x:v>How do speculative decoding, model quantization, and KV-cache optimization differ as methods for accelerating large language model inference?</x:v>
      </x:c>
      <x:c r="L54" s="19" t="str">
        <x:v>ity by combining complementary quantization
schemes through speculative decoding with
shared weights and KV cache.
• Experiments across various models and tasks
reveal that QSPECachieves up to 1.64× ac-
celeration without quality loss, making it well-
suited for high-fidelity deployment in memory-
constrained scenarios.
2 Motivation
2.1 Compromised Performance of Activation
Quantization
State-of-the-art (SOTA) activation-weight joint
quantization methods, like Atom (Zhao et al.,
2024b) and QuaRot (Ashkboos et al., 2024),
achieve notable speed-ups with negligible perfor-
mance loss compared to weight-only ones. How-
ever, we argue that this conclusion is skewed by</x:v>
      </x:c>
      <x:c r="M54" s="19" t="str">
        <x:v>该段包含可直接回答问题的方法、指标、比较或研究发现。</x:v>
      </x:c>
      <x:c r="N54" s="13" t="str">
        <x:v>http://arxiv.org/abs/2410.11305v3</x:v>
      </x:c>
    </x:row>
    <x:row r="55" ht="58" customHeight="1">
      <x:c r="A55" s="13" t="str">
        <x:v>csq002-c024</x:v>
      </x:c>
      <x:c r="B55" s="13" t="str">
        <x:v>csq002</x:v>
      </x:c>
      <x:c r="C55" s="21" t="n">
        <x:v>24</x:v>
      </x:c>
      <x:c r="D55" s="20" t="str">
        <x:v>2</x:v>
      </x:c>
      <x:c r="E55" s="20" t="str"/>
      <x:c r="F55" s="20" t="str">
        <x:f>IF(E55="",D55,E55)</x:f>
        <x:v>2</x:v>
      </x:c>
      <x:c r="G55" s="13" t="str">
        <x:v>QuantSpec: Self-Speculative Decoding with Hierarchical Quantized KV Cache</x:v>
      </x:c>
      <x:c r="H55" s="13" t="n">
        <x:v>3</x:v>
      </x:c>
      <x:c r="I55" s="22" t="n">
        <x:v>0.014084507042253521</x:v>
      </x:c>
      <x:c r="J55" s="13" t="n">
        <x:v>1</x:v>
      </x:c>
      <x:c r="K55" s="19" t="str">
        <x:v>How do speculative decoding, model quantization, and KV-cache optimization differ as methods for accelerating large language model inference?</x:v>
      </x:c>
      <x:c r="L55" s="19" t="str">
        <x:v>dominate latency, so weight quantization could provide
considerable speedup in this regime. In the small batch +
long context, large batch + short context, and large batch +
long context regimes, attention dominates latency due to the
expensive load-store operations for the large KV cache. KV
cache quantization could help provide performance im-
provements in these regimes. In the small batch + medium
context and short context + medium batch regimes, the lin-
ear and attention operations are approximately equivalent in
their contributions to total latency. Thus, both weight and
KV cache quantization are ideal here.
4. QuantSpec
4.1. Overview of QuantSpec
In this section, we introduce QuantSpec, a self-speculative
decoding framework designed to accelerate both short- and
long-context generation by quantizing the model weights
and KV cache into INT4 precision. We begin by noting</x:v>
      </x:c>
      <x:c r="M55" s="19" t="str">
        <x:v>该段包含可直接回答问题的方法、指标、比较或研究发现。</x:v>
      </x:c>
      <x:c r="N55" s="13" t="str">
        <x:v>http://arxiv.org/abs/2502.10424v1</x:v>
      </x:c>
    </x:row>
    <x:row r="56" ht="58" customHeight="1">
      <x:c r="A56" s="13" t="str">
        <x:v>csq002-c025</x:v>
      </x:c>
      <x:c r="B56" s="13" t="str">
        <x:v>csq002</x:v>
      </x:c>
      <x:c r="C56" s="21" t="n">
        <x:v>25</x:v>
      </x:c>
      <x:c r="D56" s="20" t="str">
        <x:v>2</x:v>
      </x:c>
      <x:c r="E56" s="20" t="str"/>
      <x:c r="F56" s="20" t="str">
        <x:f>IF(E56="",D56,E56)</x:f>
        <x:v>2</x:v>
      </x:c>
      <x:c r="G56" s="13" t="str">
        <x:v>QSpec: Speculative Decoding with Complementary Quantization Schemes</x:v>
      </x:c>
      <x:c r="H56" s="13" t="n">
        <x:v>0</x:v>
      </x:c>
      <x:c r="I56" s="22" t="n">
        <x:v>0.014084507042253521</x:v>
      </x:c>
      <x:c r="J56" s="13" t="n">
        <x:v>1</x:v>
      </x:c>
      <x:c r="K56" s="19" t="str">
        <x:v>How do speculative decoding, model quantization, and KV-cache optimization differ as methods for accelerating large language model inference?</x:v>
      </x:c>
      <x:c r="L56" s="19" t="str">
        <x:v>both weights and KV cache across stages, en-
abling near-zero-cost switching without retrain-
ing or auxiliary models. Compared to high-
precision baselines, QSPECachieves up to
1.64× speedup without quality degradation,
and outperforms state-of-the-art speculative de-
coding methods by up to 1.55× in batched set-
tings. Furthermore, QSPECsupports plug-and-
play deployment and generalizes well across
model scales, quantization methods, and work-
loads. These properties make QSPECa practi-
cal and scalable solution for high-fidelity quan-
tized LLM serving under memory-constrained
scenarios. Our code is available at https:
//github.com/hku-netexplo-lab/QSpec.
1 Introduction
Large language models (LLMs) have demonstrated
remarkable abilities across various domains, in-
cluding mathematics, coding, and planning (Shao
et al., 2024; Guo et al., 2024a; Huang et al., 2024).</x:v>
      </x:c>
      <x:c r="M56" s="19" t="str">
        <x:v>该段包含可直接回答问题的方法、指标、比较或研究发现。</x:v>
      </x:c>
      <x:c r="N56" s="13" t="str">
        <x:v>http://arxiv.org/abs/2410.11305v3</x:v>
      </x:c>
    </x:row>
    <x:row r="57" ht="58" customHeight="1">
      <x:c r="A57" s="13" t="str">
        <x:v>csq002-c026</x:v>
      </x:c>
      <x:c r="B57" s="13" t="str">
        <x:v>csq002</x:v>
      </x:c>
      <x:c r="C57" s="21" t="n">
        <x:v>26</x:v>
      </x:c>
      <x:c r="D57" s="20" t="str">
        <x:v>2</x:v>
      </x:c>
      <x:c r="E57" s="20" t="str"/>
      <x:c r="F57" s="20" t="str">
        <x:f>IF(E57="",D57,E57)</x:f>
        <x:v>2</x:v>
      </x:c>
      <x:c r="G57" s="13" t="str">
        <x:v>QuantSpec: Self-Speculative Decoding with Hierarchical Quantized KV Cache</x:v>
      </x:c>
      <x:c r="H57" s="13" t="n">
        <x:v>6</x:v>
      </x:c>
      <x:c r="I57" s="22" t="n">
        <x:v>0.0136986301369863</x:v>
      </x:c>
      <x:c r="J57" s="13" t="n">
        <x:v>1</x:v>
      </x:c>
      <x:c r="K57" s="19" t="str">
        <x:v>How do speculative decoding, model quantization, and KV-cache optimization differ as methods for accelerating large language model inference?</x:v>
      </x:c>
      <x:c r="L57" s="19" t="str">
        <x:v>StreamingLLM - OOM -
SnapKV - OOM -
QuantSpec 94.31 61.22 2.49
precision buffer CF2 and without needing extra quantize
and dequantize operations. We also show that our method is
fully compatible with FlashDecoding in Appendix E.
4.3.3. S UMMARY
In summary, QuantSpec allows the draft and target models
to share the same architecture in a self-speculative decoding
manner, ensuring greater consistency between drafting and
verification as opposed to traditional big-little speculative
decoding methods. Our approach is mainly designed for
long-context scenarios, where efficient KV cache manage-
ment is critical, but it also supports short contexts where
using weight quantization becomes more critical. We quan-
tize the KV cache using our hierarchical INT4 design and
use a double full-precision cache buffer for higher accep-
tance rates and flexibility with speculative decoding. Then</x:v>
      </x:c>
      <x:c r="M57" s="19" t="str">
        <x:v>该段包含可直接回答问题的方法、指标、比较或研究发现。</x:v>
      </x:c>
      <x:c r="N57" s="13" t="str">
        <x:v>http://arxiv.org/abs/2502.10424v1</x:v>
      </x:c>
    </x:row>
    <x:row r="58" ht="58" customHeight="1">
      <x:c r="A58" s="13" t="str">
        <x:v>csq002-c027</x:v>
      </x:c>
      <x:c r="B58" s="13" t="str">
        <x:v>csq002</x:v>
      </x:c>
      <x:c r="C58" s="21" t="n">
        <x:v>27</x:v>
      </x:c>
      <x:c r="D58" s="20" t="str">
        <x:v>2</x:v>
      </x:c>
      <x:c r="E58" s="20" t="str"/>
      <x:c r="F58" s="20" t="str">
        <x:f>IF(E58="",D58,E58)</x:f>
        <x:v>2</x:v>
      </x:c>
      <x:c r="G58" s="13" t="str">
        <x:v>Decoding Speculative Decoding</x:v>
      </x:c>
      <x:c r="H58" s="13" t="n">
        <x:v>1</x:v>
      </x:c>
      <x:c r="I58" s="22" t="n">
        <x:v>0.013333333333333334</x:v>
      </x:c>
      <x:c r="J58" s="13" t="n">
        <x:v>1</x:v>
      </x:c>
      <x:c r="K58" s="19" t="str">
        <x:v>How do speculative decoding, model quantization, and KV-cache optimization differ as methods for accelerating large language model inference?</x:v>
      </x:c>
      <x:c r="L58" s="19" t="str">
        <x:v>ing. We demonstrate that using accuracy on
language modeling tasks to choose the draft
model for speculative decoding leads to sub-
optimal choices. By redesigning draft models,
we improved speculative decoding throughput
by up to 111%.
• We show that our design leads to a37% reduc-
tion in KV-Caches, enabling larger batch sizes,
and also outperforms other popular methods
like self-speculative decoding (Zhang et al.,
2023) in several different setups.
2 Background and Related Work
First, we provide a high-level overview of LLM
inference and the use of speculative decoding.
2.1 Background
A decoder-only LLM performs inference in two
phases: prefill and autoregressive decoding. In the
prefill phase, the LLM is initialized with a con-
text or prompt, formulated as C = {c1, c2, ..., cn},
where C represents the input context and n the
length of the prefill. In the prefill phase, the model</x:v>
      </x:c>
      <x:c r="M58" s="19" t="str">
        <x:v>该段包含可直接回答问题的方法、指标、比较或研究发现。</x:v>
      </x:c>
      <x:c r="N58" s="13" t="str">
        <x:v>http://arxiv.org/abs/2402.01528v4</x:v>
      </x:c>
    </x:row>
    <x:row r="59" ht="58" customHeight="1">
      <x:c r="A59" s="13" t="str">
        <x:v>csq003-c001</x:v>
      </x:c>
      <x:c r="B59" s="13" t="str">
        <x:v>csq003</x:v>
      </x:c>
      <x:c r="C59" s="21" t="n">
        <x:v>1</x:v>
      </x:c>
      <x:c r="D59" s="20" t="str">
        <x:v>2</x:v>
      </x:c>
      <x:c r="E59" s="20" t="str"/>
      <x:c r="F59" s="20" t="str">
        <x:f>IF(E59="",D59,E59)</x:f>
        <x:v>2</x:v>
      </x:c>
      <x:c r="G59" s="13" t="str">
        <x:v>Heaven-Sent or Hell-Bent? Benchmarking the Intelligence and Defectiveness of LLM Hallucinations</x:v>
      </x:c>
      <x:c r="H59" s="13" t="n">
        <x:v>18</x:v>
      </x:c>
      <x:c r="I59" s="22" t="n">
        <x:v>0.08043795912648373</x:v>
      </x:c>
      <x:c r="J59" s="13" t="n">
        <x:v>5</x:v>
      </x:c>
      <x:c r="K59" s="19" t="str">
        <x:v>Which automatic and human evaluation methods are used to measure hallucination and factual consistency in large language models, and what evidence exists about their reliability?</x:v>
      </x:c>
      <x:c r="L59" s="19" t="str">
        <x:v>Heaven-Sent or Hell-Bent? Benchmarking the Intelligence and Defectiveness of LLM Hallucinations
Table 10: Comparison of LLM Hallucination Evaluation Studies
Benchmark Dataset Source Task Type Evaluation Metrics
HHEM [7] Wiki, News Question Answering BLEU, ROUGE, Factual-
ity Score
TruthfulQA [29] Manual Question Answering Accuracy by Human or
GPT Judge
HalluDial [33] Dialogues, Synthetic Dialogue Generation Hallucination Rate, Se-
mantic Consistency
HalDetect [15] Wiki, Synthetic Text Generation Hallucination Rate, F1,
Precision
FactCheck [42] News, Wiki Fact Checking FactScore, NE Error
SelfCheck [34] Wiki Fact Checking SelfCheckGPT Score,
Hallucination Rate
FactScore [35] Wiki Text Generation FactScore, NE Error
HalluQA [11] Manual, Wiki Question Answering Non Hallucination Rate
UHGEval [28] News Open Ended Genera-
tion
Accuracy, kwPrec,
BERTScore</x:v>
      </x:c>
      <x:c r="M59" s="19" t="str">
        <x:v>该段包含可直接回答问题的方法、指标、比较或研究发现。</x:v>
      </x:c>
      <x:c r="N59" s="13" t="str">
        <x:v>http://arxiv.org/abs/2512.21635v2</x:v>
      </x:c>
    </x:row>
    <x:row r="60" ht="58" customHeight="1">
      <x:c r="A60" s="13" t="str">
        <x:v>csq003-c002</x:v>
      </x:c>
      <x:c r="B60" s="13" t="str">
        <x:v>csq003</x:v>
      </x:c>
      <x:c r="C60" s="21" t="n">
        <x:v>2</x:v>
      </x:c>
      <x:c r="D60" s="20" t="str">
        <x:v>2</x:v>
      </x:c>
      <x:c r="E60" s="20" t="str"/>
      <x:c r="F60" s="20" t="str">
        <x:f>IF(E60="",D60,E60)</x:f>
        <x:v>2</x:v>
      </x:c>
      <x:c r="G60" s="13" t="str">
        <x:v>Heaven-Sent or Hell-Bent? Benchmarking the Intelligence and Defectiveness of LLM Hallucinations</x:v>
      </x:c>
      <x:c r="H60" s="13" t="n">
        <x:v>4</x:v>
      </x:c>
      <x:c r="I60" s="22" t="n">
        <x:v>0.0745680301616462</x:v>
      </x:c>
      <x:c r="J60" s="13" t="n">
        <x:v>5</x:v>
      </x:c>
      <x:c r="K60" s="19" t="str">
        <x:v>Which automatic and human evaluation methods are used to measure hallucination and factual consistency in large language models, and what evidence exists about their reliability?</x:v>
      </x:c>
      <x:c r="L60" s="19" t="str">
        <x:v>Heaven-Sent or Hell-Bent? Benchmarking the Intelligence and Defectiveness of LLM Hallucinations
DH. Generated content classified as DH includes outputs marred
by factual errors, logical inconsistencies, or severe violations of
scientific principles, lacking innovation or practical utility. We em-
ploy LLMs for automated scientific validation of responses, sup-
plemented by human evaluation to confirm fidelity. Consistency is
further assessed using kwPrec [28], a keyword-segmentation met-
ric. The DH ratio is expressed in Equation 2, where𝑁𝐷𝐻 indicates
the count of DH instances.
𝐷𝐻𝑟𝑎𝑡𝑖𝑜 = 𝑁𝐷𝐻
𝑁𝑡𝑜𝑡𝑎𝑙
(2)
Notably,𝐼𝐻𝑟𝑎𝑡𝑖𝑜+𝐷𝐻𝑟𝑎𝑡𝑖𝑜 ≠ 1, as outputs neither innovative nor
factually errant are classified as neutral noise responses, distinct
from both IH and conventional DH traits.
3.2.3 IFS.To evaluate the balanced performance of LLMs across</x:v>
      </x:c>
      <x:c r="M60" s="19" t="str">
        <x:v>该段包含可直接回答问题的方法、指标、比较或研究发现。</x:v>
      </x:c>
      <x:c r="N60" s="13" t="str">
        <x:v>http://arxiv.org/abs/2512.21635v2</x:v>
      </x:c>
    </x:row>
    <x:row r="61" ht="58" customHeight="1">
      <x:c r="A61" s="13" t="str">
        <x:v>csq003-c003</x:v>
      </x:c>
      <x:c r="B61" s="13" t="str">
        <x:v>csq003</x:v>
      </x:c>
      <x:c r="C61" s="21" t="n">
        <x:v>3</x:v>
      </x:c>
      <x:c r="D61" s="20" t="str">
        <x:v>2</x:v>
      </x:c>
      <x:c r="E61" s="20" t="str"/>
      <x:c r="F61" s="20" t="str">
        <x:f>IF(E61="",D61,E61)</x:f>
        <x:v>2</x:v>
      </x:c>
      <x:c r="G61" s="13" t="str">
        <x:v>Heaven-Sent or Hell-Bent? Benchmarking the Intelligence and Defectiveness of LLM Hallucinations</x:v>
      </x:c>
      <x:c r="H61" s="13" t="n">
        <x:v>12</x:v>
      </x:c>
      <x:c r="I61" s="22" t="n">
        <x:v>0.061011928307662264</x:v>
      </x:c>
      <x:c r="J61" s="13" t="n">
        <x:v>4</x:v>
      </x:c>
      <x:c r="K61" s="19" t="str">
        <x:v>Which automatic and human evaluation methods are used to measure hallucination and factual consistency in large language models, and what evidence exists about their reliability?</x:v>
      </x:c>
      <x:c r="L61" s="19" t="str">
        <x:v>C Human Review
We integrate human review into HIC-Bench to enhance evalua-
tion rigor. Specifically, we conduct a human review on the model’s
Intelligent Hallucinations (IH) and Defective Hallucinations (DH)
outputs, assessing their factuality and feasibility from multiple
perspectives. This process ensures a more reliable distinction be-
tween intelligent and defective hallucinations in scientific contexts,
strengthening the overall assessment of LLMs’ creative potential.
Due to the low efficiency and high labor cost of human review as
well as the difficulty of evaluating open ended tasks automated eval-
uation metrics are becoming mainstream. However to ensure the
reliability of automated evaluations we conducted a human review
of the model classified IH and DH. This section presents examples
from the human review process for model outputs classified as IH</x:v>
      </x:c>
      <x:c r="M61" s="19" t="str">
        <x:v>该段包含可直接回答问题的方法、指标、比较或研究发现。</x:v>
      </x:c>
      <x:c r="N61" s="13" t="str">
        <x:v>http://arxiv.org/abs/2512.21635v2</x:v>
      </x:c>
    </x:row>
    <x:row r="62" ht="58" customHeight="1">
      <x:c r="A62" s="13" t="str">
        <x:v>csq003-c004</x:v>
      </x:c>
      <x:c r="B62" s="13" t="str">
        <x:v>csq003</x:v>
      </x:c>
      <x:c r="C62" s="21" t="n">
        <x:v>4</x:v>
      </x:c>
      <x:c r="D62" s="20" t="str">
        <x:v>2</x:v>
      </x:c>
      <x:c r="E62" s="20" t="str"/>
      <x:c r="F62" s="20" t="str">
        <x:f>IF(E62="",D62,E62)</x:f>
        <x:v>2</x:v>
      </x:c>
      <x:c r="G62" s="13" t="str">
        <x:v>Heaven-Sent or Hell-Bent? Benchmarking the Intelligence and Defectiveness of LLM Hallucinations</x:v>
      </x:c>
      <x:c r="H62" s="13" t="n">
        <x:v>13</x:v>
      </x:c>
      <x:c r="I62" s="22" t="n">
        <x:v>0.044861022193768675</x:v>
      </x:c>
      <x:c r="J62" s="13" t="n">
        <x:v>3</x:v>
      </x:c>
      <x:c r="K62" s="19" t="str">
        <x:v>Which automatic and human evaluation methods are used to measure hallucination and factual consistency in large language models, and what evidence exists about their reliability?</x:v>
      </x:c>
      <x:c r="L62" s="19" t="str">
        <x:v>gpt-4o gpt-4o-mini qwen2.5-14b qwen2.5-72b deepseek-v3 deepseek-r1
gpt-4o — 0.016*** 0.014*** 0.015** 0.016** 0.030***
gpt-4o-mini — 0.009** 0.011*** 0.018*** 0.033***
qwen2.5-14b — 0.012** 0.017*** 0.033***
qwen2.5-72b — 0.017*** 0.032***
deepseek-v3 — 0.030***
deepseek-r1 —
the feasibility of the proposed ideas to ensure reliable categoriza-
tion. Through token level analysis we evaluated the rationality of
the classifications. Table 7 provides examples of the human review
process.
In the Artificial Intelligence domain, we conducted a human
evaluation of 600 model responses generated under the SCP strat-
egy, where expert reviewers manually scored and classified the
outputs into Intelligent Hallucinations (IH) and Defective Halluci-
nations (DH) based on criteria such as factual accuracy, creative
value, and feasibility. This process involved a detailed analysis of</x:v>
      </x:c>
      <x:c r="M62" s="19" t="str">
        <x:v>该段包含可直接回答问题的方法、指标、比较或研究发现。</x:v>
      </x:c>
      <x:c r="N62" s="13" t="str">
        <x:v>http://arxiv.org/abs/2512.21635v2</x:v>
      </x:c>
    </x:row>
    <x:row r="63" ht="58" customHeight="1">
      <x:c r="A63" s="13" t="str">
        <x:v>csq003-c005</x:v>
      </x:c>
      <x:c r="B63" s="13" t="str">
        <x:v>csq003</x:v>
      </x:c>
      <x:c r="C63" s="21" t="n">
        <x:v>5</x:v>
      </x:c>
      <x:c r="D63" s="20" t="str">
        <x:v>0</x:v>
      </x:c>
      <x:c r="E63" s="20" t="str"/>
      <x:c r="F63" s="20" t="str">
        <x:f>IF(E63="",D63,E63)</x:f>
        <x:v>0</x:v>
      </x:c>
      <x:c r="G63" s="13" t="str">
        <x:v>Heaven-Sent or Hell-Bent? Benchmarking the Intelligence and Defectiveness of LLM Hallucinations</x:v>
      </x:c>
      <x:c r="H63" s="13" t="n">
        <x:v>8</x:v>
      </x:c>
      <x:c r="I63" s="22" t="n">
        <x:v>0.04410256410256411</x:v>
      </x:c>
      <x:c r="J63" s="13" t="n">
        <x:v>3</x:v>
      </x:c>
      <x:c r="K63" s="19" t="str">
        <x:v>Which automatic and human evaluation methods are used to measure hallucination and factual consistency in large language models, and what evidence exists about their reliability?</x:v>
      </x:c>
      <x:c r="L63" s="19" t="str">
        <x:v>Resource Black-Box Hallucination Detection for Generative Large Language
Models. InThe 2023 Conference on Empirical Methods in Natural Language Pro-
cessing.
[35] Sewon Min, Kalpesh Krishna, Xinxi Lyu, Mike Lewis, Wen-tau Yih, Pang Koh,
Mohit Iyyer, Luke Zettlemoyer, and Hannaneh Hajishirzi. 2023. FActScore: Fine-
grained Atomic Evaluation of Factual Precision in Long Form Text Generation.
InProceedings of the 2023 Conference on Empirical Methods in Natural Language
Processing. 12076–12100.
[36] Ofir Press, Muru Zhang, Sewon Min, Ludwig Schmidt, Noah A Smith, and Mike
Lewis. 2022. Measuring and narrowing the compositionality gap in language
models.arXiv preprint arXiv:2210.03350(2022).
[37] Vipula Rawte, Amit Sheth, and Amitava Das. 2023. A survey of hallucination in
large foundation models.arXiv preprint arXiv:2309.05922(2023).</x:v>
      </x:c>
      <x:c r="M63" s="19" t="str">
        <x:v>该段为无关内容、泛泛提及或参考文献片段，不能作为回答证据。</x:v>
      </x:c>
      <x:c r="N63" s="13" t="str">
        <x:v>http://arxiv.org/abs/2512.21635v2</x:v>
      </x:c>
    </x:row>
    <x:row r="64" ht="58" customHeight="1">
      <x:c r="A64" s="13" t="str">
        <x:v>csq003-c006</x:v>
      </x:c>
      <x:c r="B64" s="13" t="str">
        <x:v>csq003</x:v>
      </x:c>
      <x:c r="C64" s="21" t="n">
        <x:v>6</x:v>
      </x:c>
      <x:c r="D64" s="20" t="str">
        <x:v>2</x:v>
      </x:c>
      <x:c r="E64" s="20" t="str"/>
      <x:c r="F64" s="20" t="str">
        <x:f>IF(E64="",D64,E64)</x:f>
        <x:v>2</x:v>
      </x:c>
      <x:c r="G64" s="13" t="str">
        <x:v>TofuEval: Evaluating Hallucinations of LLMs on Topic-Focused Dialogue Summarization</x:v>
      </x:c>
      <x:c r="H64" s="13" t="n">
        <x:v>1</x:v>
      </x:c>
      <x:c r="I64" s="22" t="n">
        <x:v>0.04377551842282981</x:v>
      </x:c>
      <x:c r="J64" s="13" t="n">
        <x:v>3</x:v>
      </x:c>
      <x:c r="K64" s="19" t="str">
        <x:v>Which automatic and human evaluation methods are used to measure hallucination and factual consistency in large language models, and what evidence exists about their reliability?</x:v>
      </x:c>
      <x:c r="L64" s="19" t="str">
        <x:v>factuality labels and explanations; (2) we system-
atically evaluate LLMs as summarizers across rele-
vance, completeness, and factual consistency, and
we show that LLMs perform poorly on factual con-
sistency in the dialogue domain; (3) on factuality
prediction, our evaluation benchmark shows that
with the exception of GPT-4, all other LLM-based
evaluator performances we studied are inferior to
non-LLM factuality metrics; (4) we conduct an er-
ror analysis using a curated error taxonomy, reveal-
ing that non-LLM factuality metrics can capture all
error types better than LLM-based evaluators; (5)
we release TOFU EVAL with human-annotated data
to enable further research into improved automated
evaluation of summary factuality.
2 Related Work
Factual Consistency Evaluation Benchmarks
In text summarization, there have been significant
efforts to collect human-annotated data for assess-</x:v>
      </x:c>
      <x:c r="M64" s="19" t="str">
        <x:v>该段包含可直接回答问题的方法、指标、比较或研究发现。</x:v>
      </x:c>
      <x:c r="N64" s="13" t="str">
        <x:v>http://arxiv.org/abs/2402.13249v2</x:v>
      </x:c>
    </x:row>
    <x:row r="65" ht="58" customHeight="1">
      <x:c r="A65" s="13" t="str">
        <x:v>csq003-c007</x:v>
      </x:c>
      <x:c r="B65" s="13" t="str">
        <x:v>csq003</x:v>
      </x:c>
      <x:c r="C65" s="21" t="n">
        <x:v>7</x:v>
      </x:c>
      <x:c r="D65" s="20" t="str">
        <x:v>2</x:v>
      </x:c>
      <x:c r="E65" s="20" t="str"/>
      <x:c r="F65" s="20" t="str">
        <x:f>IF(E65="",D65,E65)</x:f>
        <x:v>2</x:v>
      </x:c>
      <x:c r="G65" s="13" t="str">
        <x:v>TofuEval: Evaluating Hallucinations of LLMs on Topic-Focused Dialogue Summarization</x:v>
      </x:c>
      <x:c r="H65" s="13" t="n">
        <x:v>0</x:v>
      </x:c>
      <x:c r="I65" s="22" t="n">
        <x:v>0.04353143466046692</x:v>
      </x:c>
      <x:c r="J65" s="13" t="n">
        <x:v>3</x:v>
      </x:c>
      <x:c r="K65" s="19" t="str">
        <x:v>Which automatic and human evaluation methods are used to measure hallucination and factual consistency in large language models, and what evidence exists about their reliability?</x:v>
      </x:c>
      <x:c r="L65" s="19" t="str">
        <x:v>TOFU EVAL: Evaluating Hallucinations of LLMs
on Topic-Focused Dialogue Summarization
Liyan Tang♢†, Igor Shalyminov♠, Amy Wing-mei Wong♠, Jon Burnsky♠, Jake W. Vincent♠
Yu’an Yang♠, Siffi Singh♠, Song Feng♠, Hwanjun Song♡‡, Hang Su♠, Lijia Sun♠,
Yi Zhang♠, Saab Mansour♠, Kathleen McKeown♠
♠AWS AI Labs ♡Korea Advanced Institute of Science &amp; Technology
♢The University of Texas at Austin
shalymin@amazon.com
Abstract
Single document news summarization has seen
substantial progress on faithfulness in recent
years, driven by research on the evaluation
of factual consistency, or hallucinations. We
ask whether these advances carry over to other
text summarization domains. We propose a
new evaluation benchmark on topic-focused
dialogue summarization, generated by LLMs
of varying sizes. We provide binary sentence-
level human annotations of the factual consis-</x:v>
      </x:c>
      <x:c r="M65" s="19" t="str">
        <x:v>该段包含可直接回答问题的方法、指标、比较或研究发现。</x:v>
      </x:c>
      <x:c r="N65" s="13" t="str">
        <x:v>http://arxiv.org/abs/2402.13249v2</x:v>
      </x:c>
    </x:row>
    <x:row r="66" ht="58" customHeight="1">
      <x:c r="A66" s="13" t="str">
        <x:v>csq003-c008</x:v>
      </x:c>
      <x:c r="B66" s="13" t="str">
        <x:v>csq003</x:v>
      </x:c>
      <x:c r="C66" s="21" t="n">
        <x:v>8</x:v>
      </x:c>
      <x:c r="D66" s="20" t="str">
        <x:v>2</x:v>
      </x:c>
      <x:c r="E66" s="20" t="str"/>
      <x:c r="F66" s="20" t="str">
        <x:f>IF(E66="",D66,E66)</x:f>
        <x:v>2</x:v>
      </x:c>
      <x:c r="G66" s="13" t="str">
        <x:v>TofuEval: Evaluating Hallucinations of LLMs on Topic-Focused Dialogue Summarization</x:v>
      </x:c>
      <x:c r="H66" s="13" t="n">
        <x:v>1</x:v>
      </x:c>
      <x:c r="I66" s="22" t="n">
        <x:v>0.04206349206349206</x:v>
      </x:c>
      <x:c r="J66" s="13" t="n">
        <x:v>3</x:v>
      </x:c>
      <x:c r="K66" s="19" t="str">
        <x:v>Which automatic and human evaluation methods are used to measure hallucination and factual consistency in large language models, and what evidence exists about their reliability?</x:v>
      </x:c>
      <x:c r="L66" s="19" t="str">
        <x:v>VAL focuses on dialogue summarization. Even
though DIAL SUMM EVAL (Gao and Wan, 2022)
shares this focus, source documents in TOFU EVAL
are considerably longer than those in DIAL SUM-
MEVAL, which are based on short conversations
in the SAMSum corpus (Gliwa et al., 2019). (3)
Human evaluation from prior work comes from
diverse sources, such as crowd-workers in SUM-
MEVAL (Fabbri et al., 2021) and FRANK (Pagnoni
et al., 2021), and trained college students from DI-
ALSUMM EVAL (Gao and Wan, 2022). TOFU EVAL
consists of annotations from professional linguistic
data annotators.
Detecting Hallucinations Common automatic
metrics for text summarization such as ROUGE
(Lin, 2004), BLEU (Papineni et al., 2002), and
BERTScore (Zhang* et al., 2020) have poor cor-
relations with human judgement on factual consis-
tency (Kryscinski et al., 2019; Falke et al., 2019;</x:v>
      </x:c>
      <x:c r="M66" s="19" t="str">
        <x:v>该段包含可直接回答问题的方法、指标、比较或研究发现。</x:v>
      </x:c>
      <x:c r="N66" s="13" t="str">
        <x:v>http://arxiv.org/abs/2402.13249v2</x:v>
      </x:c>
    </x:row>
    <x:row r="67" ht="58" customHeight="1">
      <x:c r="A67" s="13" t="str">
        <x:v>csq003-c009</x:v>
      </x:c>
      <x:c r="B67" s="13" t="str">
        <x:v>csq003</x:v>
      </x:c>
      <x:c r="C67" s="21" t="n">
        <x:v>9</x:v>
      </x:c>
      <x:c r="D67" s="20" t="str">
        <x:v>2</x:v>
      </x:c>
      <x:c r="E67" s="20" t="str"/>
      <x:c r="F67" s="20" t="str">
        <x:f>IF(E67="",D67,E67)</x:f>
        <x:v>2</x:v>
      </x:c>
      <x:c r="G67" s="13" t="str">
        <x:v>TofuEval: Evaluating Hallucinations of LLMs on Topic-Focused Dialogue Summarization</x:v>
      </x:c>
      <x:c r="H67" s="13" t="n">
        <x:v>5</x:v>
      </x:c>
      <x:c r="I67" s="22" t="n">
        <x:v>0.04115942028985507</x:v>
      </x:c>
      <x:c r="J67" s="13" t="n">
        <x:v>3</x:v>
      </x:c>
      <x:c r="K67" s="19" t="str">
        <x:v>Which automatic and human evaluation methods are used to measure hallucination and factual consistency in large language models, and what evidence exists about their reliability?</x:v>
      </x:c>
      <x:c r="L67" s="19" t="str">
        <x:v>TOFU EVAL).
of model output and provide explanations for their
factual consistency judgments (Madaan et al., 2023;
Saunders et al., 2022), we consider the accuracy of
model-generated explanations by comparing them
to human-written explanations (Appendix H).
Evaluator Selection For a comprehensive com-
parison, we include the following non-LLM based
SOTA factuality metrics: SummaC-ZS, SummaC-
CV (Laban et al., 2022), QAFactEval (Fabbri et al.,
2022), and AlignScore (Zha et al., 2023). We also
include the following proprietary and open-source
LLMs as factual consistency evaluators: (1) GPT-4
(OpenAI, 2023); (2) GPT-3.5-Turbo; (3) Vicuna-
13B/33B (Chiang et al., 2023); (4) WizardLM-
13B/30B (Xu et al., 2023). For all LLMs in the
aforementioned list we used a zero-shot configu-
ration, as certain LLMs in this list are unable to
accommodate few-shot evaluations due to input</x:v>
      </x:c>
      <x:c r="M67" s="19" t="str">
        <x:v>该段包含可直接回答问题的方法、指标、比较或研究发现。</x:v>
      </x:c>
      <x:c r="N67" s="13" t="str">
        <x:v>http://arxiv.org/abs/2402.13249v2</x:v>
      </x:c>
    </x:row>
    <x:row r="68" ht="58" customHeight="1">
      <x:c r="A68" s="13" t="str">
        <x:v>csq003-c010</x:v>
      </x:c>
      <x:c r="B68" s="13" t="str">
        <x:v>csq003</x:v>
      </x:c>
      <x:c r="C68" s="21" t="n">
        <x:v>10</x:v>
      </x:c>
      <x:c r="D68" s="20" t="str">
        <x:v>2</x:v>
      </x:c>
      <x:c r="E68" s="20" t="str"/>
      <x:c r="F68" s="20" t="str">
        <x:f>IF(E68="",D68,E68)</x:f>
        <x:v>2</x:v>
      </x:c>
      <x:c r="G68" s="13" t="str">
        <x:v>TofuEval: Evaluating Hallucinations of LLMs on Topic-Focused Dialogue Summarization</x:v>
      </x:c>
      <x:c r="H68" s="13" t="n">
        <x:v>1</x:v>
      </x:c>
      <x:c r="I68" s="22" t="n">
        <x:v>0.03225806451612903</x:v>
      </x:c>
      <x:c r="J68" s="13" t="n">
        <x:v>2</x:v>
      </x:c>
      <x:c r="K68" s="19" t="str">
        <x:v>Which automatic and human evaluation methods are used to measure hallucination and factual consistency in large language models, and what evidence exists about their reliability?</x:v>
      </x:c>
      <x:c r="L68" s="19" t="str">
        <x:v>relations with human judgement on factual consis-
tency (Kryscinski et al., 2019; Falke et al., 2019;
Gao and Wan, 2022; Tang et al., 2023b). Therefore,
a few non-LLM-based metrics have been devel-
oped to detect factuality errors (Kryscinski et al.,
2020; Goyal and Durrett, 2021; Laban et al., 2022;
Fabbri et al., 2022; Zha et al., 2023). More recently,
LLMs have been shown to have superior zero-shot
performance at factual consistency evaluation un-
der certain evaluation settings, highlighting their
potential as state-of-the-art factual consistency eval-
uators (Luo et al., 2023; Wang et al., 2023).
As hallucinations from more recent models are
harder to detect (Tang et al., 2023a), we re-evaluate
non-LLM-based and LLM-based factuality metrics
using LLM-generated summaries within the con-
2We use the termsfactual inconsistency, factual errors and</x:v>
      </x:c>
      <x:c r="M68" s="19" t="str">
        <x:v>该段包含可直接回答问题的方法、指标、比较或研究发现。</x:v>
      </x:c>
      <x:c r="N68" s="13" t="str">
        <x:v>http://arxiv.org/abs/2402.13249v2</x:v>
      </x:c>
    </x:row>
    <x:row r="69" ht="58" customHeight="1">
      <x:c r="A69" s="13" t="str">
        <x:v>csq003-c011</x:v>
      </x:c>
      <x:c r="B69" s="13" t="str">
        <x:v>csq003</x:v>
      </x:c>
      <x:c r="C69" s="21" t="n">
        <x:v>11</x:v>
      </x:c>
      <x:c r="D69" s="20" t="str">
        <x:v>2</x:v>
      </x:c>
      <x:c r="E69" s="20" t="str"/>
      <x:c r="F69" s="20" t="str">
        <x:f>IF(E69="",D69,E69)</x:f>
        <x:v>2</x:v>
      </x:c>
      <x:c r="G69" s="13" t="str">
        <x:v>Are Large Language Models Reliable Judges? A Study on the Factuality Evaluation Capabilities of LLMs</x:v>
      </x:c>
      <x:c r="H69" s="13" t="n">
        <x:v>0</x:v>
      </x:c>
      <x:c r="I69" s="22" t="n">
        <x:v>0.031746031746031744</x:v>
      </x:c>
      <x:c r="J69" s="13" t="n">
        <x:v>2</x:v>
      </x:c>
      <x:c r="K69" s="19" t="str">
        <x:v>Which automatic and human evaluation methods are used to measure hallucination and factual consistency in large language models, and what evidence exists about their reliability?</x:v>
      </x:c>
      <x:c r="L69" s="19" t="str">
        <x:v>answering, or syntactic dependency as factuality
evaluation metrics (Honovich et al., 2022). How-
ever, as highlighted by Pagnoni et al. (2021), none
of these automatic factuality metrics demonstrate a
considerable correlation (i.e., fails to achieve a cor-
relation score above 0.3) with human evaluations,
pointing to the limited efficacy of these measures.
The emergence and subsequent advancements
of LLMs, such as ChatGPT1, have transformed the
landscape of natural language processing (NLP).
ChatGPT-like LLMs (Google, 2023; Touvron et al.,
2023b; OpenAI, 2023) have displayed impressive
progress across a broad spectrum of NLP tasks,
from text classification to generation, language
translation, and beyond (Laskar et al., 2023a,c).
Given the capabilities of these LLMs, our re-
search explores the possibility of utilizing LLMs
for the critical task of factual consistency evalua-</x:v>
      </x:c>
      <x:c r="M69" s="19" t="str">
        <x:v>该段包含可直接回答问题的方法、指标、比较或研究发现。</x:v>
      </x:c>
      <x:c r="N69" s="13" t="str">
        <x:v>http://arxiv.org/abs/2311.00681v1</x:v>
      </x:c>
    </x:row>
    <x:row r="70" ht="58" customHeight="1">
      <x:c r="A70" s="13" t="str">
        <x:v>csq003-c012</x:v>
      </x:c>
      <x:c r="B70" s="13" t="str">
        <x:v>csq003</x:v>
      </x:c>
      <x:c r="C70" s="21" t="n">
        <x:v>12</x:v>
      </x:c>
      <x:c r="D70" s="20" t="str">
        <x:v>2</x:v>
      </x:c>
      <x:c r="E70" s="20" t="str"/>
      <x:c r="F70" s="20" t="str">
        <x:f>IF(E70="",D70,E70)</x:f>
        <x:v>2</x:v>
      </x:c>
      <x:c r="G70" s="13" t="str">
        <x:v>Evaluating the Factual Consistency of Large Language Models Through News Summarization</x:v>
      </x:c>
      <x:c r="H70" s="13" t="n">
        <x:v>0</x:v>
      </x:c>
      <x:c r="I70" s="22" t="n">
        <x:v>0.029910714285714284</x:v>
      </x:c>
      <x:c r="J70" s="13" t="n">
        <x:v>2</x:v>
      </x:c>
      <x:c r="K70" s="19" t="str">
        <x:v>Which automatic and human evaluation methods are used to measure hallucination and factual consistency in large language models, and what evidence exists about their reliability?</x:v>
      </x:c>
      <x:c r="L70" s="19" t="str">
        <x:v>Evaluating the Factual Consistency of Large Language Models
Through News Summarization
Derek Tam Anisha Mascarenhas Shiyue Zhang
Sarah Kwan Mohit Bansal Colin Raffel
University of North Carolina at Chapel Hill
{dtredsox,amascare,shiyue,mbansal,craffel}@cs.unc.edu
Abstract
While large language models (LLMs) have
proven to be effective on a large variety of tasks,
they are also known to hallucinate information.
To measure whether an LLM prefers factually
consistent continuations of its input, we pro-
pose a new benchmark called FIB (Factual
Inconsistency Benchmark) that focuses on the
task of summarization. Specifically, our bench-
mark involves comparing the scores an LLM
assigns to a factually consistent versus a fac-
tually inconsistent summary for an input news
article. For factually consistent summaries, we
use human-written reference summaries that</x:v>
      </x:c>
      <x:c r="M70" s="19" t="str">
        <x:v>该段包含可直接回答问题的方法、指标、比较或研究发现。</x:v>
      </x:c>
      <x:c r="N70" s="13" t="str">
        <x:v>http://arxiv.org/abs/2211.08412v2</x:v>
      </x:c>
    </x:row>
    <x:row r="71" ht="58" customHeight="1">
      <x:c r="A71" s="13" t="str">
        <x:v>csq003-c013</x:v>
      </x:c>
      <x:c r="B71" s="13" t="str">
        <x:v>csq003</x:v>
      </x:c>
      <x:c r="C71" s="21" t="n">
        <x:v>13</x:v>
      </x:c>
      <x:c r="D71" s="20" t="str">
        <x:v>2</x:v>
      </x:c>
      <x:c r="E71" s="20" t="str"/>
      <x:c r="F71" s="20" t="str">
        <x:f>IF(E71="",D71,E71)</x:f>
        <x:v>2</x:v>
      </x:c>
      <x:c r="G71" s="13" t="str">
        <x:v>TofuEval: Evaluating Hallucinations of LLMs on Topic-Focused Dialogue Summarization</x:v>
      </x:c>
      <x:c r="H71" s="13" t="n">
        <x:v>1</x:v>
      </x:c>
      <x:c r="I71" s="22" t="n">
        <x:v>0.029910714285714284</x:v>
      </x:c>
      <x:c r="J71" s="13" t="n">
        <x:v>2</x:v>
      </x:c>
      <x:c r="K71" s="19" t="str">
        <x:v>Which automatic and human evaluation methods are used to measure hallucination and factual consistency in large language models, and what evidence exists about their reliability?</x:v>
      </x:c>
      <x:c r="L71" s="19" t="str">
        <x:v>by five LLMs of various sizes. Summaries in the
benchmark are focused on specific topics in the
dialogues due to the length of the dialogues and
the fact that topics can hold varying degrees of
importance to different users.
In TOFU EVAL, we engage professional linguis-
tic data annotators to perform binary factuality eval-
uation of the sentences within each summary and
write explanations for the sentences they determine
to contain hallucinated contents (Section 3.4). Hu-
man annotations reveal that LLMs are prone to
making a substantial number of factual errors, and
in contrast to common belief, larger LLMs do not
necessarily generate more factually consistent dia-
logue summaries than smaller models (Section 4).
Moreover, all LLMs we studied (including GPT-
4), when used as binary factual consistency evalu-
ators, perform poorly at detecting errors in LLM-</x:v>
      </x:c>
      <x:c r="M71" s="19" t="str">
        <x:v>该段包含可直接回答问题的方法、指标、比较或研究发现。</x:v>
      </x:c>
      <x:c r="N71" s="13" t="str">
        <x:v>http://arxiv.org/abs/2402.13249v2</x:v>
      </x:c>
    </x:row>
    <x:row r="72" ht="58" customHeight="1">
      <x:c r="A72" s="13" t="str">
        <x:v>csq003-c014</x:v>
      </x:c>
      <x:c r="B72" s="13" t="str">
        <x:v>csq003</x:v>
      </x:c>
      <x:c r="C72" s="21" t="n">
        <x:v>14</x:v>
      </x:c>
      <x:c r="D72" s="20" t="str">
        <x:v>0</x:v>
      </x:c>
      <x:c r="E72" s="20" t="str"/>
      <x:c r="F72" s="20" t="str">
        <x:f>IF(E72="",D72,E72)</x:f>
        <x:v>0</x:v>
      </x:c>
      <x:c r="G72" s="13" t="str">
        <x:v>Heaven-Sent or Hell-Bent? Benchmarking the Intelligence and Defectiveness of LLM Hallucinations</x:v>
      </x:c>
      <x:c r="H72" s="13" t="n">
        <x:v>8</x:v>
      </x:c>
      <x:c r="I72" s="22" t="n">
        <x:v>0.029827662395050816</x:v>
      </x:c>
      <x:c r="J72" s="13" t="n">
        <x:v>2</x:v>
      </x:c>
      <x:c r="K72" s="19" t="str">
        <x:v>Which automatic and human evaluation methods are used to measure hallucination and factual consistency in large language models, and what evidence exists about their reliability?</x:v>
      </x:c>
      <x:c r="L72" s="19" t="str">
        <x:v>Guo. 2024. A survey on large language model hallucination via a creativity
perspective.arXiv preprint arXiv:2402.06647(2024).
[24] Takeshi Kojima, Shixiang Shane Gu, Machel Reid, Yutaka Matsuo, and Yusuke
Iwasawa. 2022. Large language models are zero-shot reasoners.Advances in
neural information processing systems35 (2022), 22199–22213.
[25] Minhyeok Lee. 2023. A mathematical investigation of hallucination and creativity
in GPT models.Mathematics11, 10 (2023), 2320.
[26] Haitao Li, Qian Dong, Junjie Chen, Huixue Su, Yujia Zhou, Qingyao Ai, Ziyi
Ye, and Yiqun Liu. 2024. Llms-as-judges: a comprehensive survey on llm-based
evaluation methods.arXiv preprint arXiv:2412.05579(2024).
[27] Junyi Li, Xiaoxue Cheng, Wayne Xin Zhao, Jian-Yun Nie, and Ji-Rong Wen. 2023.
Halueval: A large-scale hallucination evaluation benchmark for large language
models.arXiv preprint arXiv:2305.11747(2023).</x:v>
      </x:c>
      <x:c r="M72" s="19" t="str">
        <x:v>该段为无关内容、泛泛提及或参考文献片段，不能作为回答证据。</x:v>
      </x:c>
      <x:c r="N72" s="13" t="str">
        <x:v>http://arxiv.org/abs/2512.21635v2</x:v>
      </x:c>
    </x:row>
    <x:row r="73" ht="58" customHeight="1">
      <x:c r="A73" s="13" t="str">
        <x:v>csq003-c015</x:v>
      </x:c>
      <x:c r="B73" s="13" t="str">
        <x:v>csq003</x:v>
      </x:c>
      <x:c r="C73" s="21" t="n">
        <x:v>15</x:v>
      </x:c>
      <x:c r="D73" s="20" t="str">
        <x:v>2</x:v>
      </x:c>
      <x:c r="E73" s="20" t="str"/>
      <x:c r="F73" s="20" t="str">
        <x:f>IF(E73="",D73,E73)</x:f>
        <x:v>2</x:v>
      </x:c>
      <x:c r="G73" s="13" t="str">
        <x:v>Evaluating the Factual Consistency of Large Language Models Through News Summarization</x:v>
      </x:c>
      <x:c r="H73" s="13" t="n">
        <x:v>1</x:v>
      </x:c>
      <x:c r="I73" s="22" t="n">
        <x:v>0.02821939586645469</x:v>
      </x:c>
      <x:c r="J73" s="13" t="n">
        <x:v>2</x:v>
      </x:c>
      <x:c r="K73" s="19" t="str">
        <x:v>Which automatic and human evaluation methods are used to measure hallucination and factual consistency in large language models, and what evidence exists about their reliability?</x:v>
      </x:c>
      <x:c r="L73" s="19" t="str">
        <x:v>inconsistent summaries copied verbatim from the
document (e.g. 9.6% of the time for BLOOM), (3)
LLMs generally become more factually consistent
as they are scaled up, and (4) FactCC-generated fac-
tually inconsistent summaries can fool some LLMs
at a similar rate to model-generated factually incon-
sistent summaries.
In summary, our contributions are: (1) a bench-
marking procedure and collection of annotated
summaries for probing the factual consistency of
LLMs and (2) a thorough evaluation of 23 LLMs
from 6 different model families of up to 176B pa-
rameters. We hope FIB and our results help shed
light on the factuality of LLMs.
2 Related Work
2.1 Factuality Evaluation Datasets
In the literature on text summarization, many
datasets with human-labeled factually consistent
and inconsistent summaries have been introduced
for meta-evaluation purposes (i.e., evaluating fac-</x:v>
      </x:c>
      <x:c r="M73" s="19" t="str">
        <x:v>该段包含可直接回答问题的方法、指标、比较或研究发现。</x:v>
      </x:c>
      <x:c r="N73" s="13" t="str">
        <x:v>http://arxiv.org/abs/2211.08412v2</x:v>
      </x:c>
    </x:row>
    <x:row r="74" ht="58" customHeight="1">
      <x:c r="A74" s="13" t="str">
        <x:v>csq003-c016</x:v>
      </x:c>
      <x:c r="B74" s="13" t="str">
        <x:v>csq003</x:v>
      </x:c>
      <x:c r="C74" s="21" t="n">
        <x:v>16</x:v>
      </x:c>
      <x:c r="D74" s="20" t="str">
        <x:v>2</x:v>
      </x:c>
      <x:c r="E74" s="20" t="str"/>
      <x:c r="F74" s="20" t="str">
        <x:f>IF(E74="",D74,E74)</x:f>
        <x:v>2</x:v>
      </x:c>
      <x:c r="G74" s="13" t="str">
        <x:v>TofuEval: Evaluating Hallucinations of LLMs on Topic-Focused Dialogue Summarization</x:v>
      </x:c>
      <x:c r="H74" s="13" t="n">
        <x:v>0</x:v>
      </x:c>
      <x:c r="I74" s="22" t="n">
        <x:v>0.02782608695652174</x:v>
      </x:c>
      <x:c r="J74" s="13" t="n">
        <x:v>2</x:v>
      </x:c>
      <x:c r="K74" s="19" t="str">
        <x:v>Which automatic and human evaluation methods are used to measure hallucination and factual consistency in large language models, and what evidence exists about their reliability?</x:v>
      </x:c>
      <x:c r="L74" s="19" t="str">
        <x:v>of varying sizes. We provide binary sentence-
level human annotations of the factual consis-
tency of these summaries along with detailed
explanations of factually inconsistent sentences.
Our analysis shows that existing LLMs hallu-
cinate significant amounts of factual errors in
the dialogue domain, regardless of the model’s
size. On the other hand, when LLMs, includ-
ing GPT-4, serve as binary factual evaluators,
they perform poorly and can be outperformed
by prevailing state-of-the-art specialized factu-
ality evaluation metrics. Finally, we conducted
an analysis of hallucination types with a cu-
rated error taxonomy. We find that there are
diverse errors and error distributions in model-
generated summaries and that non-LLM based
metrics can capture all error types better than
LLM-based evaluators.1
1 Introduction
Recently, the field of automated text summariza-</x:v>
      </x:c>
      <x:c r="M74" s="19" t="str">
        <x:v>该段包含可直接回答问题的方法、指标、比较或研究发现。</x:v>
      </x:c>
      <x:c r="N74" s="13" t="str">
        <x:v>http://arxiv.org/abs/2402.13249v2</x:v>
      </x:c>
    </x:row>
    <x:row r="75" ht="58" customHeight="1">
      <x:c r="A75" s="13" t="str">
        <x:v>csq003-c017</x:v>
      </x:c>
      <x:c r="B75" s="13" t="str">
        <x:v>csq003</x:v>
      </x:c>
      <x:c r="C75" s="21" t="n">
        <x:v>17</x:v>
      </x:c>
      <x:c r="D75" s="20" t="str">
        <x:v>2</x:v>
      </x:c>
      <x:c r="E75" s="20" t="str"/>
      <x:c r="F75" s="20" t="str">
        <x:f>IF(E75="",D75,E75)</x:f>
        <x:v>2</x:v>
      </x:c>
      <x:c r="G75" s="13" t="str">
        <x:v>Are Large Language Models Reliable Judges? A Study on the Factuality Evaluation Capabilities of LLMs</x:v>
      </x:c>
      <x:c r="H75" s="13" t="n">
        <x:v>4</x:v>
      </x:c>
      <x:c r="I75" s="22" t="n">
        <x:v>0.02702702702702703</x:v>
      </x:c>
      <x:c r="J75" s="13" t="n">
        <x:v>2</x:v>
      </x:c>
      <x:c r="K75" s="19" t="str">
        <x:v>Which automatic and human evaluation methods are used to measure hallucination and factual consistency in large language models, and what evidence exists about their reliability?</x:v>
      </x:c>
      <x:c r="L75" s="19" t="str">
        <x:v>factuality in text summarization tasks. In addition
to directly using LLMs to evaluate the factuality
of a summary, we also introduce a novel approach
that utilizes one single LLM to perform various
steps of the QA-based factuality scoring pipeline.
Contrary to expectations, our findings revealed that
none of the approaches showed a significant corre-
lation (with a coefficient greater than 3) to human
evaluations of factuality for most LLMs, with the
only exception happening while directly generat-
ing the LLM faithfulness scores by GPT-3.5 in
two subcategories of factuality: PredE and CircE.
Nonetheless, the result is consistent across almost
all factual error types, suggesting a fundamental
limitation in the ability of current LLMs to effec-
tively assess factuality.
While previous studies, such as Gao et al. (2023),
indicated the potential of automatic metrics in as-</x:v>
      </x:c>
      <x:c r="M75" s="19" t="str">
        <x:v>该段包含可直接回答问题的方法、指标、比较或研究发现。</x:v>
      </x:c>
      <x:c r="N75" s="13" t="str">
        <x:v>http://arxiv.org/abs/2311.00681v1</x:v>
      </x:c>
    </x:row>
    <x:row r="76" ht="58" customHeight="1">
      <x:c r="A76" s="13" t="str">
        <x:v>csq003-c018</x:v>
      </x:c>
      <x:c r="B76" s="13" t="str">
        <x:v>csq003</x:v>
      </x:c>
      <x:c r="C76" s="21" t="n">
        <x:v>18</x:v>
      </x:c>
      <x:c r="D76" s="20" t="str">
        <x:v>1</x:v>
      </x:c>
      <x:c r="E76" s="20" t="str"/>
      <x:c r="F76" s="20" t="str">
        <x:f>IF(E76="",D76,E76)</x:f>
        <x:v>1</x:v>
      </x:c>
      <x:c r="G76" s="13" t="str">
        <x:v>How Reliable Are Automatic Evaluation Methods for Instruction-Tuned LLMs?</x:v>
      </x:c>
      <x:c r="H76" s="13" t="n">
        <x:v>0</x:v>
      </x:c>
      <x:c r="I76" s="22" t="n">
        <x:v>0.01639344262295082</x:v>
      </x:c>
      <x:c r="J76" s="13" t="n">
        <x:v>1</x:v>
      </x:c>
      <x:c r="K76" s="19" t="str">
        <x:v>Which automatic and human evaluation methods are used to measure hallucination and factual consistency in large language models, and what evidence exists about their reliability?</x:v>
      </x:c>
      <x:c r="L76" s="19" t="str">
        <x:v>LLMs is using automated evaluation techniques.
Among these, two popular methods are measuring
text overlap with ROUGE -L (Lin, 2004) and util-
izing existing LLMs as automatic judges (Zheng
et al., 2023); however, these methods only approx-
imate human judgment, prompting questions about
their reliability. While previous research has found
that automatic evaluation methods correlate well
with human assessments (Wang et al., 2022; Zheng
et al., 2023), it is important to recognize that these
findings generalize over tasks of very different
types and in different languages. Additionally, cor-
relation measures may not provide reliable estim-
ates of alignment with human ratings, as they are
limited in their ability to deal with ties and constant
scores, which are common in human annotations
(Deutsch et al., 2023).
In this paper, we provide a thorough analysis</x:v>
      </x:c>
      <x:c r="M76" s="19" t="str">
        <x:v>该段提供相关背景或侧面信息，但没有直接回答问题核心。</x:v>
      </x:c>
      <x:c r="N76" s="13" t="str">
        <x:v>http://arxiv.org/abs/2402.10770v4</x:v>
      </x:c>
    </x:row>
    <x:row r="77" ht="58" customHeight="1">
      <x:c r="A77" s="13" t="str">
        <x:v>csq003-c019</x:v>
      </x:c>
      <x:c r="B77" s="13" t="str">
        <x:v>csq003</x:v>
      </x:c>
      <x:c r="C77" s="21" t="n">
        <x:v>19</x:v>
      </x:c>
      <x:c r="D77" s="20" t="str">
        <x:v>2</x:v>
      </x:c>
      <x:c r="E77" s="20" t="str"/>
      <x:c r="F77" s="20" t="str">
        <x:f>IF(E77="",D77,E77)</x:f>
        <x:v>2</x:v>
      </x:c>
      <x:c r="G77" s="13" t="str">
        <x:v>Heaven-Sent or Hell-Bent? Benchmarking the Intelligence and Defectiveness of LLM Hallucinations</x:v>
      </x:c>
      <x:c r="H77" s="13" t="n">
        <x:v>12</x:v>
      </x:c>
      <x:c r="I77" s="22" t="n">
        <x:v>0.01639344262295082</x:v>
      </x:c>
      <x:c r="J77" s="13" t="n">
        <x:v>1</x:v>
      </x:c>
      <x:c r="K77" s="19" t="str">
        <x:v>Which automatic and human evaluation methods are used to measure hallucination and factual consistency in large language models, and what evidence exists about their reliability?</x:v>
      </x:c>
      <x:c r="L77" s="19" t="str">
        <x:v>from the human review process for model outputs classified as IH
and DH. Human reviewers perform token level analysis to deter-
mine the extent to which the outputs align with reality focusing on
the accuracy of concepts and terminology. For IH reviewers identify
the hallucinated portions that are not fully realistic while assessing
the reasonable and feasible aspects that contribute to their creative
value. For DH reviewers evaluate whether the response addresses
the given problem and check for obvious factual errors that render
the output unrealistic or irrelevant. Additionally reviewers assess</x:v>
      </x:c>
      <x:c r="M77" s="19" t="str">
        <x:v>该段包含可直接回答问题的方法、指标、比较或研究发现。</x:v>
      </x:c>
      <x:c r="N77" s="13" t="str">
        <x:v>http://arxiv.org/abs/2512.21635v2</x:v>
      </x:c>
    </x:row>
    <x:row r="78" ht="58" customHeight="1">
      <x:c r="A78" s="13" t="str">
        <x:v>csq003-c020</x:v>
      </x:c>
      <x:c r="B78" s="13" t="str">
        <x:v>csq003</x:v>
      </x:c>
      <x:c r="C78" s="21" t="n">
        <x:v>20</x:v>
      </x:c>
      <x:c r="D78" s="20" t="str">
        <x:v>1</x:v>
      </x:c>
      <x:c r="E78" s="20" t="str"/>
      <x:c r="F78" s="20" t="str">
        <x:f>IF(E78="",D78,E78)</x:f>
        <x:v>1</x:v>
      </x:c>
      <x:c r="G78" s="13" t="str">
        <x:v>How Reliable Are Automatic Evaluation Methods for Instruction-Tuned LLMs?</x:v>
      </x:c>
      <x:c r="H78" s="13" t="n">
        <x:v>1</x:v>
      </x:c>
      <x:c r="I78" s="22" t="n">
        <x:v>0.015625</x:v>
      </x:c>
      <x:c r="J78" s="13" t="n">
        <x:v>1</x:v>
      </x:c>
      <x:c r="K78" s="19" t="str">
        <x:v>Which automatic and human evaluation methods are used to measure hallucination and factual consistency in large language models, and what evidence exists about their reliability?</x:v>
      </x:c>
      <x:c r="L78" s="19" t="str">
        <x:v>widely used in the literature due to its high costs. In-
stead, authors have turned to automatic evaluation
measures that correlate well with human judgments.
Wang et al. (2022) find a consistently strong cor-
relation between ROUGE -L scores with accuracy
across different models and task types, indicating
that it is a good proxy for accuracy in classification
tasks with short outputs. For machine translation,
Zhang* et al. (2020) show that BERTSCORE is bet-
ter correlated to human judgments than previous
metrics, but Hanna and Bojar (2021) also identify
setups where it fails.
The recent work on automating evaluation pro-
cesses and leveraging LLMs has demonstrated sub-
stantial agreement with human ratings. Zheng et al.
(2023) show that GPT-4’s judgments align with
human evaluations at over 80% agreement, reach-
ing levels comparable to human–human agreement.</x:v>
      </x:c>
      <x:c r="M78" s="19" t="str">
        <x:v>该段提供相关背景或侧面信息，但没有直接回答问题核心。</x:v>
      </x:c>
      <x:c r="N78" s="13" t="str">
        <x:v>http://arxiv.org/abs/2402.10770v4</x:v>
      </x:c>
    </x:row>
    <x:row r="79" ht="58" customHeight="1">
      <x:c r="A79" s="13" t="str">
        <x:v>csq003-c021</x:v>
      </x:c>
      <x:c r="B79" s="13" t="str">
        <x:v>csq003</x:v>
      </x:c>
      <x:c r="C79" s="21" t="n">
        <x:v>21</x:v>
      </x:c>
      <x:c r="D79" s="20" t="str">
        <x:v>2</x:v>
      </x:c>
      <x:c r="E79" s="20" t="str"/>
      <x:c r="F79" s="20" t="str">
        <x:f>IF(E79="",D79,E79)</x:f>
        <x:v>2</x:v>
      </x:c>
      <x:c r="G79" s="13" t="str">
        <x:v>TofuEval: Evaluating Hallucinations of LLMs on Topic-Focused Dialogue Summarization</x:v>
      </x:c>
      <x:c r="H79" s="13" t="n">
        <x:v>1</x:v>
      </x:c>
      <x:c r="I79" s="22" t="n">
        <x:v>0.015384615384615385</x:v>
      </x:c>
      <x:c r="J79" s="13" t="n">
        <x:v>1</x:v>
      </x:c>
      <x:c r="K79" s="19" t="str">
        <x:v>Which automatic and human evaluation methods are used to measure hallucination and factual consistency in large language models, and what evidence exists about their reliability?</x:v>
      </x:c>
      <x:c r="L79" s="19" t="str">
        <x:v>In text summarization, there have been significant
efforts to collect human-annotated data for assess-
ing the effectiveness and correlation of different
evaluation metrics with human judgments in detect-
ing hallucianted contents in generated summaries
(Fabbri et al., 2021; Cao and Wang, 2021; Maynez
et al., 2020).2
Our proposed benchmark TOFU EVAL aligns
with these efforts but differs from prior work as
follows (summarized in Table 1): (1) unlike ex-
isting evaluation benchmarks that contains non-
LLM-generated summaries, TOFU EVAL focuses
on LLM-generated summaries. Contrasting with
SUMM EDITS (Laban et al., 2023), which produces
factually inconsistent summaries by editing cor-
rect LLM outputs, we directly identify factual er-
rors in LLM-generated summaries. (2) TOFU E-
VAL focuses on dialogue summarization. Even
though DIAL SUMM EVAL (Gao and Wan, 2022)</x:v>
      </x:c>
      <x:c r="M79" s="19" t="str">
        <x:v>该段包含可直接回答问题的方法、指标、比较或研究发现。</x:v>
      </x:c>
      <x:c r="N79" s="13" t="str">
        <x:v>http://arxiv.org/abs/2402.13249v2</x:v>
      </x:c>
    </x:row>
    <x:row r="80" ht="58" customHeight="1">
      <x:c r="A80" s="13" t="str">
        <x:v>csq003-c022</x:v>
      </x:c>
      <x:c r="B80" s="13" t="str">
        <x:v>csq003</x:v>
      </x:c>
      <x:c r="C80" s="21" t="n">
        <x:v>22</x:v>
      </x:c>
      <x:c r="D80" s="20" t="str">
        <x:v>2</x:v>
      </x:c>
      <x:c r="E80" s="20" t="str"/>
      <x:c r="F80" s="20" t="str">
        <x:f>IF(E80="",D80,E80)</x:f>
        <x:v>2</x:v>
      </x:c>
      <x:c r="G80" s="13" t="str">
        <x:v>Heaven-Sent or Hell-Bent? Benchmarking the Intelligence and Defectiveness of LLM Hallucinations</x:v>
      </x:c>
      <x:c r="H80" s="13" t="n">
        <x:v>0</x:v>
      </x:c>
      <x:c r="I80" s="22" t="n">
        <x:v>0.015384615384615385</x:v>
      </x:c>
      <x:c r="J80" s="13" t="n">
        <x:v>1</x:v>
      </x:c>
      <x:c r="K80" s="19" t="str">
        <x:v>Which automatic and human evaluation methods are used to measure hallucination and factual consistency in large language models, and what evidence exists about their reliability?</x:v>
      </x:c>
      <x:c r="L80" s="19" t="str">
        <x:v>nations are typically characterized as instances where the model’s
output deviates from factual accuracy or user expectations, posing
a substantial risk in applications where reliability is paramount.
To address this issue, the research community has developed sev-
eral evaluation benchmarks aimed at quantifying and analyzing
hallucinations, including TruthfulQA [29], UHGEval [28], and Hal-
luDial [33]. These benchmarks primarily focus on assessing the
truthfulness and reliability of the content generated by LLMs.
However, the essence of this phenomenon goes far beyond mere
errors. Research suggests that LLM hallucinations reflect, to some
extent, the core attributes of human creative cognition, specifically
the capacity for divergent exploration and recombination beyond
the boundaries of established knowledge [18, 23, 31]. This ability to</x:v>
      </x:c>
      <x:c r="M80" s="19" t="str">
        <x:v>该段包含可直接回答问题的方法、指标、比较或研究发现。</x:v>
      </x:c>
      <x:c r="N80" s="13" t="str">
        <x:v>http://arxiv.org/abs/2512.21635v2</x:v>
      </x:c>
    </x:row>
    <x:row r="81" ht="58" customHeight="1">
      <x:c r="A81" s="13" t="str">
        <x:v>csq003-c023</x:v>
      </x:c>
      <x:c r="B81" s="13" t="str">
        <x:v>csq003</x:v>
      </x:c>
      <x:c r="C81" s="21" t="n">
        <x:v>23</x:v>
      </x:c>
      <x:c r="D81" s="20" t="str">
        <x:v>2</x:v>
      </x:c>
      <x:c r="E81" s="20" t="str"/>
      <x:c r="F81" s="20" t="str">
        <x:f>IF(E81="",D81,E81)</x:f>
        <x:v>2</x:v>
      </x:c>
      <x:c r="G81" s="13" t="str">
        <x:v>Are Large Language Models Reliable Judges? A Study on the Factuality Evaluation Capabilities of LLMs</x:v>
      </x:c>
      <x:c r="H81" s="13" t="n">
        <x:v>1</x:v>
      </x:c>
      <x:c r="I81" s="22" t="n">
        <x:v>0.015151515151515152</x:v>
      </x:c>
      <x:c r="J81" s="13" t="n">
        <x:v>1</x:v>
      </x:c>
      <x:c r="K81" s="19" t="str">
        <x:v>Which automatic and human evaluation methods are used to measure hallucination and factual consistency in large language models, and what evidence exists about their reliability?</x:v>
      </x:c>
      <x:c r="L81" s="19" t="str">
        <x:v>founding variables. In sum, this paper investigates
the following Research Questions (RQ):
RQ 1: Can the QA-based factuality metric be
improved by utilizing LLMs?
RQ 2: Can LLMs directly generate reliable faith-
fulness scores?
2 Related Work
While neural abstractive summarization models
can produce fluent summaries, they often gener-
ate factual inconsistencies (Honovich et al., 2022).
In the early years of factual consistency evalua-
tion, various unsupervised and weakly-supervised
metrics have been used, which include relational
triple-based, textual-entailment-based, as well as
QA-based techniques (Huang et al., 2021). Al-
though the QA-based approach is a widely used
technique for factuality evaluation, it requires sep-
arate models to perform different steps, such as
question generation, answer selection, and finally,
question answering. This makes the QA-based ap-</x:v>
      </x:c>
      <x:c r="M81" s="19" t="str">
        <x:v>该段包含可直接回答问题的方法、指标、比较或研究发现。</x:v>
      </x:c>
      <x:c r="N81" s="13" t="str">
        <x:v>http://arxiv.org/abs/2311.00681v1</x:v>
      </x:c>
    </x:row>
    <x:row r="82" ht="58" customHeight="1">
      <x:c r="A82" s="13" t="str">
        <x:v>csq003-c024</x:v>
      </x:c>
      <x:c r="B82" s="13" t="str">
        <x:v>csq003</x:v>
      </x:c>
      <x:c r="C82" s="21" t="n">
        <x:v>24</x:v>
      </x:c>
      <x:c r="D82" s="20" t="str">
        <x:v>1</x:v>
      </x:c>
      <x:c r="E82" s="20" t="str"/>
      <x:c r="F82" s="20" t="str">
        <x:f>IF(E82="",D82,E82)</x:f>
        <x:v>1</x:v>
      </x:c>
      <x:c r="G82" s="13" t="str">
        <x:v>How Reliable Are Automatic Evaluation Methods for Instruction-Tuned LLMs?</x:v>
      </x:c>
      <x:c r="H82" s="13" t="n">
        <x:v>0</x:v>
      </x:c>
      <x:c r="I82" s="22" t="n">
        <x:v>0.015151515151515152</x:v>
      </x:c>
      <x:c r="J82" s="13" t="n">
        <x:v>1</x:v>
      </x:c>
      <x:c r="K82" s="19" t="str">
        <x:v>Which automatic and human evaluation methods are used to measure hallucination and factual consistency in large language models, and what evidence exists about their reliability?</x:v>
      </x:c>
      <x:c r="L82" s="19" t="str">
        <x:v>How Reliable Are Automatic Evaluation Methods
for Instruction-Tuned LLMs?
Ehsan Doostmohammadi† Oskar Holmström† Marco Kuhlmann
Linköping University
ehsan.doostmohammadi@liu.se
Abstract
Work on instruction-tuned Large Language
Models (LLMs) has used automatic methods
based on text overlap and LLM judgments as
cost-effective alternatives to human evaluation.
In this paper, we perform a meta-evaluation
of such methods and assess their reliability
across a broad range of tasks. In evaluating
how well automatic methods align with human
evaluations, correlation metrics are the most
commonly employed method despite their in-
herent limitations when dealing with ties and
different scales. To address these shortcom-
ings, we use Pairwise Accuracy as an alternat-
ive to standard correlation measures. We ob-
serve that while automatic evaluation methods
can approximate human ratings under specific</x:v>
      </x:c>
      <x:c r="M82" s="19" t="str">
        <x:v>该段提供相关背景或侧面信息，但没有直接回答问题核心。</x:v>
      </x:c>
      <x:c r="N82" s="13" t="str">
        <x:v>http://arxiv.org/abs/2402.10770v4</x:v>
      </x:c>
    </x:row>
    <x:row r="83" ht="58" customHeight="1">
      <x:c r="A83" s="13" t="str">
        <x:v>csq003-c025</x:v>
      </x:c>
      <x:c r="B83" s="13" t="str">
        <x:v>csq003</x:v>
      </x:c>
      <x:c r="C83" s="21" t="n">
        <x:v>25</x:v>
      </x:c>
      <x:c r="D83" s="20" t="str">
        <x:v>2</x:v>
      </x:c>
      <x:c r="E83" s="20" t="str"/>
      <x:c r="F83" s="20" t="str">
        <x:f>IF(E83="",D83,E83)</x:f>
        <x:v>2</x:v>
      </x:c>
      <x:c r="G83" s="13" t="str">
        <x:v>Heaven-Sent or Hell-Bent? Benchmarking the Intelligence and Defectiveness of LLM Hallucinations</x:v>
      </x:c>
      <x:c r="H83" s="13" t="n">
        <x:v>11</x:v>
      </x:c>
      <x:c r="I83" s="22" t="n">
        <x:v>0.015151515151515152</x:v>
      </x:c>
      <x:c r="J83" s="13" t="n">
        <x:v>1</x:v>
      </x:c>
      <x:c r="K83" s="19" t="str">
        <x:v>Which automatic and human evaluation methods are used to measure hallucination and factual consistency in large language models, and what evidence exists about their reliability?</x:v>
      </x:c>
      <x:c r="L83" s="19" t="str">
        <x:v>= Theoretical possibility but lacks experimental validation.
3 = Feasible under specific assumptions but challenging to
implement. 4 = Technically viable with existing technol-
ogy. 5 = Readily implementable with minor adaptations of
existing techniques.
- Value: 1 = No practical use or improvement over exist-
ing methods. 2 = Minor improvement, limited impact. " 3
= Meaningful contribution with clear advantages. 4 = Sig-
nificant improvement over current methods. 5 = Potential
revolutionary impact on the field. If the answer lacks tech-
nical details or fails to demonstrate security improvements,
the value score must not exceed 3.
2. Hallucination Detection:" - If any of the following con-
ditions are met, mark ’Hallucination: Yes’: - The answer
does not align with the core requirements of the question. -
The answer deviates from reality. - The answer contradicts</x:v>
      </x:c>
      <x:c r="M83" s="19" t="str">
        <x:v>该段包含可直接回答问题的方法、指标、比较或研究发现。</x:v>
      </x:c>
      <x:c r="N83" s="13" t="str">
        <x:v>http://arxiv.org/abs/2512.21635v2</x:v>
      </x:c>
    </x:row>
    <x:row r="84" ht="58" customHeight="1">
      <x:c r="A84" s="13" t="str">
        <x:v>csq003-c026</x:v>
      </x:c>
      <x:c r="B84" s="13" t="str">
        <x:v>csq003</x:v>
      </x:c>
      <x:c r="C84" s="21" t="n">
        <x:v>26</x:v>
      </x:c>
      <x:c r="D84" s="20" t="str">
        <x:v>1</x:v>
      </x:c>
      <x:c r="E84" s="20" t="str"/>
      <x:c r="F84" s="20" t="str">
        <x:f>IF(E84="",D84,E84)</x:f>
        <x:v>1</x:v>
      </x:c>
      <x:c r="G84" s="13" t="str">
        <x:v>PlainQAFact: Retrieval-augmented Factual Consistency Evaluation Metric for Biomedical Plain Language Summarization</x:v>
      </x:c>
      <x:c r="H84" s="13" t="n">
        <x:v>21</x:v>
      </x:c>
      <x:c r="I84" s="22" t="n">
        <x:v>0.014925373134328358</x:v>
      </x:c>
      <x:c r="J84" s="13" t="n">
        <x:v>1</x:v>
      </x:c>
      <x:c r="K84" s="19" t="str">
        <x:v>Which automatic and human evaluation methods are used to measure hallucination and factual consistency in large language models, and what evidence exists about their reliability?</x:v>
      </x:c>
      <x:c r="L84" s="19" t="str">
        <x:v>We report the quantitative error analysis of FareBio in Appendix J.
6. Discussion and Conclusion
Our study advances the assessment of hallucinations in the field of PLS by sup-
plying both a domain expert-annotated biomedical PLS benchmarkPlainF act
and a novel retrieval-augmented QA-based factual consistency evaluation metric
PlainQAF act. Unlike existing biomedical domain corpora that either lack fine-
grained labels for elaborative content [58] or focus solely on text simplification (e.g.,
FactPICO[9]),PlainF actcaptures sentence-level distinctions, including simplifica-
tion versus explanation, functional roles, and explicit alignment to source sentences.
This granularity not only enables precise error analysis of hallucinations introduced
for clarity, but also provides a reusable framework for researchers in other disciplines</x:v>
      </x:c>
      <x:c r="M84" s="19" t="str">
        <x:v>该段提供相关背景或侧面信息，但没有直接回答问题核心。</x:v>
      </x:c>
      <x:c r="N84" s="13" t="str">
        <x:v>http://arxiv.org/abs/2503.08890v4</x:v>
      </x:c>
    </x:row>
    <x:row r="85" ht="58" customHeight="1">
      <x:c r="A85" s="13" t="str">
        <x:v>csq003-c027</x:v>
      </x:c>
      <x:c r="B85" s="13" t="str">
        <x:v>csq003</x:v>
      </x:c>
      <x:c r="C85" s="21" t="n">
        <x:v>27</x:v>
      </x:c>
      <x:c r="D85" s="20" t="str">
        <x:v>2</x:v>
      </x:c>
      <x:c r="E85" s="20" t="str"/>
      <x:c r="F85" s="20" t="str">
        <x:f>IF(E85="",D85,E85)</x:f>
        <x:v>2</x:v>
      </x:c>
      <x:c r="G85" s="13" t="str">
        <x:v>Heaven-Sent or Hell-Bent? Benchmarking the Intelligence and Defectiveness of LLM Hallucinations</x:v>
      </x:c>
      <x:c r="H85" s="13" t="n">
        <x:v>15</x:v>
      </x:c>
      <x:c r="I85" s="22" t="n">
        <x:v>0.014925373134328358</x:v>
      </x:c>
      <x:c r="J85" s="13" t="n">
        <x:v>1</x:v>
      </x:c>
      <x:c r="K85" s="19" t="str">
        <x:v>Which automatic and human evaluation methods are used to measure hallucination and factual consistency in large language models, and what evidence exists about their reliability?</x:v>
      </x:c>
      <x:c r="L85" s="19" t="str">
        <x:v>Yang et al.
DHP (Dynamic Hallucination Prompt)
Assume you are an expert in field.
Please provide an answer to the following questions, not
exceeding 70 tokens. Requirements:
1: Ensure feasibility by grounding in current scientific prin-
ciples and technological trends;
2: Propose novel concepts or methods, avoiding unsup-
ported speculation;
3: Ensure that the programme has value for the target area;
4: Maintain logical rigor without contradictions or vague
statements.
Format: Plain text, no numbering or Markdown.
{positive_prompt_examples}
{negative_prompt_examples}
Question: {question}
E Model Selection for Evaluation
LLMs demonstrate formidable proficiency in generating scientific
text, yet their outputs frequently exhibit hallucinations, deviations
from factual or logical coherence. Conventionally, such halluci-
nations are deemed errors to be eradicated. This paper, however,</x:v>
      </x:c>
      <x:c r="M85" s="19" t="str">
        <x:v>该段包含可直接回答问题的方法、指标、比较或研究发现。</x:v>
      </x:c>
      <x:c r="N85" s="13" t="str">
        <x:v>http://arxiv.org/abs/2512.21635v2</x:v>
      </x:c>
    </x:row>
    <x:row r="86" ht="58" customHeight="1">
      <x:c r="A86" s="13" t="str">
        <x:v>csq003-c028</x:v>
      </x:c>
      <x:c r="B86" s="13" t="str">
        <x:v>csq003</x:v>
      </x:c>
      <x:c r="C86" s="21" t="n">
        <x:v>28</x:v>
      </x:c>
      <x:c r="D86" s="20" t="str">
        <x:v>2</x:v>
      </x:c>
      <x:c r="E86" s="20" t="str"/>
      <x:c r="F86" s="20" t="str">
        <x:f>IF(E86="",D86,E86)</x:f>
        <x:v>2</x:v>
      </x:c>
      <x:c r="G86" s="13" t="str">
        <x:v>Heaven-Sent or Hell-Bent? Benchmarking the Intelligence and Defectiveness of LLM Hallucinations</x:v>
      </x:c>
      <x:c r="H86" s="13" t="n">
        <x:v>16</x:v>
      </x:c>
      <x:c r="I86" s="22" t="n">
        <x:v>0.014925373134328358</x:v>
      </x:c>
      <x:c r="J86" s="13" t="n">
        <x:v>1</x:v>
      </x:c>
      <x:c r="K86" s="19" t="str">
        <x:v>Which automatic and human evaluation methods are used to measure hallucination and factual consistency in large language models, and what evidence exists about their reliability?</x:v>
      </x:c>
      <x:c r="L86" s="19" t="str">
        <x:v>Heaven-Sent or Hell-Bent? Benchmarking the Intelligence and Defectiveness of LLM Hallucinations
Table 8: Comparison of Human and AI Evaluations in the Artificial Intelligence Domain
Evaluator Originality Feasibility Value IH DH
Human 2.87 3.85 3.04 13.0% 4.2%
LLMs 2.91 3.83 3.11 14.8% 3.8%
Table 9: Similarity Metrics for IH, DH, and All Answers in SCP. All Answer represents the similarity of responses across
different questions.
LLM All Answers IH DH
deepseek-v3 35.99% 42.10% 40.26%
deepseek-r1 38.97% 41.38% 37.35%
gpt-4o-mini 37.91% 48.50% 43.90%
gpt-4o 32.67% 40.83% 35.47%
qwen2.5-14b 34.55% 39.82% 36.76%
qwen2.5-72b 35.67% 42.03% 39.91%
Quantum Physics
Artificial IntelligenceBiomedical Sciences
Environmental Science
Materials ScienceEnergy T echnology
Neuroscience
ICT
Aerospace
Social Sciences</x:v>
      </x:c>
      <x:c r="M86" s="19" t="str">
        <x:v>该段包含可直接回答问题的方法、指标、比较或研究发现。</x:v>
      </x:c>
      <x:c r="N86" s="13" t="str">
        <x:v>http://arxiv.org/abs/2512.21635v2</x:v>
      </x:c>
    </x:row>
    <x:row r="87" ht="58" customHeight="1">
      <x:c r="A87" s="13" t="str">
        <x:v>csq003-c029</x:v>
      </x:c>
      <x:c r="B87" s="13" t="str">
        <x:v>csq003</x:v>
      </x:c>
      <x:c r="C87" s="21" t="n">
        <x:v>29</x:v>
      </x:c>
      <x:c r="D87" s="20" t="str">
        <x:v>2</x:v>
      </x:c>
      <x:c r="E87" s="20" t="str"/>
      <x:c r="F87" s="20" t="str">
        <x:f>IF(E87="",D87,E87)</x:f>
        <x:v>2</x:v>
      </x:c>
      <x:c r="G87" s="13" t="str">
        <x:v>Are Large Language Models Reliable Judges? A Study on the Factuality Evaluation Capabilities of LLMs</x:v>
      </x:c>
      <x:c r="H87" s="13" t="n">
        <x:v>0</x:v>
      </x:c>
      <x:c r="I87" s="22" t="n">
        <x:v>0.014705882352941176</x:v>
      </x:c>
      <x:c r="J87" s="13" t="n">
        <x:v>1</x:v>
      </x:c>
      <x:c r="K87" s="19" t="str">
        <x:v>Which automatic and human evaluation methods are used to measure hallucination and factual consistency in large language models, and what evidence exists about their reliability?</x:v>
      </x:c>
      <x:c r="L87" s="19" t="str">
        <x:v>Are Large Language Models Reliable Judges?
A Study on the Factuality Evaluation Capabilities of LLMs
Xue-Yong Fu, Md Tahmid Rahman Laskar, Cheng Chen, Shashi Bhushan TN
Dialpad Canada Inc.
{xue-yong,tahmid.rahman,cchen,sbhushan}@dialpad.com
Abstract
In recent years, Large Language Models
(LLMs) have drawn significant attention due
to their impressive emergent capabilities that
were not observed in earlier language models.
One emerging area where LLMs have been
widely used in recent times is the utilization
of LLMs as the evaluator of the texts gener-
ated by various generative models. In this pa-
per, we also explore the possibility of whether
LLMs are reliable in assessing the factual con-
sistency of summaries generated by text gen-
eration models. We first propose a new ap-
proach to evaluate the factuality score using
LLMs by utilizing one single LLM to perform</x:v>
      </x:c>
      <x:c r="M87" s="19" t="str">
        <x:v>该段包含可直接回答问题的方法、指标、比较或研究发现。</x:v>
      </x:c>
      <x:c r="N87" s="13" t="str">
        <x:v>http://arxiv.org/abs/2311.00681v1</x:v>
      </x:c>
    </x:row>
    <x:row r="88" ht="58" customHeight="1">
      <x:c r="A88" s="13" t="str">
        <x:v>csq003-c030</x:v>
      </x:c>
      <x:c r="B88" s="13" t="str">
        <x:v>csq003</x:v>
      </x:c>
      <x:c r="C88" s="21" t="n">
        <x:v>30</x:v>
      </x:c>
      <x:c r="D88" s="20" t="str">
        <x:v>2</x:v>
      </x:c>
      <x:c r="E88" s="20" t="str"/>
      <x:c r="F88" s="20" t="str">
        <x:f>IF(E88="",D88,E88)</x:f>
        <x:v>2</x:v>
      </x:c>
      <x:c r="G88" s="13" t="str">
        <x:v>TofuEval: Evaluating Hallucinations of LLMs on Topic-Focused Dialogue Summarization</x:v>
      </x:c>
      <x:c r="H88" s="13" t="n">
        <x:v>19</x:v>
      </x:c>
      <x:c r="I88" s="22" t="n">
        <x:v>0.014705882352941176</x:v>
      </x:c>
      <x:c r="J88" s="13" t="n">
        <x:v>1</x:v>
      </x:c>
      <x:c r="K88" s="19" t="str">
        <x:v>Which automatic and human evaluation methods are used to measure hallucination and factual consistency in large language models, and what evidence exists about their reliability?</x:v>
      </x:c>
      <x:c r="L88" s="19" t="str">
        <x:v>Human Evaluation We randomly sampled 20
summary sentences to conduct a small-scale hu-
man evaluation task. Sentences were only selected
if one of the eight LLM-based evaluators and a
human annotator labeled the sentence as factually
inconsistent. We only sampled from main-topic
summary sentences since they contain a more di-
verse range of error types (Figure 2). Three authors
of this work manually evaluated the quality of the
model-generated explanations by comparing them
to human-written explanations. Specifically, hu-
mans were provided with (1) a whole summary; (2)
a factually inconsistent sentence in the summary;
(3) a human-written explanation for the sentence;
and (4) a model’s explanation. We asked annota-
tors to perform a binary classification task in which
they determined whether the model-provided ex-
planation was supported by or equivalent to the</x:v>
      </x:c>
      <x:c r="M88" s="19" t="str">
        <x:v>该段包含可直接回答问题的方法、指标、比较或研究发现。</x:v>
      </x:c>
      <x:c r="N88" s="13" t="str">
        <x:v>http://arxiv.org/abs/2402.13249v2</x:v>
      </x:c>
    </x:row>
    <x:row r="89" ht="58" customHeight="1">
      <x:c r="A89" s="13" t="str">
        <x:v>csq004-c001</x:v>
      </x:c>
      <x:c r="B89" s="13" t="str">
        <x:v>csq004</x:v>
      </x:c>
      <x:c r="C89" s="21" t="n">
        <x:v>1</x:v>
      </x:c>
      <x:c r="D89" s="20" t="str">
        <x:v>2</x:v>
      </x:c>
      <x:c r="E89" s="20" t="str"/>
      <x:c r="F89" s="20" t="str">
        <x:f>IF(E89="",D89,E89)</x:f>
        <x:v>2</x:v>
      </x:c>
      <x:c r="G89" s="13" t="str">
        <x:v>Judging LLM-as-a-Judge with MT-Bench and Chatbot Arena</x:v>
      </x:c>
      <x:c r="H89" s="13" t="n">
        <x:v>1</x:v>
      </x:c>
      <x:c r="I89" s="22" t="n">
        <x:v>0.04643902077700826</x:v>
      </x:c>
      <x:c r="J89" s="13" t="n">
        <x:v>3</x:v>
      </x:c>
      <x:c r="K89" s="19" t="str">
        <x:v>What limitations and biases have been identified in LLM-as-a-judge evaluation, and which mitigation strategies have been proposed?</x:v>
      </x:c>
      <x:c r="L89" s="19" t="str">
        <x:v>human evaluation. We examine several potential limitations of the LLM-as-a-judge approach
including position bias, verbosity bias, self-enhancement bias, and limited reasoning ability. We
show that some of the biases are minor or can be mitigated. Once addressed, our results from 3K
controlled expert votes and 3K crowdsourced human votes in the wild verify that GPT-4 judge match
2</x:v>
      </x:c>
      <x:c r="M89" s="19" t="str">
        <x:v>该段包含可直接回答问题的方法、指标、比较或研究发现。</x:v>
      </x:c>
      <x:c r="N89" s="13" t="str">
        <x:v>http://arxiv.org/abs/2306.05685v4</x:v>
      </x:c>
    </x:row>
    <x:row r="90" ht="58" customHeight="1">
      <x:c r="A90" s="13" t="str">
        <x:v>csq004-c002</x:v>
      </x:c>
      <x:c r="B90" s="13" t="str">
        <x:v>csq004</x:v>
      </x:c>
      <x:c r="C90" s="21" t="n">
        <x:v>2</x:v>
      </x:c>
      <x:c r="D90" s="20" t="str">
        <x:v>2</x:v>
      </x:c>
      <x:c r="E90" s="20" t="str"/>
      <x:c r="F90" s="20" t="str">
        <x:f>IF(E90="",D90,E90)</x:f>
        <x:v>2</x:v>
      </x:c>
      <x:c r="G90" s="13" t="str">
        <x:v>Judging LLM-as-a-Judge with MT-Bench and Chatbot Arena</x:v>
      </x:c>
      <x:c r="H90" s="13" t="n">
        <x:v>0</x:v>
      </x:c>
      <x:c r="I90" s="22" t="n">
        <x:v>0.03252247488101534</x:v>
      </x:c>
      <x:c r="J90" s="13" t="n">
        <x:v>2</x:v>
      </x:c>
      <x:c r="K90" s="19" t="str">
        <x:v>What limitations and biases have been identified in LLM-as-a-judge evaluation, and which mitigation strategies have been proposed?</x:v>
      </x:c>
      <x:c r="L90" s="19" t="str">
        <x:v>Judging LLM-as-a-Judge
with MT-Bench and Chatbot Arena
Lianmin Zheng1∗ Wei-Lin Chiang1∗ Ying Sheng4∗ Siyuan Zhuang1
Zhanghao Wu1 Y onghao Zhuang3 Zi Lin2 Zhuohan Li1 Dacheng Li13
Eric P . Xing35 Hao Zhang12 Joseph E. Gonzalez 1 Ion Stoica1
1 UC Berkeley 2 UC San Diego 3 Carnegie Mellon University 4 Stanford 5 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x:v>
      </x:c>
      <x:c r="M90" s="19" t="str">
        <x:v>该段包含可直接回答问题的方法、指标、比较或研究发现。</x:v>
      </x:c>
      <x:c r="N90" s="13" t="str">
        <x:v>http://arxiv.org/abs/2306.05685v4</x:v>
      </x:c>
    </x:row>
    <x:row r="91" ht="58" customHeight="1">
      <x:c r="A91" s="13" t="str">
        <x:v>csq004-c003</x:v>
      </x:c>
      <x:c r="B91" s="13" t="str">
        <x:v>csq004</x:v>
      </x:c>
      <x:c r="C91" s="21" t="n">
        <x:v>3</x:v>
      </x:c>
      <x:c r="D91" s="20" t="str">
        <x:v>2</x:v>
      </x:c>
      <x:c r="E91" s="20" t="str"/>
      <x:c r="F91" s="20" t="str">
        <x:f>IF(E91="",D91,E91)</x:f>
        <x:v>2</x:v>
      </x:c>
      <x:c r="G91" s="13" t="str">
        <x:v>Justice or Prejudice? Quantifying Biases in LLM-as-a-Judge</x:v>
      </x:c>
      <x:c r="H91" s="13" t="n">
        <x:v>1</x:v>
      </x:c>
      <x:c r="I91" s="22" t="n">
        <x:v>0.031746031746031744</x:v>
      </x:c>
      <x:c r="J91" s="13" t="n">
        <x:v>2</x:v>
      </x:c>
      <x:c r="K91" s="19" t="str">
        <x:v>What limitations and biases have been identified in LLM-as-a-judge evaluation, and which mitigation strategies have been proposed?</x:v>
      </x:c>
      <x:c r="L91" s="19" t="str">
        <x:v>Preprint
experiments conducted by Chen et al. (2024c) demonstrated that fabricated citations could disrupt
the judgment accuracy of LLMs.
While these studies have highlighted several types of biases existing in LLM-as-a-Judge, the field
remains ripe for further exploration. Firstly, the existing analyses of bias are relatively narrow in
scope (Wang et al., 2023b; Chen et al., 2024c), which limits the development of a comprehensive
framework for evaluating the multifaceted biases affecting LLM-as-a-Judge. Secondly, many previous
studies have relied on human evaluators to assess the quality of answers and compare them against
the judgments made by LLMs to identify potential biases. This methodology incurs substantial costs
and introduces human subjectivity, complicating the establishment of reliable ground truth and the</x:v>
      </x:c>
      <x:c r="M91" s="19" t="str">
        <x:v>该段包含可直接回答问题的方法、指标、比较或研究发现。</x:v>
      </x:c>
      <x:c r="N91" s="13" t="str">
        <x:v>http://arxiv.org/abs/2410.02736v2</x:v>
      </x:c>
    </x:row>
    <x:row r="92" ht="58" customHeight="1">
      <x:c r="A92" s="13" t="str">
        <x:v>csq004-c004</x:v>
      </x:c>
      <x:c r="B92" s="13" t="str">
        <x:v>csq004</x:v>
      </x:c>
      <x:c r="C92" s="21" t="n">
        <x:v>4</x:v>
      </x:c>
      <x:c r="D92" s="20" t="str">
        <x:v>2</x:v>
      </x:c>
      <x:c r="E92" s="20" t="str"/>
      <x:c r="F92" s="20" t="str">
        <x:f>IF(E92="",D92,E92)</x:f>
        <x:v>2</x:v>
      </x:c>
      <x:c r="G92" s="13" t="str">
        <x:v>Time To Impeach LLM-as-a-Judge: Programs are the Future of Evaluation</x:v>
      </x:c>
      <x:c r="H92" s="13" t="n">
        <x:v>7</x:v>
      </x:c>
      <x:c r="I92" s="22" t="n">
        <x:v>0.030330882352941176</x:v>
      </x:c>
      <x:c r="J92" s="13" t="n">
        <x:v>2</x:v>
      </x:c>
      <x:c r="K92" s="19" t="str">
        <x:v>What limitations and biases have been identified in LLM-as-a-judge evaluation, and which mitigation strategies have been proposed?</x:v>
      </x:c>
      <x:c r="L92" s="19" t="str">
        <x:v>A Related Work
Our work studies modeling synthesized judging programs to evaluate LLM generations, intersecting two key areas:
(i) LLM-as-a-judge, and (ii) weak supervision framework.
LLM-as-a-judge. The LLM-as-a-judge approach has transformed automated model evaluation, providing a
scalable alternative to human annotators [29, 30]. Research demonstrates that LLMs can closely align with human
evaluations in tasks such as ranking and pairwise comparisons [2, 3]. Nevertheless, LLM-based assessments may
incur high inference API costs and inherent biases embedded in training data or prompt design, posing challenges to
fairness [11, 12] and reliability [9]. To mitigate these issues, we propose synthesized judging programs, delivering
low-cost, transparent, flexible, and bias-mitigated evaluation alternatives.</x:v>
      </x:c>
      <x:c r="M92" s="19" t="str">
        <x:v>该段包含可直接回答问题的方法、指标、比较或研究发现。</x:v>
      </x:c>
      <x:c r="N92" s="13" t="str">
        <x:v>http://arxiv.org/abs/2506.10403v1</x:v>
      </x:c>
    </x:row>
    <x:row r="93" ht="58" customHeight="1">
      <x:c r="A93" s="13" t="str">
        <x:v>csq004-c005</x:v>
      </x:c>
      <x:c r="B93" s="13" t="str">
        <x:v>csq004</x:v>
      </x:c>
      <x:c r="C93" s="21" t="n">
        <x:v>5</x:v>
      </x:c>
      <x:c r="D93" s="20" t="str">
        <x:v>2</x:v>
      </x:c>
      <x:c r="E93" s="20" t="str"/>
      <x:c r="F93" s="20" t="str">
        <x:f>IF(E93="",D93,E93)</x:f>
        <x:v>2</x:v>
      </x:c>
      <x:c r="G93" s="13" t="str">
        <x:v>Justice or Prejudice? Quantifying Biases in LLM-as-a-Judge</x:v>
      </x:c>
      <x:c r="H93" s="13" t="n">
        <x:v>9</x:v>
      </x:c>
      <x:c r="I93" s="22" t="n">
        <x:v>0.029877369007803793</x:v>
      </x:c>
      <x:c r="J93" s="13" t="n">
        <x:v>2</x:v>
      </x:c>
      <x:c r="K93" s="19" t="str">
        <x:v>What limitations and biases have been identified in LLM-as-a-judge evaluation, and which mitigation strategies have been proposed?</x:v>
      </x:c>
      <x:c r="L93" s="19" t="str">
        <x:v>resulting in an objective and scalable evaluation approach. Our experiments show that while models
may reliably serve as judges for specific tasks, there remains significant room for improvement in the
broader use of LLMs as judges. CALM could be used to evaluate future, more advanced LLM-based
judge solutions, ensuring they meet higher standards of bias mitigation.
10</x:v>
      </x:c>
      <x:c r="M93" s="19" t="str">
        <x:v>该段包含可直接回答问题的方法、指标、比较或研究发现。</x:v>
      </x:c>
      <x:c r="N93" s="13" t="str">
        <x:v>http://arxiv.org/abs/2410.02736v2</x:v>
      </x:c>
    </x:row>
    <x:row r="94" ht="58" customHeight="1">
      <x:c r="A94" s="13" t="str">
        <x:v>csq004-c006</x:v>
      </x:c>
      <x:c r="B94" s="13" t="str">
        <x:v>csq004</x:v>
      </x:c>
      <x:c r="C94" s="21" t="n">
        <x:v>6</x:v>
      </x:c>
      <x:c r="D94" s="20" t="str">
        <x:v>2</x:v>
      </x:c>
      <x:c r="E94" s="20" t="str"/>
      <x:c r="F94" s="20" t="str">
        <x:f>IF(E94="",D94,E94)</x:f>
        <x:v>2</x:v>
      </x:c>
      <x:c r="G94" s="13" t="str">
        <x:v>Evaluating and Mitigating LLM-as-a-judge Bias in Communication Systems</x:v>
      </x:c>
      <x:c r="H94" s="13" t="n">
        <x:v>0</x:v>
      </x:c>
      <x:c r="I94" s="22" t="n">
        <x:v>0.029273504273504274</x:v>
      </x:c>
      <x:c r="J94" s="13" t="n">
        <x:v>2</x:v>
      </x:c>
      <x:c r="K94" s="19" t="str">
        <x:v>What limitations and biases have been identified in LLM-as-a-judge evaluation, and which mitigation strategies have been proposed?</x:v>
      </x:c>
      <x:c r="L94" s="19" t="str">
        <x:v>1
Evaluating and Mitigating LLM-as-a-judge Bias in
Communication Systems
Jiaxin Gao, Chen Chen, Yanwen Jia, Xueluan Gong,Member , IEEE,Kwok-Yan Lam,Senior Member , IEEE,
Qian Wang,Fellow, IEEE
Abstract—Large Language Models (LLMs) are increasingly
being used to autonomously evaluate the quality of content
in communication systems, e.g., to assess responses in telecom
customer support chatbots. However, the impartiality of these AI
“judges” is not guaranteed, and any biases in their evaluation
criteria could skew outcomes and undermine user trust. In this
paper, we systematically investigate judgment biases across 6
LLM-as-a-judge models spanning both prompt-based and fine-
tuned judges under the pointwise scoring setting, encompassing
11 types of biases that cover both implicit and explicit forms.
We observed that state-of-the-art LLM judges demonstrate</x:v>
      </x:c>
      <x:c r="M94" s="19" t="str">
        <x:v>该段包含可直接回答问题的方法、指标、比较或研究发现。</x:v>
      </x:c>
      <x:c r="N94" s="13" t="str">
        <x:v>http://arxiv.org/abs/2510.12462v3</x:v>
      </x:c>
    </x:row>
    <x:row r="95" ht="58" customHeight="1">
      <x:c r="A95" s="13" t="str">
        <x:v>csq004-c007</x:v>
      </x:c>
      <x:c r="B95" s="13" t="str">
        <x:v>csq004</x:v>
      </x:c>
      <x:c r="C95" s="21" t="n">
        <x:v>7</x:v>
      </x:c>
      <x:c r="D95" s="20" t="str">
        <x:v>2</x:v>
      </x:c>
      <x:c r="E95" s="20" t="str"/>
      <x:c r="F95" s="20" t="str">
        <x:f>IF(E95="",D95,E95)</x:f>
        <x:v>2</x:v>
      </x:c>
      <x:c r="G95" s="13" t="str">
        <x:v>Judging LLM-as-a-Judge with MT-Bench and Chatbot Arena</x:v>
      </x:c>
      <x:c r="H95" s="13" t="n">
        <x:v>4</x:v>
      </x:c>
      <x:c r="I95" s="22" t="n">
        <x:v>0.01639344262295082</x:v>
      </x:c>
      <x:c r="J95" s="13" t="n">
        <x:v>1</x:v>
      </x:c>
      <x:c r="K95" s="19" t="str">
        <x:v>What limitations and biases have been identified in LLM-as-a-judge evaluation, and which mitigation strategies have been proposed?</x:v>
      </x:c>
      <x:c r="L95" s="19" t="str">
        <x:v>if an LLM judge thinks the new response is better than the old response. Table 3 shows the failure
rate of LLM judges under this attack, demonstrating that all LLMs may be prone to verbosity bias
though GPT-4 defends significantly better than others. As a calibration, we find LLM judges are
able to correctly judge identical answers (i.e., they always return a tie for two identical answers) but
cannot pass the more advanced “repetitive list” attack.
Self-enhancement bias. We adopt the term “self-enhancement bias” from social cognition litera-
ture [4] to describe the effect that LLM judges may favor the answers generated by themselves.
We examine this effect statistically. Figure 3(b) shows the win rate (w/o tie) of six models under
different LLM judges and humans. Compared to humans, we do observe that some judges favor</x:v>
      </x:c>
      <x:c r="M95" s="19" t="str">
        <x:v>该段包含可直接回答问题的方法、指标、比较或研究发现。</x:v>
      </x:c>
      <x:c r="N95" s="13" t="str">
        <x:v>http://arxiv.org/abs/2306.05685v4</x:v>
      </x:c>
    </x:row>
    <x:row r="96" ht="58" customHeight="1">
      <x:c r="A96" s="13" t="str">
        <x:v>csq004-c008</x:v>
      </x:c>
      <x:c r="B96" s="13" t="str">
        <x:v>csq004</x:v>
      </x:c>
      <x:c r="C96" s="21" t="n">
        <x:v>8</x:v>
      </x:c>
      <x:c r="D96" s="20" t="str">
        <x:v>0</x:v>
      </x:c>
      <x:c r="E96" s="20" t="str"/>
      <x:c r="F96" s="20" t="str">
        <x:f>IF(E96="",D96,E96)</x:f>
        <x:v>0</x:v>
      </x:c>
      <x:c r="G96" s="13" t="str">
        <x:v>Benchmarking Adversarial Robustness to Bias Elicitation in Large Language Models: Scalable Automated Assessment with LLM-as-a-Judge</x:v>
      </x:c>
      <x:c r="H96" s="13" t="n">
        <x:v>2</x:v>
      </x:c>
      <x:c r="I96" s="22" t="n">
        <x:v>0.01639344262295082</x:v>
      </x:c>
      <x:c r="J96" s="13" t="n">
        <x:v>1</x:v>
      </x:c>
      <x:c r="K96" s="19" t="str">
        <x:v>What limitations and biases have been identified in LLM-as-a-judge evaluation, and which mitigation strategies have been proposed?</x:v>
      </x:c>
      <x:c r="L96" s="19" t="str">
        <x:v>on understanding, evaluating, and mitigating biases. Several studies have highlighted
3</x:v>
      </x:c>
      <x:c r="M96" s="19" t="str">
        <x:v>该段为无关内容、泛泛提及或参考文献片段，不能作为回答证据。</x:v>
      </x:c>
      <x:c r="N96" s="13" t="str">
        <x:v>http://arxiv.org/abs/2504.07887v2</x:v>
      </x:c>
    </x:row>
    <x:row r="97" ht="58" customHeight="1">
      <x:c r="A97" s="13" t="str">
        <x:v>csq004-c009</x:v>
      </x:c>
      <x:c r="B97" s="13" t="str">
        <x:v>csq004</x:v>
      </x:c>
      <x:c r="C97" s="21" t="n">
        <x:v>9</x:v>
      </x:c>
      <x:c r="D97" s="20" t="str">
        <x:v>0</x:v>
      </x:c>
      <x:c r="E97" s="20" t="str"/>
      <x:c r="F97" s="20" t="str">
        <x:f>IF(E97="",D97,E97)</x:f>
        <x:v>0</x:v>
      </x:c>
      <x:c r="G97" s="13" t="str">
        <x:v>TrustJudge: Inconsistencies of LLM-as-a-Judge and How to Alleviate Them</x:v>
      </x:c>
      <x:c r="H97" s="13" t="n">
        <x:v>11</x:v>
      </x:c>
      <x:c r="I97" s="22" t="n">
        <x:v>0.01639344262295082</x:v>
      </x:c>
      <x:c r="J97" s="13" t="n">
        <x:v>1</x:v>
      </x:c>
      <x:c r="K97" s="19" t="str">
        <x:v>What limitations and biases have been identified in LLM-as-a-judge evaluation, and which mitigation strategies have been proposed?</x:v>
      </x:c>
      <x:c r="L97" s="19" t="str">
        <x:v>evaluating large language models on sequence to sequence tasks.arXiv preprint arXiv:2310.13800,
2023.
Annalisa Szymanski, Noah Ziems, Heather A Eicher-Miller, Toby Jia-Jun Li, Meng Jiang, and
Ronald A Metoyer. Limitations of the llm-as-a-judge approach for evaluating llm outputs in
expert knowledge tasks. InProceedings of the 30th International Conference on Intelligent User
Interfaces, pp. 952–966, 2025.
Sijun Tan, Siyuan Zhuang, Kyle Montgomery, William Y Tang, Alejandro Cuadron, Chenguang
Wang, Raluca Ada Popa, and Ion Stoica. Judgebench: A benchmark for evaluating llm-based
judges.arXiv preprint arXiv:2410.12784, 2024.
Aman Singh Thakur, Kartik Choudhary, Venkat Srinik Ramayapally, Sankaran Vaidyanathan, and
Dieuwke Hupkes. Judging the judges: Evaluating alignment and vulnerabilities in llms-as-judges.
arXiv preprint arXiv:2406.12624, 2024.</x:v>
      </x:c>
      <x:c r="M97" s="19" t="str">
        <x:v>该段为无关内容、泛泛提及或参考文献片段，不能作为回答证据。</x:v>
      </x:c>
      <x:c r="N97" s="13" t="str">
        <x:v>http://arxiv.org/abs/2509.21117v2</x:v>
      </x:c>
    </x:row>
    <x:row r="98" ht="58" customHeight="1">
      <x:c r="A98" s="13" t="str">
        <x:v>csq004-c010</x:v>
      </x:c>
      <x:c r="B98" s="13" t="str">
        <x:v>csq004</x:v>
      </x:c>
      <x:c r="C98" s="21" t="n">
        <x:v>10</x:v>
      </x:c>
      <x:c r="D98" s="20" t="str">
        <x:v>2</x:v>
      </x:c>
      <x:c r="E98" s="20" t="str"/>
      <x:c r="F98" s="20" t="str">
        <x:f>IF(E98="",D98,E98)</x:f>
        <x:v>2</x:v>
      </x:c>
      <x:c r="G98" s="13" t="str">
        <x:v>Justice or Prejudice? Quantifying Biases in LLM-as-a-Judge</x:v>
      </x:c>
      <x:c r="H98" s="13" t="n">
        <x:v>2</x:v>
      </x:c>
      <x:c r="I98" s="22" t="n">
        <x:v>0.016129032258064516</x:v>
      </x:c>
      <x:c r="J98" s="13" t="n">
        <x:v>1</x:v>
      </x:c>
      <x:c r="K98" s="19" t="str">
        <x:v>What limitations and biases have been identified in LLM-as-a-judge evaluation, and which mitigation strategies have been proposed?</x:v>
      </x:c>
      <x:c r="L98" s="19" t="str">
        <x:v>Preprint
Fact-Related: GSM8K, MATH, ScienceQA...
Alignment: OpenOrca, emerton_dpo ...
RA-Eval: Common-senseQA, TruthfulQA ...
Model-based and 
Principle-guided 
Modification
Raw
Answe
r
Raw
Answe
r
Raw
Answer
Biased
Answer
Selected Datasets
Llama3-8B
Llama3-70B
Mistral-7B
Mixtral-8x22B
Model for Answer Genration
Biased Answer Generation
Sentiment
Diversity
Refinement-
Aware
Position
Verbosity
Bias Types
CoT
... ...
ChatGPT, GPT-4o
Qwen-72b
GLM-4
Claude-3.5-Sonnet
Judge Models
 Robustness Rate
 Consistency Rate
 Original Accuracy
 Hacked Accuracy
 Error Rate
Evaluation Metrics
Figure 2: CALM, the proposed framework for bias assessment in LLM-as-a-Judge. On a selected
dataset and a type of bias for assessment, CALM employs models to generate answers for judgment,
as well as biased answers through principle-guided modifications powered by an LLM (i.e., GPT-4o).</x:v>
      </x:c>
      <x:c r="M98" s="19" t="str">
        <x:v>该段包含可直接回答问题的方法、指标、比较或研究发现。</x:v>
      </x:c>
      <x:c r="N98" s="13" t="str">
        <x:v>http://arxiv.org/abs/2410.02736v2</x:v>
      </x:c>
    </x:row>
    <x:row r="99" ht="58" customHeight="1">
      <x:c r="A99" s="13" t="str">
        <x:v>csq004-c011</x:v>
      </x:c>
      <x:c r="B99" s="13" t="str">
        <x:v>csq004</x:v>
      </x:c>
      <x:c r="C99" s="21" t="n">
        <x:v>11</x:v>
      </x:c>
      <x:c r="D99" s="20" t="str">
        <x:v>2</x:v>
      </x:c>
      <x:c r="E99" s="20" t="str"/>
      <x:c r="F99" s="20" t="str">
        <x:f>IF(E99="",D99,E99)</x:f>
        <x:v>2</x:v>
      </x:c>
      <x:c r="G99" s="13" t="str">
        <x:v>Justice or Prejudice? Quantifying Biases in LLM-as-a-Judge</x:v>
      </x:c>
      <x:c r="H99" s="13" t="n">
        <x:v>15</x:v>
      </x:c>
      <x:c r="I99" s="22" t="n">
        <x:v>0.016129032258064516</x:v>
      </x:c>
      <x:c r="J99" s="13" t="n">
        <x:v>1</x:v>
      </x:c>
      <x:c r="K99" s="19" t="str">
        <x:v>What limitations and biases have been identified in LLM-as-a-judge evaluation, and which mitigation strategies have been proposed?</x:v>
      </x:c>
      <x:c r="L99" s="19" t="str">
        <x:v>Recent research has identified various cognitive biases that influence the evaluation of LLMs. Some
studies (Zheng et al., 2024; Shi et al., 2024b; Wang et al., 2023b) discuss biases such as position
bias, verbosity bias, and self-enhancement bias. Another study (Koo et al., 2023) highlights order
bias, compassion-fade bias, and egocentric bias, along with salience bias, bandwagon-effect bias,
and attentional bias. Further biases noted in additional research (Chen et al., 2024c; Stureborg et al.,
2024) include fallacy-oversight bias, authority bias, and beauty bias. Recognizing these biases is
essential for developing more objective and trustworthy LLM evaluation methods.
B D ETAILS OF BIAS TYPES
▷ Position bias: LLMs may favor responses based on their position in the input. This bias affects</x:v>
      </x:c>
      <x:c r="M99" s="19" t="str">
        <x:v>该段包含可直接回答问题的方法、指标、比较或研究发现。</x:v>
      </x:c>
      <x:c r="N99" s="13" t="str">
        <x:v>http://arxiv.org/abs/2410.02736v2</x:v>
      </x:c>
    </x:row>
    <x:row r="100" ht="58" customHeight="1">
      <x:c r="A100" s="13" t="str">
        <x:v>csq004-c012</x:v>
      </x:c>
      <x:c r="B100" s="13" t="str">
        <x:v>csq004</x:v>
      </x:c>
      <x:c r="C100" s="21" t="n">
        <x:v>12</x:v>
      </x:c>
      <x:c r="D100" s="20" t="str">
        <x:v>2</x:v>
      </x:c>
      <x:c r="E100" s="20" t="str"/>
      <x:c r="F100" s="20" t="str">
        <x:f>IF(E100="",D100,E100)</x:f>
        <x:v>2</x:v>
      </x:c>
      <x:c r="G100" s="13" t="str">
        <x:v>Justice or Prejudice? Quantifying Biases in LLM-as-a-Judge</x:v>
      </x:c>
      <x:c r="H100" s="13" t="n">
        <x:v>0</x:v>
      </x:c>
      <x:c r="I100" s="22" t="n">
        <x:v>0.015873015873015872</x:v>
      </x:c>
      <x:c r="J100" s="13" t="n">
        <x:v>1</x:v>
      </x:c>
      <x:c r="K100" s="19" t="str">
        <x:v>What limitations and biases have been identified in LLM-as-a-judge evaluation, and which mitigation strategies have been proposed?</x:v>
      </x:c>
      <x:c r="L100" s="19" t="str">
        <x:v>Preprint
JUSTICE OR PREJUDICE ?
QUANTIFYING BIASES IN LLM- AS-A-JUDGE
Jiayi Ye†, ∗, Yanbo Wang†, ∗, Yue Huang1, ∗, Dongping Chen2, Qihui Zhang3, Nuno Moniz1,
Tian Gao4, Werner Geyer4, Chao Huang5, Pin-Yu Chen4, Nitesh V . Chawla1, Xiangliang Zhang1, ‡
1University of Notre Dame 2University of Washington 3Peking University
4IBM Reserch 5University of Hong Kong
{yejiayi2022, wyf23187}@gmail.com, {yhuang37, xzhang33}@nd.edu
Website:https://llm-judge-bias.github.io/
ABSTRACT
LLM-as-a-Judge has been widely utilized as an evaluation method in various bench-
marks and served as supervised rewards in model training. However, despite their
excellence in many domains, potential issues are under-explored, undermining their
reliability and the scope of their utility. Therefore, we identify 12 key potential bi-
ases and propose a new automated bias quantification framework—CALM—which</x:v>
      </x:c>
      <x:c r="M100" s="19" t="str">
        <x:v>该段包含可直接回答问题的方法、指标、比较或研究发现。</x:v>
      </x:c>
      <x:c r="N100" s="13" t="str">
        <x:v>http://arxiv.org/abs/2410.02736v2</x:v>
      </x:c>
    </x:row>
    <x:row r="101" ht="58" customHeight="1">
      <x:c r="A101" s="13" t="str">
        <x:v>csq004-c013</x:v>
      </x:c>
      <x:c r="B101" s="13" t="str">
        <x:v>csq004</x:v>
      </x:c>
      <x:c r="C101" s="21" t="n">
        <x:v>13</x:v>
      </x:c>
      <x:c r="D101" s="20" t="str">
        <x:v>2</x:v>
      </x:c>
      <x:c r="E101" s="20" t="str"/>
      <x:c r="F101" s="20" t="str">
        <x:f>IF(E101="",D101,E101)</x:f>
        <x:v>2</x:v>
      </x:c>
      <x:c r="G101" s="13" t="str">
        <x:v>Justice or Prejudice? Quantifying Biases in LLM-as-a-Judge</x:v>
      </x:c>
      <x:c r="H101" s="13" t="n">
        <x:v>15</x:v>
      </x:c>
      <x:c r="I101" s="22" t="n">
        <x:v>0.015873015873015872</x:v>
      </x:c>
      <x:c r="J101" s="13" t="n">
        <x:v>1</x:v>
      </x:c>
      <x:c r="K101" s="19" t="str">
        <x:v>What limitations and biases have been identified in LLM-as-a-judge evaluation, and which mitigation strategies have been proposed?</x:v>
      </x:c>
      <x:c r="L101" s="19" t="str">
        <x:v>reasoning steps. We compare evaluations of responses with and without chain-of-thought reasoning
across different tasks, as suggested by Wei et al. (2023).
▷ Self-enhancement bias: This bias arises when LLMs favor their outputs as both generators
and judges. To explore this, we include evaluations to measure the bias across different LLM
architectures and scales, following Zheng et al. (2024) and Meng et al. (2024).
▷ Refinement-aware bias: LLMs may assign different scores to self-refined answers. We investigate
this bias by comparing scores in three situations: original unrefined answer, refined answer, and
refined answer with conversation history, as explored by Xu et al. (2024).
16</x:v>
      </x:c>
      <x:c r="M101" s="19" t="str">
        <x:v>该段包含可直接回答问题的方法、指标、比较或研究发现。</x:v>
      </x:c>
      <x:c r="N101" s="13" t="str">
        <x:v>http://arxiv.org/abs/2410.02736v2</x:v>
      </x:c>
    </x:row>
    <x:row r="102" ht="58" customHeight="1">
      <x:c r="A102" s="13" t="str">
        <x:v>csq004-c014</x:v>
      </x:c>
      <x:c r="B102" s="13" t="str">
        <x:v>csq004</x:v>
      </x:c>
      <x:c r="C102" s="21" t="n">
        <x:v>14</x:v>
      </x:c>
      <x:c r="D102" s="20" t="str">
        <x:v>2</x:v>
      </x:c>
      <x:c r="E102" s="20" t="str"/>
      <x:c r="F102" s="20" t="str">
        <x:f>IF(E102="",D102,E102)</x:f>
        <x:v>2</x:v>
      </x:c>
      <x:c r="G102" s="13" t="str">
        <x:v>Assistant-Guided Mitigation of Teacher Preference Bias in LLM-as-a-Judge</x:v>
      </x:c>
      <x:c r="H102" s="13" t="n">
        <x:v>6</x:v>
      </x:c>
      <x:c r="I102" s="22" t="n">
        <x:v>0.015625</x:v>
      </x:c>
      <x:c r="J102" s="13" t="n">
        <x:v>1</x:v>
      </x:c>
      <x:c r="K102" s="19" t="str">
        <x:v>What limitations and biases have been identified in LLM-as-a-judge evaluation, and which mitigation strategies have been proposed?</x:v>
      </x:c>
      <x:c r="L102" s="19" t="str">
        <x:v>prompt strategies.
both labels and feedback, thereby prevents the hid-
den self-preference bias in the training data from
influencing the proxy judge model. Figure 4 fur-
ther demonstrates the effectiveness of AGDe-Judge
in mitigating teacher preference bias. (2) Naive
Mix performs poorly because it retains biased and
conflicting labels and feedback, harming model per-
formance. In contrast, AGDe-Judge ensures data
quality by filtering out bias and inconsistencies. (3)
Teacher-Only Margin Filter improves over basic
teacher-trained models by removing biased labels,
but biased feedback still causes teacher preference
bias. AGDe-Judge further mitigates this by using
the assistant model to highlight key flaws, leading
to better results. (4) Weight-Merging, a model-
centric approach, combines teacher and assistant
models at the parameter level and improves accu-</x:v>
      </x:c>
      <x:c r="M102" s="19" t="str">
        <x:v>该段包含可直接回答问题的方法、指标、比较或研究发现。</x:v>
      </x:c>
      <x:c r="N102" s="13" t="str">
        <x:v>http://arxiv.org/abs/2505.19176v3</x:v>
      </x:c>
    </x:row>
    <x:row r="103" ht="58" customHeight="1">
      <x:c r="A103" s="13" t="str">
        <x:v>csq004-c015</x:v>
      </x:c>
      <x:c r="B103" s="13" t="str">
        <x:v>csq004</x:v>
      </x:c>
      <x:c r="C103" s="21" t="n">
        <x:v>15</x:v>
      </x:c>
      <x:c r="D103" s="20" t="str">
        <x:v>2</x:v>
      </x:c>
      <x:c r="E103" s="20" t="str"/>
      <x:c r="F103" s="20" t="str">
        <x:f>IF(E103="",D103,E103)</x:f>
        <x:v>2</x:v>
      </x:c>
      <x:c r="G103" s="13" t="str">
        <x:v>Justice or Prejudice? Quantifying Biases in LLM-as-a-Judge</x:v>
      </x:c>
      <x:c r="H103" s="13" t="n">
        <x:v>7</x:v>
      </x:c>
      <x:c r="I103" s="22" t="n">
        <x:v>0.015625</x:v>
      </x:c>
      <x:c r="J103" s="13" t="n">
        <x:v>1</x:v>
      </x:c>
      <x:c r="K103" s="19" t="str">
        <x:v>What limitations and biases have been identified in LLM-as-a-judge evaluation, and which mitigation strategies have been proposed?</x:v>
      </x:c>
      <x:c r="L103" s="19" t="str">
        <x:v>recommend using judge models with better robustness rate metrics or randomizing the order of
answers (Zheng et al., 2024; Li et al., 2023b).
Figure 5: Heat map of model Z-score nor-
malization score of self-enhancement bias.
Response length influences model judgment in com-
plex ways. As illustrated in Figure 6, increasing response
length without a corresponding improvement in quality
led to a decline in model robustness rate. Some models ex-
hibited an aversion to excessively verbose answers, while
others demonstrated a positive correlation between model
preference and response length.
Avoid using the same model to generate and judge an-
swers. Analysis of Figure 5, Figure 7, and Table 5 reveals
a significant self-enhancement bias among LLMs. Most
models rated their outputs more favorably, even when
answer sources were anonymized. These findings under-</x:v>
      </x:c>
      <x:c r="M103" s="19" t="str">
        <x:v>该段包含可直接回答问题的方法、指标、比较或研究发现。</x:v>
      </x:c>
      <x:c r="N103" s="13" t="str">
        <x:v>http://arxiv.org/abs/2410.02736v2</x:v>
      </x:c>
    </x:row>
    <x:row r="104" ht="58" customHeight="1">
      <x:c r="A104" s="13" t="str">
        <x:v>csq004-c016</x:v>
      </x:c>
      <x:c r="B104" s="13" t="str">
        <x:v>csq004</x:v>
      </x:c>
      <x:c r="C104" s="21" t="n">
        <x:v>16</x:v>
      </x:c>
      <x:c r="D104" s="20" t="str">
        <x:v>2</x:v>
      </x:c>
      <x:c r="E104" s="20" t="str"/>
      <x:c r="F104" s="20" t="str">
        <x:f>IF(E104="",D104,E104)</x:f>
        <x:v>2</x:v>
      </x:c>
      <x:c r="G104" s="13" t="str">
        <x:v>TrustJudge: Inconsistencies of LLM-as-a-Judge and How to Alleviate Them</x:v>
      </x:c>
      <x:c r="H104" s="13" t="n">
        <x:v>0</x:v>
      </x:c>
      <x:c r="I104" s="22" t="n">
        <x:v>0.015625</x:v>
      </x:c>
      <x:c r="J104" s="13" t="n">
        <x:v>1</x:v>
      </x:c>
      <x:c r="K104" s="19" t="str">
        <x:v>What limitations and biases have been identified in LLM-as-a-judge evaluation, and which mitigation strategies have been proposed?</x:v>
      </x:c>
      <x:c r="L104" s="19" t="str">
        <x:v>Preprint
TRUSTJUDGE: INCONSISTENCIES OFLLM-AS-A-
JUDGE ANDHOW TOALLEVIATETHEM
Yidong Wang1∗ Yunze Song2∗ Tingyuan Zhu3
Xuanwang Zhang4 Zhuohao Yu1 Hao Chen5 Chiyu Song6 Qiufeng Wang7
Cunxiang Wang6 Zhen Wu4 Xinyu Dai4 Yue Zhang6 Wei Ye1† Shikun Zhang1†
1 Peking University 2 National University of Singapore 3 Institute of Science Tokyo
4 Nanjing University 5 Carnegie Mellon Unversity 6 Westlake University 7 Southeast University
ABSTRACT
The adoption of Large Language Models (LLMs) as automated evaluators (LLM-
as-a-judge) has revealed critical inconsistencies in current evaluation frameworks.
We identify two fundamental types of inconsistencies: (1)Score-Comparison
Inconsistency, where lower-rated responses outperform higher-scored ones in pair-
wise comparisons, and (2)Pairwise Transitivity Inconsistency, manifested through</x:v>
      </x:c>
      <x:c r="M104" s="19" t="str">
        <x:v>该段包含可直接回答问题的方法、指标、比较或研究发现。</x:v>
      </x:c>
      <x:c r="N104" s="13" t="str">
        <x:v>http://arxiv.org/abs/2509.21117v2</x:v>
      </x:c>
    </x:row>
    <x:row r="105" ht="58" customHeight="1">
      <x:c r="A105" s="13" t="str">
        <x:v>csq004-c017</x:v>
      </x:c>
      <x:c r="B105" s="13" t="str">
        <x:v>csq004</x:v>
      </x:c>
      <x:c r="C105" s="21" t="n">
        <x:v>17</x:v>
      </x:c>
      <x:c r="D105" s="20" t="str">
        <x:v>2</x:v>
      </x:c>
      <x:c r="E105" s="20" t="str"/>
      <x:c r="F105" s="20" t="str">
        <x:f>IF(E105="",D105,E105)</x:f>
        <x:v>2</x:v>
      </x:c>
      <x:c r="G105" s="13" t="str">
        <x:v>Humans or LLMs as the Judge? A Study on Judgement Biases</x:v>
      </x:c>
      <x:c r="H105" s="13" t="n">
        <x:v>1</x:v>
      </x:c>
      <x:c r="I105" s="22" t="n">
        <x:v>0.015384615384615385</x:v>
      </x:c>
      <x:c r="J105" s="13" t="n">
        <x:v>1</x:v>
      </x:c>
      <x:c r="K105" s="19" t="str">
        <x:v>What limitations and biases have been identified in LLM-as-a-judge evaluation, and which mitigation strategies have been proposed?</x:v>
      </x:c>
      <x:c r="L105" s="19" t="str">
        <x:v>Both human and LLM judges are found to be bi-
ased. Due to the subjectivity of human, the re-
producibility is fairly low (Belz et al., 2023). To
obtain results with higher quality, a clear code-
book is needed to provide judges with clear instruc-
tions (Howcroft et al., 2020). Human judges are
also found to have inherent bias (Zheng et al., 2023;
Wu and Aji, 2023) and may not even provide reli-
able answers (Clark et al., 2021; Hämäläinen et al.,
2023). As an alternative to human, LLM judges
are also found to have certain bias and the anno-
tation results require validation (Pangakis et al.,
2023). Zeng et al. (2023) finds that LLMs are prone
to answers with superficially good quality. Posi-
tional bias (Wang et al., 2023a), cognitive bias (Koo
et al., 2023), verbosity bias and self-enhancement
bias (Zheng et al., 2023) have also been identified.</x:v>
      </x:c>
      <x:c r="M105" s="19" t="str">
        <x:v>该段包含可直接回答问题的方法、指标、比较或研究发现。</x:v>
      </x:c>
      <x:c r="N105" s="13" t="str">
        <x:v>http://arxiv.org/abs/2402.10669v5</x:v>
      </x:c>
    </x:row>
    <x:row r="106" ht="58" customHeight="1">
      <x:c r="A106" s="13" t="str">
        <x:v>csq004-c018</x:v>
      </x:c>
      <x:c r="B106" s="13" t="str">
        <x:v>csq004</x:v>
      </x:c>
      <x:c r="C106" s="21" t="n">
        <x:v>18</x:v>
      </x:c>
      <x:c r="D106" s="20" t="str">
        <x:v>2</x:v>
      </x:c>
      <x:c r="E106" s="20" t="str"/>
      <x:c r="F106" s="20" t="str">
        <x:f>IF(E106="",D106,E106)</x:f>
        <x:v>2</x:v>
      </x:c>
      <x:c r="G106" s="13" t="str">
        <x:v>Evaluating and Mitigating LLM-as-a-judge Bias in Communication Systems</x:v>
      </x:c>
      <x:c r="H106" s="13" t="n">
        <x:v>0</x:v>
      </x:c>
      <x:c r="I106" s="22" t="n">
        <x:v>0.015151515151515152</x:v>
      </x:c>
      <x:c r="J106" s="13" t="n">
        <x:v>1</x:v>
      </x:c>
      <x:c r="K106" s="19" t="str">
        <x:v>What limitations and biases have been identified in LLM-as-a-judge evaluation, and which mitigation strategies have been proposed?</x:v>
      </x:c>
      <x:c r="L106" s="19" t="str">
        <x:v>We observed that state-of-the-art LLM judges demonstrate
robustness to biased inputs, generally assigning them lower scores
than the corresponding clean samples. We further found that
fine-tuning an LLM on high-scoring yet biased responses can
significantly degrade its performance, highlighting the risk of
training on biased data. We also discovered that the judged scores
correlate with task difficulty: a challenging dataset like GPQA
yields lower average scores, whereas an open-ended reasoning
dataset (e.g., JudgeLM-val) sees higher average scores. Finally,
we proposed four potential mitigation strategies to ensure fair
and reliable AI judging in practical communication scenarios.
Index Terms—Evaluation bias, LLM-as-a-judge, Communica-
tion systems.
I. INTRODUCTION
Large Language Models (LLMs) are increasingly used as
automated judges to evaluate AI-generated responses, offering</x:v>
      </x:c>
      <x:c r="M106" s="19" t="str">
        <x:v>该段包含可直接回答问题的方法、指标、比较或研究发现。</x:v>
      </x:c>
      <x:c r="N106" s="13" t="str">
        <x:v>http://arxiv.org/abs/2510.12462v3</x:v>
      </x:c>
    </x:row>
    <x:row r="107" ht="58" customHeight="1">
      <x:c r="A107" s="13" t="str">
        <x:v>csq004-c019</x:v>
      </x:c>
      <x:c r="B107" s="13" t="str">
        <x:v>csq004</x:v>
      </x:c>
      <x:c r="C107" s="21" t="n">
        <x:v>19</x:v>
      </x:c>
      <x:c r="D107" s="20" t="str">
        <x:v>2</x:v>
      </x:c>
      <x:c r="E107" s="20" t="str"/>
      <x:c r="F107" s="20" t="str">
        <x:f>IF(E107="",D107,E107)</x:f>
        <x:v>2</x:v>
      </x:c>
      <x:c r="G107" s="13" t="str">
        <x:v>Assistant-Guided Mitigation of Teacher Preference Bias in LLM-as-a-Judge</x:v>
      </x:c>
      <x:c r="H107" s="13" t="n">
        <x:v>6</x:v>
      </x:c>
      <x:c r="I107" s="22" t="n">
        <x:v>0.015151515151515152</x:v>
      </x:c>
      <x:c r="J107" s="13" t="n">
        <x:v>1</x:v>
      </x:c>
      <x:c r="K107" s="19" t="str">
        <x:v>What limitations and biases have been identified in LLM-as-a-judge evaluation, and which mitigation strategies have been proposed?</x:v>
      </x:c>
      <x:c r="L107" s="19" t="str">
        <x:v>benchmark isbolded.
There are also some debiasing methods, such as
multi-agent debate methods (Khan et al., 2024; Li
et al.), constructing debiasing datasets (Park et al.,
2024) and Con-J (Ye et al., 2024b), that were not
included as baselines for comparison. This is be-
cause these methods are not directly applicable to
our problem setting, which involves only teacher-
generated training data and an assistant model, and
thus including them as baselines would not consti-
tute a fair comparison. The detailed reasons and
analysis are provided in Appendix A.3 and A.4.
Except forMT-Bench Human Judge(filtered),
where results are reported as win/loss ratios, all
other datasets useaccuracyas the evaluation met-
ric. For implementation details of fine-tuning and
DPO, please refer to Appendix A.
5.1 Results
Table 2 present the results when using GPT-3.5-</x:v>
      </x:c>
      <x:c r="M107" s="19" t="str">
        <x:v>该段包含可直接回答问题的方法、指标、比较或研究发现。</x:v>
      </x:c>
      <x:c r="N107" s="13" t="str">
        <x:v>http://arxiv.org/abs/2505.19176v3</x:v>
      </x:c>
    </x:row>
    <x:row r="108" ht="58" customHeight="1">
      <x:c r="A108" s="13" t="str">
        <x:v>csq004-c020</x:v>
      </x:c>
      <x:c r="B108" s="13" t="str">
        <x:v>csq004</x:v>
      </x:c>
      <x:c r="C108" s="21" t="n">
        <x:v>20</x:v>
      </x:c>
      <x:c r="D108" s="20" t="str">
        <x:v>2</x:v>
      </x:c>
      <x:c r="E108" s="20" t="str"/>
      <x:c r="F108" s="20" t="str">
        <x:f>IF(E108="",D108,E108)</x:f>
        <x:v>2</x:v>
      </x:c>
      <x:c r="G108" s="13" t="str">
        <x:v>Justice or Prejudice? Quantifying Biases in LLM-as-a-Judge</x:v>
      </x:c>
      <x:c r="H108" s="13" t="n">
        <x:v>1</x:v>
      </x:c>
      <x:c r="I108" s="22" t="n">
        <x:v>0.015151515151515152</x:v>
      </x:c>
      <x:c r="J108" s="13" t="n">
        <x:v>1</x:v>
      </x:c>
      <x:c r="K108" s="19" t="str">
        <x:v>What limitations and biases have been identified in LLM-as-a-judge evaluation, and which mitigation strategies have been proposed?</x:v>
      </x:c>
      <x:c r="L108" s="19" t="str">
        <x:v>including the following examples.
▷ Correctness of Scientific Reasoning. When using
LLMs to judge reasoning results in scientific QA or an-
swer to math problems (Cobbe et al., 2021; Hendrycks
et al., 2021), bias often occurs in understanding the con-
tent. Therefore, we focus on evaluating potential biases
in LLM judges, specifically regarding verbosity (favoring
longer responses), fallacy oversight (ignoring logical er-
rors in reasoning), and sentiment (preference for positive
or negative expressions).
▷ Improvement on Answer Refinement. Answers to
open-ended questions in the humanities, social sciences,
or general knowledge can often be refined to improve
quality. When LLMs are used to determine whether a
refined answer is better than the original, bias occurs if the
LLM judge is informed about the refinement process.</x:v>
      </x:c>
      <x:c r="M108" s="19" t="str">
        <x:v>该段包含可直接回答问题的方法、指标、比较或研究发现。</x:v>
      </x:c>
      <x:c r="N108" s="13" t="str">
        <x:v>http://arxiv.org/abs/2410.02736v2</x:v>
      </x:c>
    </x:row>
    <x:row r="109" ht="58" customHeight="1">
      <x:c r="A109" s="13" t="str">
        <x:v>csq004-c021</x:v>
      </x:c>
      <x:c r="B109" s="13" t="str">
        <x:v>csq004</x:v>
      </x:c>
      <x:c r="C109" s="21" t="n">
        <x:v>21</x:v>
      </x:c>
      <x:c r="D109" s="20" t="str">
        <x:v>2</x:v>
      </x:c>
      <x:c r="E109" s="20" t="str"/>
      <x:c r="F109" s="20" t="str">
        <x:f>IF(E109="",D109,E109)</x:f>
        <x:v>2</x:v>
      </x:c>
      <x:c r="G109" s="13" t="str">
        <x:v>Systematic Evaluation of LLM-as-a-Judge in LLM Alignment Tasks: Explainable Metrics and Diverse Prompt Templates</x:v>
      </x:c>
      <x:c r="H109" s="13" t="n">
        <x:v>0</x:v>
      </x:c>
      <x:c r="I109" s="22" t="n">
        <x:v>0.015151515151515152</x:v>
      </x:c>
      <x:c r="J109" s="13" t="n">
        <x:v>1</x:v>
      </x:c>
      <x:c r="K109" s="19" t="str">
        <x:v>What limitations and biases have been identified in LLM-as-a-judge evaluation, and which mitigation strategies have been proposed?</x:v>
      </x:c>
      <x:c r="L109" s="19" t="str">
        <x:v>Published at Building Trust Workshop at ICLR 2025
SYSTEMATIC EVALUATION OF LLM- AS-A-JUDGE IN
LLM A LIGNMENT TASKS : E XPLAINABLE METRICS
AND DIVERSE PROMPT TEMPLATES
Hui Wei*†1, Shenghua He*2, Tian Xia2, Fei Liu3, Andy Wong†4, Jingyang Lin†5, Mei Han2
1UC Merced, 2PAII Inc., 3Emory University, 4Inflection AI, 5University of Rochester
/githubCode: https://github.com/shenghh2015/llm-judge-eval
ABSTRACT
LLM-as-a-Judge has been widely applied to evaluate and compare different LLM
alignmnet approaches (e.g., RLHF and DPO). However, concerns regarding its
reliability have emerged, due to LLM judges’ biases and inconsistent decision-
making. Previous research has developed evaluation frameworks to assess relia-
bility of LLM judges and their alignment with human preferences. However, the
employed evaluation metrics often lack adequate explainability and fail to address</x:v>
      </x:c>
      <x:c r="M109" s="19" t="str">
        <x:v>该段包含可直接回答问题的方法、指标、比较或研究发现。</x:v>
      </x:c>
      <x:c r="N109" s="13" t="str">
        <x:v>http://arxiv.org/abs/2408.13006v2</x:v>
      </x:c>
    </x:row>
    <x:row r="110" ht="58" customHeight="1">
      <x:c r="A110" s="13" t="str">
        <x:v>csq004-c022</x:v>
      </x:c>
      <x:c r="B110" s="13" t="str">
        <x:v>csq004</x:v>
      </x:c>
      <x:c r="C110" s="21" t="n">
        <x:v>22</x:v>
      </x:c>
      <x:c r="D110" s="20" t="str">
        <x:v>2</x:v>
      </x:c>
      <x:c r="E110" s="20" t="str"/>
      <x:c r="F110" s="20" t="str">
        <x:f>IF(E110="",D110,E110)</x:f>
        <x:v>2</x:v>
      </x:c>
      <x:c r="G110" s="13" t="str">
        <x:v>Time To Impeach LLM-as-a-Judge: Programs are the Future of Evaluation</x:v>
      </x:c>
      <x:c r="H110" s="13" t="n">
        <x:v>0</x:v>
      </x:c>
      <x:c r="I110" s="22" t="n">
        <x:v>0.014925373134328358</x:v>
      </x:c>
      <x:c r="J110" s="13" t="n">
        <x:v>1</x:v>
      </x:c>
      <x:c r="K110" s="19" t="str">
        <x:v>What limitations and biases have been identified in LLM-as-a-judge evaluation, and which mitigation strategies have been proposed?</x:v>
      </x:c>
      <x:c r="L110" s="19" t="str">
        <x:v>responses. In the typical LLM-as-a-judge setup, a judge LLM evaluates a user query with two LLM-generated
answers, then selects the better one [1]. These judgments can be viewed as preference labels that enable ranking
LLMs by performance [2, 3], efficiently verifying LLM agent behaviors [4], curating datasets [5], or distilling into
specialized reward models [6].
Despite their promise, current LLM-as-a-judge approaches have several drawbacks:
• High cost: Querying state-of-the-art models, e.g., Open AI o3, or Claude 3 Opus [ 7], can run into thousands
of dollars for large evaluation sets. For example, researchers spent about $4,000 to generate 100K high-quality
judgments using GPT-4 [8].
• Uncertain reliability: Although LLMs can explain their verdicts, their outputs may exhibit inconsistent reliability
in adhering to rubrics [9].</x:v>
      </x:c>
      <x:c r="M110" s="19" t="str">
        <x:v>该段包含可直接回答问题的方法、指标、比较或研究发现。</x:v>
      </x:c>
      <x:c r="N110" s="13" t="str">
        <x:v>http://arxiv.org/abs/2506.10403v1</x:v>
      </x:c>
    </x:row>
    <x:row r="111" ht="58" customHeight="1">
      <x:c r="A111" s="13" t="str">
        <x:v>csq004-c023</x:v>
      </x:c>
      <x:c r="B111" s="13" t="str">
        <x:v>csq004</x:v>
      </x:c>
      <x:c r="C111" s="21" t="n">
        <x:v>23</x:v>
      </x:c>
      <x:c r="D111" s="20" t="str">
        <x:v>2</x:v>
      </x:c>
      <x:c r="E111" s="20" t="str"/>
      <x:c r="F111" s="20" t="str">
        <x:f>IF(E111="",D111,E111)</x:f>
        <x:v>2</x:v>
      </x:c>
      <x:c r="G111" s="13" t="str">
        <x:v>Justice or Prejudice? Quantifying Biases in LLM-as-a-Judge</x:v>
      </x:c>
      <x:c r="H111" s="13" t="n">
        <x:v>1</x:v>
      </x:c>
      <x:c r="I111" s="22" t="n">
        <x:v>0.014925373134328358</x:v>
      </x:c>
      <x:c r="J111" s="13" t="n">
        <x:v>1</x:v>
      </x:c>
      <x:c r="K111" s="19" t="str">
        <x:v>What limitations and biases have been identified in LLM-as-a-judge evaluation, and which mitigation strategies have been proposed?</x:v>
      </x:c>
      <x:c r="L111" s="19" t="str">
        <x:v>and introduces human subjectivity, complicating the establishment of reliable ground truth and the
reproducibility of findings (Zheng et al., 2024). Additionally, Wu &amp; Aji (2023) demonstrated that the
limited size and scope of test data increase the risk of random interference, potentially obscuring the
true extent of bias in LLM judgments. A more detailed discussion of related work is in Appendix A.
Figure 1: The comparison of the robust-
ness rates (scores) of all models, a higher
score indicates greater resistance to the
bias. Table 1 shows the full name of 12
types of bias.
To address these challenges, we introduce CALM, a novel
framework for automated quantification of biases in LLM-
as-a-Judge. CALM covers 12 distinct types of bias that may
arise when LLMs are used as judges in various scenarios,
including the following examples.
▷ Correctness of Scientific Reasoning. When using</x:v>
      </x:c>
      <x:c r="M111" s="19" t="str">
        <x:v>该段包含可直接回答问题的方法、指标、比较或研究发现。</x:v>
      </x:c>
      <x:c r="N111" s="13" t="str">
        <x:v>http://arxiv.org/abs/2410.02736v2</x:v>
      </x:c>
    </x:row>
    <x:row r="112" ht="58" customHeight="1">
      <x:c r="A112" s="13" t="str">
        <x:v>csq004-c024</x:v>
      </x:c>
      <x:c r="B112" s="13" t="str">
        <x:v>csq004</x:v>
      </x:c>
      <x:c r="C112" s="21" t="n">
        <x:v>24</x:v>
      </x:c>
      <x:c r="D112" s="20" t="str">
        <x:v>2</x:v>
      </x:c>
      <x:c r="E112" s="20" t="str"/>
      <x:c r="F112" s="20" t="str">
        <x:f>IF(E112="",D112,E112)</x:f>
        <x:v>2</x:v>
      </x:c>
      <x:c r="G112" s="13" t="str">
        <x:v>Humans or LLMs as the Judge? A Study on Judgement Biases</x:v>
      </x:c>
      <x:c r="H112" s="13" t="n">
        <x:v>0</x:v>
      </x:c>
      <x:c r="I112" s="22" t="n">
        <x:v>0.014925373134328358</x:v>
      </x:c>
      <x:c r="J112" s="13" t="n">
        <x:v>1</x:v>
      </x:c>
      <x:c r="K112" s="19" t="str">
        <x:v>What limitations and biases have been identified in LLM-as-a-judge evaluation, and which mitigation strategies have been proposed?</x:v>
      </x:c>
      <x:c r="L112" s="19" t="str">
        <x:v>Humans or LLMs as the Judge? A Study on Judgement Bias
Guiming Hardy Chen†, Shunian Chen†, Ziche Liu, Feng Jiang, Benyou Wang*
The Chinese University of Hong Kong, Shenzhen
Shenzhen Research Institute of Big Data
{guimingchen,shunianchen}@link.cuhk.edu.cn
zicheliu@link.cuhk.edu.cn jeffreyjiang@cuhk.edu.cn
wangbenyou@cuhk.edu.cn
Abstract
Adopting human and large language models
(LLM) as judges (a.k.a human- and LLM-as-a-
judge) for evaluating the performance of LLMs
has recently gained attention. Nonetheless, this
approach concurrently introduces potential bi-
ases from human and LLMs, questioning the re-
liability of the evaluation results. In this paper,
we propose a novel framework that is free from
referencing groundtruth annotations for inves-
tigating Misinformation Oversight Bias,
Gender Bias, Authority Bias and Beauty
Bias on LLM and human judges. We curate</x:v>
      </x:c>
      <x:c r="M112" s="19" t="str">
        <x:v>该段包含可直接回答问题的方法、指标、比较或研究发现。</x:v>
      </x:c>
      <x:c r="N112" s="13" t="str">
        <x:v>http://arxiv.org/abs/2402.10669v5</x:v>
      </x:c>
    </x:row>
    <x:row r="113" ht="58" customHeight="1">
      <x:c r="A113" s="13" t="str">
        <x:v>csq004-c025</x:v>
      </x:c>
      <x:c r="B113" s="13" t="str">
        <x:v>csq004</x:v>
      </x:c>
      <x:c r="C113" s="21" t="n">
        <x:v>25</x:v>
      </x:c>
      <x:c r="D113" s="20" t="str">
        <x:v>2</x:v>
      </x:c>
      <x:c r="E113" s="20" t="str"/>
      <x:c r="F113" s="20" t="str">
        <x:f>IF(E113="",D113,E113)</x:f>
        <x:v>2</x:v>
      </x:c>
      <x:c r="G113" s="13" t="str">
        <x:v>Assistant-Guided Mitigation of Teacher Preference Bias in LLM-as-a-Judge</x:v>
      </x:c>
      <x:c r="H113" s="13" t="n">
        <x:v>1</x:v>
      </x:c>
      <x:c r="I113" s="22" t="n">
        <x:v>0.014705882352941176</x:v>
      </x:c>
      <x:c r="J113" s="13" t="n">
        <x:v>1</x:v>
      </x:c>
      <x:c r="K113" s="19" t="str">
        <x:v>What limitations and biases have been identified in LLM-as-a-judge evaluation, and which mitigation strategies have been proposed?</x:v>
      </x:c>
      <x:c r="L113" s="19" t="str">
        <x:v>2023). However, this paradigm suffers from biases,
including position bias (Shi et al., 2025), verbosity
bias (Chen et al., 2024), and self-preference bias,
where LLMs favor their own responses (Li et al.;
Panickssery et al., 2024). These biases undermine
the reliability and fairness of LLM-as-a-Judge eval-
uations (Ye et al., 2024a).
Proxy Judge ModelsDue to the high cost,
limited transparency, and lack of controllability
associated with proprietary large models, fine-
tuning open-source models to serve as judge mod-
els—commonly referred to as proxy judge mod-
els—has become an increasingly popular alterna-
tive (Wang et al., 2023; Zhu et al., 2023; Kim
et al., 2023, 2024). This approach typically in-
volves leveraging a powerful proprietary model
(mostly GPT-4), known as the teacher model, to
construct evaluation-specific training data. How-</x:v>
      </x:c>
      <x:c r="M113" s="19" t="str">
        <x:v>该段包含可直接回答问题的方法、指标、比较或研究发现。</x:v>
      </x:c>
      <x:c r="N113" s="13" t="str">
        <x:v>http://arxiv.org/abs/2505.19176v3</x:v>
      </x:c>
    </x:row>
    <x:row r="114" ht="58" customHeight="1">
      <x:c r="A114" s="13" t="str">
        <x:v>csq004-c026</x:v>
      </x:c>
      <x:c r="B114" s="13" t="str">
        <x:v>csq004</x:v>
      </x:c>
      <x:c r="C114" s="21" t="n">
        <x:v>26</x:v>
      </x:c>
      <x:c r="D114" s="20" t="str">
        <x:v>2</x:v>
      </x:c>
      <x:c r="E114" s="20" t="str"/>
      <x:c r="F114" s="20" t="str">
        <x:f>IF(E114="",D114,E114)</x:f>
        <x:v>2</x:v>
      </x:c>
      <x:c r="G114" s="13" t="str">
        <x:v>Justice or Prejudice? Quantifying Biases in LLM-as-a-Judge</x:v>
      </x:c>
      <x:c r="H114" s="13" t="n">
        <x:v>34</x:v>
      </x:c>
      <x:c r="I114" s="22" t="n">
        <x:v>0.014705882352941176</x:v>
      </x:c>
      <x:c r="J114" s="13" t="n">
        <x:v>1</x:v>
      </x:c>
      <x:c r="K114" s="19" t="str">
        <x:v>What limitations and biases have been identified in LLM-as-a-judge evaluation, and which mitigation strategies have been proposed?</x:v>
      </x:c>
      <x:c r="L114" s="19" t="str">
        <x:v>template:
1. Verbosity Bias : Language models may judge responses more favorably if
they are longer. If the prompt encourages longer responses that contain
less useful information, this is considered Verbosity Bias.
2. Compassion-Fade Bias : Language models’ judgments may be influenced by
the name of the model being judged or anonymization strategies. If the
prompt includes the model’s name or is directly given in someone’s name, it
is considered Compassion-Fade Bias.
3. Bandwagon-Effect Bias : Language models’ judgments may be influenced by
majority opinions. If the prompt includes phrases like "many people prefer
answer X" or if it suggests that "many people like this answer," this is
considered Bandwagon-Effect Bias.
4. Distraction Bias: Language models’ judgments may be impacted by introduced
distractions, especially when evaluating high-quality and low-quality</x:v>
      </x:c>
      <x:c r="M114" s="19" t="str">
        <x:v>该段包含可直接回答问题的方法、指标、比较或研究发现。</x:v>
      </x:c>
      <x:c r="N114" s="13" t="str">
        <x:v>http://arxiv.org/abs/2410.02736v2</x:v>
      </x:c>
    </x:row>
    <x:row r="115" ht="58" customHeight="1">
      <x:c r="A115" s="13" t="str">
        <x:v>csq004-c027</x:v>
      </x:c>
      <x:c r="B115" s="13" t="str">
        <x:v>csq004</x:v>
      </x:c>
      <x:c r="C115" s="21" t="n">
        <x:v>27</x:v>
      </x:c>
      <x:c r="D115" s="20" t="str">
        <x:v>0</x:v>
      </x:c>
      <x:c r="E115" s="20" t="str"/>
      <x:c r="F115" s="20" t="str">
        <x:f>IF(E115="",D115,E115)</x:f>
        <x:v>0</x:v>
      </x:c>
      <x:c r="G115" s="13" t="str">
        <x:v>Benchmarking Adversarial Robustness to Bias Elicitation in Large Language Models: Scalable Automated Assessment with LLM-as-a-Judge</x:v>
      </x:c>
      <x:c r="H115" s="13" t="n">
        <x:v>1</x:v>
      </x:c>
      <x:c r="I115" s="22" t="n">
        <x:v>0.014705882352941176</x:v>
      </x:c>
      <x:c r="J115" s="13" t="n">
        <x:v>1</x:v>
      </x:c>
      <x:c r="K115" s="19" t="str">
        <x:v>What limitations and biases have been identified in LLM-as-a-judge evaluation, and which mitigation strategies have been proposed?</x:v>
      </x:c>
      <x:c r="L115" s="19" t="str">
        <x:v>biased training data that reflects historical inequalities and prejudicial associations,
linguistic imbalances in corpora, flaws in algorithmic design, and the uncritical use
of AI systems (Gallegos et al., 2024; Hovy &amp; Prabhumoye, 2021). Previous stud-
ies have quantified biased attitudes in language models related to various social
groups (Manerba et al., 2024; Nadeem et al., 2021), also finding that state-of-the-
art LLMs can be manipulated via adversarial attacks to produce biased or harmful
responses, despite their bias mitigation and alignment mechanisms (Cantini et al.,
2024). These challenges necessitate rigorous methodologies for evaluating and miti-
gating biases while ensuring models remain robust against adversarial exploitation.
However, current approaches to bias evaluation face critical limitations, including</x:v>
      </x:c>
      <x:c r="M115" s="19" t="str">
        <x:v>该段为无关内容、泛泛提及或参考文献片段，不能作为回答证据。</x:v>
      </x:c>
      <x:c r="N115" s="13" t="str">
        <x:v>http://arxiv.org/abs/2504.07887v2</x:v>
      </x:c>
    </x:row>
    <x:row r="116" ht="58" customHeight="1">
      <x:c r="A116" s="13" t="str">
        <x:v>csq004-c028</x:v>
      </x:c>
      <x:c r="B116" s="13" t="str">
        <x:v>csq004</x:v>
      </x:c>
      <x:c r="C116" s="21" t="n">
        <x:v>28</x:v>
      </x:c>
      <x:c r="D116" s="20" t="str">
        <x:v>2</x:v>
      </x:c>
      <x:c r="E116" s="20" t="str"/>
      <x:c r="F116" s="20" t="str">
        <x:f>IF(E116="",D116,E116)</x:f>
        <x:v>2</x:v>
      </x:c>
      <x:c r="G116" s="13" t="str">
        <x:v>Evaluating and Mitigating LLM-as-a-judge Bias in Communication Systems</x:v>
      </x:c>
      <x:c r="H116" s="13" t="n">
        <x:v>1</x:v>
      </x:c>
      <x:c r="I116" s="22" t="n">
        <x:v>0.014492753623188406</x:v>
      </x:c>
      <x:c r="J116" s="13" t="n">
        <x:v>1</x:v>
      </x:c>
      <x:c r="K116" s="19" t="str">
        <x:v>What limitations and biases have been identified in LLM-as-a-judge evaluation, and which mitigation strategies have been proposed?</x:v>
      </x:c>
      <x:c r="L116" s="19" t="str">
        <x:v>expression length, or reasoning format (e.g., Rich Content,
Chain-of-Thought, Verbosity, and Sentiment) rather than its
semantic content. Explicit biases reflect prejudices triggered by
external factors or social attributes unrelated to answer quality
(e.g., gender, authority, and popularity).
Implicit biases include the following four biases:
•Rich Content (Elaboration) Bias.The judge favors
answers that are more elaborate, descriptive, or “richer”
in content, even if the extra detail is unnecessary. A
response that provides extensive context, examples, or
flowery language can be rated higher than a concise,
equally correct response. This bias (akin to an aesthetic
preference) means well-written or verbose answers may
be overrated [5].
•Verbosity (Length) Bias.Relatedly, LLM judges often
show a direct preference for longer answers. Lengthy</x:v>
      </x:c>
      <x:c r="M116" s="19" t="str">
        <x:v>该段包含可直接回答问题的方法、指标、比较或研究发现。</x:v>
      </x:c>
      <x:c r="N116" s="13" t="str">
        <x:v>http://arxiv.org/abs/2510.12462v3</x:v>
      </x:c>
    </x:row>
    <x:row r="117" ht="58" customHeight="1">
      <x:c r="A117" s="13" t="str">
        <x:v>csq004-c029</x:v>
      </x:c>
      <x:c r="B117" s="13" t="str">
        <x:v>csq004</x:v>
      </x:c>
      <x:c r="C117" s="21" t="n">
        <x:v>29</x:v>
      </x:c>
      <x:c r="D117" s="20" t="str">
        <x:v>2</x:v>
      </x:c>
      <x:c r="E117" s="20" t="str"/>
      <x:c r="F117" s="20" t="str">
        <x:f>IF(E117="",D117,E117)</x:f>
        <x:v>2</x:v>
      </x:c>
      <x:c r="G117" s="13" t="str">
        <x:v>Evaluating and Mitigating LLM-as-a-judge Bias in Communication Systems</x:v>
      </x:c>
      <x:c r="H117" s="13" t="n">
        <x:v>5</x:v>
      </x:c>
      <x:c r="I117" s="22" t="n">
        <x:v>0.014492753623188406</x:v>
      </x:c>
      <x:c r="J117" s="13" t="n">
        <x:v>1</x:v>
      </x:c>
      <x:c r="K117" s="19" t="str">
        <x:v>What limitations and biases have been identified in LLM-as-a-judge evaluation, and which mitigation strategies have been proposed?</x:v>
      </x:c>
      <x:c r="L117" s="19" t="str">
        <x:v>evaluation can catch problematic tendencies early. One po-
tential approach is to use a secondary bias detection prompt
or model that inspects the content for known bias patterns.
For example, before scoring an answer, the system could
internally query, “Does the candidate response include overly
emotional language, irrelevant flattery, or indications of misin-
formation?”. If such biases are detected, the judge model can
adjust its scoring strategy (or flag the case for human review).
In communication platforms, this kind of preemptive bias scan
ensures that the AI judge treats all users’ responses equitably.
C. Model Calibration and Specialized Training
Calibration techniques can also be applied to down-weight
superficial qualities in scoring. For proprietary judges, this
might involve probability- or prompt-level calibration that</x:v>
      </x:c>
      <x:c r="M117" s="19" t="str">
        <x:v>该段包含可直接回答问题的方法、指标、比较或研究发现。</x:v>
      </x:c>
      <x:c r="N117" s="13" t="str">
        <x:v>http://arxiv.org/abs/2510.12462v3</x:v>
      </x:c>
    </x:row>
    <x:row r="118" ht="58" customHeight="1">
      <x:c r="A118" s="13" t="str">
        <x:v>csq004-c030</x:v>
      </x:c>
      <x:c r="B118" s="13" t="str">
        <x:v>csq004</x:v>
      </x:c>
      <x:c r="C118" s="21" t="n">
        <x:v>30</x:v>
      </x:c>
      <x:c r="D118" s="20" t="str">
        <x:v>2</x:v>
      </x:c>
      <x:c r="E118" s="20" t="str"/>
      <x:c r="F118" s="20" t="str">
        <x:f>IF(E118="",D118,E118)</x:f>
        <x:v>2</x:v>
      </x:c>
      <x:c r="G118" s="13" t="str">
        <x:v>Justice or Prejudice? Quantifying Biases in LLM-as-a-Judge</x:v>
      </x:c>
      <x:c r="H118" s="13" t="n">
        <x:v>4</x:v>
      </x:c>
      <x:c r="I118" s="22" t="n">
        <x:v>0.014492753623188406</x:v>
      </x:c>
      <x:c r="J118" s="13" t="n">
        <x:v>1</x:v>
      </x:c>
      <x:c r="K118" s="19" t="str">
        <x:v>What limitations and biases have been identified in LLM-as-a-judge evaluation, and which mitigation strategies have been proposed?</x:v>
      </x:c>
      <x:c r="L118" s="19" t="str">
        <x:v>Influence
Position Align. 439 RR ✘ ✔ ✔ ✘ ✘
Verbosity Fac. 500 RR ✘ ✔ ✔ ✘ ✘
Compassion-Fade Align. 439 RR ✘ ✔ ✔ ✘ ✘
Bandwagon Align. 150 RR ✘ ✔ ✘ ✘ ✔
Distraction Align. 439 RR ✘ ✔ ✘ ✘ ✔
Fallacy-Oversight Fac. 500 RR ✘ ✔ ✔ ✔ ✘
Authority Align. 150 RR ✘ ✔ ✔ ✘ ✘
Sentiment Fac. 500 RR ✘ ✔ ✔ ✘ ✘
Diversity Align. 150 RR ✘ ✔ ✘ ✘ ✔
Chain-of-Thought Align. 439 Acc ✘ ✔ ✘ ✘ ✔
Self-Enhancement Align. 150 Err.SE ✔ ✘ ✘ ✘ ✘
Refinement-Aware Ref. 500 Err. RA ✔ ✘ ✔ ✔ ✔
2.3 J UDGING TASKS , DATASETS AND METRICS
Judging Tasks. The use of LLM-as-a-Judge is typically implemented in two well-established ways:
pairwise comparison (Zheng et al., 2024) and scoring (Liu et al., 2023a). One drawback of the
scoring method is that, without a reference answer, it can be challenging for LLM judges to provide
an objective score, as their judgments can be easily influenced by contextual factors. In contrast,</x:v>
      </x:c>
      <x:c r="M118" s="19" t="str">
        <x:v>该段包含可直接回答问题的方法、指标、比较或研究发现。</x:v>
      </x:c>
      <x:c r="N118" s="13" t="str">
        <x:v>http://arxiv.org/abs/2410.02736v2</x:v>
      </x:c>
    </x:row>
    <x:row r="119" ht="58" customHeight="1">
      <x:c r="A119" s="13" t="str">
        <x:v>csq005-c001</x:v>
      </x:c>
      <x:c r="B119" s="13" t="str">
        <x:v>csq005</x:v>
      </x:c>
      <x:c r="C119" s="21" t="n">
        <x:v>1</x:v>
      </x:c>
      <x:c r="D119" s="20" t="str">
        <x:v>0</x:v>
      </x:c>
      <x:c r="E119" s="20" t="str"/>
      <x:c r="F119" s="20" t="str">
        <x:f>IF(E119="",D119,E119)</x:f>
        <x:v>0</x:v>
      </x:c>
      <x:c r="G119" s="13" t="str">
        <x:v>An Evolved Universal Transformer Memory</x:v>
      </x:c>
      <x:c r="H119" s="13" t="n">
        <x:v>11</x:v>
      </x:c>
      <x:c r="I119" s="22" t="n">
        <x:v>0.048131080389144903</x:v>
      </x:c>
      <x:c r="J119" s="13" t="n">
        <x:v>3</x:v>
      </x:c>
      <x:c r="K119" s="19" t="str">
        <x:v>How have methods for extending the effective context length of transformer language models evolved, and what trade-offs do they make in memory, latency, and retrieval quality?</x:v>
      </x:c>
      <x:c r="L119" s="19" t="str">
        <x:v>modeling. Advances in neural information processing systems , 34:15084–15097, 2021b.
Shouyuan Chen, Sherman Wong, Liangjian Chen, and Yuandong Tian. Extending context window
of large language models via positional interpolation. arXiv preprint arXiv:2306.15595, 2023.
Zihang Dai, Zhilin Yang, Yiming Yang, Jaime Carbonell, Quoc V Le, and Ruslan Salakhutdi-
nov. Transformer-xl: Attentive language models beyond a fixed-length context. arXiv preprint
arXiv:1901.02860, 2019.
Tri Dao, Dan Fu, Stefano Ermon, Atri Rudra, and Christopher R´e. Flashattention: Fast and memory-
efficient exact attention with io-awareness. Advances in Neural Information Processing Systems ,
35:16344–16359, 2022.
Abhimanyu Das, Weihao Kong, Rajat Sen, and Yichen Zhou. A decoder-only foundation model for
time-series forecasting. arXiv preprint arXiv:2310.10688, 2023.</x:v>
      </x:c>
      <x:c r="M119" s="19" t="str">
        <x:v>该段为无关内容、泛泛提及或参考文献片段，不能作为回答证据。</x:v>
      </x:c>
      <x:c r="N119" s="13" t="str">
        <x:v>http://arxiv.org/abs/2410.13166v4</x:v>
      </x:c>
    </x:row>
    <x:row r="120" ht="58" customHeight="1">
      <x:c r="A120" s="13" t="str">
        <x:v>csq005-c002</x:v>
      </x:c>
      <x:c r="B120" s="13" t="str">
        <x:v>csq005</x:v>
      </x:c>
      <x:c r="C120" s="21" t="n">
        <x:v>2</x:v>
      </x:c>
      <x:c r="D120" s="20" t="str">
        <x:v>2</x:v>
      </x:c>
      <x:c r="E120" s="20" t="str"/>
      <x:c r="F120" s="20" t="str">
        <x:f>IF(E120="",D120,E120)</x:f>
        <x:v>2</x:v>
      </x:c>
      <x:c r="G120" s="13" t="str">
        <x:v>$\infty$-former: Infinite Memory Transformer</x:v>
      </x:c>
      <x:c r="H120" s="13" t="n">
        <x:v>8</x:v>
      </x:c>
      <x:c r="I120" s="22" t="n">
        <x:v>0.04738666351569577</x:v>
      </x:c>
      <x:c r="J120" s="13" t="n">
        <x:v>3</x:v>
      </x:c>
      <x:c r="K120" s="19" t="str">
        <x:v>How have methods for extending the effective context length of transformer language models evolved, and what trade-offs do they make in memory, latency, and retrieval quality?</x:v>
      </x:c>
      <x:c r="L120" s="19" t="str">
        <x:v>a high accuracy. Experiments on language model-
ing and document grounded dialogue generation
by ﬁne-tuning a pre-trained language model have
shown improvements across several metrics.
Ethics Statement
Transformer models that attend to long contexts,
to improve their generation quality, need large
amounts of computation and memory to perform
self-attention. In this paper, we propose an exten-
sion to a transformer model that makes the attention
complexity independent of the length of the con-
text being attended to. This can lead to a reduced
number of parameters needed to model the same
context, which can, consequently, lead to gains in
efﬁciency and reduce energy consumption.
On the other hand, the∞-former, as well as the
other transformer language models, can be used on
questionable scenarios, such as the generation of
fake news (Zellers et al., 2019), defamatory text</x:v>
      </x:c>
      <x:c r="M120" s="19" t="str">
        <x:v>该段包含可直接回答问题的方法、指标、比较或研究发现。</x:v>
      </x:c>
      <x:c r="N120" s="13" t="str">
        <x:v>http://arxiv.org/abs/2109.00301v3</x:v>
      </x:c>
    </x:row>
    <x:row r="121" ht="58" customHeight="1">
      <x:c r="A121" s="13" t="str">
        <x:v>csq005-c003</x:v>
      </x:c>
      <x:c r="B121" s="13" t="str">
        <x:v>csq005</x:v>
      </x:c>
      <x:c r="C121" s="21" t="n">
        <x:v>3</x:v>
      </x:c>
      <x:c r="D121" s="20" t="str">
        <x:v>0</x:v>
      </x:c>
      <x:c r="E121" s="20" t="str"/>
      <x:c r="F121" s="20" t="str">
        <x:f>IF(E121="",D121,E121)</x:f>
        <x:v>0</x:v>
      </x:c>
      <x:c r="G121" s="13" t="str">
        <x:v>An Evolved Universal Transformer Memory</x:v>
      </x:c>
      <x:c r="H121" s="13" t="n">
        <x:v>12</x:v>
      </x:c>
      <x:c r="I121" s="22" t="n">
        <x:v>0.045444661883018045</x:v>
      </x:c>
      <x:c r="J121" s="13" t="n">
        <x:v>3</x:v>
      </x:c>
      <x:c r="K121" s="19" t="str">
        <x:v>How have methods for extending the effective context length of transformer language models evolved, and what trade-offs do they make in memory, latency, and retrieval quality?</x:v>
      </x:c>
      <x:c r="L121" s="19" t="str">
        <x:v>Yang, Zhou Xin, and Xiaoxing Ma. Advancing transformer architecture in long-context large
language models: A comprehensive survey. arXiv preprint arXiv:2311.12351, 2023.
Dongseong Hwang, Weiran Wang, Zhuoyuan Huo, Khe Chai Sim, and Pedro Moreno Mengibar.
Transformerfam: Feedback attention is working memory.arXiv preprint arXiv:2404.09173, 2024.
AQ Jiang, A Sablayrolles, A Mensch, C Bamford, DS Chaplot, D de las Casas, F Bressand,
G Lengyel, G Lample, L Saulnier, et al. Mistral 7b (2023). arXiv preprint arXiv:2310.06825 ,
2023.
Hongye Jin, Xiaotian Han, Jingfeng Yang, Zhimeng Jiang, Zirui Liu, Chia-Yuan Chang, Huiyuan
Chen, and Xia Hu. Llm maybe longlm: Self-extend llm context window without tuning. arXiv
preprint arXiv:2401.01325, 2024.
Greg Kamradt. Needleinahaystack: Doing simple retrieval from llm models at various context</x:v>
      </x:c>
      <x:c r="M121" s="19" t="str">
        <x:v>该段为无关内容、泛泛提及或参考文献片段，不能作为回答证据。</x:v>
      </x:c>
      <x:c r="N121" s="13" t="str">
        <x:v>http://arxiv.org/abs/2410.13166v4</x:v>
      </x:c>
    </x:row>
    <x:row r="122" ht="58" customHeight="1">
      <x:c r="A122" s="13" t="str">
        <x:v>csq005-c004</x:v>
      </x:c>
      <x:c r="B122" s="13" t="str">
        <x:v>csq005</x:v>
      </x:c>
      <x:c r="C122" s="21" t="n">
        <x:v>4</x:v>
      </x:c>
      <x:c r="D122" s="20" t="str">
        <x:v>1</x:v>
      </x:c>
      <x:c r="E122" s="20" t="str"/>
      <x:c r="F122" s="20" t="str">
        <x:f>IF(E122="",D122,E122)</x:f>
        <x:v>1</x:v>
      </x:c>
      <x:c r="G122" s="13" t="str">
        <x:v>MOM: Memory-Efficient Offloaded Mini-Sequence Inference for Long Context Language Models</x:v>
      </x:c>
      <x:c r="H122" s="13" t="n">
        <x:v>0</x:v>
      </x:c>
      <x:c r="I122" s="22" t="n">
        <x:v>0.04392998306041784</x:v>
      </x:c>
      <x:c r="J122" s="13" t="n">
        <x:v>3</x:v>
      </x:c>
      <x:c r="K122" s="19" t="str">
        <x:v>How have methods for extending the effective context length of transformer language models evolved, and what trade-offs do they make in memory, latency, and retrieval quality?</x:v>
      </x:c>
      <x:c r="L122" s="19" t="str">
        <x:v>1 Introduction
The Transformer architecture (Vaswani et al., 2017) revolutionized natural language process-
ing through self-attention, enabling models to capture long-range dependencies. Despite
their impact, standard Transformers have inherent limitations processing long sequences
due to quadratic memory complexity—a challenge that has driven extensive research into
efficient Transformer variants (Tay et al., 2020) and architectures tailored for long docu-
ments like Longformer (Beltagy et al., 2020). Concurrently, system-level innovations such as
FlashAttention (Dao et al., 2022; Dao, 2023), ZeRO (Rajbhandari et al., 2020), Megatron-LM
(Shoeybi et al., 2019), DeepSpeed (Rasley et al., 2020), and parameter-efficient fine-tuning
methods like LoRA (Hu et al., 2022) have advanced model scalability and training efficiency.</x:v>
      </x:c>
      <x:c r="M122" s="19" t="str">
        <x:v>该段提供相关背景或侧面信息，但没有直接回答问题核心。</x:v>
      </x:c>
      <x:c r="N122" s="13" t="str">
        <x:v>http://arxiv.org/abs/2504.12526v1</x:v>
      </x:c>
    </x:row>
    <x:row r="123" ht="58" customHeight="1">
      <x:c r="A123" s="13" t="str">
        <x:v>csq005-c005</x:v>
      </x:c>
      <x:c r="B123" s="13" t="str">
        <x:v>csq005</x:v>
      </x:c>
      <x:c r="C123" s="21" t="n">
        <x:v>5</x:v>
      </x:c>
      <x:c r="D123" s="20" t="str">
        <x:v>0</x:v>
      </x:c>
      <x:c r="E123" s="20" t="str"/>
      <x:c r="F123" s="20" t="str">
        <x:f>IF(E123="",D123,E123)</x:f>
        <x:v>0</x:v>
      </x:c>
      <x:c r="G123" s="13" t="str">
        <x:v>Compressed Context Memory For Online Language Model Interaction</x:v>
      </x:c>
      <x:c r="H123" s="13" t="n">
        <x:v>14</x:v>
      </x:c>
      <x:c r="I123" s="22" t="n">
        <x:v>0.043590401799357026</x:v>
      </x:c>
      <x:c r="J123" s="13" t="n">
        <x:v>3</x:v>
      </x:c>
      <x:c r="K123" s="19" t="str">
        <x:v>How have methods for extending the effective context length of transformer language models evolved, and what trade-offs do they make in memory, latency, and retrieval quality?</x:v>
      </x:c>
      <x:c r="L123" s="19" t="str">
        <x:v>Published as a conference paper at ICLR 2024
Yuhuai Wu, Markus N Rabe, DeLesley Hutchins, and Christian Szegedy. Memorizing transformers.
ICLR, 2022.
Guangxuan Xiao, Yuandong Tian, Beidi Chen, Song Han, and Mike Lewis. Efficient streaming
language models with attention sinks. arXiv preprint arXiv:2309.17453, 2023.
Manzil Zaheer, Guru Guruganesh, Kumar Avinava Dubey, et al. Big bird: Transformers for longer
sequences. NeurIPS, 2020.
Susan Zhang, Stephen Roller, Naman Goyal, et al. Opt: Open pre-trained transformer language
models. arXiv preprint arXiv:2205.01068, 2022.
Lianmin Zheng, Wei-Lin Chiang, Ying Sheng, et al. Lmsys-chat-1m: A large-scale real-world llm
conversation dataset. arXiv preprint arXiv:2309.11998, 2023.
Wanjun Zhong, Lianghong Guo, Qiqi Gao, and Yanlin Wang. Memorybank: Enhancing large lan-
guage models with long-term memory. arXiv preprint arXiv:2305.10250, 2023.
15</x:v>
      </x:c>
      <x:c r="M123" s="19" t="str">
        <x:v>该段为无关内容、泛泛提及或参考文献片段，不能作为回答证据。</x:v>
      </x:c>
      <x:c r="N123" s="13" t="str">
        <x:v>http://arxiv.org/abs/2312.03414v2</x:v>
      </x:c>
    </x:row>
    <x:row r="124" ht="58" customHeight="1">
      <x:c r="A124" s="13" t="str">
        <x:v>csq005-c006</x:v>
      </x:c>
      <x:c r="B124" s="13" t="str">
        <x:v>csq005</x:v>
      </x:c>
      <x:c r="C124" s="21" t="n">
        <x:v>6</x:v>
      </x:c>
      <x:c r="D124" s="20" t="str">
        <x:v>2</x:v>
      </x:c>
      <x:c r="E124" s="20" t="str"/>
      <x:c r="F124" s="20" t="str">
        <x:f>IF(E124="",D124,E124)</x:f>
        <x:v>2</x:v>
      </x:c>
      <x:c r="G124" s="13" t="str">
        <x:v>MOM: Memory-Efficient Offloaded Mini-Sequence Inference for Long Context Language Models</x:v>
      </x:c>
      <x:c r="H124" s="13" t="n">
        <x:v>0</x:v>
      </x:c>
      <x:c r="I124" s="22" t="n">
        <x:v>0.04342046964997785</x:v>
      </x:c>
      <x:c r="J124" s="13" t="n">
        <x:v>3</x:v>
      </x:c>
      <x:c r="K124" s="19" t="str">
        <x:v>How have methods for extending the effective context length of transformer language models evolved, and what trade-offs do they make in memory, latency, and retrieval quality?</x:v>
      </x:c>
      <x:c r="L124" s="19" t="str">
        <x:v>memory usage by over 50% on average. On Meta-Llama-3.2-8B, MOM
extends the maximum context length from 155k to 455k tokens on a single
A100 80GB GPU, while keeping outputs identical and not compromising
accuracy. MOM also maintains highly competitive throughput due to mini-
mal computational overhead and efficient last-layer processing. Compared
to traditional chunked prefill methods, MOM achieves a 35% greater con-
text length extension. More importantly, our method drastically reduces
prefill memory consumption, eliminating it as the longstanding dominant
memory bottleneck during inference. This breakthrough fundamentally
changes research priorities, redirecting future efforts from prefill-stage
optimizations to improving decode-stage residual KV cache efficiency.
1 Introduction
The Transformer architecture (Vaswani et al., 2017) revolutionized natural language process-</x:v>
      </x:c>
      <x:c r="M124" s="19" t="str">
        <x:v>该段包含可直接回答问题的方法、指标、比较或研究发现。</x:v>
      </x:c>
      <x:c r="N124" s="13" t="str">
        <x:v>http://arxiv.org/abs/2504.12526v1</x:v>
      </x:c>
    </x:row>
    <x:row r="125" ht="58" customHeight="1">
      <x:c r="A125" s="13" t="str">
        <x:v>csq005-c007</x:v>
      </x:c>
      <x:c r="B125" s="13" t="str">
        <x:v>csq005</x:v>
      </x:c>
      <x:c r="C125" s="21" t="n">
        <x:v>7</x:v>
      </x:c>
      <x:c r="D125" s="20" t="str">
        <x:v>2</x:v>
      </x:c>
      <x:c r="E125" s="20" t="str"/>
      <x:c r="F125" s="20" t="str">
        <x:f>IF(E125="",D125,E125)</x:f>
        <x:v>2</x:v>
      </x:c>
      <x:c r="G125" s="13" t="str">
        <x:v>CLEX: Continuous Length Extrapolation for Large Language Models</x:v>
      </x:c>
      <x:c r="H125" s="13" t="n">
        <x:v>0</x:v>
      </x:c>
      <x:c r="I125" s="22" t="n">
        <x:v>0.03278688524590164</x:v>
      </x:c>
      <x:c r="J125" s="13" t="n">
        <x:v>2</x:v>
      </x:c>
      <x:c r="K125" s="19" t="str">
        <x:v>How have methods for extending the effective context length of transformer language models evolved, and what trade-offs do they make in memory, latency, and retrieval quality?</x:v>
      </x:c>
      <x:c r="L125" s="19" t="str">
        <x:v>LLaMA (Touvron et al., 2023a;b), have now emerged as the state-of-the-art models in various nat-
ural language processing (NLP) tasks. However, these models grapple with the limitations inher-
ent to the Transformer architecture - mainly, a preset context window, beyond which performance
plummets catastrophically (Press et al., 2022). The quadratic complexity of the attention mecha-
nism renders training LLMs with a larger context window extraordinarily resource-intensive. Prior
works (Dai et al., 2019; Beltagy et al., 2020; Bulatov et al., 2022) have proposed circumventing
full context length access via hierarchical architecture or sparse attention, albeit at the expense of
forfeiting partial context information.
Recently, there have been two lines of methods aimed at efficiently extending the pre-trained con-</x:v>
      </x:c>
      <x:c r="M125" s="19" t="str">
        <x:v>该段包含可直接回答问题的方法、指标、比较或研究发现。</x:v>
      </x:c>
      <x:c r="N125" s="13" t="str">
        <x:v>http://arxiv.org/abs/2310.16450v3</x:v>
      </x:c>
    </x:row>
    <x:row r="126" ht="58" customHeight="1">
      <x:c r="A126" s="13" t="str">
        <x:v>csq005-c008</x:v>
      </x:c>
      <x:c r="B126" s="13" t="str">
        <x:v>csq005</x:v>
      </x:c>
      <x:c r="C126" s="21" t="n">
        <x:v>8</x:v>
      </x:c>
      <x:c r="D126" s="20" t="str">
        <x:v>0</x:v>
      </x:c>
      <x:c r="E126" s="20" t="str"/>
      <x:c r="F126" s="20" t="str">
        <x:f>IF(E126="",D126,E126)</x:f>
        <x:v>0</x:v>
      </x:c>
      <x:c r="G126" s="13" t="str">
        <x:v>An Evolved Universal Transformer Memory</x:v>
      </x:c>
      <x:c r="H126" s="13" t="n">
        <x:v>12</x:v>
      </x:c>
      <x:c r="I126" s="22" t="n">
        <x:v>0.031054405392392875</x:v>
      </x:c>
      <x:c r="J126" s="13" t="n">
        <x:v>2</x:v>
      </x:c>
      <x:c r="K126" s="19" t="str">
        <x:v>How have methods for extending the effective context length of transformer language models evolved, and what trade-offs do they make in memory, latency, and retrieval quality?</x:v>
      </x:c>
      <x:c r="L126" s="19" t="str">
        <x:v>Greg Kamradt. Needleinahaystack: Doing simple retrieval from llm models at various context
lengths to measure accuracy, 2024. URL https://github.com/gkamradt/LLMTest_
NeedleInAHaystack/tree/main.
Angelos Katharopoulos, Apoorv Vyas, Nikolaos Pappas, and Franc ¸ois Fleuret. Transformers are
rnns: Fast autoregressive transformers with linear attention. In International conference on ma-
chine learning, pp. 5156–5165. PMLR, 2020.
Guillaume Lample, Alexandre Sablayrolles, Marc’Aurelio Ranzato, Ludovic Denoyer, and Herv ´e
J´egou. Large memory layers with product keys. Advances in Neural Information Processing
Systems, 32, 2019.
13</x:v>
      </x:c>
      <x:c r="M126" s="19" t="str">
        <x:v>该段为无关内容、泛泛提及或参考文献片段，不能作为回答证据。</x:v>
      </x:c>
      <x:c r="N126" s="13" t="str">
        <x:v>http://arxiv.org/abs/2410.13166v4</x:v>
      </x:c>
    </x:row>
    <x:row r="127" ht="58" customHeight="1">
      <x:c r="A127" s="13" t="str">
        <x:v>csq005-c009</x:v>
      </x:c>
      <x:c r="B127" s="13" t="str">
        <x:v>csq005</x:v>
      </x:c>
      <x:c r="C127" s="21" t="n">
        <x:v>9</x:v>
      </x:c>
      <x:c r="D127" s="20" t="str">
        <x:v>2</x:v>
      </x:c>
      <x:c r="E127" s="20" t="str"/>
      <x:c r="F127" s="20" t="str">
        <x:f>IF(E127="",D127,E127)</x:f>
        <x:v>2</x:v>
      </x:c>
      <x:c r="G127" s="13" t="str">
        <x:v>$\infty$-former: Infinite Memory Transformer</x:v>
      </x:c>
      <x:c r="H127" s="13" t="n">
        <x:v>7</x:v>
      </x:c>
      <x:c r="I127" s="22" t="n">
        <x:v>0.030117753623188408</x:v>
      </x:c>
      <x:c r="J127" s="13" t="n">
        <x:v>2</x:v>
      </x:c>
      <x:c r="K127" s="19" t="str">
        <x:v>How have methods for extending the effective context length of transformer language models evolved, and what trade-offs do they make in memory, latency, and retrieval quality?</x:v>
      </x:c>
      <x:c r="L127" s="19" t="str">
        <x:v>longer contexts. Some of these do so by perform-
ing sparse attention, either by selecting pre-deﬁned
attention patterns (Child et al., 2019; Beltagy et al.,
2020; Zaheer et al., 2020), or by learning these
patterns from data (Kitaev et al., 2020; Vyas et al.,
2020; Tay et al., 2020a; Roy et al., 2021; Wang
et al., 2021). Other works focus on directly re-
ducing the attention complexity by applying the
(reversed) kernel trick (Katharopoulos et al., 2020;
Choromanski et al., 2021; Peng et al., 2021; Jae-
gle et al., 2021). Closer to our approach are the
transformer-XL and compressive transformer mod-
els (Dai et al., 2019; Rae et al., 2019), which extend
the vanilla transformer with a bounded memory.
Memory-augmented language models. RNNs,
LSTMs, and GRUs (Hochreiter et al., 1997; Cho
et al., 2014) have the ability of keeping a memory
state of the past. However, these require backprop-</x:v>
      </x:c>
      <x:c r="M127" s="19" t="str">
        <x:v>该段包含可直接回答问题的方法、指标、比较或研究发现。</x:v>
      </x:c>
      <x:c r="N127" s="13" t="str">
        <x:v>http://arxiv.org/abs/2109.00301v3</x:v>
      </x:c>
    </x:row>
    <x:row r="128" ht="58" customHeight="1">
      <x:c r="A128" s="13" t="str">
        <x:v>csq005-c010</x:v>
      </x:c>
      <x:c r="B128" s="13" t="str">
        <x:v>csq005</x:v>
      </x:c>
      <x:c r="C128" s="21" t="n">
        <x:v>10</x:v>
      </x:c>
      <x:c r="D128" s="20" t="str">
        <x:v>2</x:v>
      </x:c>
      <x:c r="E128" s="20" t="str"/>
      <x:c r="F128" s="20" t="str">
        <x:f>IF(E128="",D128,E128)</x:f>
        <x:v>2</x:v>
      </x:c>
      <x:c r="G128" s="13" t="str">
        <x:v>An Evolved Universal Transformer Memory</x:v>
      </x:c>
      <x:c r="H128" s="13" t="n">
        <x:v>0</x:v>
      </x:c>
      <x:c r="I128" s="22" t="n">
        <x:v>0.02967032967032967</x:v>
      </x:c>
      <x:c r="J128" s="13" t="n">
        <x:v>2</x:v>
      </x:c>
      <x:c r="K128" s="19" t="str">
        <x:v>How have methods for extending the effective context length of transformer language models evolved, and what trade-offs do they make in memory, latency, and retrieval quality?</x:v>
      </x:c>
      <x:c r="L128" s="19" t="str">
        <x:v>mance of LMs by pruning their KV cache memory. Evolved
NAMMs can be zero-shot transferred to other transformers,
even across input modalities and task domains.
Transformer architectures have be-
come the golden standard in deep
learning, with ubiquitous applica-
tions in the design of modern foun-
dation models, exhibiting exceptional
performance and scalability (Achiam
et al., 2023; Das et al., 2023; Team
et al., 2023; Dosovitskiy et al., 2020;
Chen et al., 2021a; Brohan et al.,
2023; Gur et al., 2023). The out-
puts of a transformer are exclusively
conditioned on a recent context of in-
put tokens, which for language mod-
els (LMs) generally correspond to a
window of preceding words. Thus,
addressing the challenge of extend-
ing this context window is critical
to enable tackling long-range tasks
and is currently a focal area of re-</x:v>
      </x:c>
      <x:c r="M128" s="19" t="str">
        <x:v>该段包含可直接回答问题的方法、指标、比较或研究发现。</x:v>
      </x:c>
      <x:c r="N128" s="13" t="str">
        <x:v>http://arxiv.org/abs/2410.13166v4</x:v>
      </x:c>
    </x:row>
    <x:row r="129" ht="58" customHeight="1">
      <x:c r="A129" s="13" t="str">
        <x:v>csq005-c011</x:v>
      </x:c>
      <x:c r="B129" s="13" t="str">
        <x:v>csq005</x:v>
      </x:c>
      <x:c r="C129" s="21" t="n">
        <x:v>11</x:v>
      </x:c>
      <x:c r="D129" s="20" t="str">
        <x:v>0</x:v>
      </x:c>
      <x:c r="E129" s="20" t="str"/>
      <x:c r="F129" s="20" t="str">
        <x:f>IF(E129="",D129,E129)</x:f>
        <x:v>0</x:v>
      </x:c>
      <x:c r="G129" s="13" t="str">
        <x:v>Compressed Context Memory For Online Language Model Interaction</x:v>
      </x:c>
      <x:c r="H129" s="13" t="n">
        <x:v>12</x:v>
      </x:c>
      <x:c r="I129" s="22" t="n">
        <x:v>0.02900988017658188</x:v>
      </x:c>
      <x:c r="J129" s="13" t="n">
        <x:v>2</x:v>
      </x:c>
      <x:c r="K129" s="19" t="str">
        <x:v>How have methods for extending the effective context length of transformer language models evolved, and what trade-offs do they make in memory, latency, and retrieval quality?</x:v>
      </x:c>
      <x:c r="L129" s="19" t="str">
        <x:v>Zihang Dai, Zhilin Yang, Yiming Yang, Jaime Carbonell, Quoc V Le, and Ruslan Salakhutdinov.
Transformer-xl: Attentive language models beyond a fixed-length context. ACL, 2019.
Leo Gao, Stella Biderman, Sid Black, et al. The pile: An 800gb dataset of diverse text for language
modeling. arXiv preprint arXiv:2101.00027, 2020.
Tao Ge, Jing Hu, Xun Wang, Si-Qing Chen, and Furu Wei. In-context autoencoder for context
compression in a large language model. arXiv preprint arXiv:2307.06945, 2023.
Audrunas Gruslys, R´emi Munos, Ivo Danihelka, Marc Lanctot, and Alex Graves. Memory-efficient
backpropagation through time. NeurIPS, 2016.
Edward J Hu, Yelong Shen, Phillip Wallis, Zeyuan Allen-Zhu, Yuanzhi Li, Shean Wang, Lu Wang,
and Weizhu Chen. Lora: Low-rank adaptation of large language models. ICLR, 2022.</x:v>
      </x:c>
      <x:c r="M129" s="19" t="str">
        <x:v>该段为无关内容、泛泛提及或参考文献片段，不能作为回答证据。</x:v>
      </x:c>
      <x:c r="N129" s="13" t="str">
        <x:v>http://arxiv.org/abs/2312.03414v2</x:v>
      </x:c>
    </x:row>
    <x:row r="130" ht="58" customHeight="1">
      <x:c r="A130" s="13" t="str">
        <x:v>csq005-c012</x:v>
      </x:c>
      <x:c r="B130" s="13" t="str">
        <x:v>csq005</x:v>
      </x:c>
      <x:c r="C130" s="21" t="n">
        <x:v>12</x:v>
      </x:c>
      <x:c r="D130" s="20" t="str">
        <x:v>2</x:v>
      </x:c>
      <x:c r="E130" s="20" t="str"/>
      <x:c r="F130" s="20" t="str">
        <x:f>IF(E130="",D130,E130)</x:f>
        <x:v>2</x:v>
      </x:c>
      <x:c r="G130" s="13" t="str">
        <x:v>CLEX: Continuous Length Extrapolation for Large Language Models</x:v>
      </x:c>
      <x:c r="H130" s="13" t="n">
        <x:v>0</x:v>
      </x:c>
      <x:c r="I130" s="22" t="n">
        <x:v>0.028594771241830064</x:v>
      </x:c>
      <x:c r="J130" s="13" t="n">
        <x:v>2</x:v>
      </x:c>
      <x:c r="K130" s="19" t="str">
        <x:v>How have methods for extending the effective context length of transformer language models evolved, and what trade-offs do they make in memory, latency, and retrieval quality?</x:v>
      </x:c>
      <x:c r="L130" s="19" t="str">
        <x:v>extrapolation with impressive performance in practical tasks. We demonstrate that
CLEX can be seamlessly incorporated into LLMs equipped with Rotary Position
Embedding, such as LLaMA and GPT-NeoX, with negligible impact on training
and inference latency. Experimental results reveal that CLEX can effectively ex-
tend the context window to over 4× or almost 8× training length, with no deteri-
oration in performance. Furthermore, when evaluated on the practical LongBench
benchmark, our model trained on a 4k length exhibits competitive performance
against state-of-the-art open-source models trained on context lengths up to 32k.
Our code is available at https://github.com/DAMO-NLP-SG/CLEX.
1 I NTRODUCTION
Transformer-based large language models (LLMs), such as GPT-4 (OpenAI, 2023) and
LLaMA (Touvron et al., 2023a;b), have now emerged as the state-of-the-art models in various nat-</x:v>
      </x:c>
      <x:c r="M130" s="19" t="str">
        <x:v>该段包含可直接回答问题的方法、指标、比较或研究发现。</x:v>
      </x:c>
      <x:c r="N130" s="13" t="str">
        <x:v>http://arxiv.org/abs/2310.16450v3</x:v>
      </x:c>
    </x:row>
    <x:row r="131" ht="58" customHeight="1">
      <x:c r="A131" s="13" t="str">
        <x:v>csq005-c013</x:v>
      </x:c>
      <x:c r="B131" s="13" t="str">
        <x:v>csq005</x:v>
      </x:c>
      <x:c r="C131" s="21" t="n">
        <x:v>13</x:v>
      </x:c>
      <x:c r="D131" s="20" t="str">
        <x:v>0</x:v>
      </x:c>
      <x:c r="E131" s="20" t="str"/>
      <x:c r="F131" s="20" t="str">
        <x:f>IF(E131="",D131,E131)</x:f>
        <x:v>0</x:v>
      </x:c>
      <x:c r="G131" s="13" t="str">
        <x:v>BGE Landmark Embedding: A Chunking-Free Embedding Method For Retrieval Augmented Long-Context Large Language Models</x:v>
      </x:c>
      <x:c r="H131" s="13" t="n">
        <x:v>10</x:v>
      </x:c>
      <x:c r="I131" s="22" t="n">
        <x:v>0.01639344262295082</x:v>
      </x:c>
      <x:c r="J131" s="13" t="n">
        <x:v>1</x:v>
      </x:c>
      <x:c r="K131" s="19" t="str">
        <x:v>How have methods for extending the effective context length of transformer language models evolved, and what trade-offs do they make in memory, latency, and retrieval quality?</x:v>
      </x:c>
      <x:c r="L131" s="19" t="str">
        <x:v>zaro. 2023. Retrieval meets long context large lan-
guage models. CoRR, abs/2310.03025.
Zhilin Yang, Peng Qi, Saizheng Zhang, Yoshua Ben-
gio, William W Cohen, Ruslan Salakhutdinov, and
Christopher D Manning. 2018. Hotpotqa: A dataset
for diverse, explainable multi-hop question answer-
ing. arXiv preprint arXiv:1809.09600.
Peitian Zhang, Zheng Liu, Shitao Xiao, Ninglu Shao,
Qiwei Ye, and Zhicheng Dou. 2024. Soaring from
4k to 400k: Extending llm’s context with activation
beacon. arXiv preprint arXiv:2401.03462.
Peitian Zhang, Shitao Xiao, Zheng Liu, Zhicheng Dou,
and Jian-Yun Nie. 2023a. Retrieve anything to
augment large language models. arXiv preprint
arXiv:2310.07554.
Peitian Zhang, Shitao Xiao, Zheng Liu, Zhicheng Dou,
and Jian-Yun Nie. 2023b. Retrieve anything to aug-
ment large language models. CoRR, abs/2310.07554.</x:v>
      </x:c>
      <x:c r="M131" s="19" t="str">
        <x:v>该段为无关内容、泛泛提及或参考文献片段，不能作为回答证据。</x:v>
      </x:c>
      <x:c r="N131" s="13" t="str">
        <x:v>http://arxiv.org/abs/2402.11573v1</x:v>
      </x:c>
    </x:row>
    <x:row r="132" ht="58" customHeight="1">
      <x:c r="A132" s="13" t="str">
        <x:v>csq005-c014</x:v>
      </x:c>
      <x:c r="B132" s="13" t="str">
        <x:v>csq005</x:v>
      </x:c>
      <x:c r="C132" s="21" t="n">
        <x:v>14</x:v>
      </x:c>
      <x:c r="D132" s="20" t="str">
        <x:v>2</x:v>
      </x:c>
      <x:c r="E132" s="20" t="str"/>
      <x:c r="F132" s="20" t="str">
        <x:f>IF(E132="",D132,E132)</x:f>
        <x:v>2</x:v>
      </x:c>
      <x:c r="G132" s="13" t="str">
        <x:v>Compressed Context Memory For Online Language Model Interaction</x:v>
      </x:c>
      <x:c r="H132" s="13" t="n">
        <x:v>18</x:v>
      </x:c>
      <x:c r="I132" s="22" t="n">
        <x:v>0.01639344262295082</x:v>
      </x:c>
      <x:c r="J132" s="13" t="n">
        <x:v>1</x:v>
      </x:c>
      <x:c r="K132" s="19" t="str">
        <x:v>How have methods for extending the effective context length of transformer language models evolved, and what trade-offs do they make in memory, latency, and retrieval quality?</x:v>
      </x:c>
      <x:c r="L132" s="19" t="str">
        <x:v>lines while requiring smaller peak attention KV memory.
Table 19: LLaMA-13B test accuracy and peak attention KV memory on MetaICL at time step 16.
No context Full context Gisting Gisting-online CompressiveCCM-concat CCM-merge
Accuracy (%) 51.4 72.1 66.7 62.5 66.1 70.7 68.6
Memory (MB) 78 984 919 278 278 278 103
Different model architecture We evaluate our method with an encoder-decoder structured model,
Flan-T5-Large (Chung et al., 2022). Since there exists an overlap between the training set of Flan-
T5 and the MetaICL dataset (Min et al., 2022), we conduct an evaluation using the LaMP dataset.
Table 20 presents the evaluation results at time step 16. While both Gisting and Compressive Trans-
former exhibit a significant drop in accuracy compared to the full context method, our methods
achieve the best performance while requiring less key/value memory on the Flan-T5 architecture.</x:v>
      </x:c>
      <x:c r="M132" s="19" t="str">
        <x:v>该段包含可直接回答问题的方法、指标、比较或研究发现。</x:v>
      </x:c>
      <x:c r="N132" s="13" t="str">
        <x:v>http://arxiv.org/abs/2312.03414v2</x:v>
      </x:c>
    </x:row>
    <x:row r="133" ht="58" customHeight="1">
      <x:c r="A133" s="13" t="str">
        <x:v>csq005-c015</x:v>
      </x:c>
      <x:c r="B133" s="13" t="str">
        <x:v>csq005</x:v>
      </x:c>
      <x:c r="C133" s="21" t="n">
        <x:v>15</x:v>
      </x:c>
      <x:c r="D133" s="20" t="str">
        <x:v>2</x:v>
      </x:c>
      <x:c r="E133" s="20" t="str"/>
      <x:c r="F133" s="20" t="str">
        <x:f>IF(E133="",D133,E133)</x:f>
        <x:v>2</x:v>
      </x:c>
      <x:c r="G133" s="13" t="str">
        <x:v>CLEX: Continuous Length Extrapolation for Large Language Models</x:v>
      </x:c>
      <x:c r="H133" s="13" t="n">
        <x:v>1</x:v>
      </x:c>
      <x:c r="I133" s="22" t="n">
        <x:v>0.016129032258064516</x:v>
      </x:c>
      <x:c r="J133" s="13" t="n">
        <x:v>1</x:v>
      </x:c>
      <x:c r="K133" s="19" t="str">
        <x:v>How have methods for extending the effective context length of transformer language models evolved, and what trade-offs do they make in memory, latency, and retrieval quality?</x:v>
      </x:c>
      <x:c r="L133" s="19" t="str">
        <x:v>for long-context practical tasks. Empirically, CLEX demonstrates remarkable length extrapolation
ability in language modelling, which can extend the context window to more than 4× training length
without any performance deterioration. For example, LLaMA-2-7B trained with CLEX on 16k con-
text length achieves comparable perplexities when testing on 16k and 64k tokens, respectively. By
scaling the base model scale from 7B to 13B, CLEX exhibits an expanded extrapolation scope from
4× to almost 8 × training length. To be complementary, we also conduct instruction tuning (Wei
et al., 2022) with the proposed CLEX on the sequences of 4k length. The resulting model, when
evaluated on the LongBench benchmark, is on par with current state-of-the-art open-source mod-
els trained on context lengths up to 32k. These findings underscore the effectiveness of CLEX in</x:v>
      </x:c>
      <x:c r="M133" s="19" t="str">
        <x:v>该段包含可直接回答问题的方法、指标、比较或研究发现。</x:v>
      </x:c>
      <x:c r="N133" s="13" t="str">
        <x:v>http://arxiv.org/abs/2310.16450v3</x:v>
      </x:c>
    </x:row>
    <x:row r="134" ht="58" customHeight="1">
      <x:c r="A134" s="13" t="str">
        <x:v>csq005-c016</x:v>
      </x:c>
      <x:c r="B134" s="13" t="str">
        <x:v>csq005</x:v>
      </x:c>
      <x:c r="C134" s="21" t="n">
        <x:v>16</x:v>
      </x:c>
      <x:c r="D134" s="20" t="str">
        <x:v>0</x:v>
      </x:c>
      <x:c r="E134" s="20" t="str"/>
      <x:c r="F134" s="20" t="str">
        <x:f>IF(E134="",D134,E134)</x:f>
        <x:v>0</x:v>
      </x:c>
      <x:c r="G134" s="13" t="str">
        <x:v>BGE Landmark Embedding: A Chunking-Free Embedding Method For Retrieval Augmented Long-Context Large Language Models</x:v>
      </x:c>
      <x:c r="H134" s="13" t="n">
        <x:v>8</x:v>
      </x:c>
      <x:c r="I134" s="22" t="n">
        <x:v>0.015873015873015872</x:v>
      </x:c>
      <x:c r="J134" s="13" t="n">
        <x:v>1</x:v>
      </x:c>
      <x:c r="K134" s="19" t="str">
        <x:v>How have methods for extending the effective context length of transformer language models evolved, and what trade-offs do they make in memory, latency, and retrieval quality?</x:v>
      </x:c>
      <x:c r="L134" s="19" t="str">
        <x:v>References
2023. Localllama. ntk-aware scaled rope allows llama
models to have extended (8k+) con- text size without
any fine-tuning and minimal perplexity degradation.
https://www.reddit.com/r/LocalLLaMA/comments/
14lz7j5/ntkaware_scaled_rope_allows_llama_models_
to_have/.
Yushi Bai, Xin Lv, Jiajie Zhang, Hongchang Lyu,
Jiankai Tang, Zhidian Huang, Zhengxiao Du, Xiao
Liu, Aohan Zeng, Lei Hou, Yuxiao Dong, Jie Tang,
and Juanzi Li. 2023. Longbench: A bilingual, mul-
titask benchmark for long context understanding.
arXiv preprint arXiv:2308.14508.
Sebastian Borgeaud, Arthur Mensch, Jordan Hoff-
mann, Trevor Cai, Eliza Rutherford, Katie Milli-
can, George Bm Van Den Driessche, Jean-Baptiste
Lespiau, Bogdan Damoc, Aidan Clark, et al. 2022.
Improving language models by retrieving from tril-
lions of tokens. In International conference on ma-
chine learning, pages 2206–2240. PMLR.</x:v>
      </x:c>
      <x:c r="M134" s="19" t="str">
        <x:v>该段为无关内容、泛泛提及或参考文献片段，不能作为回答证据。</x:v>
      </x:c>
      <x:c r="N134" s="13" t="str">
        <x:v>http://arxiv.org/abs/2402.11573v1</x:v>
      </x:c>
    </x:row>
    <x:row r="135" ht="58" customHeight="1">
      <x:c r="A135" s="13" t="str">
        <x:v>csq005-c017</x:v>
      </x:c>
      <x:c r="B135" s="13" t="str">
        <x:v>csq005</x:v>
      </x:c>
      <x:c r="C135" s="21" t="n">
        <x:v>17</x:v>
      </x:c>
      <x:c r="D135" s="20" t="str">
        <x:v>2</x:v>
      </x:c>
      <x:c r="E135" s="20" t="str"/>
      <x:c r="F135" s="20" t="str">
        <x:f>IF(E135="",D135,E135)</x:f>
        <x:v>2</x:v>
      </x:c>
      <x:c r="G135" s="13" t="str">
        <x:v>MOM: Memory-Efficient Offloaded Mini-Sequence Inference for Long Context Language Models</x:v>
      </x:c>
      <x:c r="H135" s="13" t="n">
        <x:v>8</x:v>
      </x:c>
      <x:c r="I135" s="22" t="n">
        <x:v>0.015625</x:v>
      </x:c>
      <x:c r="J135" s="13" t="n">
        <x:v>1</x:v>
      </x:c>
      <x:c r="K135" s="19" t="str">
        <x:v>How have methods for extending the effective context length of transformer language models evolved, and what trade-offs do they make in memory, latency, and retrieval quality?</x:v>
      </x:c>
      <x:c r="L135" s="19" t="str">
        <x:v>it achieves better memory efficiency with minimal trade-offs in speed.
4.5 Accuracy
Logit Equivalence Test To validate that MOM has no effect on accuracy, we first tested
random input sequences on both MOM and the standard model, comparing the output
logits, which were identical.
Needle Test We evaluated the model’s ability to retrieve a specific detail (”Mary’s favorite
number is 43251”) embedded within a long, unrelated text at varying depths (needle depth ).
Accuracy was binary (100 if correct, 0 otherwise). As shown in Figure 8, the standard
model failed when needle depth × context length &gt; 150000 due to GPU memory constraints
causing text truncation. In contrast, MOM (Figure 7) handled extended contexts without
9</x:v>
      </x:c>
      <x:c r="M135" s="19" t="str">
        <x:v>该段包含可直接回答问题的方法、指标、比较或研究发现。</x:v>
      </x:c>
      <x:c r="N135" s="13" t="str">
        <x:v>http://arxiv.org/abs/2504.12526v1</x:v>
      </x:c>
    </x:row>
    <x:row r="136" ht="58" customHeight="1">
      <x:c r="A136" s="13" t="str">
        <x:v>csq005-c018</x:v>
      </x:c>
      <x:c r="B136" s="13" t="str">
        <x:v>csq005</x:v>
      </x:c>
      <x:c r="C136" s="21" t="n">
        <x:v>18</x:v>
      </x:c>
      <x:c r="D136" s="20" t="str">
        <x:v>2</x:v>
      </x:c>
      <x:c r="E136" s="20" t="str"/>
      <x:c r="F136" s="20" t="str">
        <x:f>IF(E136="",D136,E136)</x:f>
        <x:v>2</x:v>
      </x:c>
      <x:c r="G136" s="13" t="str">
        <x:v>CLEX: Continuous Length Extrapolation for Large Language Models</x:v>
      </x:c>
      <x:c r="H136" s="13" t="n">
        <x:v>7</x:v>
      </x:c>
      <x:c r="I136" s="22" t="n">
        <x:v>0.015625</x:v>
      </x:c>
      <x:c r="J136" s="13" t="n">
        <x:v>1</x:v>
      </x:c>
      <x:c r="K136" s="19" t="str">
        <x:v>How have methods for extending the effective context length of transformer language models evolved, and what trade-offs do they make in memory, latency, and retrieval quality?</x:v>
      </x:c>
      <x:c r="L136" s="19" t="str">
        <x:v>contrast, CLEX directly extends the context length of LLMs without imposing any constraints on
context, which consistently achieves superior extrapolation ability on both language modelling and
the LongBench. This substantiates the considerable potential of CLEX to serve as the state-of-the-art
approach for extrapolating the context length of LLMs to excel in long-context applications.
8</x:v>
      </x:c>
      <x:c r="M136" s="19" t="str">
        <x:v>该段包含可直接回答问题的方法、指标、比较或研究发现。</x:v>
      </x:c>
      <x:c r="N136" s="13" t="str">
        <x:v>http://arxiv.org/abs/2310.16450v3</x:v>
      </x:c>
    </x:row>
    <x:row r="137" ht="58" customHeight="1">
      <x:c r="A137" s="13" t="str">
        <x:v>csq005-c019</x:v>
      </x:c>
      <x:c r="B137" s="13" t="str">
        <x:v>csq005</x:v>
      </x:c>
      <x:c r="C137" s="21" t="n">
        <x:v>19</x:v>
      </x:c>
      <x:c r="D137" s="20" t="str">
        <x:v>0</x:v>
      </x:c>
      <x:c r="E137" s="20" t="str"/>
      <x:c r="F137" s="20" t="str">
        <x:f>IF(E137="",D137,E137)</x:f>
        <x:v>0</x:v>
      </x:c>
      <x:c r="G137" s="13" t="str">
        <x:v>CLEX: Continuous Length Extrapolation for Large Language Models</x:v>
      </x:c>
      <x:c r="H137" s="13" t="n">
        <x:v>9</x:v>
      </x:c>
      <x:c r="I137" s="22" t="n">
        <x:v>0.015625</x:v>
      </x:c>
      <x:c r="J137" s="13" t="n">
        <x:v>1</x:v>
      </x:c>
      <x:c r="K137" s="19" t="str">
        <x:v>How have methods for extending the effective context length of transformer language models evolved, and what trade-offs do they make in memory, latency, and retrieval quality?</x:v>
      </x:c>
      <x:c r="L137" s="19" t="str">
        <x:v>ral Information Processing Systems, 2022. URL https://openreview.net/forum?id=
Uynr3iPhksa.
Aydar Bulatov, Yuri Kuratov, and Mikhail S. Burtsev. Scaling transformer to 1m tokens and beyond
with rmt. 2023. URL https://arxiv.org/abs/2304.11062.
Ricky T. Q. Chen, Yulia Rubanova, Jesse Bettencourt, and David K Duvenaud. Neural ordinary dif-
ferential equations. In S. Bengio, H. Wallach, H. Larochelle, K. Grauman, N. Cesa-Bianchi,
and R. Garnett (eds.), Advances in Neural Information Processing Systems , volume 31. Cur-
ran Associates, Inc., 2018. URL https://proceedings.neurips.cc/paper_files/
paper/2018/file/69386f6bb1dfed68692a24c8686939b9-Paper.pdf.
Shouyuan Chen, Sherman Wong, Liangjian Chen, and Yuandong Tian. Extending context window
of large language models via positional interpolation. 2023. URL https://arxiv.org/
abs/2306.15595.</x:v>
      </x:c>
      <x:c r="M137" s="19" t="str">
        <x:v>该段为无关内容、泛泛提及或参考文献片段，不能作为回答证据。</x:v>
      </x:c>
      <x:c r="N137" s="13" t="str">
        <x:v>http://arxiv.org/abs/2310.16450v3</x:v>
      </x:c>
    </x:row>
    <x:row r="138" ht="58" customHeight="1">
      <x:c r="A138" s="13" t="str">
        <x:v>csq005-c020</x:v>
      </x:c>
      <x:c r="B138" s="13" t="str">
        <x:v>csq005</x:v>
      </x:c>
      <x:c r="C138" s="21" t="n">
        <x:v>20</x:v>
      </x:c>
      <x:c r="D138" s="20" t="str">
        <x:v>2</x:v>
      </x:c>
      <x:c r="E138" s="20" t="str"/>
      <x:c r="F138" s="20" t="str">
        <x:f>IF(E138="",D138,E138)</x:f>
        <x:v>2</x:v>
      </x:c>
      <x:c r="G138" s="13" t="str">
        <x:v>Extensible Embedding: A Flexible Multipler For LLM's Context Length</x:v>
      </x:c>
      <x:c r="H138" s="13" t="n">
        <x:v>6</x:v>
      </x:c>
      <x:c r="I138" s="22" t="n">
        <x:v>0.015625</x:v>
      </x:c>
      <x:c r="J138" s="13" t="n">
        <x:v>1</x:v>
      </x:c>
      <x:c r="K138" s="19" t="str">
        <x:v>How have methods for extending the effective context length of transformer language models evolved, and what trade-offs do they make in memory, latency, and retrieval quality?</x:v>
      </x:c>
      <x:c r="L138" s="19" t="str">
        <x:v>Model GPU Memory (GB) Inference Time (s)
4K 8K 16K 32K 100K 4K 8K 16K 32K 100K
LongChat-32K 18.12 23.68 34.79 57.03 OOM 0.32 0.65 1.43 3.32 OOM
StreamingLLM 15.11 15.11 15.11 15.11 15.11 - - - - -
LongLLaMA 17.73 21.40 33.41 OOM OOM 0.60 1.44 3.30 OOM OOM
ExtEmbedding (online) 20.33 21.59 21.59 21.59 21.59 0.28 0.49 0.86 1.57 3.43
ExtEmbedding (offline) 13.96 14.21 14.75 15.79 17.54 0.08 0.08 0.10 0.12 0.23
Table 3: Efficiency analysis in terms of GPU memory usage and inference time.
First of all, the online mode leads to a constant
memory usage, while the offline mode results in an
even smaller consumption. As introduced ( §2.4),
the memory usage of extensible embedding comes
from two parts. The first part is the generation of
extensible embeddings, where the stream process-
ing is conducted with a 4K sliding window (the
offline mode is free from this step, thus taking even</x:v>
      </x:c>
      <x:c r="M138" s="19" t="str">
        <x:v>该段包含可直接回答问题的方法、指标、比较或研究发现。</x:v>
      </x:c>
      <x:c r="N138" s="13" t="str">
        <x:v>http://arxiv.org/abs/2402.11577v1</x:v>
      </x:c>
    </x:row>
    <x:row r="139" ht="58" customHeight="1">
      <x:c r="A139" s="13" t="str">
        <x:v>csq005-c021</x:v>
      </x:c>
      <x:c r="B139" s="13" t="str">
        <x:v>csq005</x:v>
      </x:c>
      <x:c r="C139" s="21" t="n">
        <x:v>21</x:v>
      </x:c>
      <x:c r="D139" s="20" t="str">
        <x:v>2</x:v>
      </x:c>
      <x:c r="E139" s="20" t="str"/>
      <x:c r="F139" s="20" t="str">
        <x:f>IF(E139="",D139,E139)</x:f>
        <x:v>2</x:v>
      </x:c>
      <x:c r="G139" s="13" t="str">
        <x:v>$\infty$-former: Infinite Memory Transformer</x:v>
      </x:c>
      <x:c r="H139" s="13" t="n">
        <x:v>0</x:v>
      </x:c>
      <x:c r="I139" s="22" t="n">
        <x:v>0.015384615384615385</x:v>
      </x:c>
      <x:c r="J139" s="13" t="n">
        <x:v>1</x:v>
      </x:c>
      <x:c r="K139" s="19" t="str">
        <x:v>How have methods for extending the effective context length of transformer language models evolved, and what trade-offs do they make in memory, latency, and retrieval quality?</x:v>
      </x:c>
      <x:c r="L139" s="19" t="str">
        <x:v>space attention mechanism to attend over the
long-term memory, the ∞-former’s attention
complexity becomes independent of the con-
text length, trading off memory length with
precision. In order to control where pre-
cision is more important, ∞-former main-
tains “sticky memories,” being able to model
arbitrarily long contexts while keeping the
computation budget ﬁxed. Experiments on
a synthetic sorting task, language modeling,
and document grounded dialogue generation
demonstrate the ∞-former’s ability to retain
information from long sequences.1
1 Introduction
When reading or writing a document, it is impor-
tant to keep in memory the information previously
read or written. Humans have a remarkable ability
to remember long-term context, keeping in mem-
ory the relevant details (Carroll, 2007; Kuhbandner,
2020). Recently, transformer-based language mod-</x:v>
      </x:c>
      <x:c r="M139" s="19" t="str">
        <x:v>该段包含可直接回答问题的方法、指标、比较或研究发现。</x:v>
      </x:c>
      <x:c r="N139" s="13" t="str">
        <x:v>http://arxiv.org/abs/2109.00301v3</x:v>
      </x:c>
    </x:row>
    <x:row r="140" ht="58" customHeight="1">
      <x:c r="A140" s="13" t="str">
        <x:v>csq005-c022</x:v>
      </x:c>
      <x:c r="B140" s="13" t="str">
        <x:v>csq005</x:v>
      </x:c>
      <x:c r="C140" s="21" t="n">
        <x:v>22</x:v>
      </x:c>
      <x:c r="D140" s="20" t="str">
        <x:v>2</x:v>
      </x:c>
      <x:c r="E140" s="20" t="str"/>
      <x:c r="F140" s="20" t="str">
        <x:f>IF(E140="",D140,E140)</x:f>
        <x:v>2</x:v>
      </x:c>
      <x:c r="G140" s="13" t="str">
        <x:v>Compressed Context Memory For Online Language Model Interaction</x:v>
      </x:c>
      <x:c r="H140" s="13" t="n">
        <x:v>0</x:v>
      </x:c>
      <x:c r="I140" s="22" t="n">
        <x:v>0.015384615384615385</x:v>
      </x:c>
      <x:c r="J140" s="13" t="n">
        <x:v>1</x:v>
      </x:c>
      <x:c r="K140" s="19" t="str">
        <x:v>How have methods for extending the effective context length of transformer language models evolved, and what trade-offs do they make in memory, latency, and retrieval quality?</x:v>
      </x:c>
      <x:c r="L140" s="19" t="str">
        <x:v>space, facilitating language model inference in a limited memory space of com-
puting environments. Our compression process involves integrating a lightweight
conditional LoRA into the language model’s forward pass during inference, with-
out the need for fine-tuning the model’s entire set of weights. We achieve efficient
training by modeling the recursive compression process as a single parallelized
forward computation. Through evaluations on conversation, personalization, and
multi-task learning, we demonstrate that our approach achieves the performance
level of a full context model with 5× smaller context memory size. We further
demonstrate the applicability of our approach in a streaming setting with an un-
limited context length, outperforming the sliding window approach. Codes are
available at https://github.com/snu-mllab/context-memory.
1 I NTRODUCTION</x:v>
      </x:c>
      <x:c r="M140" s="19" t="str">
        <x:v>该段包含可直接回答问题的方法、指标、比较或研究发现。</x:v>
      </x:c>
      <x:c r="N140" s="13" t="str">
        <x:v>http://arxiv.org/abs/2312.03414v2</x:v>
      </x:c>
    </x:row>
    <x:row r="141" ht="58" customHeight="1">
      <x:c r="A141" s="13" t="str">
        <x:v>csq005-c023</x:v>
      </x:c>
      <x:c r="B141" s="13" t="str">
        <x:v>csq005</x:v>
      </x:c>
      <x:c r="C141" s="21" t="n">
        <x:v>23</x:v>
      </x:c>
      <x:c r="D141" s="20" t="str">
        <x:v>2</x:v>
      </x:c>
      <x:c r="E141" s="20" t="str"/>
      <x:c r="F141" s="20" t="str">
        <x:f>IF(E141="",D141,E141)</x:f>
        <x:v>2</x:v>
      </x:c>
      <x:c r="G141" s="13" t="str">
        <x:v>Extensible Embedding: A Flexible Multipler For LLM's Context Length</x:v>
      </x:c>
      <x:c r="H141" s="13" t="n">
        <x:v>5</x:v>
      </x:c>
      <x:c r="I141" s="22" t="n">
        <x:v>0.015384615384615385</x:v>
      </x:c>
      <x:c r="J141" s="13" t="n">
        <x:v>1</x:v>
      </x:c>
      <x:c r="K141" s="19" t="str">
        <x:v>How have methods for extending the effective context length of transformer language models evolved, and what trade-offs do they make in memory, latency, and retrieval quality?</x:v>
      </x:c>
      <x:c r="L141" s="19" t="str">
        <x:v>data is truncated to *k for the corresponding model. (LM.: LLaMA-2-7B, LA.: LongAlpaca, LC.: LongChat)
scaling factor is adjusted case-by-case for extensi-
ble embedding, which will let the compressed input
just fit into the 4K context window of LLaMA-2-
7B. The evaluation results are presented in Table 2,
where the following observations can be made.
Firstly, extensible embedding can substantially
improve upon the LLaMA-2-7B baseline for both
single-doc QA and multi-doc QA. By comparison,
the fine-tuning free methods bring in almost no
contribution or even negative effect to long-context
understanding, despite their effectiveness in lan-
guage modeling. Although the fine-tuned methods
bring seemingly better results on both QA and sum-
marization tasks, we find that the improvement
is mainly from the LLM’s improved performance
with short contexts (due to fine-tuning) rather than</x:v>
      </x:c>
      <x:c r="M141" s="19" t="str">
        <x:v>该段包含可直接回答问题的方法、指标、比较或研究发现。</x:v>
      </x:c>
      <x:c r="N141" s="13" t="str">
        <x:v>http://arxiv.org/abs/2402.11577v1</x:v>
      </x:c>
    </x:row>
    <x:row r="142" ht="58" customHeight="1">
      <x:c r="A142" s="13" t="str">
        <x:v>csq005-c024</x:v>
      </x:c>
      <x:c r="B142" s="13" t="str">
        <x:v>csq005</x:v>
      </x:c>
      <x:c r="C142" s="21" t="n">
        <x:v>24</x:v>
      </x:c>
      <x:c r="D142" s="20" t="str">
        <x:v>2</x:v>
      </x:c>
      <x:c r="E142" s="20" t="str"/>
      <x:c r="F142" s="20" t="str">
        <x:f>IF(E142="",D142,E142)</x:f>
        <x:v>2</x:v>
      </x:c>
      <x:c r="G142" s="13" t="str">
        <x:v>MOM: Memory-Efficient Offloaded Mini-Sequence Inference for Long Context Language Models</x:v>
      </x:c>
      <x:c r="H142" s="13" t="n">
        <x:v>7</x:v>
      </x:c>
      <x:c r="I142" s="22" t="n">
        <x:v>0.015151515151515152</x:v>
      </x:c>
      <x:c r="J142" s="13" t="n">
        <x:v>1</x:v>
      </x:c>
      <x:c r="K142" s="19" t="str">
        <x:v>How have methods for extending the effective context length of transformer language models evolved, and what trade-offs do they make in memory, latency, and retrieval quality?</x:v>
      </x:c>
      <x:c r="L142" s="19" t="str">
        <x:v>Table 1: Memory Usage WITH Mini-sequence Divided by NO Mini-sequence on Different
Offloading Schemes (%, lower is more memory efficient)
Context Length (#Tokens): 48000 80000 112000 144000
No offload 71.682 65.333 61.643 59.235
(prefill only) Offload 64.834 56.804 52.146 49.065
Table 1 also indicates that the percentage of memory savings from enabling Mini-sequence
is higher when combined with offloading. This is because offloading primarily reduces KV
cache or weight size, making intermediate memory—which Mini-sequence optimizes—a
larger proportion of the total memory.
4.2 Maximium Input Context Length Extension for Different Methods
We tested the maximum context length that fits into an A100-80GB GPU using different
methods before encountering an Out of Memory (OOM) error. Overall, MOM outperforms
all other methods, expanding the maximum context length from 155,000 tokens in the</x:v>
      </x:c>
      <x:c r="M142" s="19" t="str">
        <x:v>该段包含可直接回答问题的方法、指标、比较或研究发现。</x:v>
      </x:c>
      <x:c r="N142" s="13" t="str">
        <x:v>http://arxiv.org/abs/2504.12526v1</x:v>
      </x:c>
    </x:row>
    <x:row r="143" ht="58" customHeight="1">
      <x:c r="A143" s="13" t="str">
        <x:v>csq005-c025</x:v>
      </x:c>
      <x:c r="B143" s="13" t="str">
        <x:v>csq005</x:v>
      </x:c>
      <x:c r="C143" s="21" t="n">
        <x:v>25</x:v>
      </x:c>
      <x:c r="D143" s="20" t="str">
        <x:v>2</x:v>
      </x:c>
      <x:c r="E143" s="20" t="str"/>
      <x:c r="F143" s="20" t="str">
        <x:f>IF(E143="",D143,E143)</x:f>
        <x:v>2</x:v>
      </x:c>
      <x:c r="G143" s="13" t="str">
        <x:v>Giraffe: Adventures in Expanding Context Lengths in LLMs</x:v>
      </x:c>
      <x:c r="H143" s="13" t="n">
        <x:v>1</x:v>
      </x:c>
      <x:c r="I143" s="22" t="n">
        <x:v>0.015151515151515152</x:v>
      </x:c>
      <x:c r="J143" s="13" t="n">
        <x:v>1</x:v>
      </x:c>
      <x:c r="K143" s="19" t="str">
        <x:v>How have methods for extending the effective context length of transformer language models evolved, and what trade-offs do they make in memory, latency, and retrieval quality?</x:v>
      </x:c>
      <x:c r="L143" s="19" t="str">
        <x:v>constrained to a few large players. Therefore, it is imperative to be able to modify the models as desired for
the end user—ideally, with a fraction of the compute power applied.
Our main findings are that:
• Linear interpolation is the best as a context length extrapolation method.
• All context length extrapolation methods show degradation on task accuracy, even for lengths where
they provide otherwise coherent output (and perplexity scores are still reasonable).
• Further context length increase can be achieved by utilising a higher scale factor at evaluation time
than finetune time, but seemingly only up to a factor of 2x.
Public release of LLM weights and evaluation datasets We release the weights of two new 13B
models trained from base LLaMA with an extended context length of 16k 2 and a context length of 4k 3</x:v>
      </x:c>
      <x:c r="M143" s="19" t="str">
        <x:v>该段包含可直接回答问题的方法、指标、比较或研究发现。</x:v>
      </x:c>
      <x:c r="N143" s="13" t="str">
        <x:v>http://arxiv.org/abs/2308.10882v1</x:v>
      </x:c>
    </x:row>
    <x:row r="144" ht="58" customHeight="1">
      <x:c r="A144" s="13" t="str">
        <x:v>csq005-c026</x:v>
      </x:c>
      <x:c r="B144" s="13" t="str">
        <x:v>csq005</x:v>
      </x:c>
      <x:c r="C144" s="21" t="n">
        <x:v>26</x:v>
      </x:c>
      <x:c r="D144" s="20" t="str">
        <x:v>0</x:v>
      </x:c>
      <x:c r="E144" s="20" t="str"/>
      <x:c r="F144" s="20" t="str">
        <x:f>IF(E144="",D144,E144)</x:f>
        <x:v>0</x:v>
      </x:c>
      <x:c r="G144" s="13" t="str">
        <x:v>Extensible Embedding: A Flexible Multipler For LLM's Context Length</x:v>
      </x:c>
      <x:c r="H144" s="13" t="n">
        <x:v>8</x:v>
      </x:c>
      <x:c r="I144" s="22" t="n">
        <x:v>0.015151515151515152</x:v>
      </x:c>
      <x:c r="J144" s="13" t="n">
        <x:v>1</x:v>
      </x:c>
      <x:c r="K144" s="19" t="str">
        <x:v>How have methods for extending the effective context length of transformer language models evolved, and what trade-offs do they make in memory, latency, and retrieval quality?</x:v>
      </x:c>
      <x:c r="L144" s="19" t="str">
        <x:v>Danqi Chen. 2023b. Adapting language models to
compress contexts. In Proceedings of the 2023 Con-
ference on Empirical Methods in Natural Language
Processing, EMNLP 2023, Singapore, December 6-
10, 2023, pages 3829–3846. Association for Compu-
tational Linguistics.
Rewon Child, Scott Gray, Alec Radford, and
Ilya Sutskever. 2019. Generating long se-
quences with sparse transformers. arXiv preprint
arXiv:1904.10509.
Together Computer. 2023. Redpajama: an open dataset
for training large language models.
Li Dacheng, Shao Rulin, Xie Anze, Sheng Ying, Zheng
Lianmin, E. Gonzalez Joseph, Stoica Ion, Ma Xuezhe,
and Zhang Hao. 2023. How long can open-source
llms truly promise on context length?
Tri Dao. 2023. Flashattention-2: Faster attention with
better parallelism and work partitioning. CoRR,
abs/2307.08691.
Leo Gao, Stella Biderman, Sid Black, Laurence Gold-</x:v>
      </x:c>
      <x:c r="M144" s="19" t="str">
        <x:v>该段为无关内容、泛泛提及或参考文献片段，不能作为回答证据。</x:v>
      </x:c>
      <x:c r="N144" s="13" t="str">
        <x:v>http://arxiv.org/abs/2402.11577v1</x:v>
      </x:c>
    </x:row>
    <x:row r="145" ht="58" customHeight="1">
      <x:c r="A145" s="13" t="str">
        <x:v>csq005-c027</x:v>
      </x:c>
      <x:c r="B145" s="13" t="str">
        <x:v>csq005</x:v>
      </x:c>
      <x:c r="C145" s="21" t="n">
        <x:v>27</x:v>
      </x:c>
      <x:c r="D145" s="20" t="str">
        <x:v>2</x:v>
      </x:c>
      <x:c r="E145" s="20" t="str"/>
      <x:c r="F145" s="20" t="str">
        <x:f>IF(E145="",D145,E145)</x:f>
        <x:v>2</x:v>
      </x:c>
      <x:c r="G145" s="13" t="str">
        <x:v>$\infty$-former: Infinite Memory Transformer</x:v>
      </x:c>
      <x:c r="H145" s="13" t="n">
        <x:v>3</x:v>
      </x:c>
      <x:c r="I145" s="22" t="n">
        <x:v>0.014925373134328358</x:v>
      </x:c>
      <x:c r="J145" s="13" t="n">
        <x:v>1</x:v>
      </x:c>
      <x:c r="K145" s="19" t="str">
        <x:v>How have methods for extending the effective context length of transformer language models evolved, and what trade-offs do they make in memory, latency, and retrieval quality?</x:v>
      </x:c>
      <x:c r="L145" s="19" t="str">
        <x:v>O(L× (L +LSTM) +L×N) when also using
a short-term memory andO(L2 +L×N) when
only using the LTM, both≪O (L× (L +LLTM)),
which would be the complexity of a vanilla trans-
former attending to the same context. For this rea-
son, the∞-former can attend to arbitrarily long
contexts without increasing the amount of compu-
tation needed.
3.2 Unbounded Memory
When representing the memory as a discrete se-
quence, to extend it, we need to store the new hid-
den states in memory. In a vanilla transformer, this
is not feasible for long contexts due to the high
memory requirements. However, the ∞-former
can attend to unbounded context without increasing
memory requirements by using continuous atten-
tion, as next described and shown in Fig. 2.
To be able to build an unbounded representation,
we ﬁrst sampleM locations in [0, 1] and evaluate
¯X(t) at those locations. These locations can simply</x:v>
      </x:c>
      <x:c r="M145" s="19" t="str">
        <x:v>该段包含可直接回答问题的方法、指标、比较或研究发现。</x:v>
      </x:c>
      <x:c r="N145" s="13" t="str">
        <x:v>http://arxiv.org/abs/2109.00301v3</x:v>
      </x:c>
    </x:row>
    <x:row r="146" ht="58" customHeight="1">
      <x:c r="A146" s="13" t="str">
        <x:v>csq005-c028</x:v>
      </x:c>
      <x:c r="B146" s="13" t="str">
        <x:v>csq005</x:v>
      </x:c>
      <x:c r="C146" s="21" t="n">
        <x:v>28</x:v>
      </x:c>
      <x:c r="D146" s="20" t="str">
        <x:v>2</x:v>
      </x:c>
      <x:c r="E146" s="20" t="str"/>
      <x:c r="F146" s="20" t="str">
        <x:f>IF(E146="",D146,E146)</x:f>
        <x:v>2</x:v>
      </x:c>
      <x:c r="G146" s="13" t="str">
        <x:v>Extensible Embedding: A Flexible Multipler For LLM's Context Length</x:v>
      </x:c>
      <x:c r="H146" s="13" t="n">
        <x:v>4</x:v>
      </x:c>
      <x:c r="I146" s="22" t="n">
        <x:v>0.014925373134328358</x:v>
      </x:c>
      <x:c r="J146" s="13" t="n">
        <x:v>1</x:v>
      </x:c>
      <x:c r="K146" s="19" t="str">
        <x:v>How have methods for extending the effective context length of transformer language models evolved, and what trade-offs do they make in memory, latency, and retrieval quality?</x:v>
      </x:c>
      <x:c r="L146" s="19" t="str">
        <x:v>et al., 2020). Following the method used by Alexis
et al. (Chevalier et al., 2023a), the perplexity is
measured by predicting the last 512 tokens based
on the preceding context. There are two evaluation
settings about the extensible embedding: ExtEm-
bedding (×16) and ExtEmbedding ( ×32), where
the scaling factor k is set as 16 and 32, respectively.
The evaluation results are shown in Table 1, where
the following observations can be derived.
On the one hand, we can observe the superior
long-context language modeling quality achieved
by extensible embedding. Firstly, extensible em-
bedding leads to a notable improvement over the
LLaMA-2-7B baseline, which indicates that the
extended context can be effectively utilized to im-
prove the generation quality. Secondly, the relative
improvement (over LLaMA-2-7B) from extensible
embedding is more pronounced than the fine-tuning</x:v>
      </x:c>
      <x:c r="M146" s="19" t="str">
        <x:v>该段包含可直接回答问题的方法、指标、比较或研究发现。</x:v>
      </x:c>
      <x:c r="N146" s="13" t="str">
        <x:v>http://arxiv.org/abs/2402.11577v1</x:v>
      </x:c>
    </x:row>
    <x:row r="147" ht="58" customHeight="1">
      <x:c r="A147" s="13" t="str">
        <x:v>csq005-c029</x:v>
      </x:c>
      <x:c r="B147" s="13" t="str">
        <x:v>csq005</x:v>
      </x:c>
      <x:c r="C147" s="21" t="n">
        <x:v>29</x:v>
      </x:c>
      <x:c r="D147" s="20" t="str">
        <x:v>0</x:v>
      </x:c>
      <x:c r="E147" s="20" t="str"/>
      <x:c r="F147" s="20" t="str">
        <x:f>IF(E147="",D147,E147)</x:f>
        <x:v>0</x:v>
      </x:c>
      <x:c r="G147" s="13" t="str">
        <x:v>MOM: Memory-Efficient Offloaded Mini-Sequence Inference for Long Context Language Models</x:v>
      </x:c>
      <x:c r="H147" s="13" t="n">
        <x:v>10</x:v>
      </x:c>
      <x:c r="I147" s="22" t="n">
        <x:v>0.014705882352941176</x:v>
      </x:c>
      <x:c r="J147" s="13" t="n">
        <x:v>1</x:v>
      </x:c>
      <x:c r="K147" s="19" t="str">
        <x:v>How have methods for extending the effective context length of transformer language models evolved, and what trade-offs do they make in memory, latency, and retrieval quality?</x:v>
      </x:c>
      <x:c r="L147" s="19" t="str">
        <x:v>2023.
Iz Beltagy, Matthew E. Peters, and Arman Cohan. Longformer: The long-document trans-
former. arXiv preprint, arXiv:2004.05150, 2020.
Zhenni Bi, Kai Han, Chuanjian Liu, Yehui Tang, and Yunhe Wang. Forest-of-thought: Scaling
test-time compute for enhancing llm reasoning. arXiv preprint arXiv:2412.09078, 2024.
Tom Brown, Benjamin Mann, Nick Ryder, Melanie Subbiah, Jared D Kaplan, Prafulla
Dhariwal, Arvind Neelakantan, Pranav Shyam, Girish Sastry, Amanda Askell, et al.
Language models are few-shot learners. Advances in neural information processing systems ,
33:1877–1901, 2020.
Tianqi Chen, Bing Xu, Chiyuan Zhang, and Carlos Guestrin. Training deep nets with
sublinear memory cost. arXiv preprint arXiv:1604.06174, 2016.
Tri Dao. Flashattention-2: Faster attention with better parallelism and work partitioning.
arXiv preprint arXiv:2307.08691, 2023.</x:v>
      </x:c>
      <x:c r="M147" s="19" t="str">
        <x:v>该段为无关内容、泛泛提及或参考文献片段，不能作为回答证据。</x:v>
      </x:c>
      <x:c r="N147" s="13" t="str">
        <x:v>http://arxiv.org/abs/2504.12526v1</x:v>
      </x:c>
    </x:row>
    <x:row r="148" ht="58" customHeight="1">
      <x:c r="A148" s="13" t="str">
        <x:v>csq005-c030</x:v>
      </x:c>
      <x:c r="B148" s="13" t="str">
        <x:v>csq005</x:v>
      </x:c>
      <x:c r="C148" s="21" t="n">
        <x:v>30</x:v>
      </x:c>
      <x:c r="D148" s="20" t="str">
        <x:v>2</x:v>
      </x:c>
      <x:c r="E148" s="20" t="str"/>
      <x:c r="F148" s="20" t="str">
        <x:f>IF(E148="",D148,E148)</x:f>
        <x:v>2</x:v>
      </x:c>
      <x:c r="G148" s="13" t="str">
        <x:v>Compressed Context Memory For Online Language Model Interaction</x:v>
      </x:c>
      <x:c r="H148" s="13" t="n">
        <x:v>0</x:v>
      </x:c>
      <x:c r="I148" s="22" t="n">
        <x:v>0.014705882352941176</x:v>
      </x:c>
      <x:c r="J148" s="13" t="n">
        <x:v>1</x:v>
      </x:c>
      <x:c r="K148" s="19" t="str">
        <x:v>How have methods for extending the effective context length of transformer language models evolved, and what trade-offs do they make in memory, latency, and retrieval quality?</x:v>
      </x:c>
      <x:c r="L148" s="19" t="str">
        <x:v>available at https://github.com/snu-mllab/context-memory.
1 I NTRODUCTION
Transformer language models have exhibited exceptional language processing capabilities, achiev-
ing remarkable results in various applications (Vaswani et al., 2017). In particular, the attention
mechanism, which encompasses the entire context window, enables the language models to respond
with a nuanced understanding of context. With this contextual understanding, services like ChatGPT
or Bard can generate responses customized to individual users through online interactions (OpenAI,
2023; Manyika, 2023). In this online scenario, the context used for language model inference accu-
mulates over time, raising an important challenge in efficiently handling this growing context.
A straightforward approach is to deal with previous contexts as a prompt, which leads to a continual</x:v>
      </x:c>
      <x:c r="M148" s="19" t="str">
        <x:v>该段包含可直接回答问题的方法、指标、比较或研究发现。</x:v>
      </x:c>
      <x:c r="N148" s="13" t="str">
        <x:v>http://arxiv.org/abs/2312.03414v2</x:v>
      </x:c>
    </x:row>
    <x:row r="149" ht="58" customHeight="1">
      <x:c r="A149" s="13" t="str">
        <x:v>csq006-c001</x:v>
      </x:c>
      <x:c r="B149" s="13" t="str">
        <x:v>csq006</x:v>
      </x:c>
      <x:c r="C149" s="21" t="n">
        <x:v>1</x:v>
      </x:c>
      <x:c r="D149" s="20" t="str">
        <x:v>2</x:v>
      </x:c>
      <x:c r="E149" s="20" t="str"/>
      <x:c r="F149" s="20" t="str">
        <x:f>IF(E149="",D149,E149)</x:f>
        <x:v>2</x:v>
      </x:c>
      <x:c r="G149" s="13" t="str">
        <x:v>Quantum-PEFT: Ultra parameter-efficient fine-tuning</x:v>
      </x:c>
      <x:c r="H149" s="13" t="n">
        <x:v>1</x:v>
      </x:c>
      <x:c r="I149" s="22" t="n">
        <x:v>0.06096308453198274</x:v>
      </x:c>
      <x:c r="J149" s="13" t="n">
        <x:v>4</x:v>
      </x:c>
      <x:c r="K149" s="19" t="str">
        <x:v>What are the main parameter-efficient fine-tuning methods, and how do they reduce trainable parameters while preserving downstream performance?</x:v>
      </x:c>
      <x:c r="L149" s="19" t="str">
        <x:v>2 R ELATED WORK
Parameter-efficient fine-tuning (PEFT) Parameter-efficient fine-tuning (PEFT) methods allow
significantly lower model training cost for different downstream tasks. A plethora of methods have
been proposed for PEFT (Houlsby et al., 2019; Aghajanyan et al., 2021; Hu et al., 2021; Edalati
et al., 2023; Lester et al., 2021; Li and Liang, 2021; He et al., 2021a; Karimi Mahabadi et al., 2021;
Chen et al., 2022; Jie and Deng, 2023; Hao et al., 2022; Houlsby et al., 2019; Pfeiffer et al., 2021),
among which reparameterization-based techniques (Aghajanyan et al., 2021; Hu et al., 2021; Edalati
et al., 2023) bear the most relevance to our study, where the model architecture is not changed but
reparametrized with a lower number of trainable parameters. LoRA (Hu et al., 2021) updates the</x:v>
      </x:c>
      <x:c r="M149" s="19" t="str">
        <x:v>该段包含可直接回答问题的方法、指标、比较或研究发现。</x:v>
      </x:c>
      <x:c r="N149" s="13" t="str">
        <x:v>http://arxiv.org/abs/2503.05431v1</x:v>
      </x:c>
    </x:row>
    <x:row r="150" ht="58" customHeight="1">
      <x:c r="A150" s="13" t="str">
        <x:v>csq006-c002</x:v>
      </x:c>
      <x:c r="B150" s="13" t="str">
        <x:v>csq006</x:v>
      </x:c>
      <x:c r="C150" s="21" t="n">
        <x:v>2</x:v>
      </x:c>
      <x:c r="D150" s="20" t="str">
        <x:v>2</x:v>
      </x:c>
      <x:c r="E150" s="20" t="str"/>
      <x:c r="F150" s="20" t="str">
        <x:f>IF(E150="",D150,E150)</x:f>
        <x:v>2</x:v>
      </x:c>
      <x:c r="G150" s="13" t="str">
        <x:v>Adaptive parameter-efficient fine-tuning via Hessian-informed subset selection</x:v>
      </x:c>
      <x:c r="H150" s="13" t="n">
        <x:v>0</x:v>
      </x:c>
      <x:c r="I150" s="22" t="n">
        <x:v>0.0575297619047619</x:v>
      </x:c>
      <x:c r="J150" s="13" t="n">
        <x:v>4</x:v>
      </x:c>
      <x:c r="K150" s="19" t="str">
        <x:v>What are the main parameter-efficient fine-tuning methods, and how do they reduce trainable parameters while preserving downstream performance?</x:v>
      </x:c>
      <x:c r="L150" s="19" t="str">
        <x:v>arXiv:2505.12579v1  [cs.LG]  18 May 2025
Adaptive parameter-efficient fine-tuning via
Hessian-informed subset selection
Shiyun Xu
shiyunxulara@gmail.com
Zhiqi Bu
woodyx218@gmail.com
Abstract
Parameter-efficient fine-tuning (PEFT) is a highly effective approach for adapting
large pre-trained models to downstream tasks with minimal computational overhead.
At the core, PEFT methods freeze most parameters and only trains a small subset
(say &lt; 0.1% of total parameters). Notably, different PEFT methods select different
subsets, resulting in varying levels of performance. This variation prompts a key
question: how to effectively select the most influential subset to train?
We formulate the subset selection as a multi-task problem: maximizing the per-
formance and minimizing the number of trainable parameters. We leverage a</x:v>
      </x:c>
      <x:c r="M150" s="19" t="str">
        <x:v>该段包含可直接回答问题的方法、指标、比较或研究发现。</x:v>
      </x:c>
      <x:c r="N150" s="13" t="str">
        <x:v>http://arxiv.org/abs/2505.12579v1</x:v>
      </x:c>
    </x:row>
    <x:row r="151" ht="58" customHeight="1">
      <x:c r="A151" s="13" t="str">
        <x:v>csq006-c003</x:v>
      </x:c>
      <x:c r="B151" s="13" t="str">
        <x:v>csq006</x:v>
      </x:c>
      <x:c r="C151" s="21" t="n">
        <x:v>3</x:v>
      </x:c>
      <x:c r="D151" s="20" t="str">
        <x:v>2</x:v>
      </x:c>
      <x:c r="E151" s="20" t="str"/>
      <x:c r="F151" s="20" t="str">
        <x:f>IF(E151="",D151,E151)</x:f>
        <x:v>2</x:v>
      </x:c>
      <x:c r="G151" s="13" t="str">
        <x:v>Parameter-Efficient Fine-Tuning Design Spaces</x:v>
      </x:c>
      <x:c r="H151" s="13" t="n">
        <x:v>0</x:v>
      </x:c>
      <x:c r="I151" s="22" t="n">
        <x:v>0.04583853930031804</x:v>
      </x:c>
      <x:c r="J151" s="13" t="n">
        <x:v>3</x:v>
      </x:c>
      <x:c r="K151" s="19" t="str">
        <x:v>What are the main parameter-efficient fine-tuning methods, and how do they reduce trainable parameters while preserving downstream performance?</x:v>
      </x:c>
      <x:c r="L151" s="19" t="str">
        <x:v>PARAMETER -EFFICIENT FINE -T UNING DESIGN SPACES
Jiaao Chen†∗, Aston Zhang‡, Xingjian Shi‡, Mu Li‡, Alex Smola‡, Diyi Yang⋄
†Georgia Institute of Technology,‡Amazon Web Services,⋄Stanford University
ABSTRACT
Parameter-efﬁcient ﬁne-tuning aims to achieve performance comparable to ﬁne-tuning, using fewer
trainable parameters. Several strategies (e.g., Adapters, preﬁx tuning, BitFit, and LoRA) have been
proposed. However, their designs are hand-crafted separately, and it remains unclear whether cer-
tain design patterns exist for parameter-efﬁcient ﬁne-tuning. Thus, we present a parameter-efﬁcient
ﬁne-tuning design paradigm and discover design patterns that are applicable to different experi-
mental settings. Instead of focusing on designing another individual tuning strategy, we introduce
parameter-efﬁcient ﬁne-tuning design spaces that parameterize tuning structures and tuning strate-</x:v>
      </x:c>
      <x:c r="M151" s="19" t="str">
        <x:v>该段包含可直接回答问题的方法、指标、比较或研究发现。</x:v>
      </x:c>
      <x:c r="N151" s="13" t="str">
        <x:v>http://arxiv.org/abs/2301.01821v1</x:v>
      </x:c>
    </x:row>
    <x:row r="152" ht="58" customHeight="1">
      <x:c r="A152" s="13" t="str">
        <x:v>csq006-c004</x:v>
      </x:c>
      <x:c r="B152" s="13" t="str">
        <x:v>csq006</x:v>
      </x:c>
      <x:c r="C152" s="21" t="n">
        <x:v>4</x:v>
      </x:c>
      <x:c r="D152" s="20" t="str">
        <x:v>2</x:v>
      </x:c>
      <x:c r="E152" s="20" t="str"/>
      <x:c r="F152" s="20" t="str">
        <x:f>IF(E152="",D152,E152)</x:f>
        <x:v>2</x:v>
      </x:c>
      <x:c r="G152" s="13" t="str">
        <x:v>Light-PEFT: Lightening Parameter-Efficient Fine-Tuning via Early Pruning</x:v>
      </x:c>
      <x:c r="H152" s="13" t="n">
        <x:v>0</x:v>
      </x:c>
      <x:c r="I152" s="22" t="n">
        <x:v>0.04451067477014181</x:v>
      </x:c>
      <x:c r="J152" s="13" t="n">
        <x:v>3</x:v>
      </x:c>
      <x:c r="K152" s="19" t="str">
        <x:v>What are the main parameter-efficient fine-tuning methods, and how do they reduce trainable parameters while preserving downstream performance?</x:v>
      </x:c>
      <x:c r="L152" s="19" t="str">
        <x:v>each task in conventional fine-tuning incurs sub-
stantial storage costs.
To address these challenges, parameter-efficient
fine-tuning (PEFT) has been proposed: freezing
most parameters of the foundation model and fine-
tuning only a small number of parameters (Houlsby
et al., 2019; Li and Liang, 2021; Liu et al., 2022a;
Hu et al., 2022), thereby reducing the computa-
tional resource requirements during training and
performing nearly full-parameter fine-tuning. In ad-
dition, this technique eliminates the need to save an
entire model copy for each task. During inference,
task-specific models can be obtained by switch-
ing directly to the appropriate parameter-efficient
module for the given task.
However, the training efficiency of existing
PEFT methods still needs improvement. The first
problem lies in the excessive redundancy of using a</x:v>
      </x:c>
      <x:c r="M152" s="19" t="str">
        <x:v>该段包含可直接回答问题的方法、指标、比较或研究发现。</x:v>
      </x:c>
      <x:c r="N152" s="13" t="str">
        <x:v>http://arxiv.org/abs/2406.03792v1</x:v>
      </x:c>
    </x:row>
    <x:row r="153" ht="58" customHeight="1">
      <x:c r="A153" s="13" t="str">
        <x:v>csq006-c005</x:v>
      </x:c>
      <x:c r="B153" s="13" t="str">
        <x:v>csq006</x:v>
      </x:c>
      <x:c r="C153" s="21" t="n">
        <x:v>5</x:v>
      </x:c>
      <x:c r="D153" s="20" t="str">
        <x:v>2</x:v>
      </x:c>
      <x:c r="E153" s="20" t="str"/>
      <x:c r="F153" s="20" t="str">
        <x:f>IF(E153="",D153,E153)</x:f>
        <x:v>2</x:v>
      </x:c>
      <x:c r="G153" s="13" t="str">
        <x:v>Sensitivity-Aware Visual Parameter-Efficient Fine-Tuning</x:v>
      </x:c>
      <x:c r="H153" s="13" t="n">
        <x:v>1</x:v>
      </x:c>
      <x:c r="I153" s="22" t="n">
        <x:v>0.04399522132796781</x:v>
      </x:c>
      <x:c r="J153" s="13" t="n">
        <x:v>3</x:v>
      </x:c>
      <x:c r="K153" s="19" t="str">
        <x:v>What are the main parameter-efficient fine-tuning methods, and how do they reduce trainable parameters while preserving downstream performance?</x:v>
      </x:c>
      <x:c r="L153" s="19" t="str">
        <x:v>ber of trainable parameters while freezing the vast ma-
jority ones that are shared by multiple tasks. As PEFT
approaches exhibit less than 1% of trainable parameters,
the storage burden is largely alleviated. Another attrac-
tive property of PEFT is that tuning fewer parameters eases
the optimization difficulty and mitigates the overfitting is-
sue when adapting large pre-trained models on the target
dataset, thereby achieving comparable or even better perfor-
mance than vanilla fine-tuning [24]. Although promising,
the existing PEFT approaches introduce trainable parame-
ters to the same positions for all downstream tasks, relying
on human heuristics and neglecting task-specific domain
gaps and characteristics, which limits their performance.
For instance, in a task-agnostic manner, Prompt Tuning-
deep [24] and Adapter [22] respectively add trainable pa-</x:v>
      </x:c>
      <x:c r="M153" s="19" t="str">
        <x:v>该段包含可直接回答问题的方法、指标、比较或研究发现。</x:v>
      </x:c>
      <x:c r="N153" s="13" t="str">
        <x:v>http://arxiv.org/abs/2303.08566v2</x:v>
      </x:c>
    </x:row>
    <x:row r="154" ht="58" customHeight="1">
      <x:c r="A154" s="13" t="str">
        <x:v>csq006-c006</x:v>
      </x:c>
      <x:c r="B154" s="13" t="str">
        <x:v>csq006</x:v>
      </x:c>
      <x:c r="C154" s="21" t="n">
        <x:v>6</x:v>
      </x:c>
      <x:c r="D154" s="20" t="str">
        <x:v>2</x:v>
      </x:c>
      <x:c r="E154" s="20" t="str"/>
      <x:c r="F154" s="20" t="str">
        <x:f>IF(E154="",D154,E154)</x:f>
        <x:v>2</x:v>
      </x:c>
      <x:c r="G154" s="13" t="str">
        <x:v>GRASP: GRouped Activation Shared Parameterization for Parameter-Efficient Fine-Tuning and Robust Inference of Transformers</x:v>
      </x:c>
      <x:c r="H154" s="13" t="n">
        <x:v>1</x:v>
      </x:c>
      <x:c r="I154" s="22" t="n">
        <x:v>0.04293164027103028</x:v>
      </x:c>
      <x:c r="J154" s="13" t="n">
        <x:v>3</x:v>
      </x:c>
      <x:c r="K154" s="19" t="str">
        <x:v>What are the main parameter-efficient fine-tuning methods, and how do they reduce trainable parameters while preserving downstream performance?</x:v>
      </x:c>
      <x:c r="L154" s="19" t="str">
        <x:v>deterministic values, and develop a stochastic variant
of GRASP that exhibits improved robustness under
hardware-induced noise.
II. RELATEDWORKS
Parameter-efficient fine-tuning (PEFT) has emerged as a
powerful strategy for adapting large pre-trained models while
updating only a small fraction of parameters. Existing PEFT
techniques can be broadly categorized intolayer-selective,
module-based, andelement-wiseapproaches.
Layer-selective methodsfine-tune only a subset of trans-
former layers to reduce training cost. For example, FFTTop2
[2] updates only the top two layers of the model while keeping
the remaining parameters frozen.
Module-based PEFTintroduces small trainable compo-
nents into the network. Adapters [5] insert bottleneck layers
inside transformer blocks and update only these modules dur-
ing fine-tuning. LoRA [2] replaces full-rank updates with low-</x:v>
      </x:c>
      <x:c r="M154" s="19" t="str">
        <x:v>该段包含可直接回答问题的方法、指标、比较或研究发现。</x:v>
      </x:c>
      <x:c r="N154" s="13" t="str">
        <x:v>http://arxiv.org/abs/2512.04296v2</x:v>
      </x:c>
    </x:row>
    <x:row r="155" ht="58" customHeight="1">
      <x:c r="A155" s="13" t="str">
        <x:v>csq006-c007</x:v>
      </x:c>
      <x:c r="B155" s="13" t="str">
        <x:v>csq006</x:v>
      </x:c>
      <x:c r="C155" s="21" t="n">
        <x:v>7</x:v>
      </x:c>
      <x:c r="D155" s="20" t="str">
        <x:v>2</x:v>
      </x:c>
      <x:c r="E155" s="20" t="str"/>
      <x:c r="F155" s="20" t="str">
        <x:f>IF(E155="",D155,E155)</x:f>
        <x:v>2</x:v>
      </x:c>
      <x:c r="G155" s="13" t="str">
        <x:v>GRASP: GRouped Activation Shared Parameterization for Parameter-Efficient Fine-Tuning and Robust Inference of Transformers</x:v>
      </x:c>
      <x:c r="H155" s="13" t="n">
        <x:v>1</x:v>
      </x:c>
      <x:c r="I155" s="22" t="n">
        <x:v>0.041918026003440995</x:v>
      </x:c>
      <x:c r="J155" s="13" t="n">
        <x:v>3</x:v>
      </x:c>
      <x:c r="K155" s="19" t="str">
        <x:v>What are the main parameter-efficient fine-tuning methods, and how do they reduce trainable parameters while preserving downstream performance?</x:v>
      </x:c>
      <x:c r="L155" s="19" t="str">
        <x:v>ing fine-tuning. LoRA [2] replaces full-rank updates with low-
rank matrices, substantially reducing the number of trainable
parameters while preserving representational flexibility. Other
techniques, such as Prefix Tuning [9], optimize continuous
prefix vectors at the embedding layer rather than modifying
internal weights.
Element-wise modulation methodsoperate directly on
hidden activations and avoid introducing additional matrix
multiplications. BitFit [6] tunes only bias terms, whereas
Wp
N(µ,s)
WfPre-trained LLM
Domain-
specific Task
Low-memory Training on GPUs
x -ßg(i)
x̄
1/γg(i).
(1) GRASP : Learning grouped
scaling &amp; shifting parameters.
     (2) StochGRASP : Learning
probability distributions for
weight perturbations.
PEFT
Robust Inference on Noisy AI H/W
Pre-trained
weight
Sample
Activation
W
N(µ,s)x -ßg(i)
x̄
1/γg(i).
PEFT
Pre-trained
weight
Sample
Activation
W~
Frozen</x:v>
      </x:c>
      <x:c r="M155" s="19" t="str">
        <x:v>该段包含可直接回答问题的方法、指标、比较或研究发现。</x:v>
      </x:c>
      <x:c r="N155" s="13" t="str">
        <x:v>http://arxiv.org/abs/2512.04296v2</x:v>
      </x:c>
    </x:row>
    <x:row r="156" ht="58" customHeight="1">
      <x:c r="A156" s="13" t="str">
        <x:v>csq006-c008</x:v>
      </x:c>
      <x:c r="B156" s="13" t="str">
        <x:v>csq006</x:v>
      </x:c>
      <x:c r="C156" s="21" t="n">
        <x:v>8</x:v>
      </x:c>
      <x:c r="D156" s="20" t="str">
        <x:v>2</x:v>
      </x:c>
      <x:c r="E156" s="20" t="str"/>
      <x:c r="F156" s="20" t="str">
        <x:f>IF(E156="",D156,E156)</x:f>
        <x:v>2</x:v>
      </x:c>
      <x:c r="G156" s="13" t="str">
        <x:v>PiCa: Parameter-Efficient Fine-Tuning with Column Space Projection</x:v>
      </x:c>
      <x:c r="H156" s="13" t="n">
        <x:v>0</x:v>
      </x:c>
      <x:c r="I156" s="22" t="n">
        <x:v>0.0418622848200313</x:v>
      </x:c>
      <x:c r="J156" s="13" t="n">
        <x:v>3</x:v>
      </x:c>
      <x:c r="K156" s="19" t="str">
        <x:v>What are the main parameter-efficient fine-tuning methods, and how do they reduce trainable parameters while preserving downstream performance?</x:v>
      </x:c>
      <x:c r="L156" s="19" t="str">
        <x:v>1 INTRODUCTION
Fine-tuning large foundation models is essential for building expert models tailored to special-
ized tasks and domains. However, fully fine-tuning billions of parameters is often computation-
ally prohibitive in terms of both training and deployment cost. Parameter-Efficient Fine-Tuning
(PEFT) (Houlsby et al., 2019) addresses this challenge by adapting models with only a small number
of trainable parameters while keeping the pre-trained backbone frozen. In particular, minimizing
the number of trainable parameters is critical in practical scenarios where multiple adapters must be
deployed simultaneously (Chen et al., 2024). In such cases, numerous sets of fine-tuned parameters
for different tasks, models, and checkpoints per user must be stored separately from the pre-trained
models, leading to significant storage, caching, and serving overheads.</x:v>
      </x:c>
      <x:c r="M156" s="19" t="str">
        <x:v>该段包含可直接回答问题的方法、指标、比较或研究发现。</x:v>
      </x:c>
      <x:c r="N156" s="13" t="str">
        <x:v>http://arxiv.org/abs/2505.20211v3</x:v>
      </x:c>
    </x:row>
    <x:row r="157" ht="58" customHeight="1">
      <x:c r="A157" s="13" t="str">
        <x:v>csq006-c009</x:v>
      </x:c>
      <x:c r="B157" s="13" t="str">
        <x:v>csq006</x:v>
      </x:c>
      <x:c r="C157" s="21" t="n">
        <x:v>9</x:v>
      </x:c>
      <x:c r="D157" s="20" t="str">
        <x:v>1</x:v>
      </x:c>
      <x:c r="E157" s="20" t="str"/>
      <x:c r="F157" s="20" t="str">
        <x:f>IF(E157="",D157,E157)</x:f>
        <x:v>1</x:v>
      </x:c>
      <x:c r="G157" s="13" t="str">
        <x:v>Sensitivity-Aware Visual Parameter-Efficient Fine-Tuning</x:v>
      </x:c>
      <x:c r="H157" s="13" t="n">
        <x:v>1</x:v>
      </x:c>
      <x:c r="I157" s="22" t="n">
        <x:v>0.032266458495966696</x:v>
      </x:c>
      <x:c r="J157" s="13" t="n">
        <x:v>2</x:v>
      </x:c>
      <x:c r="K157" s="19" t="str">
        <x:v>What are the main parameter-efficient fine-tuning methods, and how do they reduce trainable parameters while preserving downstream performance?</x:v>
      </x:c>
      <x:c r="L157" s="19" t="str">
        <x:v>pre-trained model to downstream tasks, where the model
is initialized from the pre-trained weights with all pa-
rameters trainable. Yet, when a model becomes larger,
parameter-efficient fine-tuning [29, 30] is highly desirable,
which tunes only a tiny portion of parameters to allevi-
ate the storage burden. The general PEFT approaches
can be categorized into addition-based PEFT methods and
reparameterization-based PEFT methods.
Addition-based PEFT attaches additional trainable pa-
rameters to the backbone and only tunes these parame-
ters. Apart from Prompt tuning [24] and Adapter [22], re-
cent addition-based methods study connecting or combin-
ing existing PEFT methods. For instance, He et al . [19]
connect Prompt tuning and Adapter and provide a unified
view that all PEFT approaches share the same design to ad-
just the hidden representations. Zhang et al . [65] search</x:v>
      </x:c>
      <x:c r="M157" s="19" t="str">
        <x:v>该段提供相关背景或侧面信息，但没有直接回答问题核心。</x:v>
      </x:c>
      <x:c r="N157" s="13" t="str">
        <x:v>http://arxiv.org/abs/2303.08566v2</x:v>
      </x:c>
    </x:row>
    <x:row r="158" ht="58" customHeight="1">
      <x:c r="A158" s="13" t="str">
        <x:v>csq006-c010</x:v>
      </x:c>
      <x:c r="B158" s="13" t="str">
        <x:v>csq006</x:v>
      </x:c>
      <x:c r="C158" s="21" t="n">
        <x:v>10</x:v>
      </x:c>
      <x:c r="D158" s="20" t="str">
        <x:v>2</x:v>
      </x:c>
      <x:c r="E158" s="20" t="str"/>
      <x:c r="F158" s="20" t="str">
        <x:f>IF(E158="",D158,E158)</x:f>
        <x:v>2</x:v>
      </x:c>
      <x:c r="G158" s="13" t="str">
        <x:v>Parameter-Efficient Fine-Tuning Design Spaces</x:v>
      </x:c>
      <x:c r="H158" s="13" t="n">
        <x:v>0</x:v>
      </x:c>
      <x:c r="I158" s="22" t="n">
        <x:v>0.031754032258064516</x:v>
      </x:c>
      <x:c r="J158" s="13" t="n">
        <x:v>2</x:v>
      </x:c>
      <x:c r="K158" s="19" t="str">
        <x:v>What are the main parameter-efficient fine-tuning methods, and how do they reduce trainable parameters while preserving downstream performance?</x:v>
      </x:c>
      <x:c r="L158" s="19" t="str">
        <x:v>modules) to each layer of the pretrained network and only the adapters are trained at the ﬁne-tuning time. Inspired
by the success of prompting methods that control pretrained language models through textual prompts [Brown et al.,
2020], preﬁx tuning [Li and Liang, 2021] and prompt tuning [Lester et al., 2021b] prepend additional tunable tokens
to the input or hidden layers and only train these soft prompts when ﬁne-tuning on downstream tasks. BitFit [Zaken
et al., 2021] updates the bias terms in pretrained models while freezing the remaining parameters. LoRA [Hu et al.,
2021] decomposes attention weight gradients into low-rank matrices to reduce the number of trainable parameters.
With promising results from such research, He et al. [2022] proposed a uniﬁed view of these existing strategies and</x:v>
      </x:c>
      <x:c r="M158" s="19" t="str">
        <x:v>该段包含可直接回答问题的方法、指标、比较或研究发现。</x:v>
      </x:c>
      <x:c r="N158" s="13" t="str">
        <x:v>http://arxiv.org/abs/2301.01821v1</x:v>
      </x:c>
    </x:row>
    <x:row r="159" ht="58" customHeight="1">
      <x:c r="A159" s="13" t="str">
        <x:v>csq006-c011</x:v>
      </x:c>
      <x:c r="B159" s="13" t="str">
        <x:v>csq006</x:v>
      </x:c>
      <x:c r="C159" s="21" t="n">
        <x:v>11</x:v>
      </x:c>
      <x:c r="D159" s="20" t="str">
        <x:v>2</x:v>
      </x:c>
      <x:c r="E159" s="20" t="str"/>
      <x:c r="F159" s="20" t="str">
        <x:f>IF(E159="",D159,E159)</x:f>
        <x:v>2</x:v>
      </x:c>
      <x:c r="G159" s="13" t="str">
        <x:v>PEFT-Bench: A Parameter-Efficient Fine-Tuning Methods Benchmark</x:v>
      </x:c>
      <x:c r="H159" s="13" t="n">
        <x:v>0</x:v>
      </x:c>
      <x:c r="I159" s="22" t="n">
        <x:v>0.03076923076923077</x:v>
      </x:c>
      <x:c r="J159" s="13" t="n">
        <x:v>2</x:v>
      </x:c>
      <x:c r="K159" s="19" t="str">
        <x:v>What are the main parameter-efficient fine-tuning methods, and how do they reduce trainable parameters while preserving downstream performance?</x:v>
      </x:c>
      <x:c r="L159" s="19" t="str">
        <x:v>and then, in a fully supervised way, adapted to the
downstream task (Liu et al., 2023a). This standard
fine-tuning still requires substantial amounts of re-
sources as well as significant quantities of data and
storage to store fine-tuned weights for each task.
Parameter-Efficient Fine-Tuning (PEFT) meth-
ods aim to tackle these problems by reducing the
number of trainable parameters while maintaining
the performance on a set of downstream tasks. Over
the last years, we have witnessed a steady increase
in new PEFT methods being introduced in research
works (Prottasha et al., 2025). However, in practice,
due to their efficiency and popularity, predominant
LoRA-based methods are commonly employed
with autoregressive LLMs, and other PEFT meth-
ods are rarely chosen. Moreover, a unified and fully
open-sourced evaluation of PEFT methods of dif-</x:v>
      </x:c>
      <x:c r="M159" s="19" t="str">
        <x:v>该段包含可直接回答问题的方法、指标、比较或研究发现。</x:v>
      </x:c>
      <x:c r="N159" s="13" t="str">
        <x:v>http://arxiv.org/abs/2511.21285v3</x:v>
      </x:c>
    </x:row>
    <x:row r="160" ht="58" customHeight="1">
      <x:c r="A160" s="13" t="str">
        <x:v>csq006-c012</x:v>
      </x:c>
      <x:c r="B160" s="13" t="str">
        <x:v>csq006</x:v>
      </x:c>
      <x:c r="C160" s="21" t="n">
        <x:v>12</x:v>
      </x:c>
      <x:c r="D160" s="20" t="str">
        <x:v>2</x:v>
      </x:c>
      <x:c r="E160" s="20" t="str"/>
      <x:c r="F160" s="20" t="str">
        <x:f>IF(E160="",D160,E160)</x:f>
        <x:v>2</x:v>
      </x:c>
      <x:c r="G160" s="13" t="str">
        <x:v>NeuroAda: Activating Each Neuron's Potential for Parameter-Efficient Fine-Tuning</x:v>
      </x:c>
      <x:c r="H160" s="13" t="n">
        <x:v>0</x:v>
      </x:c>
      <x:c r="I160" s="22" t="n">
        <x:v>0.030536130536130537</x:v>
      </x:c>
      <x:c r="J160" s="13" t="n">
        <x:v>2</x:v>
      </x:c>
      <x:c r="K160" s="19" t="str">
        <x:v>What are the main parameter-efficient fine-tuning methods, and how do they reduce trainable parameters while preserving downstream performance?</x:v>
      </x:c>
      <x:c r="L160" s="19" t="str">
        <x:v>nal model parameters, allowing for more pre-
cise and effective adaptation, but at the cost
of significantly increased memory consump-
tion. To reconcile this trade-off, we propose
NeuroAda, a novel PEFT method that enables
fine-grained model finetuning while maintain-
ing high memory efficiency. Our approach
first identifies important parameters (i.e., con-
nections within the network) as in selective
adaptation, and then introduces bypass connec-
tions for these selected parameters. During
finetuning, only the bypass connections are up-
dated, leaving the original model parameters
frozen. Empirical results on23+tasks spanning
both natural language generation and under-
standing demonstrate that NeuroAda achieves
state-of-the-art performance with as little as
≤0.02%trainable parameters, while reducing
CUDA memory usage by up to60%. We re-
lease our code here: https://github.com/</x:v>
      </x:c>
      <x:c r="M160" s="19" t="str">
        <x:v>该段包含可直接回答问题的方法、指标、比较或研究发现。</x:v>
      </x:c>
      <x:c r="N160" s="13" t="str">
        <x:v>http://arxiv.org/abs/2510.18940v1</x:v>
      </x:c>
    </x:row>
    <x:row r="161" ht="58" customHeight="1">
      <x:c r="A161" s="13" t="str">
        <x:v>csq006-c013</x:v>
      </x:c>
      <x:c r="B161" s="13" t="str">
        <x:v>csq006</x:v>
      </x:c>
      <x:c r="C161" s="21" t="n">
        <x:v>13</x:v>
      </x:c>
      <x:c r="D161" s="20" t="str">
        <x:v>2</x:v>
      </x:c>
      <x:c r="E161" s="20" t="str"/>
      <x:c r="F161" s="20" t="str">
        <x:f>IF(E161="",D161,E161)</x:f>
        <x:v>2</x:v>
      </x:c>
      <x:c r="G161" s="13" t="str">
        <x:v>Adaptive parameter-efficient fine-tuning via Hessian-informed subset selection</x:v>
      </x:c>
      <x:c r="H161" s="13" t="n">
        <x:v>0</x:v>
      </x:c>
      <x:c r="I161" s="22" t="n">
        <x:v>0.030309988518943745</x:v>
      </x:c>
      <x:c r="J161" s="13" t="n">
        <x:v>2</x:v>
      </x:c>
      <x:c r="K161" s="19" t="str">
        <x:v>What are the main parameter-efficient fine-tuning methods, and how do they reduce trainable parameters while preserving downstream performance?</x:v>
      </x:c>
      <x:c r="L161" s="19" t="str">
        <x:v>formance and minimizing the number of trainable parameters. We leverage a
series of transformations – including ϵ-constraint method and second-order Taylor
approximation – to arrive at the classical 0-1 knapsack problem, which we solve
through the lens of Pareto optimality. Consequently, we propose AdaPEFT, a
Hessian-informed PEFT that adapts to various tasks and models, in which the
selected subset empirically transfers across training horizons and model sizes.
1 Introduction
Fine-tuning is an important technique in deep learning, which adapts large pre-trained models to
new tasks quickly. At high level, there are two classes of fine-tuning methods: (I) fine-tune the
entire model (i.e. 100% of parameters are trainable), or (II) only update a small portion of the
model (e.g. 0.1%) and freeze the majority of parameters. The second class of methods is known as</x:v>
      </x:c>
      <x:c r="M161" s="19" t="str">
        <x:v>该段包含可直接回答问题的方法、指标、比较或研究发现。</x:v>
      </x:c>
      <x:c r="N161" s="13" t="str">
        <x:v>http://arxiv.org/abs/2505.12579v1</x:v>
      </x:c>
    </x:row>
    <x:row r="162" ht="58" customHeight="1">
      <x:c r="A162" s="13" t="str">
        <x:v>csq006-c014</x:v>
      </x:c>
      <x:c r="B162" s="13" t="str">
        <x:v>csq006</x:v>
      </x:c>
      <x:c r="C162" s="21" t="n">
        <x:v>14</x:v>
      </x:c>
      <x:c r="D162" s="20" t="str">
        <x:v>0</x:v>
      </x:c>
      <x:c r="E162" s="20" t="str"/>
      <x:c r="F162" s="20" t="str">
        <x:f>IF(E162="",D162,E162)</x:f>
        <x:v>0</x:v>
      </x:c>
      <x:c r="G162" s="13" t="str">
        <x:v>Sensitivity-Aware Visual Parameter-Efficient Fine-Tuning</x:v>
      </x:c>
      <x:c r="H162" s="13" t="n">
        <x:v>9</x:v>
      </x:c>
      <x:c r="I162" s="22" t="n">
        <x:v>0.01639344262295082</x:v>
      </x:c>
      <x:c r="J162" s="13" t="n">
        <x:v>1</x:v>
      </x:c>
      <x:c r="K162" s="19" t="str">
        <x:v>What are the main parameter-efficient fine-tuning methods, and how do they reduce trainable parameters while preserving downstream performance?</x:v>
      </x:c>
      <x:c r="L162" s="19" t="str">
        <x:v>mentation. In CVPR, pages 221–230, 2017. 3
[6] H. Cai, C. Gan, T. Wang, Z. Zhang, and S. Han. Once-for-all:
Train one network and specialize it for efficient deployment.
In ICLR, 2020. 2, 12
[7] H. Cai, C. Gan, L. Zhu, and S. Han. Tinytl: Reduce mem-
ory, not parameters for efficient on-device learning.NeurIPS,
33:11285–11297, 2020. 9
[8] H. Cai, L. Zhu, and S. Han. ProxylessNAS: Direct neural
architecture search on target task and hardware. In ICLR,
2019. 4
[9] N. S. Chatterji, B. Neyshabur, and H. Sedghi. The intrigu-
ing role of module criticality in the generalization of deep
networks. In ICLR, 2020. 3
[10] S. Chen, C. Ge, Z. Tong, J. Wang, Y . Song, J. Wang, and
P. Luo. Adaptformer: Adapting vision transformers for scal-
able visual recognition. NeurIPS, 2022. 1, 2, 4, 5, 12
[11] X. Chen, S. Xie, and K. He. An empirical study of training</x:v>
      </x:c>
      <x:c r="M162" s="19" t="str">
        <x:v>该段为无关内容、泛泛提及或参考文献片段，不能作为回答证据。</x:v>
      </x:c>
      <x:c r="N162" s="13" t="str">
        <x:v>http://arxiv.org/abs/2303.08566v2</x:v>
      </x:c>
    </x:row>
    <x:row r="163" ht="58" customHeight="1">
      <x:c r="A163" s="13" t="str">
        <x:v>csq006-c015</x:v>
      </x:c>
      <x:c r="B163" s="13" t="str">
        <x:v>csq006</x:v>
      </x:c>
      <x:c r="C163" s="21" t="n">
        <x:v>15</x:v>
      </x:c>
      <x:c r="D163" s="20" t="str">
        <x:v>2</x:v>
      </x:c>
      <x:c r="E163" s="20" t="str"/>
      <x:c r="F163" s="20" t="str">
        <x:f>IF(E163="",D163,E163)</x:f>
        <x:v>2</x:v>
      </x:c>
      <x:c r="G163" s="13" t="str">
        <x:v>PEFT-Bench: A Parameter-Efficient Fine-Tuning Methods Benchmark</x:v>
      </x:c>
      <x:c r="H163" s="13" t="n">
        <x:v>8</x:v>
      </x:c>
      <x:c r="I163" s="22" t="n">
        <x:v>0.01639344262295082</x:v>
      </x:c>
      <x:c r="J163" s="13" t="n">
        <x:v>1</x:v>
      </x:c>
      <x:c r="K163" s="19" t="str">
        <x:v>What are the main parameter-efficient fine-tuning methods, and how do they reduce trainable parameters while preserving downstream performance?</x:v>
      </x:c>
      <x:c r="L163" s="19" t="str">
        <x:v>includes 27 datasets from various NLP problems
and domains, implements support for off-the-shelf
PEFT methods, simplifies the evaluation of new
custom PEFT methods, and finally, introduces 7
PEFT methods as ready-to-use state-of-the-art base-
lines. We also propose the PSCP metric to properly
incorporate efficiency factors like parameters, infer-
ence time, and memory usage into the evaluation.
In our comparison, we show that performance
on downstream tasks should not be the only con-
dition when evaluating PEFT methods, and some-
times, more efficient PEFT methods, like BitFit and
LNTuning, can compensate for the performance
with their efficiency. Additionally, we found that
soft prompt-based methods are generally harder to
train and require extensive hyperparameter tuning.
We view PEFT-Bench as a long-term, evolving
initiative that will be continuously updated with</x:v>
      </x:c>
      <x:c r="M163" s="19" t="str">
        <x:v>该段包含可直接回答问题的方法、指标、比较或研究发现。</x:v>
      </x:c>
      <x:c r="N163" s="13" t="str">
        <x:v>http://arxiv.org/abs/2511.21285v3</x:v>
      </x:c>
    </x:row>
    <x:row r="164" ht="58" customHeight="1">
      <x:c r="A164" s="13" t="str">
        <x:v>csq006-c016</x:v>
      </x:c>
      <x:c r="B164" s="13" t="str">
        <x:v>csq006</x:v>
      </x:c>
      <x:c r="C164" s="21" t="n">
        <x:v>16</x:v>
      </x:c>
      <x:c r="D164" s="20" t="str">
        <x:v>2</x:v>
      </x:c>
      <x:c r="E164" s="20" t="str"/>
      <x:c r="F164" s="20" t="str">
        <x:f>IF(E164="",D164,E164)</x:f>
        <x:v>2</x:v>
      </x:c>
      <x:c r="G164" s="13" t="str">
        <x:v>Adaptive parameter-efficient fine-tuning via Hessian-informed subset selection</x:v>
      </x:c>
      <x:c r="H164" s="13" t="n">
        <x:v>0</x:v>
      </x:c>
      <x:c r="I164" s="22" t="n">
        <x:v>0.01639344262295082</x:v>
      </x:c>
      <x:c r="J164" s="13" t="n">
        <x:v>1</x:v>
      </x:c>
      <x:c r="K164" s="19" t="str">
        <x:v>What are the main parameter-efficient fine-tuning methods, and how do they reduce trainable parameters while preserving downstream performance?</x:v>
      </x:c>
      <x:c r="L164" s="19" t="str">
        <x:v>model (e.g. 0.1%) and freeze the majority of parameters. The second class of methods is known as
parameter-efficient fine-tuning (PEFT), including examples such as LoRA [8], prompt tuning [9],
linear probing (or last-layer tuning), LayerNorm tuning [24], and BitFit [22]. In contrast to full-model
fine-tuning (FMT), PEFT enjoys ≈ 50% speedup and significantly reduced memory cost, e.g. LoRA
uses 5× less memory than FMT on LLAMA2-7B [11].
On the other hand, the performance of PEFT depends on the choice of methods, or the choice of a
subset of parameters. With a proper choice of trainable parameters, PEFT can be as performant as
FMT. For example, training RoBERTa-base on 8 datasets in the GLUE benchmark [18], FMT gets
an average accuracy 86.4%, LoRA gets 87.2%, and BitFit gets 85.2%(see Table 2 in [8]); training</x:v>
      </x:c>
      <x:c r="M164" s="19" t="str">
        <x:v>该段包含可直接回答问题的方法、指标、比较或研究发现。</x:v>
      </x:c>
      <x:c r="N164" s="13" t="str">
        <x:v>http://arxiv.org/abs/2505.12579v1</x:v>
      </x:c>
    </x:row>
    <x:row r="165" ht="58" customHeight="1">
      <x:c r="A165" s="13" t="str">
        <x:v>csq006-c017</x:v>
      </x:c>
      <x:c r="B165" s="13" t="str">
        <x:v>csq006</x:v>
      </x:c>
      <x:c r="C165" s="21" t="n">
        <x:v>17</x:v>
      </x:c>
      <x:c r="D165" s="20" t="str">
        <x:v>2</x:v>
      </x:c>
      <x:c r="E165" s="20" t="str"/>
      <x:c r="F165" s="20" t="str">
        <x:f>IF(E165="",D165,E165)</x:f>
        <x:v>2</x:v>
      </x:c>
      <x:c r="G165" s="13" t="str">
        <x:v>GRASP: GRouped Activation Shared Parameterization for Parameter-Efficient Fine-Tuning and Robust Inference of Transformers</x:v>
      </x:c>
      <x:c r="H165" s="13" t="n">
        <x:v>0</x:v>
      </x:c>
      <x:c r="I165" s="22" t="n">
        <x:v>0.016129032258064516</x:v>
      </x:c>
      <x:c r="J165" s="13" t="n">
        <x:v>1</x:v>
      </x:c>
      <x:c r="K165" s="19" t="str">
        <x:v>What are the main parameter-efficient fine-tuning methods, and how do they reduce trainable parameters while preserving downstream performance?</x:v>
      </x:c>
      <x:c r="L165" s="19" t="str">
        <x:v>and performance, they still incur a trainable parameter cost of
the order ofO(n×D), wherenis the number of layers and
Drepresents the hidden dimension (either the model or inter-
mediate size), indicating potential for further compression.
In this paper, instead of learning separate linear scale &amp; shift
parameters for each of theDcomponents, we group them into
Kclusters and assign shared parameters within each group.
For chosen linear projection layers where we apply GRASP,
we modulate the input activations to the layer using this
shared set of parameters. This grouped modulation approach
reduces the number of trainable parameters fromO(n×D)
toO(n×K), whereK≪D. Analogous to how LoRA
demonstrates that fine-tuning can be achieved by learning low-
rank (r &lt;&lt; D) updates to weight matrices, our method learns
onlyKgroup-wise scaling and shifting parameters. While</x:v>
      </x:c>
      <x:c r="M165" s="19" t="str">
        <x:v>该段包含可直接回答问题的方法、指标、比较或研究发现。</x:v>
      </x:c>
      <x:c r="N165" s="13" t="str">
        <x:v>http://arxiv.org/abs/2512.04296v2</x:v>
      </x:c>
    </x:row>
    <x:row r="166" ht="58" customHeight="1">
      <x:c r="A166" s="13" t="str">
        <x:v>csq006-c018</x:v>
      </x:c>
      <x:c r="B166" s="13" t="str">
        <x:v>csq006</x:v>
      </x:c>
      <x:c r="C166" s="21" t="n">
        <x:v>18</x:v>
      </x:c>
      <x:c r="D166" s="20" t="str">
        <x:v>2</x:v>
      </x:c>
      <x:c r="E166" s="20" t="str"/>
      <x:c r="F166" s="20" t="str">
        <x:f>IF(E166="",D166,E166)</x:f>
        <x:v>2</x:v>
      </x:c>
      <x:c r="G166" s="13" t="str">
        <x:v>PEFT-Bench: A Parameter-Efficient Fine-Tuning Methods Benchmark</x:v>
      </x:c>
      <x:c r="H166" s="13" t="n">
        <x:v>0</x:v>
      </x:c>
      <x:c r="I166" s="22" t="n">
        <x:v>0.016129032258064516</x:v>
      </x:c>
      <x:c r="J166" s="13" t="n">
        <x:v>1</x:v>
      </x:c>
      <x:c r="K166" s="19" t="str">
        <x:v>What are the main parameter-efficient fine-tuning methods, and how do they reduce trainable parameters while preserving downstream performance?</x:v>
      </x:c>
      <x:c r="L166" s="19" t="str">
        <x:v>PEFT-Bench: A Parameter-Efficient Fine-Tuning Methods Benchmark
Robert Belanec♠†, Branislav Pecher†, Ivan Srba†, Maria Bielikova†
♠ Faculty of Information Technology, Brno University of Technology, Brno, Czechia
† Kempelen Institute of Intelligent Technologies, Bratislava, Slovakia
{name.surname}@kinit.sk
Abstract
Despite the state-of-the-art performance of
Large Language Models (LLMs) achieved on
many tasks, their massive scale often leads to
high computational and environmental costs,
limiting their accessibility. Parameter-Efficient
Fine-Tuning (PEFT) methods address this chal-
lenge by reducing the number of trainable pa-
rameters while maintaining strong downstream
performance. Despite the advances in PEFT
methods, current evaluations remain limited (in
terms of evaluated models and datasets) and
difficult to reproduce. To bridge this gap, we</x:v>
      </x:c>
      <x:c r="M166" s="19" t="str">
        <x:v>该段包含可直接回答问题的方法、指标、比较或研究发现。</x:v>
      </x:c>
      <x:c r="N166" s="13" t="str">
        <x:v>http://arxiv.org/abs/2511.21285v3</x:v>
      </x:c>
    </x:row>
    <x:row r="167" ht="58" customHeight="1">
      <x:c r="A167" s="13" t="str">
        <x:v>csq006-c019</x:v>
      </x:c>
      <x:c r="B167" s="13" t="str">
        <x:v>csq006</x:v>
      </x:c>
      <x:c r="C167" s="21" t="n">
        <x:v>19</x:v>
      </x:c>
      <x:c r="D167" s="20" t="str">
        <x:v>2</x:v>
      </x:c>
      <x:c r="E167" s="20" t="str"/>
      <x:c r="F167" s="20" t="str">
        <x:f>IF(E167="",D167,E167)</x:f>
        <x:v>2</x:v>
      </x:c>
      <x:c r="G167" s="13" t="str">
        <x:v>GRASP: GRouped Activation Shared Parameterization for Parameter-Efficient Fine-Tuning and Robust Inference of Transformers</x:v>
      </x:c>
      <x:c r="H167" s="13" t="n">
        <x:v>0</x:v>
      </x:c>
      <x:c r="I167" s="22" t="n">
        <x:v>0.015873015873015872</x:v>
      </x:c>
      <x:c r="J167" s="13" t="n">
        <x:v>1</x:v>
      </x:c>
      <x:c r="K167" s="19" t="str">
        <x:v>What are the main parameter-efficient fine-tuning methods, and how do they reduce trainable parameters while preserving downstream performance?</x:v>
      </x:c>
      <x:c r="L167" s="19" t="str">
        <x:v>(PEFT) [4] methods have emerged as effective strategies for
adapting large models by updating only a small subset of
parameters. This approach significantly reduces computational
costs, storage requirements, and training time. Widely adopted
PEFT techniques such as LoRA [2] and Adapters [5] achieve
strong performance but introduce additional matrix multipli-
cations during training and typically require more parameters
than methods based on lightweight, element-wise shifting &amp;
scaling operations. Notable alternatives in this category include
BitFit [6], which fine-tunes only the bias terms, and(IA) 3
[3], which learns scaling vectors for selected layers. Although
these methods achieve a favorable balance between efficiency
and performance, they still incur a trainable parameter cost of
the order ofO(n×D), wherenis the number of layers and</x:v>
      </x:c>
      <x:c r="M167" s="19" t="str">
        <x:v>该段包含可直接回答问题的方法、指标、比较或研究发现。</x:v>
      </x:c>
      <x:c r="N167" s="13" t="str">
        <x:v>http://arxiv.org/abs/2512.04296v2</x:v>
      </x:c>
    </x:row>
    <x:row r="168" ht="58" customHeight="1">
      <x:c r="A168" s="13" t="str">
        <x:v>csq006-c020</x:v>
      </x:c>
      <x:c r="B168" s="13" t="str">
        <x:v>csq006</x:v>
      </x:c>
      <x:c r="C168" s="21" t="n">
        <x:v>20</x:v>
      </x:c>
      <x:c r="D168" s="20" t="str">
        <x:v>2</x:v>
      </x:c>
      <x:c r="E168" s="20" t="str"/>
      <x:c r="F168" s="20" t="str">
        <x:f>IF(E168="",D168,E168)</x:f>
        <x:v>2</x:v>
      </x:c>
      <x:c r="G168" s="13" t="str">
        <x:v>NeuroAda: Activating Each Neuron's Potential for Parameter-Efficient Fine-Tuning</x:v>
      </x:c>
      <x:c r="H168" s="13" t="n">
        <x:v>0</x:v>
      </x:c>
      <x:c r="I168" s="22" t="n">
        <x:v>0.015873015873015872</x:v>
      </x:c>
      <x:c r="J168" s="13" t="n">
        <x:v>1</x:v>
      </x:c>
      <x:c r="K168" s="19" t="str">
        <x:v>What are the main parameter-efficient fine-tuning methods, and how do they reduce trainable parameters while preserving downstream performance?</x:v>
      </x:c>
      <x:c r="L168" s="19" t="str">
        <x:v>NeuroAda: Activating Each Neuron’s Potential for
Parameter-Efficient Fine-Tuning
Zhi Zhang*
ILLC, University of Amsterdam
zzhang2626@gmail.com
Yixian Shen*
PCS, University of Amsterdam
y.shen@uva.nl
Congfeng Cao
ILLC, University of Amsterdam
c.cao@uva.nl
Ekaterina Shutova
ILLC, University of Amsterdam
e.shutova@uva.nl
Abstract
Existing parameter-efficient fine-tuning (PEFT)
methods primarily fall into two categories:
addition-based and selective in-situ adaptation.
The former, such as LoRA, introduce additional
modules to adapt the model to downstream
tasks, offering strong memory efficiency. How-
ever, their representational capacity is often lim-
ited, making them less suitable for fine-grained
adaptation. In contrast, the latter directly fine-
tunes a carefully chosen subset of the origi-
nal model parameters, allowing for more pre-
cise and effective adaptation, but at the cost</x:v>
      </x:c>
      <x:c r="M168" s="19" t="str">
        <x:v>该段包含可直接回答问题的方法、指标、比较或研究发现。</x:v>
      </x:c>
      <x:c r="N168" s="13" t="str">
        <x:v>http://arxiv.org/abs/2510.18940v1</x:v>
      </x:c>
    </x:row>
    <x:row r="169" ht="58" customHeight="1">
      <x:c r="A169" s="13" t="str">
        <x:v>csq006-c021</x:v>
      </x:c>
      <x:c r="B169" s="13" t="str">
        <x:v>csq006</x:v>
      </x:c>
      <x:c r="C169" s="21" t="n">
        <x:v>21</x:v>
      </x:c>
      <x:c r="D169" s="20" t="str">
        <x:v>2</x:v>
      </x:c>
      <x:c r="E169" s="20" t="str"/>
      <x:c r="F169" s="20" t="str">
        <x:f>IF(E169="",D169,E169)</x:f>
        <x:v>2</x:v>
      </x:c>
      <x:c r="G169" s="13" t="str">
        <x:v>NeuroAda: Activating Each Neuron's Potential for Parameter-Efficient Fine-Tuning</x:v>
      </x:c>
      <x:c r="H169" s="13" t="n">
        <x:v>7</x:v>
      </x:c>
      <x:c r="I169" s="22" t="n">
        <x:v>0.015873015873015872</x:v>
      </x:c>
      <x:c r="J169" s="13" t="n">
        <x:v>1</x:v>
      </x:c>
      <x:c r="K169" s="19" t="str">
        <x:v>What are the main parameter-efficient fine-tuning methods, and how do they reduce trainable parameters while preserving downstream performance?</x:v>
      </x:c>
      <x:c r="L169" s="19" t="str">
        <x:v>performance but also parameter efficiency. To
demonstrate the robustness of our method under
varying parameter budget constraints, we catego-
rize all baseline methods into two groups based
on the proportion of trainable parameters: those
with ≥0.1% and those with &lt;0.1% . Note that
these two groups differ by orders of magnitude in
the number of trainable parameters, allowing us to
assess performance across both relatively high and
extremely low parameter budgets. We then com-
pare our NeuroAda against these baselines under
comparable levels of parameter efficiency to ensure
a fair and meaningful evaluation. Specifically, we
select the top-1 and top-20 input connections per
neuron for matching the budget of the two groups,
resulting in 0.016% and 0.327% trainable parame-
ters on LLaMA-13B, respectively.
5.1 Commonsense reasoning
Following the experimental protocol of Hu et al.</x:v>
      </x:c>
      <x:c r="M169" s="19" t="str">
        <x:v>该段包含可直接回答问题的方法、指标、比较或研究发现。</x:v>
      </x:c>
      <x:c r="N169" s="13" t="str">
        <x:v>http://arxiv.org/abs/2510.18940v1</x:v>
      </x:c>
    </x:row>
    <x:row r="170" ht="58" customHeight="1">
      <x:c r="A170" s="13" t="str">
        <x:v>csq006-c022</x:v>
      </x:c>
      <x:c r="B170" s="13" t="str">
        <x:v>csq006</x:v>
      </x:c>
      <x:c r="C170" s="21" t="n">
        <x:v>22</x:v>
      </x:c>
      <x:c r="D170" s="20" t="str">
        <x:v>2</x:v>
      </x:c>
      <x:c r="E170" s="20" t="str"/>
      <x:c r="F170" s="20" t="str">
        <x:f>IF(E170="",D170,E170)</x:f>
        <x:v>2</x:v>
      </x:c>
      <x:c r="G170" s="13" t="str">
        <x:v>PiCa: Parameter-Efficient Fine-Tuning with Column Space Projection</x:v>
      </x:c>
      <x:c r="H170" s="13" t="n">
        <x:v>1</x:v>
      </x:c>
      <x:c r="I170" s="22" t="n">
        <x:v>0.015873015873015872</x:v>
      </x:c>
      <x:c r="J170" s="13" t="n">
        <x:v>1</x:v>
      </x:c>
      <x:c r="K170" s="19" t="str">
        <x:v>What are the main parameter-efficient fine-tuning methods, and how do they reduce trainable parameters while preserving downstream performance?</x:v>
      </x:c>
      <x:c r="L170" s="19" t="str">
        <x:v>SVFTR and SVFTB, across all datasets and models under smaller parameter budgets.
• Our experiments span awide range of NLP tasksincluding mathematical reasoning, common-
sense reasoning, and natural language understanding with different language models, as well as
diverse vision taskssuch as visual adaptation on 19 VTAB datasets with vision transformers
and subject-driven generation on DreamBooth with text-to-image diffusion models. We also
conductcomprehensive ablation studiesto better understand the individual components of our
method and their effects.
2 RELATEDWORK
Parameter-Efficient Fine-TuningIn adapting large foundation models for downstream tasks,
while full fine-tuning often yields superior performance on these tasks, its prohibitive computational
overheads have motivated the development of various PEFT methods that aim to achieve comparable</x:v>
      </x:c>
      <x:c r="M170" s="19" t="str">
        <x:v>该段包含可直接回答问题的方法、指标、比较或研究发现。</x:v>
      </x:c>
      <x:c r="N170" s="13" t="str">
        <x:v>http://arxiv.org/abs/2505.20211v3</x:v>
      </x:c>
    </x:row>
    <x:row r="171" ht="58" customHeight="1">
      <x:c r="A171" s="13" t="str">
        <x:v>csq006-c023</x:v>
      </x:c>
      <x:c r="B171" s="13" t="str">
        <x:v>csq006</x:v>
      </x:c>
      <x:c r="C171" s="21" t="n">
        <x:v>23</x:v>
      </x:c>
      <x:c r="D171" s="20" t="str">
        <x:v>2</x:v>
      </x:c>
      <x:c r="E171" s="20" t="str"/>
      <x:c r="F171" s="20" t="str">
        <x:f>IF(E171="",D171,E171)</x:f>
        <x:v>2</x:v>
      </x:c>
      <x:c r="G171" s="13" t="str">
        <x:v>Parameter-Efficient Fine-Tuning With Adapters</x:v>
      </x:c>
      <x:c r="H171" s="13" t="n">
        <x:v>1</x:v>
      </x:c>
      <x:c r="I171" s="22" t="n">
        <x:v>0.015625</x:v>
      </x:c>
      <x:c r="J171" s="13" t="n">
        <x:v>1</x:v>
      </x:c>
      <x:c r="K171" s="19" t="str">
        <x:v>What are the main parameter-efficient fine-tuning methods, and how do they reduce trainable parameters while preserving downstream performance?</x:v>
      </x:c>
      <x:c r="L171" s="19" t="str">
        <x:v>ability to capture more features of the data; 2) We alter the
internal structure of UniPELT by replacing the ﬁrst layer’s
LoRa with IA3 [
9]. This method aims to study reducing
the number of parameters while achieving comparable per-
formance; 3) We stack three layers of UniPELT to observe
if increasing the number of UniPELT can further enhance
performance. We ﬁnd that the ﬁrst approach can further
improve performance without signiﬁcantly increasing the
number of parameters involved in training.
Our project contributes in several key aspects:
• We test the effectiveness of the UniPELT framework
on domain-speciﬁc data and ﬁnd that UniPELT de-
livers strong performance in these specialized areas.
Moreover, this method signiﬁcantly reduces the num-
ber of parameters that need to be trained, thereby less-
ening the computational resources required.</x:v>
      </x:c>
      <x:c r="M171" s="19" t="str">
        <x:v>该段包含可直接回答问题的方法、指标、比较或研究发现。</x:v>
      </x:c>
      <x:c r="N171" s="13" t="str">
        <x:v>http://arxiv.org/abs/2405.05493v1</x:v>
      </x:c>
    </x:row>
    <x:row r="172" ht="58" customHeight="1">
      <x:c r="A172" s="13" t="str">
        <x:v>csq006-c024</x:v>
      </x:c>
      <x:c r="B172" s="13" t="str">
        <x:v>csq006</x:v>
      </x:c>
      <x:c r="C172" s="21" t="n">
        <x:v>24</x:v>
      </x:c>
      <x:c r="D172" s="20" t="str">
        <x:v>2</x:v>
      </x:c>
      <x:c r="E172" s="20" t="str"/>
      <x:c r="F172" s="20" t="str">
        <x:f>IF(E172="",D172,E172)</x:f>
        <x:v>2</x:v>
      </x:c>
      <x:c r="G172" s="13" t="str">
        <x:v>GRASP: GRouped Activation Shared Parameterization for Parameter-Efficient Fine-Tuning and Robust Inference of Transformers</x:v>
      </x:c>
      <x:c r="H172" s="13" t="n">
        <x:v>0</x:v>
      </x:c>
      <x:c r="I172" s="22" t="n">
        <x:v>0.015384615384615385</x:v>
      </x:c>
      <x:c r="J172" s="13" t="n">
        <x:v>1</x:v>
      </x:c>
      <x:c r="K172" s="19" t="str">
        <x:v>What are the main parameter-efficient fine-tuning methods, and how do they reduce trainable parameters while preserving downstream performance?</x:v>
      </x:c>
      <x:c r="L172" s="19" t="str">
        <x:v>rank (r &lt;&lt; D) updates to weight matrices, our method learns
onlyKgroup-wise scaling and shifting parameters. While
LoRA introduces approximatelyO(D×r)trainable parameters
per layer (whereris the low rank), our approach requires only
O(K)parameters per layer, offering an even more compact
and efficient alternative for PEFT.
While the primary contribution of GRASP lies in reducing
the computational overhead of PEFT by drastically lowering
the number of trainable parameters on GPUs, a deeper analysis
of the layer-wise parameter distributions reveals a consistent
emergence of structured, multimodal patterns. Motivated by
this observation, we reinterpret PEFT as the task of learning
underlying perturbation distributionsthat can be sampled to
adapt the frozen pre-trained weights to a new dataset.
Building on this perspective, we introduceStochGRASP,</x:v>
      </x:c>
      <x:c r="M172" s="19" t="str">
        <x:v>该段包含可直接回答问题的方法、指标、比较或研究发现。</x:v>
      </x:c>
      <x:c r="N172" s="13" t="str">
        <x:v>http://arxiv.org/abs/2512.04296v2</x:v>
      </x:c>
    </x:row>
    <x:row r="173" ht="58" customHeight="1">
      <x:c r="A173" s="13" t="str">
        <x:v>csq006-c025</x:v>
      </x:c>
      <x:c r="B173" s="13" t="str">
        <x:v>csq006</x:v>
      </x:c>
      <x:c r="C173" s="21" t="n">
        <x:v>25</x:v>
      </x:c>
      <x:c r="D173" s="20" t="str">
        <x:v>2</x:v>
      </x:c>
      <x:c r="E173" s="20" t="str"/>
      <x:c r="F173" s="20" t="str">
        <x:f>IF(E173="",D173,E173)</x:f>
        <x:v>2</x:v>
      </x:c>
      <x:c r="G173" s="13" t="str">
        <x:v>Light-PEFT: Lightening Parameter-Efficient Fine-Tuning via Early Pruning</x:v>
      </x:c>
      <x:c r="H173" s="13" t="n">
        <x:v>1</x:v>
      </x:c>
      <x:c r="I173" s="22" t="n">
        <x:v>0.015151515151515152</x:v>
      </x:c>
      <x:c r="J173" s="13" t="n">
        <x:v>1</x:v>
      </x:c>
      <x:c r="K173" s="19" t="str">
        <x:v>What are the main parameter-efficient fine-tuning methods, and how do they reduce trainable parameters while preserving downstream performance?</x:v>
      </x:c>
      <x:c r="L173" s="19" t="str">
        <x:v>PEFT framework outperforms other baseline meth-
ods in performance. It significantly improves train-
ing efficiency that reduces training memory usage
by 39% and accelerates training to 1.6 ×. Addi-
tionally, the Light-PEFT framework improves in-
ference efficiency that reduces inference memory
by 48% and increases inference speed to 1.6×.
2 Related Works
2.1 Parameter-Efficient Fine-Tuning
Parameter-Efficient Fine-Tuning has been proposed
to reduce the computational cost of fine-tuning en-
tire model parameters (Houlsby et al., 2019; Li and
Liang, 2021; Hu et al., 2022). Following works
aim to further improve the efficiency of PEFT.
Improvements to the PEFT module. The moti-
vation behind of this category of methods is that
previous works often insert trainable modules em-
pirically, resulting in uniform ranks for all inserted
modules that are not parameter-efficient. AdaLoRA</x:v>
      </x:c>
      <x:c r="M173" s="19" t="str">
        <x:v>该段包含可直接回答问题的方法、指标、比较或研究发现。</x:v>
      </x:c>
      <x:c r="N173" s="13" t="str">
        <x:v>http://arxiv.org/abs/2406.03792v1</x:v>
      </x:c>
    </x:row>
    <x:row r="174" ht="58" customHeight="1">
      <x:c r="A174" s="13" t="str">
        <x:v>csq006-c026</x:v>
      </x:c>
      <x:c r="B174" s="13" t="str">
        <x:v>csq006</x:v>
      </x:c>
      <x:c r="C174" s="21" t="n">
        <x:v>26</x:v>
      </x:c>
      <x:c r="D174" s="20" t="str">
        <x:v>2</x:v>
      </x:c>
      <x:c r="E174" s="20" t="str"/>
      <x:c r="F174" s="20" t="str">
        <x:f>IF(E174="",D174,E174)</x:f>
        <x:v>2</x:v>
      </x:c>
      <x:c r="G174" s="13" t="str">
        <x:v>Parameter-Efficient Fine-Tuning With Adapters</x:v>
      </x:c>
      <x:c r="H174" s="13" t="n">
        <x:v>0</x:v>
      </x:c>
      <x:c r="I174" s="22" t="n">
        <x:v>0.015151515151515152</x:v>
      </x:c>
      <x:c r="J174" s="13" t="n">
        <x:v>1</x:v>
      </x:c>
      <x:c r="K174" s="19" t="str">
        <x:v>What are the main parameter-efficient fine-tuning methods, and how do they reduce trainable parameters while preserving downstream performance?</x:v>
      </x:c>
      <x:c r="L174" s="19" t="str">
        <x:v>with minimal retraining of the base model parameters. W e
evaluate our approach using three diverse datasets: the
GLUE benchmark, a domain-speciﬁc dataset comprising
four distinct areas, and the Stanford Question Answering
Dataset 1.1 (SQuAD). Our results demonstrate that our
customized adapter-based method achieves performance
comparable to full model ﬁne-tuning, DAPT+TAPT and
UniPELT strategies while requiring fewer or equivalent
amount of parameters. This parameter efﬁciency not only
alleviates the computational burden but also expedites the
adaptation process. The study underlines the potential
of adapters in achieving high performance with signiﬁ-
cantly reduced resource consumption, suggesting a promis-
ing direction for future research in parameter-efﬁcient ﬁn e-
tuning.
1. Introduction/Background/Motivation
The existing literature indicates that continued pretrain -</x:v>
      </x:c>
      <x:c r="M174" s="19" t="str">
        <x:v>该段包含可直接回答问题的方法、指标、比较或研究发现。</x:v>
      </x:c>
      <x:c r="N174" s="13" t="str">
        <x:v>http://arxiv.org/abs/2405.05493v1</x:v>
      </x:c>
    </x:row>
    <x:row r="175" ht="58" customHeight="1">
      <x:c r="A175" s="13" t="str">
        <x:v>csq006-c027</x:v>
      </x:c>
      <x:c r="B175" s="13" t="str">
        <x:v>csq006</x:v>
      </x:c>
      <x:c r="C175" s="21" t="n">
        <x:v>27</x:v>
      </x:c>
      <x:c r="D175" s="20" t="str">
        <x:v>2</x:v>
      </x:c>
      <x:c r="E175" s="20" t="str"/>
      <x:c r="F175" s="20" t="str">
        <x:f>IF(E175="",D175,E175)</x:f>
        <x:v>2</x:v>
      </x:c>
      <x:c r="G175" s="13" t="str">
        <x:v>Parameter-Efficient Fine-Tuning Design Spaces</x:v>
      </x:c>
      <x:c r="H175" s="13" t="n">
        <x:v>4</x:v>
      </x:c>
      <x:c r="I175" s="22" t="n">
        <x:v>0.015151515151515152</x:v>
      </x:c>
      <x:c r="J175" s="13" t="n">
        <x:v>1</x:v>
      </x:c>
      <x:c r="K175" s="19" t="str">
        <x:v>What are the main parameter-efficient fine-tuning methods, and how do they reduce trainable parameters while preserving downstream performance?</x:v>
      </x:c>
      <x:c r="L175" s="19" t="str">
        <x:v>Decreasing (ni+1≤ ni): the number of trainable parameters in every layer gradually decreases (or remains the same).
Following the procedure described in Section 4.2.2, we obtain 100 models for each of these 3 new design spaces.
Table 2 reports the average performances of these 3 design spaces. The uniform allocation design pattern obtains the
highest GLUE average performance, making this relatively simple, interpretable design pattern favorable.
4The experimental results with 8 groups are shown in the Table 16 in the Appendix.
5The training time for the step is shown in the Table 18 in the Appendix.
5</x:v>
      </x:c>
      <x:c r="M175" s="19" t="str">
        <x:v>该段包含可直接回答问题的方法、指标、比较或研究发现。</x:v>
      </x:c>
      <x:c r="N175" s="13" t="str">
        <x:v>http://arxiv.org/abs/2301.01821v1</x:v>
      </x:c>
    </x:row>
    <x:row r="176" ht="58" customHeight="1">
      <x:c r="A176" s="13" t="str">
        <x:v>csq006-c028</x:v>
      </x:c>
      <x:c r="B176" s="13" t="str">
        <x:v>csq006</x:v>
      </x:c>
      <x:c r="C176" s="21" t="n">
        <x:v>28</x:v>
      </x:c>
      <x:c r="D176" s="20" t="str">
        <x:v>0</x:v>
      </x:c>
      <x:c r="E176" s="20" t="str"/>
      <x:c r="F176" s="20" t="str">
        <x:f>IF(E176="",D176,E176)</x:f>
        <x:v>0</x:v>
      </x:c>
      <x:c r="G176" s="13" t="str">
        <x:v>Light-PEFT: Lightening Parameter-Efficient Fine-Tuning via Early Pruning</x:v>
      </x:c>
      <x:c r="H176" s="13" t="n">
        <x:v>9</x:v>
      </x:c>
      <x:c r="I176" s="22" t="n">
        <x:v>0.014925373134328358</x:v>
      </x:c>
      <x:c r="J176" s="13" t="n">
        <x:v>1</x:v>
      </x:c>
      <x:c r="K176" s="19" t="str">
        <x:v>What are the main parameter-efficient fine-tuning methods, and how do they reduce trainable parameters while preserving downstream performance?</x:v>
      </x:c>
      <x:c r="L176" s="19" t="str">
        <x:v>Ning Ding, Xingtai Lv, Qiaosen Wang, Yulin Chen,
Bowen Zhou, Zhiyuan Liu, and Maosong Sun. 2023.
Sparse low-rank adaptation of pre-trained language
models. In Proceedings of the 2023 Conference on
Empirical Methods in Natural Language Processing,
pages 4133–4145, Singapore. Association for Com-
putational Linguistics.
Angela Fan, Edouard Grave, and Armand Joulin. 2020.
Reducing transformer depth on demand with struc-
tured dropout. In 8th International Conference on
Learning Representations, ICLR 2020, Addis Ababa,
Ethiopia, April 26-30, 2020. OpenReview.net.
Jonathan Frankle and Michael Carbin. 2019. The lottery
ticket hypothesis: Finding sparse, trainable neural
networks. In International Conference on Learning
Representations.
Leo Gao, Jonathan Tow, Baber Abbasi, Stella Biderman,
Sid Black, Anthony DiPofi, Charles Foster, Laurence
Golding, Jeffrey Hsu, Alain Le Noac’h, Haonan Li,</x:v>
      </x:c>
      <x:c r="M176" s="19" t="str">
        <x:v>该段为无关内容、泛泛提及或参考文献片段，不能作为回答证据。</x:v>
      </x:c>
      <x:c r="N176" s="13" t="str">
        <x:v>http://arxiv.org/abs/2406.03792v1</x:v>
      </x:c>
    </x:row>
    <x:row r="177" ht="58" customHeight="1">
      <x:c r="A177" s="13" t="str">
        <x:v>csq006-c029</x:v>
      </x:c>
      <x:c r="B177" s="13" t="str">
        <x:v>csq006</x:v>
      </x:c>
      <x:c r="C177" s="21" t="n">
        <x:v>29</x:v>
      </x:c>
      <x:c r="D177" s="20" t="str">
        <x:v>2</x:v>
      </x:c>
      <x:c r="E177" s="20" t="str"/>
      <x:c r="F177" s="20" t="str">
        <x:f>IF(E177="",D177,E177)</x:f>
        <x:v>2</x:v>
      </x:c>
      <x:c r="G177" s="13" t="str">
        <x:v>PEFT-Bench: A Parameter-Efficient Fine-Tuning Methods Benchmark</x:v>
      </x:c>
      <x:c r="H177" s="13" t="n">
        <x:v>7</x:v>
      </x:c>
      <x:c r="I177" s="22" t="n">
        <x:v>0.014925373134328358</x:v>
      </x:c>
      <x:c r="J177" s="13" t="n">
        <x:v>1</x:v>
      </x:c>
      <x:c r="K177" s="19" t="str">
        <x:v>What are the main parameter-efficient fine-tuning methods, and how do they reduce trainable parameters while preserving downstream performance?</x:v>
      </x:c>
      <x:c r="L177" s="19" t="str">
        <x:v>PEFT Method Pavg cost−1p cost−1
f cost−1m PSCP
IA3 74.7 1.0 0.97 0.77 55.62
Prompt Tuning50.0 1.0 0.86 0.69 29.49
Prefix Tuning 45.9 0.94 1.0 0.77 33.18
P-Tuning 51.7 0.9 0.86 0.73 29.26
LoRA 80.1 0.97 1.0 0.77 60.08
LNTuning 77.8 1.0 1.0 0.7760.19
BitFit 75.3 1.0 1.0 0.80 60.10
Table 3: Results of the PEFT-Bench across different
PEFT methods. LNTuning achieves a slightly better
PSCP score than LoRA as it receives a lower penalty
for the number of parameters.
Stability experiments.Finally, we also evaluate
the stability of different PEFT methods. Since sta-
bility is not directly associated with the efficiency
of PEFT methods, we decided to evaluate it sepa-
rately from the previously-described performance
and efficiency results. The results of the stability
experiments can be seen in Figure 4. We evalu-
ated the stability of individual PEFT methods on</x:v>
      </x:c>
      <x:c r="M177" s="19" t="str">
        <x:v>该段包含可直接回答问题的方法、指标、比较或研究发现。</x:v>
      </x:c>
      <x:c r="N177" s="13" t="str">
        <x:v>http://arxiv.org/abs/2511.21285v3</x:v>
      </x:c>
    </x:row>
    <x:row r="178" ht="58" customHeight="1">
      <x:c r="A178" s="13" t="str">
        <x:v>csq006-c030</x:v>
      </x:c>
      <x:c r="B178" s="13" t="str">
        <x:v>csq006</x:v>
      </x:c>
      <x:c r="C178" s="21" t="n">
        <x:v>30</x:v>
      </x:c>
      <x:c r="D178" s="20" t="str">
        <x:v>2</x:v>
      </x:c>
      <x:c r="E178" s="20" t="str"/>
      <x:c r="F178" s="20" t="str">
        <x:f>IF(E178="",D178,E178)</x:f>
        <x:v>2</x:v>
      </x:c>
      <x:c r="G178" s="13" t="str">
        <x:v>Parameter-Efficient Fine-Tuning With Adapters</x:v>
      </x:c>
      <x:c r="H178" s="13" t="n">
        <x:v>0</x:v>
      </x:c>
      <x:c r="I178" s="22" t="n">
        <x:v>0.014705882352941176</x:v>
      </x:c>
      <x:c r="J178" s="13" t="n">
        <x:v>1</x:v>
      </x:c>
      <x:c r="K178" s="19" t="str">
        <x:v>What are the main parameter-efficient fine-tuning methods, and how do they reduce trainable parameters while preserving downstream performance?</x:v>
      </x:c>
      <x:c r="L178" s="19" t="str">
        <x:v>arXiv:2405.05493v1  [cs.CL]  9 May 2024
Parameter-Efﬁcient Fine-Tuning With Adapters
Keyu Chen Y uan Pang Zi Y ang
Georgia Institute of Technology
{kchen637, ypang43, zyang705 }@gatech.edu
Abstract
In the arena of language model ﬁne-tuning, the tradi-
tional approaches, such as Domain-Adaptive Pretraining
(DAPT) and T ask-Adaptive Pretraining (TAPT), although
effective, but computational intensive. This research in-
troduces a novel adaptation method utilizing the UniPELT
framework as a base and added a PromptTuning Layer ,
which signiﬁcantly reduces the number of trainable param-
eters while maintaining competitive performance across
various benchmarks. Our method employs adapters, which
enable efﬁcient transfer of pretrained models to new tasks
with minimal retraining of the base model parameters. W e
evaluate our approach using three diverse datasets: the</x:v>
      </x:c>
      <x:c r="M178" s="19" t="str">
        <x:v>该段包含可直接回答问题的方法、指标、比较或研究发现。</x:v>
      </x:c>
      <x:c r="N178" s="13" t="str">
        <x:v>http://arxiv.org/abs/2405.05493v1</x:v>
      </x:c>
    </x:row>
    <x:row r="179" ht="58" customHeight="1">
      <x:c r="A179" s="13" t="str">
        <x:v>csq007-c001</x:v>
      </x:c>
      <x:c r="B179" s="13" t="str">
        <x:v>csq007</x:v>
      </x:c>
      <x:c r="C179" s="21" t="n">
        <x:v>1</x:v>
      </x:c>
      <x:c r="D179" s="20" t="str">
        <x:v>0</x:v>
      </x:c>
      <x:c r="E179" s="20" t="str"/>
      <x:c r="F179" s="20" t="str">
        <x:f>IF(E179="",D179,E179)</x:f>
        <x:v>0</x:v>
      </x:c>
      <x:c r="G179" s="13" t="str">
        <x:v>Towards Heterogeneous Clients with Elastic Federated Learning</x:v>
      </x:c>
      <x:c r="H179" s="13" t="n">
        <x:v>8</x:v>
      </x:c>
      <x:c r="I179" s="22" t="n">
        <x:v>0.0633657834718587</x:v>
      </x:c>
      <x:c r="J179" s="13" t="n">
        <x:v>4</x:v>
      </x:c>
      <x:c r="K179" s="19" t="str">
        <x:v>How do major federated learning optimization methods address client heterogeneity and non-IID data, and how do their assumptions differ?</x:v>
      </x:c>
      <x:c r="L179" s="19" t="str">
        <x:v>[Zhao et al., 2018] Yue Zhao, Meng Li, Liangzhen Lai,
Naveen Suda, Damon Civin, and Vikas Chandra. Fed-
erated learning with non-iid data. arXiv preprint
arXiv:1806.00582, 2018.
[Zhou and Cong, 2017] Fan Zhou and Guojing Cong. On
the convergence properties of a k-step averaging stochas-
tic gradient descent algorithm for nonconvex optimization.
arXiv preprint arXiv:1708.01012, 2017.
[Zhu et al., 2020] Wennan Zhu, Peter Kairouz, Brendan
McMahan, Haicheng Sun, and Wei Li. Federated heavy
hitters discovery with differential privacy. InInternational
Conference on Artiﬁcial Intelligence and Statistics , pages
3837–3847. PMLR, 2020.</x:v>
      </x:c>
      <x:c r="M179" s="19" t="str">
        <x:v>该段为无关内容、泛泛提及或参考文献片段，不能作为回答证据。</x:v>
      </x:c>
      <x:c r="N179" s="13" t="str">
        <x:v>http://arxiv.org/abs/2106.09433v1</x:v>
      </x:c>
    </x:row>
    <x:row r="180" ht="58" customHeight="1">
      <x:c r="A180" s="13" t="str">
        <x:v>csq007-c002</x:v>
      </x:c>
      <x:c r="B180" s="13" t="str">
        <x:v>csq007</x:v>
      </x:c>
      <x:c r="C180" s="21" t="n">
        <x:v>2</x:v>
      </x:c>
      <x:c r="D180" s="20" t="str">
        <x:v>0</x:v>
      </x:c>
      <x:c r="E180" s="20" t="str"/>
      <x:c r="F180" s="20" t="str">
        <x:f>IF(E180="",D180,E180)</x:f>
        <x:v>0</x:v>
      </x:c>
      <x:c r="G180" s="13" t="str">
        <x:v>Kuramoto-FedAvg: Using Synchronization Dynamics to Improve Federated Learning Optimization under Statistical Heterogeneity</x:v>
      </x:c>
      <x:c r="H180" s="13" t="n">
        <x:v>9</x:v>
      </x:c>
      <x:c r="I180" s="22" t="n">
        <x:v>0.06061301882197405</x:v>
      </x:c>
      <x:c r="J180" s="13" t="n">
        <x:v>4</x:v>
      </x:c>
      <x:c r="K180" s="19" t="str">
        <x:v>How do major federated learning optimization methods address client heterogeneity and non-IID data, and how do their assumptions differ?</x:v>
      </x:c>
      <x:c r="L180" s="19" t="str">
        <x:v>[11] Tian Li, Anit Kumar Sahu, Manzil Zaheer, Maziar Sanjabi, Ameet Talwalkar, and Virginia
Smith. Federated optimization in heterogeneous networks. Proceedings of Machine learning
and systems, 2:429–450, 2020.
[12] Xiaoxiao Li, Meirui Jiang, Xiaofei Zhang, Michael Kamp, and Qi Dou. Fedbn: Federated
learning on non-iid features via local batch normalization. arXiv preprint arXiv:2102.07623,
2021.
[13] MA Lopes, EM Lopes, S Yoon, JFF Mendes, and A V Goltsev. Synchronization in the random-
field kuramoto model on complex networks. Physical Review E, 94(1):012308, 2016.
[14] Brendan McMahan, Eider Moore, Daniel Ramage, Seth Hampson, and Blaise Aguera y Arcas.
Communication-efficient learning of deep networks from decentralized data. In Artificial
intelligence and statistics, pages 1273–1282. PMLR, 2017.</x:v>
      </x:c>
      <x:c r="M180" s="19" t="str">
        <x:v>该段为无关内容、泛泛提及或参考文献片段，不能作为回答证据。</x:v>
      </x:c>
      <x:c r="N180" s="13" t="str">
        <x:v>http://arxiv.org/abs/2505.19605v1</x:v>
      </x:c>
    </x:row>
    <x:row r="181" ht="58" customHeight="1">
      <x:c r="A181" s="13" t="str">
        <x:v>csq007-c003</x:v>
      </x:c>
      <x:c r="B181" s="13" t="str">
        <x:v>csq007</x:v>
      </x:c>
      <x:c r="C181" s="21" t="n">
        <x:v>3</x:v>
      </x:c>
      <x:c r="D181" s="20" t="str">
        <x:v>2</x:v>
      </x:c>
      <x:c r="E181" s="20" t="str"/>
      <x:c r="F181" s="20" t="str">
        <x:f>IF(E181="",D181,E181)</x:f>
        <x:v>2</x:v>
      </x:c>
      <x:c r="G181" s="13" t="str">
        <x:v>Learning Critically: Selective Self Distillation in Federated Learning on Non-IID Data</x:v>
      </x:c>
      <x:c r="H181" s="13" t="n">
        <x:v>0</x:v>
      </x:c>
      <x:c r="I181" s="22" t="n">
        <x:v>0.05688270973897635</x:v>
      </x:c>
      <x:c r="J181" s="13" t="n">
        <x:v>4</x:v>
      </x:c>
      <x:c r="K181" s="19" t="str">
        <x:v>How do major federated learning optimization methods address client heterogeneity and non-IID data, and how do their assumptions differ?</x:v>
      </x:c>
      <x:c r="L181" s="19" t="str">
        <x:v>JOURNAL OF LATEX CLASS FILES, VOL. 14, NO. 8, AUGUST 2015 1
Learning Critically: Selective Self Distillation in
Federated Learning on Non-IID Data
Yuting He, Yiqiang Chen, XiaoDong Y ang, Hanchao Yu, Yi-Hua Huang, and Y ang Gu
Abstract—Federated learning (FL) enables multiple clients to collaboratively train a global model while keeping local data
decentralized. Data heterogeneity (non-IID) across clients has imposed significant challenges to FL, which makes local models
re-optimize towards their own local optima and forget the global knowledge, resulting in performance degradation and convergence
slowdown. Many existing works have attempted to address the non-IID issue by adding an extra global-model-based regularizing item
to the local training but without an adaption scheme, which is not efficient enough to achieve high performance with deep learning</x:v>
      </x:c>
      <x:c r="M181" s="19" t="str">
        <x:v>该段包含可直接回答问题的方法、指标、比较或研究发现。</x:v>
      </x:c>
      <x:c r="N181" s="13" t="str">
        <x:v>http://arxiv.org/abs/2504.14694v1</x:v>
      </x:c>
    </x:row>
    <x:row r="182" ht="58" customHeight="1">
      <x:c r="A182" s="13" t="str">
        <x:v>csq007-c004</x:v>
      </x:c>
      <x:c r="B182" s="13" t="str">
        <x:v>csq007</x:v>
      </x:c>
      <x:c r="C182" s="21" t="n">
        <x:v>4</x:v>
      </x:c>
      <x:c r="D182" s="20" t="str">
        <x:v>0</x:v>
      </x:c>
      <x:c r="E182" s="20" t="str"/>
      <x:c r="F182" s="20" t="str">
        <x:f>IF(E182="",D182,E182)</x:f>
        <x:v>0</x:v>
      </x:c>
      <x:c r="G182" s="13" t="str">
        <x:v>Learning Critically: Selective Self Distillation in Federated Learning on Non-IID Data</x:v>
      </x:c>
      <x:c r="H182" s="13" t="n">
        <x:v>10</x:v>
      </x:c>
      <x:c r="I182" s="22" t="n">
        <x:v>0.04620389822595705</x:v>
      </x:c>
      <x:c r="J182" s="13" t="n">
        <x:v>3</x:v>
      </x:c>
      <x:c r="K182" s="19" t="str">
        <x:v>How do major federated learning optimization methods address client heterogeneity and non-IID data, and how do their assumptions differ?</x:v>
      </x:c>
      <x:c r="L182" s="19" t="str">
        <x:v>PMLR, 2020, pp. 5132–5143.
[8] T. Li, A. K. Sahu, M. Zaheer, M. Sanjabi, A. Talwalkar, and
V . Smith, “Federated optimization in heterogeneous networks,” in
Proceedings of Machine Learning and Systems (MLSys) , vol. 2, 2020,
pp. 429–450.
[9] Q. Li, B. He, and D. Song, “Model-contrastive federated learning,”
in Proceedings of the IEEE/CVF Conference on Computer Vision and
Pattern Recognition(CVPR), 2021, pp. 10 713–10 722.
[10] N. Shoham, T. Avidor, A. Keren, N. Israel, D. Benditkis, L. Mor-
Yosef, and I. Zeitak, “Overcoming forgetting in federated learning
on non-iid data,” arXiv preprint arXiv:1910.07796, 2019.
[11] Y. He, Y. Chen, X. Yang, Y. Zhang, and B. Zeng, “Class-wise
adaptive self distillation for heterogeneous federated learning,” in
International Workshop on Trustable, Verifiable and Auditable Federated
Learning in Conjunction with AAAI 2022 (FL-AAAI-22) , 2022.</x:v>
      </x:c>
      <x:c r="M182" s="19" t="str">
        <x:v>该段为无关内容、泛泛提及或参考文献片段，不能作为回答证据。</x:v>
      </x:c>
      <x:c r="N182" s="13" t="str">
        <x:v>http://arxiv.org/abs/2504.14694v1</x:v>
      </x:c>
    </x:row>
    <x:row r="183" ht="58" customHeight="1">
      <x:c r="A183" s="13" t="str">
        <x:v>csq007-c005</x:v>
      </x:c>
      <x:c r="B183" s="13" t="str">
        <x:v>csq007</x:v>
      </x:c>
      <x:c r="C183" s="21" t="n">
        <x:v>5</x:v>
      </x:c>
      <x:c r="D183" s="20" t="str">
        <x:v>2</x:v>
      </x:c>
      <x:c r="E183" s="20" t="str"/>
      <x:c r="F183" s="20" t="str">
        <x:f>IF(E183="",D183,E183)</x:f>
        <x:v>2</x:v>
      </x:c>
      <x:c r="G183" s="13" t="str">
        <x:v>Kuramoto-FedAvg: Using Synchronization Dynamics to Improve Federated Learning Optimization under Statistical Heterogeneity</x:v>
      </x:c>
      <x:c r="H183" s="13" t="n">
        <x:v>0</x:v>
      </x:c>
      <x:c r="I183" s="22" t="n">
        <x:v>0.04614695340501792</x:v>
      </x:c>
      <x:c r="J183" s="13" t="n">
        <x:v>3</x:v>
      </x:c>
      <x:c r="K183" s="19" t="str">
        <x:v>How do major federated learning optimization methods address client heterogeneity and non-IID data, and how do their assumptions differ?</x:v>
      </x:c>
      <x:c r="L183" s="19" t="str">
        <x:v>and accelerating federated optimization in realistic non-IID settings.
1 Introduction
In Federated Learning (FL), a global machine learning (ML) model is collaboratively trained across
multiple decentralized clients by aggregating their local updates without requiring the exchange of
individual client data[14, 27]. While FL enables privacy-preserving collaboration across various
devices (e.g., mobile phones, edge sensors), it introduces new challenges, especially when client data
is non-identically distributed (non-i.i.d). Specifically, statistical heterogeneity can lead to client drift,
where each client’s local gradient diverges from the global gradient, resulting in unstable and slow
convergence[19, 9, 28].
To address client drift introduced by data heterogeneity, several federated optimization techniques</x:v>
      </x:c>
      <x:c r="M183" s="19" t="str">
        <x:v>该段包含可直接回答问题的方法、指标、比较或研究发现。</x:v>
      </x:c>
      <x:c r="N183" s="13" t="str">
        <x:v>http://arxiv.org/abs/2505.19605v1</x:v>
      </x:c>
    </x:row>
    <x:row r="184" ht="58" customHeight="1">
      <x:c r="A184" s="13" t="str">
        <x:v>csq007-c006</x:v>
      </x:c>
      <x:c r="B184" s="13" t="str">
        <x:v>csq007</x:v>
      </x:c>
      <x:c r="C184" s="21" t="n">
        <x:v>6</x:v>
      </x:c>
      <x:c r="D184" s="20" t="str">
        <x:v>2</x:v>
      </x:c>
      <x:c r="E184" s="20" t="str"/>
      <x:c r="F184" s="20" t="str">
        <x:f>IF(E184="",D184,E184)</x:f>
        <x:v>2</x:v>
      </x:c>
      <x:c r="G184" s="13" t="str">
        <x:v>Learning Critically: Selective Self Distillation in Federated Learning on Non-IID Data</x:v>
      </x:c>
      <x:c r="H184" s="13" t="n">
        <x:v>1</x:v>
      </x:c>
      <x:c r="I184" s="22" t="n">
        <x:v>0.045799361928394185</x:v>
      </x:c>
      <x:c r="J184" s="13" t="n">
        <x:v>3</x:v>
      </x:c>
      <x:c r="K184" s="19" t="str">
        <x:v>How do major federated learning optimization methods address client heterogeneity and non-IID data, and how do their assumptions differ?</x:v>
      </x:c>
      <x:c r="L184" s="19" t="str">
        <x:v>the key properties of FedSSD.
The rest of this paper is organized as follows: First, we
review the related work in Section 2. Then, we introduce
the motivation for our work in Section 3. In Section 4,
we provide the detailed algorithm of our method FedSSD
and mathematically analyze the convergence. In Section 5,
extensive experimental results are reported and analyzed,
before concluding in Section 6.
2 R ELATED WORK
2.1 Federated Learning
Federated learning (FL) is first proposed by [2] to ad-
dress privacy concerns as a distributed machine learning
paradigm. A key challenge in federated learning is that the
data are usually non-identically distributed (non-IID) across
different clients in the real world. Recently, considerable
studies have been proposed to address the non-IID problem,
including improvements on the local training phase and</x:v>
      </x:c>
      <x:c r="M184" s="19" t="str">
        <x:v>该段包含可直接回答问题的方法、指标、比较或研究发现。</x:v>
      </x:c>
      <x:c r="N184" s="13" t="str">
        <x:v>http://arxiv.org/abs/2504.14694v1</x:v>
      </x:c>
    </x:row>
    <x:row r="185" ht="58" customHeight="1">
      <x:c r="A185" s="13" t="str">
        <x:v>csq007-c007</x:v>
      </x:c>
      <x:c r="B185" s="13" t="str">
        <x:v>csq007</x:v>
      </x:c>
      <x:c r="C185" s="21" t="n">
        <x:v>7</x:v>
      </x:c>
      <x:c r="D185" s="20" t="str">
        <x:v>2</x:v>
      </x:c>
      <x:c r="E185" s="20" t="str"/>
      <x:c r="F185" s="20" t="str">
        <x:f>IF(E185="",D185,E185)</x:f>
        <x:v>2</x:v>
      </x:c>
      <x:c r="G185" s="13" t="str">
        <x:v>Semi-Supervised Federated Learning with non-IID Data: Algorithm and System Design</x:v>
      </x:c>
      <x:c r="H185" s="13" t="n">
        <x:v>0</x:v>
      </x:c>
      <x:c r="I185" s="22" t="n">
        <x:v>0.04440346790890269</x:v>
      </x:c>
      <x:c r="J185" s="13" t="n">
        <x:v>3</x:v>
      </x:c>
      <x:c r="K185" s="19" t="str">
        <x:v>How do major federated learning optimization methods address client heterogeneity and non-IID data, and how do their assumptions differ?</x:v>
      </x:c>
      <x:c r="L185" s="19" t="str">
        <x:v>level.
Second, the non-independent identically distributed (non-
IID) of data between clients has always been a key and
challenging issue in FL. The reason is that there are too many
differences in data distribution, features, and the number of
labels between clients, which is not conducive to the con-
vergence of the global model. Currently, many efforts have
effectively alleviated the non-IID problem, such as FedBN [18]
utilized local batch normalization to alleviate the feature shift
before average aggregating local models. However, methods
such as these add additional computational and communication
overhead to the server or client.
In this paper, to address the ﬁrst issue, we propose the
Federated Mixing (FedMix) algorithm, which performs param-
arXiv:2110.13388v1  [cs.LG]  26 Oct 2021</x:v>
      </x:c>
      <x:c r="M185" s="19" t="str">
        <x:v>该段包含可直接回答问题的方法、指标、比较或研究发现。</x:v>
      </x:c>
      <x:c r="N185" s="13" t="str">
        <x:v>http://arxiv.org/abs/2110.13388v1</x:v>
      </x:c>
    </x:row>
    <x:row r="186" ht="58" customHeight="1">
      <x:c r="A186" s="13" t="str">
        <x:v>csq007-c008</x:v>
      </x:c>
      <x:c r="B186" s="13" t="str">
        <x:v>csq007</x:v>
      </x:c>
      <x:c r="C186" s="21" t="n">
        <x:v>8</x:v>
      </x:c>
      <x:c r="D186" s="20" t="str">
        <x:v>0</x:v>
      </x:c>
      <x:c r="E186" s="20" t="str"/>
      <x:c r="F186" s="20" t="str">
        <x:f>IF(E186="",D186,E186)</x:f>
        <x:v>0</x:v>
      </x:c>
      <x:c r="G186" s="13" t="str">
        <x:v>Methods with Local Steps and Random Reshuffling for Generally Smooth Non-Convex Federated Optimization</x:v>
      </x:c>
      <x:c r="H186" s="13" t="n">
        <x:v>16</x:v>
      </x:c>
      <x:c r="I186" s="22" t="n">
        <x:v>0.04353315766359245</x:v>
      </x:c>
      <x:c r="J186" s="13" t="n">
        <x:v>3</x:v>
      </x:c>
      <x:c r="K186" s="19" t="str">
        <x:v>How do major federated learning optimization methods address client heterogeneity and non-IID data, and how do their assumptions differ?</x:v>
      </x:c>
      <x:c r="L186" s="19" t="str">
        <x:v>Published as a conference paper at ICLR 2025
Quoc Tran-Dinh, Nhan H. Pham, D. Phan, and Lam M. Nguyen. Feddr - randomized douglas-
rachford splitting algorithms for nonconvex federated composite optimization. In Neural
Information Processing Systems , 2021. URL https://api.semanticscholar.org/
CorpusID:235376727.
Bohan Wang, Yushun Zhang, Huishuai Zhang, Qi Meng, Ruoyu Sun, Zhi-Ming Ma, Tie-Yan
Liu, Zhi-Quan Luo, and Wei Chen. Provable adaptivity of adam under non-uniform smooth-
ness. In Proceedings of the 30th ACM SIGKDD Conference on Knowledge Discovery and
Data Mining , KDD ’24, pp. 2960–2969, New York, NY , USA, 2024. Association for Com-
puting Machinery. ISBN 9798400704901. doi: 10.1145/3637528.3671718. URL https:
//doi.org/10.1145/3637528.3671718.
Blake Woodworth, Kumar Kshitij Patel, and Nathan Srebro. Minibatch vs local sgd for hetero-</x:v>
      </x:c>
      <x:c r="M186" s="19" t="str">
        <x:v>该段为无关内容、泛泛提及或参考文献片段，不能作为回答证据。</x:v>
      </x:c>
      <x:c r="N186" s="13" t="str">
        <x:v>http://arxiv.org/abs/2412.02781v3</x:v>
      </x:c>
    </x:row>
    <x:row r="187" ht="58" customHeight="1">
      <x:c r="A187" s="13" t="str">
        <x:v>csq007-c009</x:v>
      </x:c>
      <x:c r="B187" s="13" t="str">
        <x:v>csq007</x:v>
      </x:c>
      <x:c r="C187" s="21" t="n">
        <x:v>9</x:v>
      </x:c>
      <x:c r="D187" s="20" t="str">
        <x:v>0</x:v>
      </x:c>
      <x:c r="E187" s="20" t="str"/>
      <x:c r="F187" s="20" t="str">
        <x:f>IF(E187="",D187,E187)</x:f>
        <x:v>0</x:v>
      </x:c>
      <x:c r="G187" s="13" t="str">
        <x:v>Semi-Supervised Federated Learning with non-IID Data: Algorithm and System Design</x:v>
      </x:c>
      <x:c r="H187" s="13" t="n">
        <x:v>7</x:v>
      </x:c>
      <x:c r="I187" s="22" t="n">
        <x:v>0.03125763125763126</x:v>
      </x:c>
      <x:c r="J187" s="13" t="n">
        <x:v>2</x:v>
      </x:c>
      <x:c r="K187" s="19" t="str">
        <x:v>How do major federated learning optimization methods address client heterogeneity and non-IID data, and how do their assumptions differ?</x:v>
      </x:c>
      <x:c r="L187" s="19" t="str">
        <x:v>communication-efﬁcient federated learning from non-iid data,” IEEE
transactions on neural networks and learning systems , vol. 31, no. 9,
pp. 3400–3413, 2019.
[31] C. Briggs, Z. Fan, and P. Andras, “Federated learning with hierarchical
clustering of local updates to improve training on non-iid data,” in 2020
International Joint Conference on Neural Networks (IJCNN) . IEEE,
2020, pp. 1–9.
[32] H. Wang, Z. Kaplan, D. Niu, and B. Li, “Optimizing federated learning
on non-iid data with reinforcement learning,” in IEEE INFOCOM 2020-
IEEE Conference on Computer Communications. IEEE, 2020, pp. 1698–
1707.
[33] Y . Chen, Y . Ning, M. Slawski, and H. Rangwala, “Asynchronous online
federated learning for edge devices with non-iid data,” in 2020 IEEE
International Conference on Big Data (Big Data) . IEEE, 2020, pp.
15–24.</x:v>
      </x:c>
      <x:c r="M187" s="19" t="str">
        <x:v>该段为无关内容、泛泛提及或参考文献片段，不能作为回答证据。</x:v>
      </x:c>
      <x:c r="N187" s="13" t="str">
        <x:v>http://arxiv.org/abs/2110.13388v1</x:v>
      </x:c>
    </x:row>
    <x:row r="188" ht="58" customHeight="1">
      <x:c r="A188" s="13" t="str">
        <x:v>csq007-c010</x:v>
      </x:c>
      <x:c r="B188" s="13" t="str">
        <x:v>csq007</x:v>
      </x:c>
      <x:c r="C188" s="21" t="n">
        <x:v>10</x:v>
      </x:c>
      <x:c r="D188" s="20" t="str">
        <x:v>2</x:v>
      </x:c>
      <x:c r="E188" s="20" t="str"/>
      <x:c r="F188" s="20" t="str">
        <x:f>IF(E188="",D188,E188)</x:f>
        <x:v>2</x:v>
      </x:c>
      <x:c r="G188" s="13" t="str">
        <x:v>Towards Heterogeneous Clients with Elastic Federated Learning</x:v>
      </x:c>
      <x:c r="H188" s="13" t="n">
        <x:v>5</x:v>
      </x:c>
      <x:c r="I188" s="22" t="n">
        <x:v>0.030090497737556562</x:v>
      </x:c>
      <x:c r="J188" s="13" t="n">
        <x:v>2</x:v>
      </x:c>
      <x:c r="K188" s="19" t="str">
        <x:v>How do major federated learning optimization methods address client heterogeneity and non-IID data, and how do their assumptions differ?</x:v>
      </x:c>
      <x:c r="L188" s="19" t="str">
        <x:v>samples from exactly m classes of the dataset. We also per-
form experiments with Resnet50, where we train on EMNIST
dataset under the same setup of the federated learning envi-
ronment. Both models are trained using SGD.
Figure 1 shows the convergence comparison in terms of
gradient evaluations for the two models using different al-
gorithms. FedProx [Li et al., 2018] incorporates a proximal
term in local objective to improve the model performance on
the non-IID data, SCAFFOLD [Karimireddy et al., 2020b ]
adopts control variate to alleviate the effects of data hetero-
geneity, and APFL [Deng et al. , 2020 ] learns personalized
local models to mitigate heterogeneous data on clients.
We observe that while all methods achieve comparably fast
convergence in terms of gradient evaluations on IID data, they
suffer considerably in the non-IID setting. From left to right,</x:v>
      </x:c>
      <x:c r="M188" s="19" t="str">
        <x:v>该段包含可直接回答问题的方法、指标、比较或研究发现。</x:v>
      </x:c>
      <x:c r="N188" s="13" t="str">
        <x:v>http://arxiv.org/abs/2106.09433v1</x:v>
      </x:c>
    </x:row>
    <x:row r="189" ht="58" customHeight="1">
      <x:c r="A189" s="13" t="str">
        <x:v>csq007-c011</x:v>
      </x:c>
      <x:c r="B189" s="13" t="str">
        <x:v>csq007</x:v>
      </x:c>
      <x:c r="C189" s="21" t="n">
        <x:v>11</x:v>
      </x:c>
      <x:c r="D189" s="20" t="str">
        <x:v>2</x:v>
      </x:c>
      <x:c r="E189" s="20" t="str"/>
      <x:c r="F189" s="20" t="str">
        <x:f>IF(E189="",D189,E189)</x:f>
        <x:v>2</x:v>
      </x:c>
      <x:c r="G189" s="13" t="str">
        <x:v>Learning Critically: Selective Self Distillation in Federated Learning on Non-IID Data</x:v>
      </x:c>
      <x:c r="H189" s="13" t="n">
        <x:v>0</x:v>
      </x:c>
      <x:c r="I189" s="22" t="n">
        <x:v>0.029726775956284153</x:v>
      </x:c>
      <x:c r="J189" s="13" t="n">
        <x:v>2</x:v>
      </x:c>
      <x:c r="K189" s="19" t="str">
        <x:v>How do major federated learning optimization methods address client heterogeneity and non-IID data, and how do their assumptions differ?</x:v>
      </x:c>
      <x:c r="L189" s="19" t="str">
        <x:v>the global model to the clients which participate in the
federation. Then, these clients locally update the models
using their private data and send the optimized models
back to the server. Finally, the server aggregates the local
models to update the global model. The above procedure is
repeated until the global model converges.
One of the key challenges that distinguish Federated
Learning from traditional distributed learning is the hetero-
geneity of data distribution across the clients, also known as
non-independent and identically distributed (non-IID). The
heterogeneous data not only makes the theoretical analysis
• Y.He and H.Huang are with the Beijing Key Laboratory of Mobile Com-
puting and Pervasive Device, Institute of Computing Technology, Chinese
Academy of Sciences and the University of Chinese Academy of Sciences,</x:v>
      </x:c>
      <x:c r="M189" s="19" t="str">
        <x:v>该段包含可直接回答问题的方法、指标、比较或研究发现。</x:v>
      </x:c>
      <x:c r="N189" s="13" t="str">
        <x:v>http://arxiv.org/abs/2504.14694v1</x:v>
      </x:c>
    </x:row>
    <x:row r="190" ht="58" customHeight="1">
      <x:c r="A190" s="13" t="str">
        <x:v>csq007-c012</x:v>
      </x:c>
      <x:c r="B190" s="13" t="str">
        <x:v>csq007</x:v>
      </x:c>
      <x:c r="C190" s="21" t="n">
        <x:v>12</x:v>
      </x:c>
      <x:c r="D190" s="20" t="str">
        <x:v>2</x:v>
      </x:c>
      <x:c r="E190" s="20" t="str"/>
      <x:c r="F190" s="20" t="str">
        <x:f>IF(E190="",D190,E190)</x:f>
        <x:v>2</x:v>
      </x:c>
      <x:c r="G190" s="13" t="str">
        <x:v>FedBN: Federated Learning on Non-IID Features via Local Batch Normalization</x:v>
      </x:c>
      <x:c r="H190" s="13" t="n">
        <x:v>0</x:v>
      </x:c>
      <x:c r="I190" s="22" t="n">
        <x:v>0.02946912242686891</x:v>
      </x:c>
      <x:c r="J190" s="13" t="n">
        <x:v>2</x:v>
      </x:c>
      <x:c r="K190" s="19" t="str">
        <x:v>How do major federated learning optimization methods address client heterogeneity and non-IID data, and how do their assumptions differ?</x:v>
      </x:c>
      <x:c r="L190" s="19" t="str">
        <x:v>statistical heterogeneity among the clients (Kairouz et al., 2019; Li et al., 2020b). It has been shown
that standard federated methods such as FedAvg (McMahan et al., 2017) which are not designed
particularly taking care of non-iid data signiﬁcantly suffer from performance degradation or even
diverge if deployed over non-iid samples (Karimireddy et al., 2019; Li et al., 2018; 2020a).
Recent studies have attempted to address the problem of FL on non-iid data. Most variants of
FedAvg primarily tackle the issues of stability, client drift and heterogeneous label distribution over
∗Work was done during the transition from Yale University to Princeton University.
†Corresponding author.
1
arXiv:2102.07623v2  [cs.LG]  11 May 2021</x:v>
      </x:c>
      <x:c r="M190" s="19" t="str">
        <x:v>该段包含可直接回答问题的方法、指标、比较或研究发现。</x:v>
      </x:c>
      <x:c r="N190" s="13" t="str">
        <x:v>http://arxiv.org/abs/2102.07623v2</x:v>
      </x:c>
    </x:row>
    <x:row r="191" ht="58" customHeight="1">
      <x:c r="A191" s="13" t="str">
        <x:v>csq007-c013</x:v>
      </x:c>
      <x:c r="B191" s="13" t="str">
        <x:v>csq007</x:v>
      </x:c>
      <x:c r="C191" s="21" t="n">
        <x:v>13</x:v>
      </x:c>
      <x:c r="D191" s="20" t="str">
        <x:v>2</x:v>
      </x:c>
      <x:c r="E191" s="20" t="str"/>
      <x:c r="F191" s="20" t="str">
        <x:f>IF(E191="",D191,E191)</x:f>
        <x:v>2</x:v>
      </x:c>
      <x:c r="G191" s="13" t="str">
        <x:v>FedBN: Federated Learning on Non-IID Features via Local Batch Normalization</x:v>
      </x:c>
      <x:c r="H191" s="13" t="n">
        <x:v>2</x:v>
      </x:c>
      <x:c r="I191" s="22" t="n">
        <x:v>0.028006267136701922</x:v>
      </x:c>
      <x:c r="J191" s="13" t="n">
        <x:v>2</x:v>
      </x:c>
      <x:c r="K191" s="19" t="str">
        <x:v>How do major federated learning optimization methods address client heterogeneity and non-IID data, and how do their assumptions differ?</x:v>
      </x:c>
      <x:c r="L191" s="19" t="str">
        <x:v>Published as a conference paper at ICLR 2021
we have conducted extensive experiments on a benchmark and three real-world datasets. Compared
to classical FedAvg, as well as the state-of-the-art for non-iid data (FedProx), our novel method,
FedBN, demonstrates signiﬁcant practical improvements on the extensive experiments.
2 R ELATED WORK
Techniques for Non-IID Challenges in Federated Learning: The widely known aggregation
strategy in FL, FedAvg (McMahan et al., 2017), often suffers when data is heterogeneous over local
client. Empirical work addressing non-iid issues, mainly focus on label distribution skew, where
a non-iid dataset is formed by partitioning a “ﬂat” existing dataset based on the labels. FedProx
(Li et al., 2020b), a recent framework tackled the heterogeneity by allowing partial information</x:v>
      </x:c>
      <x:c r="M191" s="19" t="str">
        <x:v>该段包含可直接回答问题的方法、指标、比较或研究发现。</x:v>
      </x:c>
      <x:c r="N191" s="13" t="str">
        <x:v>http://arxiv.org/abs/2102.07623v2</x:v>
      </x:c>
    </x:row>
    <x:row r="192" ht="58" customHeight="1">
      <x:c r="A192" s="13" t="str">
        <x:v>csq007-c014</x:v>
      </x:c>
      <x:c r="B192" s="13" t="str">
        <x:v>csq007</x:v>
      </x:c>
      <x:c r="C192" s="21" t="n">
        <x:v>14</x:v>
      </x:c>
      <x:c r="D192" s="20" t="str">
        <x:v>2</x:v>
      </x:c>
      <x:c r="E192" s="20" t="str"/>
      <x:c r="F192" s="20" t="str">
        <x:f>IF(E192="",D192,E192)</x:f>
        <x:v>2</x:v>
      </x:c>
      <x:c r="G192" s="13" t="str">
        <x:v>Towards Heterogeneous Clients with Elastic Federated Learning</x:v>
      </x:c>
      <x:c r="H192" s="13" t="n">
        <x:v>5</x:v>
      </x:c>
      <x:c r="I192" s="22" t="n">
        <x:v>0.01639344262295082</x:v>
      </x:c>
      <x:c r="J192" s="13" t="n">
        <x:v>1</x:v>
      </x:c>
      <x:c r="K192" s="19" t="str">
        <x:v>How do major federated learning optimization methods address client heterogeneity and non-IID data, and how do their assumptions differ?</x:v>
      </x:c>
      <x:c r="L192" s="19" t="str">
        <x:v>suffer considerably in the non-IID setting. From left to right,
as data becomes more non-IID, convergence becomes worse
for FedProx, and it can diverge in some cases. SCAFFOLD
and APFL exhibit its ability in alleviating the data hetero-
geneity, but are not stable during training. As this trend can
be observed also for Resnet50 on EMNIST case, it can be
concluded that the performance loss that is originated from
the non-IID data is not unique to some functions.
Aiming at better illustrating the effectiveness of the pro-
posed algorithm, we further evaluate and compare EFL with
the state-of-the-art algorithms, including FedGATE[Haddad-
pour et al. , 2021 ], VRL-SGD [Liang et al. , 2019 ], APFL
[Deng et al. , 2020 ] and FedAMP [Huang et al. , 2021 ] on
MNIST, CIFAR100, Sentiment140, and Shakespeare dataset.
The performance of all the methods is evaluated by the best</x:v>
      </x:c>
      <x:c r="M192" s="19" t="str">
        <x:v>该段包含可直接回答问题的方法、指标、比较或研究发现。</x:v>
      </x:c>
      <x:c r="N192" s="13" t="str">
        <x:v>http://arxiv.org/abs/2106.09433v1</x:v>
      </x:c>
    </x:row>
    <x:row r="193" ht="58" customHeight="1">
      <x:c r="A193" s="13" t="str">
        <x:v>csq007-c015</x:v>
      </x:c>
      <x:c r="B193" s="13" t="str">
        <x:v>csq007</x:v>
      </x:c>
      <x:c r="C193" s="21" t="n">
        <x:v>15</x:v>
      </x:c>
      <x:c r="D193" s="20" t="str">
        <x:v>2</x:v>
      </x:c>
      <x:c r="E193" s="20" t="str"/>
      <x:c r="F193" s="20" t="str">
        <x:f>IF(E193="",D193,E193)</x:f>
        <x:v>2</x:v>
      </x:c>
      <x:c r="G193" s="13" t="str">
        <x:v>Methods with Local Steps and Random Reshuffling for Generally Smooth Non-Convex Federated Optimization</x:v>
      </x:c>
      <x:c r="H193" s="13" t="n">
        <x:v>9</x:v>
      </x:c>
      <x:c r="I193" s="22" t="n">
        <x:v>0.01639344262295082</x:v>
      </x:c>
      <x:c r="J193" s="13" t="n">
        <x:v>1</x:v>
      </x:c>
      <x:c r="K193" s="19" t="str">
        <x:v>How do major federated learning optimization methods address client heterogeneity and non-IID data, and how do their assumptions differ?</x:v>
      </x:c>
      <x:c r="L193" s="19" t="str">
        <x:v>under the generalized smoothness assumption, as well as methods incorporating incomplete local
epochs. Additionally, investigating local methods with client drift reduction mechanisms to address
the effects of heterogeneity, along with potentially parameter-free approaches, represents a promis-
ing direction.
10</x:v>
      </x:c>
      <x:c r="M193" s="19" t="str">
        <x:v>该段包含可直接回答问题的方法、指标、比较或研究发现。</x:v>
      </x:c>
      <x:c r="N193" s="13" t="str">
        <x:v>http://arxiv.org/abs/2412.02781v3</x:v>
      </x:c>
    </x:row>
    <x:row r="194" ht="58" customHeight="1">
      <x:c r="A194" s="13" t="str">
        <x:v>csq007-c016</x:v>
      </x:c>
      <x:c r="B194" s="13" t="str">
        <x:v>csq007</x:v>
      </x:c>
      <x:c r="C194" s="21" t="n">
        <x:v>16</x:v>
      </x:c>
      <x:c r="D194" s="20" t="str">
        <x:v>2</x:v>
      </x:c>
      <x:c r="E194" s="20" t="str"/>
      <x:c r="F194" s="20" t="str">
        <x:f>IF(E194="",D194,E194)</x:f>
        <x:v>2</x:v>
      </x:c>
      <x:c r="G194" s="13" t="str">
        <x:v>Adaptive Dual-Mode Distillation with Incentive Schemes for Scalable, Heterogeneous Federated Learning on Non-IID Data</x:v>
      </x:c>
      <x:c r="H194" s="13" t="n">
        <x:v>18</x:v>
      </x:c>
      <x:c r="I194" s="22" t="n">
        <x:v>0.016129032258064516</x:v>
      </x:c>
      <x:c r="J194" s="13" t="n">
        <x:v>1</x:v>
      </x:c>
      <x:c r="K194" s="19" t="str">
        <x:v>How do major federated learning optimization methods address client heterogeneity and non-IID data, and how do their assumptions differ?</x:v>
      </x:c>
      <x:c r="L194" s="19" t="str">
        <x:v>cation cost.
VI. Conclusion
This research addressed three of the most fundamental chal-
lenges in federated learning (FL): statistical heterogeneity,
full model heterogeneity, and the lack of effective incentive
mechanisms for client participation. To this end, we proposed
three complementary methodologies: DL-SH, DL-MH, and
I-DL-MH, each tackling a core limitation of existing FL
paradigms.
First, DL-SH introduced a confidence-matrix–based ap-
proach using binary classifiers on unlabeled public data to
effectively mitigate statistical heterogeneity. This design not
only improved robustness against non-IID data distributions
but also incorporated one-shot communication to reduce both
computation and communication costs, enabling deployment
on resource-constrained devices. Empirical results demon-
strated up to a 153
Second, DL-MH extended this idea to enable fully hetero-</x:v>
      </x:c>
      <x:c r="M194" s="19" t="str">
        <x:v>该段包含可直接回答问题的方法、指标、比较或研究发现。</x:v>
      </x:c>
      <x:c r="N194" s="13" t="str">
        <x:v>http://arxiv.org/abs/2509.22507v1</x:v>
      </x:c>
    </x:row>
    <x:row r="195" ht="58" customHeight="1">
      <x:c r="A195" s="13" t="str">
        <x:v>csq007-c017</x:v>
      </x:c>
      <x:c r="B195" s="13" t="str">
        <x:v>csq007</x:v>
      </x:c>
      <x:c r="C195" s="21" t="n">
        <x:v>17</x:v>
      </x:c>
      <x:c r="D195" s="20" t="str">
        <x:v>2</x:v>
      </x:c>
      <x:c r="E195" s="20" t="str"/>
      <x:c r="F195" s="20" t="str">
        <x:f>IF(E195="",D195,E195)</x:f>
        <x:v>2</x:v>
      </x:c>
      <x:c r="G195" s="13" t="str">
        <x:v>FedBN: Federated Learning on Non-IID Features via Local Batch Normalization</x:v>
      </x:c>
      <x:c r="H195" s="13" t="n">
        <x:v>6</x:v>
      </x:c>
      <x:c r="I195" s="22" t="n">
        <x:v>0.016129032258064516</x:v>
      </x:c>
      <x:c r="J195" s="13" t="n">
        <x:v>1</x:v>
      </x:c>
      <x:c r="K195" s="19" t="str">
        <x:v>How do major federated learning optimization methods address client heterogeneity and non-IID data, and how do their assumptions differ?</x:v>
      </x:c>
      <x:c r="L195" s="19" t="str">
        <x:v>Published as a conference paper at ICLR 2021
MNISTSVHN USPS SynthDigits MNIST-M
Figure 3: Convergence of the training loss of FedBN and FedAvg on the digits classiﬁcation datasets.
FedBN exhibits faster and more robust convergence.
(a) (c)
(b)
Figure 4: Analytical experimental results on: (a) Analysis on different local updating epochs.
FedBN consistently outperforms FedAvg in testing accuracy. (b) Model performance over vary-
ing dataset size on local clients. (c) Testing accuracy on different levels of heterogeneity.
and more stable loss curves during learning. These experimental observations show consensus with
what given by Corollary 4.6. In addition, we present a more comprehensive comparison with dif-
ferent local update epochs E on convergence rate of FedBN and FedAvg (see Appendix E.1). The
results show similar patterns as in Fig 3.</x:v>
      </x:c>
      <x:c r="M195" s="19" t="str">
        <x:v>该段包含可直接回答问题的方法、指标、比较或研究发现。</x:v>
      </x:c>
      <x:c r="N195" s="13" t="str">
        <x:v>http://arxiv.org/abs/2102.07623v2</x:v>
      </x:c>
    </x:row>
    <x:row r="196" ht="58" customHeight="1">
      <x:c r="A196" s="13" t="str">
        <x:v>csq007-c018</x:v>
      </x:c>
      <x:c r="B196" s="13" t="str">
        <x:v>csq007</x:v>
      </x:c>
      <x:c r="C196" s="21" t="n">
        <x:v>18</x:v>
      </x:c>
      <x:c r="D196" s="20" t="str">
        <x:v>2</x:v>
      </x:c>
      <x:c r="E196" s="20" t="str"/>
      <x:c r="F196" s="20" t="str">
        <x:f>IF(E196="",D196,E196)</x:f>
        <x:v>2</x:v>
      </x:c>
      <x:c r="G196" s="13" t="str">
        <x:v>Kuramoto-FedAvg: Using Synchronization Dynamics to Improve Federated Learning Optimization under Statistical Heterogeneity</x:v>
      </x:c>
      <x:c r="H196" s="13" t="n">
        <x:v>6</x:v>
      </x:c>
      <x:c r="I196" s="22" t="n">
        <x:v>0.015873015873015872</x:v>
      </x:c>
      <x:c r="J196" s="13" t="n">
        <x:v>1</x:v>
      </x:c>
      <x:c r="K196" s="19" t="str">
        <x:v>How do major federated learning optimization methods address client heterogeneity and non-IID data, and how do their assumptions differ?</x:v>
      </x:c>
      <x:c r="L196" s="19" t="str">
        <x:v>convergence behavior.
Figure 1: Comparison of Kuramoto-FedAvg with standard FedAvg and SCAFFOLD under varying
levels of statistical heterogeneity (controlled by the number of data shards per client, s ∈ {3, 5, 10}.
A lower variance indicates better synchronization among local client models. Across all benchmark
datasets, Kuramoto-FedAvg converges faster and consistently maintains lower variance throughout
training.
Across MNIST and FMNIST, a standard CNN model optimized with Kuramoto-FedAvg rapidly
achieves client synchronization compared to FedAvg and SCAFFOLD, particularly under extreme
data heterogeneity (λ = 3). Kuramoto-FedAvg reaches stable variance levels approximately 20 to
40 rounds earlier than both SCAFFOLD and FedAvg, demonstrating substantial improvements in
convergence speed and stability. Under moderate heterogeneity ( λ = 5) and near-IID conditions
7</x:v>
      </x:c>
      <x:c r="M196" s="19" t="str">
        <x:v>该段包含可直接回答问题的方法、指标、比较或研究发现。</x:v>
      </x:c>
      <x:c r="N196" s="13" t="str">
        <x:v>http://arxiv.org/abs/2505.19605v1</x:v>
      </x:c>
    </x:row>
    <x:row r="197" ht="58" customHeight="1">
      <x:c r="A197" s="13" t="str">
        <x:v>csq007-c019</x:v>
      </x:c>
      <x:c r="B197" s="13" t="str">
        <x:v>csq007</x:v>
      </x:c>
      <x:c r="C197" s="21" t="n">
        <x:v>19</x:v>
      </x:c>
      <x:c r="D197" s="20" t="str">
        <x:v>0</x:v>
      </x:c>
      <x:c r="E197" s="20" t="str"/>
      <x:c r="F197" s="20" t="str">
        <x:f>IF(E197="",D197,E197)</x:f>
        <x:v>0</x:v>
      </x:c>
      <x:c r="G197" s="13" t="str">
        <x:v>Methods with Local Steps and Random Reshuffling for Generally Smooth Non-Convex Federated Optimization</x:v>
      </x:c>
      <x:c r="H197" s="13" t="n">
        <x:v>13</x:v>
      </x:c>
      <x:c r="I197" s="22" t="n">
        <x:v>0.015873015873015872</x:v>
      </x:c>
      <x:c r="J197" s="13" t="n">
        <x:v>1</x:v>
      </x:c>
      <x:c r="K197" s="19" t="str">
        <x:v>How do major federated learning optimization methods address client heterogeneity and non-IID data, and how do their assumptions differ?</x:v>
      </x:c>
      <x:c r="L197" s="19" t="str">
        <x:v>Associates Inc.
Haochuan Li, Alexander Rakhlin, and Ali Jadbabaie. Convergence of adam under relaxed assump-
tions. In Proceedings of the 37th International Conference on Neural Information Processing
Systems, NIPS ’23, Red Hook, NY , USA, 2024b. Curran Associates Inc.
Xiang Li, Kaixuan Huang, Wenhao Yang, Shusen Wang, and Zhihua Zhang. On the convergence of
fedavg on non-iid data. ArXiv, abs/1907.02189, 2019.
14</x:v>
      </x:c>
      <x:c r="M197" s="19" t="str">
        <x:v>该段为无关内容、泛泛提及或参考文献片段，不能作为回答证据。</x:v>
      </x:c>
      <x:c r="N197" s="13" t="str">
        <x:v>http://arxiv.org/abs/2412.02781v3</x:v>
      </x:c>
    </x:row>
    <x:row r="198" ht="58" customHeight="1">
      <x:c r="A198" s="13" t="str">
        <x:v>csq007-c020</x:v>
      </x:c>
      <x:c r="B198" s="13" t="str">
        <x:v>csq007</x:v>
      </x:c>
      <x:c r="C198" s="21" t="n">
        <x:v>20</x:v>
      </x:c>
      <x:c r="D198" s="20" t="str">
        <x:v>2</x:v>
      </x:c>
      <x:c r="E198" s="20" t="str"/>
      <x:c r="F198" s="20" t="str">
        <x:f>IF(E198="",D198,E198)</x:f>
        <x:v>2</x:v>
      </x:c>
      <x:c r="G198" s="13" t="str">
        <x:v>Towards Heterogeneous Clients with Elastic Federated Learning</x:v>
      </x:c>
      <x:c r="H198" s="13" t="n">
        <x:v>1</x:v>
      </x:c>
      <x:c r="I198" s="22" t="n">
        <x:v>0.015625</x:v>
      </x:c>
      <x:c r="J198" s="13" t="n">
        <x:v>1</x:v>
      </x:c>
      <x:c r="K198" s="19" t="str">
        <x:v>How do major federated learning optimization methods address client heterogeneity and non-IID data, and how do their assumptions differ?</x:v>
      </x:c>
      <x:c r="L198" s="19" t="str">
        <x:v>[Reisizadeh et al., 2020; Dai et al., 2019; Basu et al., 2019;
Li et al., 2020b]. Several works develop algorithms for the
homogeneous setting, where the data samples of all users are
sampled from the same probability distribution [Stich, 2018;
Wang and Joshi, 2018; Zhou and Cong, 2017; Lin et al. ,
2018]. More related to our paper, there are several works
that study statistical heterogeneity of users’ data samples in
FL [Zhao et al. , 2018; Sahu et al. , 2018; Karimireddy et
al., 2020b; Haddadpour and Mahdavi, 2019; Li et al., 2019;
Khaled et al., 2020], but the solutions are not optimal as they
either violate privacy requirements or increase the communi-
cation burden.
Lifelong Learning The problem is deﬁned as learning sep-
arate tasks sequentially using a single model without forget-
ting the previously learned tasks. In this context, several pop-</x:v>
      </x:c>
      <x:c r="M198" s="19" t="str">
        <x:v>该段包含可直接回答问题的方法、指标、比较或研究发现。</x:v>
      </x:c>
      <x:c r="N198" s="13" t="str">
        <x:v>http://arxiv.org/abs/2106.09433v1</x:v>
      </x:c>
    </x:row>
    <x:row r="199" ht="58" customHeight="1">
      <x:c r="A199" s="13" t="str">
        <x:v>csq007-c021</x:v>
      </x:c>
      <x:c r="B199" s="13" t="str">
        <x:v>csq007</x:v>
      </x:c>
      <x:c r="C199" s="21" t="n">
        <x:v>21</x:v>
      </x:c>
      <x:c r="D199" s="20" t="str">
        <x:v>2</x:v>
      </x:c>
      <x:c r="E199" s="20" t="str"/>
      <x:c r="F199" s="20" t="str">
        <x:f>IF(E199="",D199,E199)</x:f>
        <x:v>2</x:v>
      </x:c>
      <x:c r="G199" s="13" t="str">
        <x:v>Methods with Local Steps and Random Reshuffling for Generally Smooth Non-Convex Federated Optimization</x:v>
      </x:c>
      <x:c r="H199" s="13" t="n">
        <x:v>0</x:v>
      </x:c>
      <x:c r="I199" s="22" t="n">
        <x:v>0.015625</x:v>
      </x:c>
      <x:c r="J199" s="13" t="n">
        <x:v>1</x:v>
      </x:c>
      <x:c r="K199" s="19" t="str">
        <x:v>How do major federated learning optimization methods address client heterogeneity and non-IID data, and how do their assumptions differ?</x:v>
      </x:c>
      <x:c r="L199" s="19" t="str">
        <x:v>Published as a conference paper at ICLR 2025
METHODS WITH LOCAL STEPS AND RANDOM
RESHUFFLING FOR GENERALLY SMOOTH NON-
CONVEX FEDERATED OPTIMIZATION
Yury Demidovich∗
KAUST
Petr Ostroukhov∗
MBZUAI, MIPT
Grigory Malinovsky
KAUST
Samuel Horv´ath
MBZUAI
Martin Tak´aˇc
MBZUAI
Peter Richt´arik
KAUST
Eduard Gorbunov
MBZUAI
ABSTRACT
Non-convex Machine Learning problems typically do not adhere to the standard
smoothness assumption. Based on empirical findings, Zhang et al. (2020b) pro-
posed a more realistic generalized (L0, L1)-smoothness assumption, though it re-
mains largely unexplored. Many existing algorithms designed for standard smooth
problems need to be revised. However, in the context of Federated Learning, only
a few works address this problem but rely on additional limiting assumptions. In
this paper, we address this gap in the literature: we propose and analyze new meth-</x:v>
      </x:c>
      <x:c r="M199" s="19" t="str">
        <x:v>该段包含可直接回答问题的方法、指标、比较或研究发现。</x:v>
      </x:c>
      <x:c r="N199" s="13" t="str">
        <x:v>http://arxiv.org/abs/2412.02781v3</x:v>
      </x:c>
    </x:row>
    <x:row r="200" ht="58" customHeight="1">
      <x:c r="A200" s="13" t="str">
        <x:v>csq007-c022</x:v>
      </x:c>
      <x:c r="B200" s="13" t="str">
        <x:v>csq007</x:v>
      </x:c>
      <x:c r="C200" s="21" t="n">
        <x:v>22</x:v>
      </x:c>
      <x:c r="D200" s="20" t="str">
        <x:v>2</x:v>
      </x:c>
      <x:c r="E200" s="20" t="str"/>
      <x:c r="F200" s="20" t="str">
        <x:f>IF(E200="",D200,E200)</x:f>
        <x:v>2</x:v>
      </x:c>
      <x:c r="G200" s="13" t="str">
        <x:v>FedBN: Federated Learning on Non-IID Features via Local Batch Normalization</x:v>
      </x:c>
      <x:c r="H200" s="13" t="n">
        <x:v>5</x:v>
      </x:c>
      <x:c r="I200" s="22" t="n">
        <x:v>0.015625</x:v>
      </x:c>
      <x:c r="J200" s="13" t="n">
        <x:v>1</x:v>
      </x:c>
      <x:c r="K200" s="19" t="str">
        <x:v>How do major federated learning optimization methods address client heterogeneity and non-IID data, and how do their assumptions differ?</x:v>
      </x:c>
      <x:c r="L200" s="19" t="str">
        <x:v>(4) effects at different level of heterogeneity; (5) comparison to state of the art (FedProx (Li et al.,
2020b)), and two baselines (FedAvg and SingleSet, i.e., training an individual model within each
client). In Appendix G, we also provide empirical results for including a new client with data from
an unknown domain into the learning system.
Convergence Rate: We analyze the training loss curve of FedBN in comparison with FedAvg, as
shown in Fig. 3. The loss of FedBN goes down faster and smoother than FedAvg, indicating that
FedBN has a larger convergence rate. Moreover, compared to FedAvg, FedBN presents smoother
2This data preprocessing intends to strictly control non-related factors (e.g., imbalanced sample numbers
across clients), so that the experimental ﬁndings can more clearly reﬂect the effect of local BN. Results without
truncating are reported in Appendix E.2.</x:v>
      </x:c>
      <x:c r="M200" s="19" t="str">
        <x:v>该段包含可直接回答问题的方法、指标、比较或研究发现。</x:v>
      </x:c>
      <x:c r="N200" s="13" t="str">
        <x:v>http://arxiv.org/abs/2102.07623v2</x:v>
      </x:c>
    </x:row>
    <x:row r="201" ht="58" customHeight="1">
      <x:c r="A201" s="13" t="str">
        <x:v>csq007-c023</x:v>
      </x:c>
      <x:c r="B201" s="13" t="str">
        <x:v>csq007</x:v>
      </x:c>
      <x:c r="C201" s="21" t="n">
        <x:v>23</x:v>
      </x:c>
      <x:c r="D201" s="20" t="str">
        <x:v>2</x:v>
      </x:c>
      <x:c r="E201" s="20" t="str"/>
      <x:c r="F201" s="20" t="str">
        <x:f>IF(E201="",D201,E201)</x:f>
        <x:v>2</x:v>
      </x:c>
      <x:c r="G201" s="13" t="str">
        <x:v>Kuramoto-FedAvg: Using Synchronization Dynamics to Improve Federated Learning Optimization under Statistical Heterogeneity</x:v>
      </x:c>
      <x:c r="H201" s="13" t="n">
        <x:v>7</x:v>
      </x:c>
      <x:c r="I201" s="22" t="n">
        <x:v>0.015151515151515152</x:v>
      </x:c>
      <x:c r="J201" s="13" t="n">
        <x:v>1</x:v>
      </x:c>
      <x:c r="K201" s="19" t="str">
        <x:v>How do major federated learning optimization methods address client heterogeneity and non-IID data, and how do their assumptions differ?</x:v>
      </x:c>
      <x:c r="L201" s="19" t="str">
        <x:v>(λ = 10 ), Kuramoto-FedAvg consistently shows rapid initial synchronization, although the per-
formance gaps narrow slightly due to less severe drift. The benefits of global synchronization are
more pronounced on CIFAR-10 when employing a deeper VGGNet-based convolutional architecture.
FedAvg and SCAFFOLD struggle with high variance and unstable convergence under severe het-
erogeneity whereas Kuramoto-FedAvg achieves sustained variance reduction, halving the variance
of FedAvg within the first 25 rounds and maintaining consistently low levels thereafter. Under less
heterogeneous conditions, Kuramoto-FedAvg continues to outperform baseline methods, albeit with a
slightly smaller margin due to decreased client drift. These benefits are further reinforced in Figure 3,
which illustrates the convergence advantages of Kuramoto-FedAvg on the test accuracies at the end of</x:v>
      </x:c>
      <x:c r="M201" s="19" t="str">
        <x:v>该段包含可直接回答问题的方法、指标、比较或研究发现。</x:v>
      </x:c>
      <x:c r="N201" s="13" t="str">
        <x:v>http://arxiv.org/abs/2505.19605v1</x:v>
      </x:c>
    </x:row>
    <x:row r="202" ht="58" customHeight="1">
      <x:c r="A202" s="13" t="str">
        <x:v>csq007-c024</x:v>
      </x:c>
      <x:c r="B202" s="13" t="str">
        <x:v>csq007</x:v>
      </x:c>
      <x:c r="C202" s="21" t="n">
        <x:v>24</x:v>
      </x:c>
      <x:c r="D202" s="20" t="str">
        <x:v>2</x:v>
      </x:c>
      <x:c r="E202" s="20" t="str"/>
      <x:c r="F202" s="20" t="str">
        <x:f>IF(E202="",D202,E202)</x:f>
        <x:v>2</x:v>
      </x:c>
      <x:c r="G202" s="13" t="str">
        <x:v>Learning Critically: Selective Self Distillation in Federated Learning on Non-IID Data</x:v>
      </x:c>
      <x:c r="H202" s="13" t="n">
        <x:v>2</x:v>
      </x:c>
      <x:c r="I202" s="22" t="n">
        <x:v>0.015151515151515152</x:v>
      </x:c>
      <x:c r="J202" s="13" t="n">
        <x:v>1</x:v>
      </x:c>
      <x:c r="K202" s="19" t="str">
        <x:v>How do major federated learning optimization methods address client heterogeneity and non-IID data, and how do their assumptions differ?</x:v>
      </x:c>
      <x:c r="L202" s="19" t="str">
        <x:v>JOURNAL OF LATEX CLASS FILES, VOL. 14, NO. 8, AUGUST 2015 3
strategy to adapt to data heterogeneity, applying Bayesian
nonparametric to match and average the parameters. For
instance, instead of averaging the parameters weight-wise
without considering the meaning of each parameter, PFNM
[14] and FedMA [15] use the Beta-Bernoulli Process for
matching parameters. Specifically, FedMA is an improved
version of PFNM which extends the matching strategy from
fully connected layers to CNNs and LSTMs. Another line
of work tries to adjust the aggregation weights, IDA [16]
calculates the inverse distance to re-weight aggregation and
FedNova [12] use normalized local model updates when
averaging. These methods are orthogonal to the above
methodologies which improve in the local training phase
and can be coupled with each other.
Recently, personalized federated learning has attracted</x:v>
      </x:c>
      <x:c r="M202" s="19" t="str">
        <x:v>该段包含可直接回答问题的方法、指标、比较或研究发现。</x:v>
      </x:c>
      <x:c r="N202" s="13" t="str">
        <x:v>http://arxiv.org/abs/2504.14694v1</x:v>
      </x:c>
    </x:row>
    <x:row r="203" ht="58" customHeight="1">
      <x:c r="A203" s="13" t="str">
        <x:v>csq007-c025</x:v>
      </x:c>
      <x:c r="B203" s="13" t="str">
        <x:v>csq007</x:v>
      </x:c>
      <x:c r="C203" s="21" t="n">
        <x:v>25</x:v>
      </x:c>
      <x:c r="D203" s="20" t="str">
        <x:v>2</x:v>
      </x:c>
      <x:c r="E203" s="20" t="str"/>
      <x:c r="F203" s="20" t="str">
        <x:f>IF(E203="",D203,E203)</x:f>
        <x:v>2</x:v>
      </x:c>
      <x:c r="G203" s="13" t="str">
        <x:v>Kuramoto-FedAvg: Using Synchronization Dynamics to Improve Federated Learning Optimization under Statistical Heterogeneity</x:v>
      </x:c>
      <x:c r="H203" s="13" t="n">
        <x:v>1</x:v>
      </x:c>
      <x:c r="I203" s="22" t="n">
        <x:v>0.014925373134328358</x:v>
      </x:c>
      <x:c r="J203" s="13" t="n">
        <x:v>1</x:v>
      </x:c>
      <x:c r="K203" s="19" t="str">
        <x:v>How do major federated learning optimization methods address client heterogeneity and non-IID data, and how do their assumptions differ?</x:v>
      </x:c>
      <x:c r="L203" s="19" t="str">
        <x:v>FedAvg in heterogeneous settings. Empirically, we demonstrate the advantages of our technique on
standard FL benchmarks. Using Convolutional Neural Network (CNN) models for image classifica-
tion, we show that Kuramoto-FedAvg converges faster and achieves higher accuracy than FedAvg
or FedProx. These results support our hypothesis that synchronizing client updates can effectively
mitigate gradient diversity and accelerate convergence in FL under non-IID conditions.
In summary, our main contributions are:
• Synchronization-Based Aggregation: We propose Kuramoto-FedAvg, a novel federated
learning algorithm that addresses gradient misalignment in heterogeneous settings.
• Theoretical Convergence Analysis: We provide a theoretical analysis of Kuramoto-FedAvg,
demonstrating that the synchronization-based aggregation mechanism reduces client drift</x:v>
      </x:c>
      <x:c r="M203" s="19" t="str">
        <x:v>该段包含可直接回答问题的方法、指标、比较或研究发现。</x:v>
      </x:c>
      <x:c r="N203" s="13" t="str">
        <x:v>http://arxiv.org/abs/2505.19605v1</x:v>
      </x:c>
    </x:row>
    <x:row r="204" ht="58" customHeight="1">
      <x:c r="A204" s="13" t="str">
        <x:v>csq007-c026</x:v>
      </x:c>
      <x:c r="B204" s="13" t="str">
        <x:v>csq007</x:v>
      </x:c>
      <x:c r="C204" s="21" t="n">
        <x:v>26</x:v>
      </x:c>
      <x:c r="D204" s="20" t="str">
        <x:v>0</x:v>
      </x:c>
      <x:c r="E204" s="20" t="str"/>
      <x:c r="F204" s="20" t="str">
        <x:f>IF(E204="",D204,E204)</x:f>
        <x:v>0</x:v>
      </x:c>
      <x:c r="G204" s="13" t="str">
        <x:v>Methods with Local Steps and Random Reshuffling for Generally Smooth Non-Convex Federated Optimization</x:v>
      </x:c>
      <x:c r="H204" s="13" t="n">
        <x:v>13</x:v>
      </x:c>
      <x:c r="I204" s="22" t="n">
        <x:v>0.014925373134328358</x:v>
      </x:c>
      <x:c r="J204" s="13" t="n">
        <x:v>1</x:v>
      </x:c>
      <x:c r="K204" s="19" t="str">
        <x:v>How do major federated learning optimization methods address client heterogeneity and non-IID data, and how do their assumptions differ?</x:v>
      </x:c>
      <x:c r="L204" s="19" t="str">
        <x:v>211069380.
Ahmed Khaled, Konstantin Mishchenko, and Peter Richt ´arik. First analysis of local gd on hetero-
geneous data. ArXiv, abs/1909.04715, 2019a.
Ahmed Khaled, Konstantin Mishchenko, and Peter Richt´arik. Tighter theory for local sgd on identi-
cal and heterogeneous data. In International Conference on Artificial Intelligence and Statistics,
2019b.
Alexander Kolesnikov, Lucas Beyer, Xiaohua Zhai, Joan Puigcerver, Jessica Yung, Sylvain Gelly,
and Neil Houlsby. Big transfer (bit): General visual representation learning. In European Con-
ference on Computer Vision, 2019.
Anastasia Koloskova, Nicolas Loizou, Sadra Boreiri, Martin Jaggi, and Sebastian U. Stich. A unified
theory of decentralized sgd with changing topology and local updates. In Proceedings of the 37th
International Conference on Machine Learning, ICML’20. JMLR.org, 2020.</x:v>
      </x:c>
      <x:c r="M204" s="19" t="str">
        <x:v>该段为无关内容、泛泛提及或参考文献片段，不能作为回答证据。</x:v>
      </x:c>
      <x:c r="N204" s="13" t="str">
        <x:v>http://arxiv.org/abs/2412.02781v3</x:v>
      </x:c>
    </x:row>
    <x:row r="205" ht="58" customHeight="1">
      <x:c r="A205" s="13" t="str">
        <x:v>csq007-c027</x:v>
      </x:c>
      <x:c r="B205" s="13" t="str">
        <x:v>csq007</x:v>
      </x:c>
      <x:c r="C205" s="21" t="n">
        <x:v>27</x:v>
      </x:c>
      <x:c r="D205" s="20" t="str">
        <x:v>2</x:v>
      </x:c>
      <x:c r="E205" s="20" t="str"/>
      <x:c r="F205" s="20" t="str">
        <x:f>IF(E205="",D205,E205)</x:f>
        <x:v>2</x:v>
      </x:c>
      <x:c r="G205" s="13" t="str">
        <x:v>Adaptive Dual-Mode Distillation with Incentive Schemes for Scalable, Heterogeneous Federated Learning on Non-IID Data</x:v>
      </x:c>
      <x:c r="H205" s="13" t="n">
        <x:v>0</x:v>
      </x:c>
      <x:c r="I205" s="22" t="n">
        <x:v>0.014705882352941176</x:v>
      </x:c>
      <x:c r="J205" s="13" t="n">
        <x:v>1</x:v>
      </x:c>
      <x:c r="K205" s="19" t="str">
        <x:v>How do major federated learning optimization methods address client heterogeneity and non-IID data, and how do their assumptions differ?</x:v>
      </x:c>
      <x:c r="L205" s="19" t="str">
        <x:v>these challenges, we propose several methodologies: DL-SH, which facilitates efficient, privacy-preserving,
and communication-efficient learning in the context of statistical heterogeneity; DL-MH, designed to
manage fully heterogeneous models while tackling statistical disparities; and I-DL-MH, an incentive-
based extension of DL-MH that promotes client engagement in federated learning training by providing
incentives within this complex federated learning framework. Comprehensive experiments were carried
out to assess the performance and scalability of the proposed approaches across a range of complex
experimental settings. This involved utilizing various model architectures, such as ResNet18, DenseNet,
and ResNet8, in diverse data distributions, including IID and several non-IID scenarios, as well as multiple</x:v>
      </x:c>
      <x:c r="M205" s="19" t="str">
        <x:v>该段包含可直接回答问题的方法、指标、比较或研究发现。</x:v>
      </x:c>
      <x:c r="N205" s="13" t="str">
        <x:v>http://arxiv.org/abs/2509.22507v1</x:v>
      </x:c>
    </x:row>
    <x:row r="206" ht="58" customHeight="1">
      <x:c r="A206" s="13" t="str">
        <x:v>csq007-c028</x:v>
      </x:c>
      <x:c r="B206" s="13" t="str">
        <x:v>csq007</x:v>
      </x:c>
      <x:c r="C206" s="21" t="n">
        <x:v>28</x:v>
      </x:c>
      <x:c r="D206" s="20" t="str">
        <x:v>2</x:v>
      </x:c>
      <x:c r="E206" s="20" t="str"/>
      <x:c r="F206" s="20" t="str">
        <x:f>IF(E206="",D206,E206)</x:f>
        <x:v>2</x:v>
      </x:c>
      <x:c r="G206" s="13" t="str">
        <x:v>Semi-Supervised Federated Learning with non-IID Data: Algorithm and System Design</x:v>
      </x:c>
      <x:c r="H206" s="13" t="n">
        <x:v>0</x:v>
      </x:c>
      <x:c r="I206" s="22" t="n">
        <x:v>0.014705882352941176</x:v>
      </x:c>
      <x:c r="J206" s="13" t="n">
        <x:v>1</x:v>
      </x:c>
      <x:c r="K206" s="19" t="str">
        <x:v>How do major federated learning optimization methods address client heterogeneity and non-IID data, and how do their assumptions differ?</x:v>
      </x:c>
      <x:c r="L206" s="19" t="str">
        <x:v>Semi-Supervised Federated Learning with non-IID
Data: Algorithm and System Design
Zhe Zhang 1,2, Shiyao Ma 3, Jiangtian Nie 4, Yi Wu 1,2,*, Qiang Yan 5, Xiaoke Xu 3, Dusit Niyato 4, Fellow, IEEE
1School of Data Science and Technology, Heilongjiang University, Harbin 150080, China
2Cryptology and Network Security Laboratory of Heilongjiang University, Harbin 150080, China
3College of Information and Communication Engineering, Dalian Minzu University
4School of Computer Science and Engineering, Nanyang Technological University
5WeBank Co. Ltd., China
*1995050@hlju.edu.cn
Abstract—Federated Learning (FL) allows edge devices (or
clients) to keep data locally while simultaneously training a
shared high-quality global model. However, current research is
generally based on an assumption that the training data of local
clients have ground-truth. Furthermore, FL faces the challenge</x:v>
      </x:c>
      <x:c r="M206" s="19" t="str">
        <x:v>该段包含可直接回答问题的方法、指标、比较或研究发现。</x:v>
      </x:c>
      <x:c r="N206" s="13" t="str">
        <x:v>http://arxiv.org/abs/2110.13388v1</x:v>
      </x:c>
    </x:row>
    <x:row r="207" ht="58" customHeight="1">
      <x:c r="A207" s="13" t="str">
        <x:v>csq007-c029</x:v>
      </x:c>
      <x:c r="B207" s="13" t="str">
        <x:v>csq007</x:v>
      </x:c>
      <x:c r="C207" s="21" t="n">
        <x:v>29</x:v>
      </x:c>
      <x:c r="D207" s="20" t="str">
        <x:v>1</x:v>
      </x:c>
      <x:c r="E207" s="20" t="str"/>
      <x:c r="F207" s="20" t="str">
        <x:f>IF(E207="",D207,E207)</x:f>
        <x:v>1</x:v>
      </x:c>
      <x:c r="G207" s="13" t="str">
        <x:v>PAFedFV: Personalized and Asynchronous Federated Learning for Finger Vein Recognition</x:v>
      </x:c>
      <x:c r="H207" s="13" t="n">
        <x:v>6</x:v>
      </x:c>
      <x:c r="I207" s="22" t="n">
        <x:v>0.014492753623188406</x:v>
      </x:c>
      <x:c r="J207" s="13" t="n">
        <x:v>1</x:v>
      </x:c>
      <x:c r="K207" s="19" t="str">
        <x:v>How do major federated learning optimization methods address client heterogeneity and non-IID data, and how do their assumptions differ?</x:v>
      </x:c>
      <x:c r="L207" s="19" t="str">
        <x:v>FedAvg, (b) FedAsync (c) FedProx (d) FedFV (MobileNet), (e) FedFV (ResNet) and (f) PAFedFV .
Comparison with other methods
In conclusion, this paper is compared with four advanced
methods, FedAvg [McMahan et al., 2017], FedAsync [Xie et
al., 2020], FedProx [Yuan and Li, 2022], FedFV [Lian et al.,
2023]. The FedAvg is the most classical federated learning
method. The FedAsync explores the asynchronized federated
learning which is similar to this paper. And the FedProx is
the very standard personalized federated learning framework.
Additionally, two FedFV variants are implemented base re-
spectively on MobileNet [Howard et al., 2017] and ResNet
models for a comprehensive comparative analysis.
As demonstrated in Figure 5, PAFedFV exhibits supe-
rior performance compared to five existing methods on all
datasets, which yields 3.98, 1.47, 6.32, 3.07, and 1.32 in-</x:v>
      </x:c>
      <x:c r="M207" s="19" t="str">
        <x:v>该段提供相关背景或侧面信息，但没有直接回答问题核心。</x:v>
      </x:c>
      <x:c r="N207" s="13" t="str">
        <x:v>http://arxiv.org/abs/2404.13237v1</x:v>
      </x:c>
    </x:row>
    <x:row r="208" ht="58" customHeight="1">
      <x:c r="A208" s="13" t="str">
        <x:v>csq007-c030</x:v>
      </x:c>
      <x:c r="B208" s="13" t="str">
        <x:v>csq007</x:v>
      </x:c>
      <x:c r="C208" s="21" t="n">
        <x:v>30</x:v>
      </x:c>
      <x:c r="D208" s="20" t="str">
        <x:v>2</x:v>
      </x:c>
      <x:c r="E208" s="20" t="str"/>
      <x:c r="F208" s="20" t="str">
        <x:f>IF(E208="",D208,E208)</x:f>
        <x:v>2</x:v>
      </x:c>
      <x:c r="G208" s="13" t="str">
        <x:v>Learning Critically: Selective Self Distillation in Federated Learning on Non-IID Data</x:v>
      </x:c>
      <x:c r="H208" s="13" t="n">
        <x:v>8</x:v>
      </x:c>
      <x:c r="I208" s="22" t="n">
        <x:v>0.014492753623188406</x:v>
      </x:c>
      <x:c r="J208" s="13" t="n">
        <x:v>1</x:v>
      </x:c>
      <x:c r="K208" s="19" t="str">
        <x:v>How do major federated learning optimization methods address client heterogeneity and non-IID data, and how do their assumptions differ?</x:v>
      </x:c>
      <x:c r="L208" s="19" t="str">
        <x:v>the catastrophic forgetting during local training. The result
demonstrates that the selective self-distillation mechanism
makes local models more generalized on the global data
distribution.
5.4 Sensitivity Analysis
Effects of data heterogeneity. To evaluate the robustness
of our method under different data heterogeneity levels,
we use quantity-based #K = k and Dirichlet distribution-
based Dir(δ) strategies to partition CIFAR10 and CIFAR100.</x:v>
      </x:c>
      <x:c r="M208" s="19" t="str">
        <x:v>该段包含可直接回答问题的方法、指标、比较或研究发现。</x:v>
      </x:c>
      <x:c r="N208" s="13" t="str">
        <x:v>http://arxiv.org/abs/2504.14694v1</x:v>
      </x:c>
    </x:row>
    <x:row r="209" ht="58" customHeight="1">
      <x:c r="A209" s="13" t="str">
        <x:v>csq008-c001</x:v>
      </x:c>
      <x:c r="B209" s="13" t="str">
        <x:v>csq008</x:v>
      </x:c>
      <x:c r="C209" s="21" t="n">
        <x:v>1</x:v>
      </x:c>
      <x:c r="D209" s="20" t="str">
        <x:v>2</x:v>
      </x:c>
      <x:c r="E209" s="20" t="str"/>
      <x:c r="F209" s="20" t="str">
        <x:f>IF(E209="",D209,E209)</x:f>
        <x:v>2</x:v>
      </x:c>
      <x:c r="G209" s="13" t="str">
        <x:v>A Theoretical and Practical Framework for Evaluating Uncertainty Calibration in Object Detection</x:v>
      </x:c>
      <x:c r="H209" s="13" t="n">
        <x:v>1</x:v>
      </x:c>
      <x:c r="I209" s="22" t="n">
        <x:v>0.06239984388881913</x:v>
      </x:c>
      <x:c r="J209" s="13" t="n">
        <x:v>4</x:v>
      </x:c>
      <x:c r="K209" s="19" t="str">
        <x:v>Which metrics and benchmark protocols are used to evaluate uncertainty calibration in deep neural networks, and what failure modes do these metrics miss?</x:v>
      </x:c>
      <x:c r="L209" s="19" t="str">
        <x:v>sented in [6], where the calibration quality of various modern DNNs is evaluated on classification
problems, with distinct datasets, from computer vision and natural language processing domains.
The authors argue that despite their increased accuracy, modern DNNs suffer from significant mis-
calibration issues, which surpass those observed in ‘older’ but less accurate architectures.
The evaluation of uncertainty calibration in classification problems often relies on the widely used
Expected Calibration Error (ECE) [18]. However, limitations of this metric have been acknowledged
in relevant literature [19, 25]. On the other hand, the use of proper scoring rules [5] like the Brier
score [1] has been an increasingly common practice in recent literature regarding uncertainty cali-
bration for classification problems [21, 24, 15].</x:v>
      </x:c>
      <x:c r="M209" s="19" t="str">
        <x:v>该段包含可直接回答问题的方法、指标、比较或研究发现。</x:v>
      </x:c>
      <x:c r="N209" s="13" t="str">
        <x:v>http://arxiv.org/abs/2309.00464v2</x:v>
      </x:c>
    </x:row>
    <x:row r="210" ht="58" customHeight="1">
      <x:c r="A210" s="13" t="str">
        <x:v>csq008-c002</x:v>
      </x:c>
      <x:c r="B210" s="13" t="str">
        <x:v>csq008</x:v>
      </x:c>
      <x:c r="C210" s="21" t="n">
        <x:v>2</x:v>
      </x:c>
      <x:c r="D210" s="20" t="str">
        <x:v>2</x:v>
      </x:c>
      <x:c r="E210" s="20" t="str"/>
      <x:c r="F210" s="20" t="str">
        <x:f>IF(E210="",D210,E210)</x:f>
        <x:v>2</x:v>
      </x:c>
      <x:c r="G210" s="13" t="str">
        <x:v>Approaching Test Time Augmentation in the Context of Uncertainty Calibration for Deep Neural Networks</x:v>
      </x:c>
      <x:c r="H210" s="13" t="n">
        <x:v>5</x:v>
      </x:c>
      <x:c r="I210" s="22" t="n">
        <x:v>0.060781181348677035</x:v>
      </x:c>
      <x:c r="J210" s="13" t="n">
        <x:v>4</x:v>
      </x:c>
      <x:c r="K210" s="19" t="str">
        <x:v>Which metrics and benchmark protocols are used to evaluate uncertainty calibration in deep neural networks, and what failure modes do these metrics miss?</x:v>
      </x:c>
      <x:c r="L210" s="19" t="str">
        <x:v>multi-class version) and ECE (with 15 bins) - and also the
widely known NLL loss. Although being a proper scoring
rule (and so, built to evaluate the quality of probabilistic
predictions), the NLL loss - which is traditionally used in the
training process of DNNs - cannot be considered a metric
of calibration (or strong calibration) given our definition,
because it only considers the quality of the predictions
associated with the true class; nevertheless, given that it is
a proper scoring rule and a popular metric, it is common to
consider the NLL alongside to Brier score and ECE, when
evaluating uncertainty calibration methods [17], [24], [30].
We start our analysis of the results in Table 3 by com-
paring all the uncertainty calibration methods against the
vanilla approach. The first main observation derived in this
context is that the proposed methods ( M/V-ATTA), along</x:v>
      </x:c>
      <x:c r="M210" s="19" t="str">
        <x:v>该段包含可直接回答问题的方法、指标、比较或研究发现。</x:v>
      </x:c>
      <x:c r="N210" s="13" t="str">
        <x:v>http://arxiv.org/abs/2304.05104v2</x:v>
      </x:c>
    </x:row>
    <x:row r="211" ht="58" customHeight="1">
      <x:c r="A211" s="13" t="str">
        <x:v>csq008-c003</x:v>
      </x:c>
      <x:c r="B211" s="13" t="str">
        <x:v>csq008</x:v>
      </x:c>
      <x:c r="C211" s="21" t="n">
        <x:v>3</x:v>
      </x:c>
      <x:c r="D211" s="20" t="str">
        <x:v>2</x:v>
      </x:c>
      <x:c r="E211" s="20" t="str"/>
      <x:c r="F211" s="20" t="str">
        <x:f>IF(E211="",D211,E211)</x:f>
        <x:v>2</x:v>
      </x:c>
      <x:c r="G211" s="13" t="str">
        <x:v>A Theoretical and Practical Framework for Evaluating Uncertainty Calibration in Object Detection</x:v>
      </x:c>
      <x:c r="H211" s="13" t="n">
        <x:v>11</x:v>
      </x:c>
      <x:c r="I211" s="22" t="n">
        <x:v>0.06069665184914545</x:v>
      </x:c>
      <x:c r="J211" s="13" t="n">
        <x:v>4</x:v>
      </x:c>
      <x:c r="K211" s="19" t="str">
        <x:v>Which metrics and benchmark protocols are used to evaluate uncertainty calibration in deep neural networks, and what failure modes do these metrics miss?</x:v>
      </x:c>
      <x:c r="L211" s="19" t="str">
        <x:v>of the proposed metrics that, in contrast, were not found in D-ECE: 1) they show consistent rela-
tion to mAP evaluation under different IoU threshold conditions; 2) they show robust sensitivity to
varying proportions of representative types of detections; 3) their response under distribution-shifts
is in line with what has been observed in classification scenarios.
Since it was outside the main scope of the article, this work has some limitations regarding the
experimentation with different calibration strategies. Nonetheless, the presented evidence seems to
suggest that, under a complete formulation for the problem of uncertainty calibration, there is a
need to re-think the way calibration techniques are developed and applied, specially when consider-
ing post-hoc strategies that only act on the confidence values of existing detections.</x:v>
      </x:c>
      <x:c r="M211" s="19" t="str">
        <x:v>该段包含可直接回答问题的方法、指标、比较或研究发现。</x:v>
      </x:c>
      <x:c r="N211" s="13" t="str">
        <x:v>http://arxiv.org/abs/2309.00464v2</x:v>
      </x:c>
    </x:row>
    <x:row r="212" ht="58" customHeight="1">
      <x:c r="A212" s="13" t="str">
        <x:v>csq008-c004</x:v>
      </x:c>
      <x:c r="B212" s="13" t="str">
        <x:v>csq008</x:v>
      </x:c>
      <x:c r="C212" s="21" t="n">
        <x:v>4</x:v>
      </x:c>
      <x:c r="D212" s="20" t="str">
        <x:v>0</x:v>
      </x:c>
      <x:c r="E212" s="20" t="str"/>
      <x:c r="F212" s="20" t="str">
        <x:f>IF(E212="",D212,E212)</x:f>
        <x:v>0</x:v>
      </x:c>
      <x:c r="G212" s="13" t="str">
        <x:v>Better Uncertainty Calibration via Proper Scores for Classification and Beyond</x:v>
      </x:c>
      <x:c r="H212" s="13" t="n">
        <x:v>13</x:v>
      </x:c>
      <x:c r="I212" s="22" t="n">
        <x:v>0.04666516279419505</x:v>
      </x:c>
      <x:c r="J212" s="13" t="n">
        <x:v>3</x:v>
      </x:c>
      <x:c r="K212" s="19" t="str">
        <x:v>Which metrics and benchmark protocols are used to evaluate uncertainty calibration in deep neural networks, and what failure modes do these metrics miss?</x:v>
      </x:c>
      <x:c r="L212" s="19" t="str">
        <x:v>British Machine Vision Association, 2016.
[63] Zhang, J., Kailkhura, B., and Han, T. Y .-J. Mix-n-match: Ensemble and compositional methods for
uncertainty calibration in deep learning. In International Conference on Machine Learning, pp. 11117–
11128. PMLR, 2020.
Checklist
1. For all authors...
(a) Do the main claims made in the abstract and introduction accurately reflect the paper’s
contributions and scope? [Yes]
(b) Did you describe the limitations of your work? [Yes] We mention required conditions
for the proofs either directly or refer to Appendix D.
(c) Did you discuss any potential negative societal impacts of your work? [No] We see
positive societal impacts from improved uncertainty awareness via recalibration.
(d) Have you read the ethics review guidelines and ensured that your paper conforms to
them? [Yes]
2. If you are including theoretical results...</x:v>
      </x:c>
      <x:c r="M212" s="19" t="str">
        <x:v>该段为无关内容、泛泛提及或参考文献片段，不能作为回答证据。</x:v>
      </x:c>
      <x:c r="N212" s="13" t="str">
        <x:v>http://arxiv.org/abs/2203.07835v4</x:v>
      </x:c>
    </x:row>
    <x:row r="213" ht="58" customHeight="1">
      <x:c r="A213" s="13" t="str">
        <x:v>csq008-c005</x:v>
      </x:c>
      <x:c r="B213" s="13" t="str">
        <x:v>csq008</x:v>
      </x:c>
      <x:c r="C213" s="21" t="n">
        <x:v>5</x:v>
      </x:c>
      <x:c r="D213" s="20" t="str">
        <x:v>2</x:v>
      </x:c>
      <x:c r="E213" s="20" t="str"/>
      <x:c r="F213" s="20" t="str">
        <x:f>IF(E213="",D213,E213)</x:f>
        <x:v>2</x:v>
      </x:c>
      <x:c r="G213" s="13" t="str">
        <x:v>A Theoretical and Practical Framework for Evaluating Uncertainty Calibration in Object Detection</x:v>
      </x:c>
      <x:c r="H213" s="13" t="n">
        <x:v>6</x:v>
      </x:c>
      <x:c r="I213" s="22" t="n">
        <x:v>0.04642338900734423</x:v>
      </x:c>
      <x:c r="J213" s="13" t="n">
        <x:v>3</x:v>
      </x:c>
      <x:c r="K213" s="19" t="str">
        <x:v>Which metrics and benchmark protocols are used to evaluate uncertainty calibration in deep neural networks, and what failure modes do these metrics miss?</x:v>
      </x:c>
      <x:c r="L213" s="19" t="str">
        <x:v>isting D-ECE metric. Each subsection encapsulates one ore more pertinent scientific questions, as
summarized below.
Calibration vs. performance (Subsection 5.1): How do the uncertainty calibration metrics
behave when evaluating deep models with increasing mAP performance under distinct IoU threshold
conditions. Sensitivity tests (Subsection 5.2.): How do the metrics react to increasing proportions
of specific types of detections (e.g., FNs, high-confidence FPs, low-confidence TPs) and what specific
properties can be derived from their behaviour. Effects of distribution-shifts and calibration
strategies (Subsection 5.3): How does the introduction of distribution-shifts on the test set impact
the evaluation done with the employed metrics; how do state-of-the-art strategies - that improve un-</x:v>
      </x:c>
      <x:c r="M213" s="19" t="str">
        <x:v>该段包含可直接回答问题的方法、指标、比较或研究发现。</x:v>
      </x:c>
      <x:c r="N213" s="13" t="str">
        <x:v>http://arxiv.org/abs/2309.00464v2</x:v>
      </x:c>
    </x:row>
    <x:row r="214" ht="58" customHeight="1">
      <x:c r="A214" s="13" t="str">
        <x:v>csq008-c006</x:v>
      </x:c>
      <x:c r="B214" s="13" t="str">
        <x:v>csq008</x:v>
      </x:c>
      <x:c r="C214" s="21" t="n">
        <x:v>6</x:v>
      </x:c>
      <x:c r="D214" s="20" t="str">
        <x:v>2</x:v>
      </x:c>
      <x:c r="E214" s="20" t="str"/>
      <x:c r="F214" s="20" t="str">
        <x:f>IF(E214="",D214,E214)</x:f>
        <x:v>2</x:v>
      </x:c>
      <x:c r="G214" s="13" t="str">
        <x:v>A Theoretical and Practical Framework for Evaluating Uncertainty Calibration in Object Detection</x:v>
      </x:c>
      <x:c r="H214" s="13" t="n">
        <x:v>9</x:v>
      </x:c>
      <x:c r="I214" s="22" t="n">
        <x:v>0.042080272649063596</x:v>
      </x:c>
      <x:c r="J214" s="13" t="n">
        <x:v>3</x:v>
      </x:c>
      <x:c r="K214" s="19" t="str">
        <x:v>Which metrics and benchmark protocols are used to evaluate uncertainty calibration in deep neural networks, and what failure modes do these metrics miss?</x:v>
      </x:c>
      <x:c r="L214" s="19" t="str">
        <x:v>low-confidence TPs, as well as rewards high-confidence TPs more favorably than low-confidence FPs.
This behaviour can be advantageous since it is more consistent with a general evaluation of an object
detection model (that will obviously favour TP detections over the FP counterparts).
Finally, we compare the behaviour of the three uncertainty calibration metrics proposed in this
work (QGC, SGC, EGCE) against D-ECE. As previously referred, the D-ECE can be interpreted
through our theoretical formulation as a local calibration metric (in contrast to the proposed global
calibration metrics); therefore, as illustrated in Figure 2.a, the D-ECE has no sensibility to FNs,
while the other metrics show a significant decrease in performance when exposed to increasing pro-
portions of FNs. Furthermore, contrarily to the other metrics, the D-ECE still has small increases in</x:v>
      </x:c>
      <x:c r="M214" s="19" t="str">
        <x:v>该段包含可直接回答问题的方法、指标、比较或研究发现。</x:v>
      </x:c>
      <x:c r="N214" s="13" t="str">
        <x:v>http://arxiv.org/abs/2309.00464v2</x:v>
      </x:c>
    </x:row>
    <x:row r="215" ht="58" customHeight="1">
      <x:c r="A215" s="13" t="str">
        <x:v>csq008-c007</x:v>
      </x:c>
      <x:c r="B215" s="13" t="str">
        <x:v>csq008</x:v>
      </x:c>
      <x:c r="C215" s="21" t="n">
        <x:v>7</x:v>
      </x:c>
      <x:c r="D215" s="20" t="str">
        <x:v>1</x:v>
      </x:c>
      <x:c r="E215" s="20" t="str"/>
      <x:c r="F215" s="20" t="str">
        <x:f>IF(E215="",D215,E215)</x:f>
        <x:v>1</x:v>
      </x:c>
      <x:c r="G215" s="13" t="str">
        <x:v>Approaching Test Time Augmentation in the Context of Uncertainty Calibration for Deep Neural Networks</x:v>
      </x:c>
      <x:c r="H215" s="13" t="n">
        <x:v>1</x:v>
      </x:c>
      <x:c r="I215" s="22" t="n">
        <x:v>0.03252247488101534</x:v>
      </x:c>
      <x:c r="J215" s="13" t="n">
        <x:v>2</x:v>
      </x:c>
      <x:c r="K215" s="19" t="str">
        <x:v>Which metrics and benchmark protocols are used to evaluate uncertainty calibration in deep neural networks, and what failure modes do these metrics miss?</x:v>
      </x:c>
      <x:c r="L215" s="19" t="str">
        <x:v>described to address this problem.
Other approaches, like approximate Bayesian models
[4], [6] and some regularization techniques [19], [25], have
also been used in the context of uncertainty calibration
[24]. Nonetheless, these approaches require building new
more complex models or modifying and re-training pre-
existing ones, contrarily to the previously mentioned post-
hoc calibration methods and the proposed M/V-ATTA.
For the evaluation of uncertainty calibration, one of
the most popular metrics is the ECE [21], where the bin-
wise difference between the accuracy and the confidence
outputs of a given model is evaluated. Although intuitive,
some limitations of this metric have been identified in
relevant literature [8], [23], [33], with regard to, for example,
its intractability and dependence on the chosen binning
scheme. Furthermore, because ECE is not a proper scoring</x:v>
      </x:c>
      <x:c r="M215" s="19" t="str">
        <x:v>该段提供相关背景或侧面信息，但没有直接回答问题核心。</x:v>
      </x:c>
      <x:c r="N215" s="13" t="str">
        <x:v>http://arxiv.org/abs/2304.05104v2</x:v>
      </x:c>
    </x:row>
    <x:row r="216" ht="58" customHeight="1">
      <x:c r="A216" s="13" t="str">
        <x:v>csq008-c008</x:v>
      </x:c>
      <x:c r="B216" s="13" t="str">
        <x:v>csq008</x:v>
      </x:c>
      <x:c r="C216" s="21" t="n">
        <x:v>8</x:v>
      </x:c>
      <x:c r="D216" s="20" t="str">
        <x:v>1</x:v>
      </x:c>
      <x:c r="E216" s="20" t="str"/>
      <x:c r="F216" s="20" t="str">
        <x:f>IF(E216="",D216,E216)</x:f>
        <x:v>1</x:v>
      </x:c>
      <x:c r="G216" s="13" t="str">
        <x:v>Better Uncertainty Calibration via Proper Scores for Classification and Beyond</x:v>
      </x:c>
      <x:c r="H216" s="13" t="n">
        <x:v>0</x:v>
      </x:c>
      <x:c r="I216" s="22" t="n">
        <x:v>0.030090497737556562</x:v>
      </x:c>
      <x:c r="J216" s="13" t="n">
        <x:v>2</x:v>
      </x:c>
      <x:c r="K216" s="19" t="str">
        <x:v>Which metrics and benchmark protocols are used to evaluate uncertainty calibration in deep neural networks, and what failure modes do these metrics miss?</x:v>
      </x:c>
      <x:c r="L216" s="19" t="str">
        <x:v>20, 47]. However, Guo et al. [15] have shown that for modern neural networks, better classification
accuracy can come at the cost of systematic overconfidence in their predictions. Practitioners in
sensitive forecasting domains, such as cancer diagnostics [18], genotype-based disease prediction [26]
or climate prediction [59], require for models to not only have high predictive power but also to reliably
communicate uncertainty. This raises the need to quantify and improve the quality of predictive
uncertainty, ideally via a dedicated metric. An uncertainty-aware model should give probabilistic
predictions which represent the true likelihood of events depending on the very prediction. To quantify
the extend to which this condition is violated, calibration errors have been introduced. In general,</x:v>
      </x:c>
      <x:c r="M216" s="19" t="str">
        <x:v>该段提供相关背景或侧面信息，但没有直接回答问题核心。</x:v>
      </x:c>
      <x:c r="N216" s="13" t="str">
        <x:v>http://arxiv.org/abs/2203.07835v4</x:v>
      </x:c>
    </x:row>
    <x:row r="217" ht="58" customHeight="1">
      <x:c r="A217" s="13" t="str">
        <x:v>csq008-c009</x:v>
      </x:c>
      <x:c r="B217" s="13" t="str">
        <x:v>csq008</x:v>
      </x:c>
      <x:c r="C217" s="21" t="n">
        <x:v>9</x:v>
      </x:c>
      <x:c r="D217" s="20" t="str">
        <x:v>2</x:v>
      </x:c>
      <x:c r="E217" s="20" t="str"/>
      <x:c r="F217" s="20" t="str">
        <x:f>IF(E217="",D217,E217)</x:f>
        <x:v>2</x:v>
      </x:c>
      <x:c r="G217" s="13" t="str">
        <x:v>Better Uncertainty Calibration via Proper Scores for Classification and Beyond</x:v>
      </x:c>
      <x:c r="H217" s="13" t="n">
        <x:v>0</x:v>
      </x:c>
      <x:c r="I217" s="22" t="n">
        <x:v>0.029850746268656716</x:v>
      </x:c>
      <x:c r="J217" s="13" t="n">
        <x:v>2</x:v>
      </x:c>
      <x:c r="K217" s="19" t="str">
        <x:v>Which metrics and benchmark protocols are used to evaluate uncertainty calibration in deep neural networks, and what failure modes do these metrics miss?</x:v>
      </x:c>
      <x:c r="L217" s="19" t="str">
        <x:v>Better Uncertainty Calibration via Proper Scores for
Classification and Beyond
Sebastian G. Gruber
German Cancer Research Center (DKFZ), Germany
German Cancer Consortium (DKTK), Frankfurt, Germany
Goethe University Frankfurt, Germany
sebastian.gruber@dkfz.de
Florian Buettner
German Cancer Research Center (DKFZ), Germany
German Cancer Consortium (DKTK), Frankfurt, Germany
Frankfurt Cancer Institute, Germany
Goethe University Frankfurt, Germany
florian.buettner@dkfz.de
Abstract
With model trustworthiness being crucial for sensitive real-world applications,
practitioners are putting more and more focus on improving the uncertainty cali-
bration of deep neural networks. Calibration errors are designed to quantify the
reliability of probabilistic predictions but their estimators are usually biased and
inconsistent. In this work, we introduce the framework ofproper calibration errors,</x:v>
      </x:c>
      <x:c r="M217" s="19" t="str">
        <x:v>该段包含可直接回答问题的方法、指标、比较或研究发现。</x:v>
      </x:c>
      <x:c r="N217" s="13" t="str">
        <x:v>http://arxiv.org/abs/2203.07835v4</x:v>
      </x:c>
    </x:row>
    <x:row r="218" ht="58" customHeight="1">
      <x:c r="A218" s="13" t="str">
        <x:v>csq008-c010</x:v>
      </x:c>
      <x:c r="B218" s="13" t="str">
        <x:v>csq008</x:v>
      </x:c>
      <x:c r="C218" s="21" t="n">
        <x:v>10</x:v>
      </x:c>
      <x:c r="D218" s="20" t="str">
        <x:v>2</x:v>
      </x:c>
      <x:c r="E218" s="20" t="str"/>
      <x:c r="F218" s="20" t="str">
        <x:f>IF(E218="",D218,E218)</x:f>
        <x:v>2</x:v>
      </x:c>
      <x:c r="G218" s="13" t="str">
        <x:v>Uncertainty Calibration of Multi-Label Bird Sound Classifiers</x:v>
      </x:c>
      <x:c r="H218" s="13" t="n">
        <x:v>10</x:v>
      </x:c>
      <x:c r="I218" s="22" t="n">
        <x:v>0.029386529386529386</x:v>
      </x:c>
      <x:c r="J218" s="13" t="n">
        <x:v>2</x:v>
      </x:c>
      <x:c r="K218" s="19" t="str">
        <x:v>Which metrics and benchmark protocols are used to evaluate uncertainty calibration in deep neural networks, and what failure modes do these metrics miss?</x:v>
      </x:c>
      <x:c r="L218" s="19" t="str">
        <x:v>when estimating calibration with limited samples. In-
vestigating the reliability and bias of calibration met-
rics for rare classes remains an important direction
for future work. Third, simple post hoc calibra-
tion can help, but its efficacy is model- and subset-
dependent: global scaling tended to improve Perch v2
and ConvNeXtBS, while per-class Platt / temperature
scaling often brought the largest gains, alongside oc-
casional degradations that call for careful validation.
Our analysis focuses on post hoc calibration us-
ing limited in-domain data. Ad hoc training strategies
and Bayesian approaches may further improve dis-
tance awareness and reliability. Although our metrics
reduce threshold dependence, ECE and related scores
can be unstable when there are few positives for rare
species. Bootstrapped confidence intervals and cal-
ibration@k metrics for extreme multi-label settings</x:v>
      </x:c>
      <x:c r="M218" s="19" t="str">
        <x:v>该段包含可直接回答问题的方法、指标、比较或研究发现。</x:v>
      </x:c>
      <x:c r="N218" s="13" t="str">
        <x:v>http://arxiv.org/abs/2511.08261v2</x:v>
      </x:c>
    </x:row>
    <x:row r="219" ht="58" customHeight="1">
      <x:c r="A219" s="13" t="str">
        <x:v>csq008-c011</x:v>
      </x:c>
      <x:c r="B219" s="13" t="str">
        <x:v>csq008</x:v>
      </x:c>
      <x:c r="C219" s="21" t="n">
        <x:v>11</x:v>
      </x:c>
      <x:c r="D219" s="20" t="str">
        <x:v>2</x:v>
      </x:c>
      <x:c r="E219" s="20" t="str"/>
      <x:c r="F219" s="20" t="str">
        <x:f>IF(E219="",D219,E219)</x:f>
        <x:v>2</x:v>
      </x:c>
      <x:c r="G219" s="13" t="str">
        <x:v>A Review of Uncertainty Calibration in Pretrained Object Detectors</x:v>
      </x:c>
      <x:c r="H219" s="13" t="n">
        <x:v>0</x:v>
      </x:c>
      <x:c r="I219" s="22" t="n">
        <x:v>0.029211087420042643</x:v>
      </x:c>
      <x:c r="J219" s="13" t="n">
        <x:v>2</x:v>
      </x:c>
      <x:c r="K219" s="19" t="str">
        <x:v>Which metrics and benchmark protocols are used to evaluate uncertainty calibration in deep neural networks, and what failure modes do these metrics miss?</x:v>
      </x:c>
      <x:c r="L219" s="19" t="str">
        <x:v>the trained object detectors typically do not reliably assess uncertainty regarding their own knowl-
edge, and the quality of their probabilistic predictions is usually poor. As these are often used
to make subsequent decisions, such inaccurate probabilistic predictions must be avoided. In this
work, we investigate the uncertainty calibration properties of diﬀerent pretrained object detection
architectures in a multi-class setting. We propose a framework to ensure a fair, unbiased, and
repeatable evaluation and conduct detailed analyses assessing the calibration under distributional
changes (e.g., distributional shift and application to out-of-distribution data). Furthermore, by inves-
tigating the inﬂuence of diﬀerent detector paradigms, post-processing steps, and suitable choices
of metrics, we deliver novel insights into why poor detector calibration emerges. Based on these</x:v>
      </x:c>
      <x:c r="M219" s="19" t="str">
        <x:v>该段包含可直接回答问题的方法、指标、比较或研究发现。</x:v>
      </x:c>
      <x:c r="N219" s="13" t="str">
        <x:v>http://arxiv.org/abs/2210.02935v1</x:v>
      </x:c>
    </x:row>
    <x:row r="220" ht="58" customHeight="1">
      <x:c r="A220" s="13" t="str">
        <x:v>csq008-c012</x:v>
      </x:c>
      <x:c r="B220" s="13" t="str">
        <x:v>csq008</x:v>
      </x:c>
      <x:c r="C220" s="21" t="n">
        <x:v>12</x:v>
      </x:c>
      <x:c r="D220" s="20" t="str">
        <x:v>2</x:v>
      </x:c>
      <x:c r="E220" s="20" t="str"/>
      <x:c r="F220" s="20" t="str">
        <x:f>IF(E220="",D220,E220)</x:f>
        <x:v>2</x:v>
      </x:c>
      <x:c r="G220" s="13" t="str">
        <x:v>Uncertainty Calibration of Multi-Label Bird Sound Classifiers</x:v>
      </x:c>
      <x:c r="H220" s="13" t="n">
        <x:v>6</x:v>
      </x:c>
      <x:c r="I220" s="22" t="n">
        <x:v>0.029138513513513514</x:v>
      </x:c>
      <x:c r="J220" s="13" t="n">
        <x:v>2</x:v>
      </x:c>
      <x:c r="K220" s="19" t="str">
        <x:v>Which metrics and benchmark protocols are used to evaluate uncertainty calibration in deep neural networks, and what failure modes do these metrics miss?</x:v>
      </x:c>
      <x:c r="L220" s="19" t="str">
        <x:v>an MCS of -1.09, also indicating slight underconfi-
dence. In contrast, AudioProtoPNet and BirdMAE
are overconfident with an MCS of 4.43 and 7.01, re-
spectively. The misalignment of best performance by
cmAP and MCS reiterates the importance of uncer-
tainty calibration.</x:v>
      </x:c>
      <x:c r="M220" s="19" t="str">
        <x:v>该段包含可直接回答问题的方法、指标、比较或研究发现。</x:v>
      </x:c>
      <x:c r="N220" s="13" t="str">
        <x:v>http://arxiv.org/abs/2511.08261v2</x:v>
      </x:c>
    </x:row>
    <x:row r="221" ht="58" customHeight="1">
      <x:c r="A221" s="13" t="str">
        <x:v>csq008-c013</x:v>
      </x:c>
      <x:c r="B221" s="13" t="str">
        <x:v>csq008</x:v>
      </x:c>
      <x:c r="C221" s="21" t="n">
        <x:v>13</x:v>
      </x:c>
      <x:c r="D221" s="20" t="str">
        <x:v>2</x:v>
      </x:c>
      <x:c r="E221" s="20" t="str"/>
      <x:c r="F221" s="20" t="str">
        <x:f>IF(E221="",D221,E221)</x:f>
        <x:v>2</x:v>
      </x:c>
      <x:c r="G221" s="13" t="str">
        <x:v>Decoupling of neural network calibration measures</x:v>
      </x:c>
      <x:c r="H221" s="13" t="n">
        <x:v>1</x:v>
      </x:c>
      <x:c r="I221" s="22" t="n">
        <x:v>0.028991596638655463</x:v>
      </x:c>
      <x:c r="J221" s="13" t="n">
        <x:v>2</x:v>
      </x:c>
      <x:c r="K221" s="19" t="str">
        <x:v>Which metrics and benchmark protocols are used to evaluate uncertainty calibration in deep neural networks, and what failure modes do these metrics miss?</x:v>
      </x:c>
      <x:c r="L221" s="19" t="str">
        <x:v>taintymeasurecoincideswiththeobservederrorrateinthenetwork’spredictions
if the model is properly calibrated. The calibration quality can be evaluated by
different metrics, e.g. by the Uncertainty Calibration Error (UCE) [22] or the
Area Under the Sparsification Error curve (AUSE) [7] utilizing the Shannon en-
tropy for sorting. The bottleneck of this approach can be illustrated by a thought
experiment. Consider a classification problem with three different classes. If the
softmax output assigns 95% of the probability mass to the most likely out-
come then, according to the Shannon entropy, the total predictive uncertainty
lies in the range of [18.1%, 21.2%]. The degree of freedom in this setup lies
in the allocation of the probability mass over the two remaining classes. If the
trainable neural network parameters are determined by minimizing the negative</x:v>
      </x:c>
      <x:c r="M221" s="19" t="str">
        <x:v>该段包含可直接回答问题的方法、指标、比较或研究发现。</x:v>
      </x:c>
      <x:c r="N221" s="13" t="str">
        <x:v>http://arxiv.org/abs/2406.02411v2</x:v>
      </x:c>
    </x:row>
    <x:row r="222" ht="58" customHeight="1">
      <x:c r="A222" s="13" t="str">
        <x:v>csq008-c014</x:v>
      </x:c>
      <x:c r="B222" s="13" t="str">
        <x:v>csq008</x:v>
      </x:c>
      <x:c r="C222" s="21" t="n">
        <x:v>14</x:v>
      </x:c>
      <x:c r="D222" s="20" t="str">
        <x:v>2</x:v>
      </x:c>
      <x:c r="E222" s="20" t="str"/>
      <x:c r="F222" s="20" t="str">
        <x:f>IF(E222="",D222,E222)</x:f>
        <x:v>2</x:v>
      </x:c>
      <x:c r="G222" s="13" t="str">
        <x:v>Decoupling of neural network calibration measures</x:v>
      </x:c>
      <x:c r="H222" s="13" t="n">
        <x:v>2</x:v>
      </x:c>
      <x:c r="I222" s="22" t="n">
        <x:v>0.0273972602739726</x:v>
      </x:c>
      <x:c r="J222" s="13" t="n">
        <x:v>2</x:v>
      </x:c>
      <x:c r="K222" s="19" t="str">
        <x:v>Which metrics and benchmark protocols are used to evaluate uncertainty calibration in deep neural networks, and what failure modes do these metrics miss?</x:v>
      </x:c>
      <x:c r="L222" s="19" t="str">
        <x:v>ducted by the utilization of a UNET architecture for semantic segmentation but
we hypothesize that the conclusions are generalizable to different classification
tasks as well.
With our contributions, we point out a very critical inconsistency between
commonly used calibration metrics for classification tasks. This inconsistency
aggravates the situation of quantifying calibrated uncertainties with universal
validity. Hence, the fusion process underlies a degree of freedom, which prevents
the homologation of safety-critical applications in autonomous driving.
2 Theory and related work
2.1 Calibration approaches
Since modern neural networks tend to produce overconfident predictions as out-
puts [10], quantifying the calibration quality (or conversely the calibration error)
is essential in perception tasks pertaining to safety-critical domains like autono-</x:v>
      </x:c>
      <x:c r="M222" s="19" t="str">
        <x:v>该段包含可直接回答问题的方法、指标、比较或研究发现。</x:v>
      </x:c>
      <x:c r="N222" s="13" t="str">
        <x:v>http://arxiv.org/abs/2406.02411v2</x:v>
      </x:c>
    </x:row>
    <x:row r="223" ht="58" customHeight="1">
      <x:c r="A223" s="13" t="str">
        <x:v>csq008-c015</x:v>
      </x:c>
      <x:c r="B223" s="13" t="str">
        <x:v>csq008</x:v>
      </x:c>
      <x:c r="C223" s="21" t="n">
        <x:v>15</x:v>
      </x:c>
      <x:c r="D223" s="20" t="str">
        <x:v>2</x:v>
      </x:c>
      <x:c r="E223" s="20" t="str"/>
      <x:c r="F223" s="20" t="str">
        <x:f>IF(E223="",D223,E223)</x:f>
        <x:v>2</x:v>
      </x:c>
      <x:c r="G223" s="13" t="str">
        <x:v>On Calibrated Model Uncertainty in Deep Learning</x:v>
      </x:c>
      <x:c r="H223" s="13" t="n">
        <x:v>0</x:v>
      </x:c>
      <x:c r="I223" s="22" t="n">
        <x:v>0.027212143650499815</x:v>
      </x:c>
      <x:c r="J223" s="13" t="n">
        <x:v>2</x:v>
      </x:c>
      <x:c r="K223" s="19" t="str">
        <x:v>Which metrics and benchmark protocols are used to evaluate uncertainty calibration in deep neural networks, and what failure modes do these metrics miss?</x:v>
      </x:c>
      <x:c r="L223" s="19" t="str">
        <x:v>On Calibrated Model Uncertainty in Deep
Learning
Biraja Ghoshal1 and Allan Tucker1
Dept of Computer Science, Brunel University,
London, Uxbridge, UB8 3PH, United Kingdom
biraja.ghoshal@brunel.ac.uk
https://www.brunel.ac.uk/computer-science
Abstract. Estimated uncertainty by approximate posteriors in Bayesian
neural networks are prone to miscalibration, which leads to overconﬁ-
dent predictions in critical tasks that have a clear asymmetric cost or
signiﬁcant losses. Here, we extend the “approximate inference for the
loss-calibrated Bayesian framework” to dropweights based Bayesian neu-
ral networks by maximising expected utility over a model posterior to
calibrate uncertainty in deep learning. Furthermore, we show that de-
cisions informed by loss-calibrated uncertainty can improve diagnostic
performance to a greater extent than straightforward alternatives. We</x:v>
      </x:c>
      <x:c r="M223" s="19" t="str">
        <x:v>该段包含可直接回答问题的方法、指标、比较或研究发现。</x:v>
      </x:c>
      <x:c r="N223" s="13" t="str">
        <x:v>http://arxiv.org/abs/2206.07795v1</x:v>
      </x:c>
    </x:row>
    <x:row r="224" ht="58" customHeight="1">
      <x:c r="A224" s="13" t="str">
        <x:v>csq008-c016</x:v>
      </x:c>
      <x:c r="B224" s="13" t="str">
        <x:v>csq008</x:v>
      </x:c>
      <x:c r="C224" s="21" t="n">
        <x:v>16</x:v>
      </x:c>
      <x:c r="D224" s="20" t="str">
        <x:v>2</x:v>
      </x:c>
      <x:c r="E224" s="20" t="str"/>
      <x:c r="F224" s="20" t="str">
        <x:f>IF(E224="",D224,E224)</x:f>
        <x:v>2</x:v>
      </x:c>
      <x:c r="G224" s="13" t="str">
        <x:v>A Review of Uncertainty Calibration in Pretrained Object Detectors</x:v>
      </x:c>
      <x:c r="H224" s="13" t="n">
        <x:v>6</x:v>
      </x:c>
      <x:c r="I224" s="22" t="n">
        <x:v>0.01639344262295082</x:v>
      </x:c>
      <x:c r="J224" s="13" t="n">
        <x:v>1</x:v>
      </x:c>
      <x:c r="K224" s="19" t="str">
        <x:v>Which metrics and benchmark protocols are used to evaluate uncertainty calibration in deep neural networks, and what failure modes do these metrics miss?</x:v>
      </x:c>
      <x:c r="L224" s="19" t="str">
        <x:v>all predictions (TP, FP, and TN) but also missing
ones (FN). Hence, we obtain an unbiased eval-
uation as we do not ignore potentially valuable
predictions.
5.3 Metric Deﬁnition
The ﬁnal step toward our framework consists of
deﬁning the required metrics based on the evalua-
tion setsEn. More speciﬁcally, we focus on proper
scoring rules (Feng et al., 2021), calibration plots
and errors (Kumar et al., 2019) for the evalua-
tion of the calibration, and on the entropy (Ovadia
et al., 2019) to assess if a detector can identify
distributional changes. Note that we can easily
incorporate additional metrics for evaluation if
necessary. To further simplify the notation, we
deﬁne the evaluation set containing all predic-
tions as E = ⋃N
n=1En, an element of that set as
d∈E (i.e., matched, unmatched, or missing pre-
dictions), and a one-hot encoded version for ynt as
ynt.</x:v>
      </x:c>
      <x:c r="M224" s="19" t="str">
        <x:v>该段包含可直接回答问题的方法、指标、比较或研究发现。</x:v>
      </x:c>
      <x:c r="N224" s="13" t="str">
        <x:v>http://arxiv.org/abs/2210.02935v1</x:v>
      </x:c>
    </x:row>
    <x:row r="225" ht="58" customHeight="1">
      <x:c r="A225" s="13" t="str">
        <x:v>csq008-c017</x:v>
      </x:c>
      <x:c r="B225" s="13" t="str">
        <x:v>csq008</x:v>
      </x:c>
      <x:c r="C225" s="21" t="n">
        <x:v>17</x:v>
      </x:c>
      <x:c r="D225" s="20" t="str">
        <x:v>2</x:v>
      </x:c>
      <x:c r="E225" s="20" t="str"/>
      <x:c r="F225" s="20" t="str">
        <x:f>IF(E225="",D225,E225)</x:f>
        <x:v>2</x:v>
      </x:c>
      <x:c r="G225" s="13" t="str">
        <x:v>Approaching Test Time Augmentation in the Context of Uncertainty Calibration for Deep Neural Networks</x:v>
      </x:c>
      <x:c r="H225" s="13" t="n">
        <x:v>5</x:v>
      </x:c>
      <x:c r="I225" s="22" t="n">
        <x:v>0.01639344262295082</x:v>
      </x:c>
      <x:c r="J225" s="13" t="n">
        <x:v>1</x:v>
      </x:c>
      <x:c r="K225" s="19" t="str">
        <x:v>Which metrics and benchmark protocols are used to evaluate uncertainty calibration in deep neural networks, and what failure modes do these metrics miss?</x:v>
      </x:c>
      <x:c r="L225" s="19" t="str">
        <x:v>the respective test sets of each dataset. Their performance
is evaluated with different uncertainty calibration-related
metrics, against multiple state-of-the-art baselines.
Robustness under distribution-shift : The methods from
the previous subsection are further compared, employing
the same metrics, in two scenarios where distribution shifts
in test data are present. This is made either with artificially
induced distribution-shifts or with natural distribution-shifts.
Entropy on out-of-distribution samples : Additionally,
the previously used methods are also compared in terms
of their effects on the predictive entropy on OOD samples,
under two distinct scenarios.
Effects of validation set size : Finally, we analyze how the
size of the validation set, in which M-ATTAand V-ATTAare
optimized, influences the performance of these methods.</x:v>
      </x:c>
      <x:c r="M225" s="19" t="str">
        <x:v>该段包含可直接回答问题的方法、指标、比较或研究发现。</x:v>
      </x:c>
      <x:c r="N225" s="13" t="str">
        <x:v>http://arxiv.org/abs/2304.05104v2</x:v>
      </x:c>
    </x:row>
    <x:row r="226" ht="58" customHeight="1">
      <x:c r="A226" s="13" t="str">
        <x:v>csq008-c018</x:v>
      </x:c>
      <x:c r="B226" s="13" t="str">
        <x:v>csq008</x:v>
      </x:c>
      <x:c r="C226" s="21" t="n">
        <x:v>18</x:v>
      </x:c>
      <x:c r="D226" s="20" t="str">
        <x:v>2</x:v>
      </x:c>
      <x:c r="E226" s="20" t="str"/>
      <x:c r="F226" s="20" t="str">
        <x:f>IF(E226="",D226,E226)</x:f>
        <x:v>2</x:v>
      </x:c>
      <x:c r="G226" s="13" t="str">
        <x:v>Approaching Test Time Augmentation in the Context of Uncertainty Calibration for Deep Neural Networks</x:v>
      </x:c>
      <x:c r="H226" s="13" t="n">
        <x:v>7</x:v>
      </x:c>
      <x:c r="I226" s="22" t="n">
        <x:v>0.016129032258064516</x:v>
      </x:c>
      <x:c r="J226" s="13" t="n">
        <x:v>1</x:v>
      </x:c>
      <x:c r="K226" s="19" t="str">
        <x:v>Which metrics and benchmark protocols are used to evaluate uncertainty calibration in deep neural networks, and what failure modes do these metrics miss?</x:v>
      </x:c>
      <x:c r="L226" s="19" t="str">
        <x:v>those of the AID dataset. Specifically, there are 10 classes
in common between the AID and the UC-Merced datasets;
we simply select the images of the UC-Merced dataset with
those classes, creating the new shifted test set, with 1000
images in total.
Regarding the results presented in Tables 4 and 5, we
start by observing that the distribution-shifts, induced by
the new test sets, severely worsen the uncertainty calibration
of the models, verified by a substantial increase of the
values associated with the evaluation metrics. Nonetheless,
in these scenarios - and contrarily to what happened in the
in-distribution scenarios - all the methods evaluated consis-
tently show positive effects across the various metrics (with
exception to dirichlet calibration ); this may hint that the post-
hoc calibration baselines have a more consistent behaviour</x:v>
      </x:c>
      <x:c r="M226" s="19" t="str">
        <x:v>该段包含可直接回答问题的方法、指标、比较或研究发现。</x:v>
      </x:c>
      <x:c r="N226" s="13" t="str">
        <x:v>http://arxiv.org/abs/2304.05104v2</x:v>
      </x:c>
    </x:row>
    <x:row r="227" ht="58" customHeight="1">
      <x:c r="A227" s="13" t="str">
        <x:v>csq008-c019</x:v>
      </x:c>
      <x:c r="B227" s="13" t="str">
        <x:v>csq008</x:v>
      </x:c>
      <x:c r="C227" s="21" t="n">
        <x:v>19</x:v>
      </x:c>
      <x:c r="D227" s="20" t="str">
        <x:v>2</x:v>
      </x:c>
      <x:c r="E227" s="20" t="str"/>
      <x:c r="F227" s="20" t="str">
        <x:f>IF(E227="",D227,E227)</x:f>
        <x:v>2</x:v>
      </x:c>
      <x:c r="G227" s="13" t="str">
        <x:v>A Review of Uncertainty Calibration in Pretrained Object Detectors</x:v>
      </x:c>
      <x:c r="H227" s="13" t="n">
        <x:v>2</x:v>
      </x:c>
      <x:c r="I227" s="22" t="n">
        <x:v>0.015873015873015872</x:v>
      </x:c>
      <x:c r="J227" s="13" t="n">
        <x:v>1</x:v>
      </x:c>
      <x:c r="K227" s="19" t="str">
        <x:v>Which metrics and benchmark protocols are used to evaluate uncertainty calibration in deep neural networks, and what failure modes do these metrics miss?</x:v>
      </x:c>
      <x:c r="L227" s="19" t="str">
        <x:v>is essential that detectors are able to recognize
and handle them (Ovadia et al., 2019). Accord-
ingly, we evaluate the uncertainty of detectors
under distributional shifts (i.e., diﬀerent sample
but approx. same class distributions) and also
their ability to identify out-of-distribution samples
(i.e., both sample and class distributions diﬀer).
More speciﬁcally, we construct shifted and out-of-
distribution dataset versions to assess the proper-
ties of the detectors. In summary, we investigate
the following research questions:
• How can we build a modular calibration eval-
uation framework that is suitable for various
object detection architectures and ensures an
unbiased and repeatable evaluation?
• Which metrics should be used to evaluate multi-
class object detection architectures regarding
their calibration and how should these metrics
be applied?</x:v>
      </x:c>
      <x:c r="M227" s="19" t="str">
        <x:v>该段包含可直接回答问题的方法、指标、比较或研究发现。</x:v>
      </x:c>
      <x:c r="N227" s="13" t="str">
        <x:v>http://arxiv.org/abs/2210.02935v1</x:v>
      </x:c>
    </x:row>
    <x:row r="228" ht="58" customHeight="1">
      <x:c r="A228" s="13" t="str">
        <x:v>csq008-c020</x:v>
      </x:c>
      <x:c r="B228" s="13" t="str">
        <x:v>csq008</x:v>
      </x:c>
      <x:c r="C228" s="21" t="n">
        <x:v>20</x:v>
      </x:c>
      <x:c r="D228" s="20" t="str">
        <x:v>0</x:v>
      </x:c>
      <x:c r="E228" s="20" t="str"/>
      <x:c r="F228" s="20" t="str">
        <x:f>IF(E228="",D228,E228)</x:f>
        <x:v>0</x:v>
      </x:c>
      <x:c r="G228" s="13" t="str">
        <x:v>Approaching Test Time Augmentation in the Context of Uncertainty Calibration for Deep Neural Networks</x:v>
      </x:c>
      <x:c r="H228" s="13" t="n">
        <x:v>10</x:v>
      </x:c>
      <x:c r="I228" s="22" t="n">
        <x:v>0.015873015873015872</x:v>
      </x:c>
      <x:c r="J228" s="13" t="n">
        <x:v>1</x:v>
      </x:c>
      <x:c r="K228" s="19" t="str">
        <x:v>Which metrics and benchmark protocols are used to evaluate uncertainty calibration in deep neural networks, and what failure modes do these metrics miss?</x:v>
      </x:c>
      <x:c r="L228" s="19" t="str">
        <x:v>with supervised learning. In Proceedings of the 22nd International
Conference on Machine Learning (ICML), pages 625–632, 2005.
[23] J. Nixon, M. W. Dusenberry, L. Zhang, G. Jerfel, and D. Tran.
Measuring calibration in deep learning. In CVPR Workshops ,
volume 2, 2019.
[24] Y. Ovadia, E. Fertig, J. Ren, Z. Nado, D. Sculley, S. Nowozin,
J. Dillon, B. Lakshminarayanan, and J. Snoek. Can you trust
your model’s uncertainty? evaluating predictive uncertainty un-
der dataset shift. Advances in Neural Information Processing Systems
(NeurIPS), 32, 2019.
[25] G. Pereyra, G. Tucker, J. Chorowski, Ł. Kaiser, and G. Hinton.
Regularizing neural networks by penalizing confident output
distributions. arXiv preprint arXiv:1701.06548, 2017.
[26] J. Platt et al. Probabilistic outputs for support vector machines and
comparisons to regularized likelihood methods. Advances in large</x:v>
      </x:c>
      <x:c r="M228" s="19" t="str">
        <x:v>该段为无关内容、泛泛提及或参考文献片段，不能作为回答证据。</x:v>
      </x:c>
      <x:c r="N228" s="13" t="str">
        <x:v>http://arxiv.org/abs/2304.05104v2</x:v>
      </x:c>
    </x:row>
    <x:row r="229" ht="58" customHeight="1">
      <x:c r="A229" s="13" t="str">
        <x:v>csq008-c021</x:v>
      </x:c>
      <x:c r="B229" s="13" t="str">
        <x:v>csq008</x:v>
      </x:c>
      <x:c r="C229" s="21" t="n">
        <x:v>21</x:v>
      </x:c>
      <x:c r="D229" s="20" t="str">
        <x:v>2</x:v>
      </x:c>
      <x:c r="E229" s="20" t="str"/>
      <x:c r="F229" s="20" t="str">
        <x:f>IF(E229="",D229,E229)</x:f>
        <x:v>2</x:v>
      </x:c>
      <x:c r="G229" s="13" t="str">
        <x:v>Improving Uncertainty Calibration of Deep Neural Networks via Truth Discovery and Geometric Optimization</x:v>
      </x:c>
      <x:c r="H229" s="13" t="n">
        <x:v>1</x:v>
      </x:c>
      <x:c r="I229" s="22" t="n">
        <x:v>0.015625</x:v>
      </x:c>
      <x:c r="J229" s="13" t="n">
        <x:v>1</x:v>
      </x:c>
      <x:c r="K229" s="19" t="str">
        <x:v>Which metrics and benchmark protocols are used to evaluate uncertainty calibration in deep neural networks, and what failure modes do these metrics miss?</x:v>
      </x:c>
      <x:c r="L229" s="19" t="str">
        <x:v>et al., 2020], Log-Likelihood (LL) [Guo et al., 2017] and
calibrated LL [Ashukha et al., 2020], Kolmogorov-Smirnov
(KS) test [Gupta et al., 2021], etc. Every such metrics has
its strengths and weaknesses. For example, ECE could be
easily biased by the binning scheme; LLs have also shown
themselves to be closely correlated with accuracy ( ρ ∼
0.9) [Ashukha et al., 2020]. Moreover, current post-hoc
calibration methods usually restrict themselves to only one
speciﬁc metric (e.g. LL), and it is believed that some metrics
(e.g. ECE) can hardly be optimized directly [Ashukha et al.,
2020]. Thus, there is a crucial need for an optimization
framework that allows multiple metrics, including ECEs, to
be considered at the same time.
To address these challenges, we propose in this paper a
truth discovery-based framework and an accompanying geo-</x:v>
      </x:c>
      <x:c r="M229" s="19" t="str">
        <x:v>该段包含可直接回答问题的方法、指标、比较或研究发现。</x:v>
      </x:c>
      <x:c r="N229" s="13" t="str">
        <x:v>http://arxiv.org/abs/2106.14662v3</x:v>
      </x:c>
    </x:row>
    <x:row r="230" ht="58" customHeight="1">
      <x:c r="A230" s="13" t="str">
        <x:v>csq008-c022</x:v>
      </x:c>
      <x:c r="B230" s="13" t="str">
        <x:v>csq008</x:v>
      </x:c>
      <x:c r="C230" s="21" t="n">
        <x:v>22</x:v>
      </x:c>
      <x:c r="D230" s="20" t="str">
        <x:v>0</x:v>
      </x:c>
      <x:c r="E230" s="20" t="str"/>
      <x:c r="F230" s="20" t="str">
        <x:f>IF(E230="",D230,E230)</x:f>
        <x:v>0</x:v>
      </x:c>
      <x:c r="G230" s="13" t="str">
        <x:v>Improving Uncertainty Calibration of Deep Neural Networks via Truth Discovery and Geometric Optimization</x:v>
      </x:c>
      <x:c r="H230" s="13" t="n">
        <x:v>9</x:v>
      </x:c>
      <x:c r="I230" s="22" t="n">
        <x:v>0.015625</x:v>
      </x:c>
      <x:c r="J230" s="13" t="n">
        <x:v>1</x:v>
      </x:c>
      <x:c r="K230" s="19" t="str">
        <x:v>Which metrics and benchmark protocols are used to evaluate uncertainty calibration in deep neural networks, and what failure modes do these metrics miss?</x:v>
      </x:c>
      <x:c r="L230" s="19" t="str">
        <x:v>in Neural Information Processing Systems, pages 12295–
12305, 2019.
Aviral Kumar, Sunita Sarawagi, and Ujjwal Jain. Trainable
calibration measures for neural networks from kernel
mean embeddings. In Proceedings of the 35th Interna-
tional Conference on Machine Learning, ICML, Proceed-
ings of Machine Learning Research, pages 2810–2819,
2018.
Balaji Lakshminarayanan, Alexander Pritzel, and Charles
Blundell. Simple and scalable predictive uncertainty es-
timation using deep ensembles. In Advances in Neural
Information Processing Systems, pages 6405–6416, 2017.
Qi Li, Yaliang Li, Jing Gao, Bo Zhao, Wei Fan, and Jiawei
Han. Resolving conﬂicts in heterogeneous data by truth
discovery and source reliability estimation. In Interna-
tional Conference on Management of Data, SIGMOD ,
pages 1187–1198, 2014.</x:v>
      </x:c>
      <x:c r="M230" s="19" t="str">
        <x:v>该段为无关内容、泛泛提及或参考文献片段，不能作为回答证据。</x:v>
      </x:c>
      <x:c r="N230" s="13" t="str">
        <x:v>http://arxiv.org/abs/2106.14662v3</x:v>
      </x:c>
    </x:row>
    <x:row r="231" ht="58" customHeight="1">
      <x:c r="A231" s="13" t="str">
        <x:v>csq008-c023</x:v>
      </x:c>
      <x:c r="B231" s="13" t="str">
        <x:v>csq008</x:v>
      </x:c>
      <x:c r="C231" s="21" t="n">
        <x:v>23</x:v>
      </x:c>
      <x:c r="D231" s="20" t="str">
        <x:v>2</x:v>
      </x:c>
      <x:c r="E231" s="20" t="str"/>
      <x:c r="F231" s="20" t="str">
        <x:f>IF(E231="",D231,E231)</x:f>
        <x:v>2</x:v>
      </x:c>
      <x:c r="G231" s="13" t="str">
        <x:v>A Theoretical and Practical Framework for Evaluating Uncertainty Calibration in Object Detection</x:v>
      </x:c>
      <x:c r="H231" s="13" t="n">
        <x:v>11</x:v>
      </x:c>
      <x:c r="I231" s="22" t="n">
        <x:v>0.015384615384615385</x:v>
      </x:c>
      <x:c r="J231" s="13" t="n">
        <x:v>1</x:v>
      </x:c>
      <x:c r="K231" s="19" t="str">
        <x:v>Which metrics and benchmark protocols are used to evaluate uncertainty calibration in deep neural networks, and what failure modes do these metrics miss?</x:v>
      </x:c>
      <x:c r="L231" s="19" t="str">
        <x:v>evaluation in object detection scenarios.
6 Final Remarks
This article introduces a comprehensive theoretical and practical framework for assessing uncertainty
calibration in object detection. The conceptual distinction between global and local calibration, out-
lined in this work, proved to be not only useful as theoretical foundation for the development of
new evaluation metrics, but also for understanding the underlying fundamental differences between
these metrics and the existing D-ECE.
The evaluation metrics proposed in the context of our framework are successfully used to evaluate
the calibration of uncertainty estimates in various object detection scenarios. From these experi-
ments, some interesting concluding remarks can be derived regarding some of the intrinsic properties
of the proposed metrics that, in contrast, were not found in D-ECE: 1) they show consistent rela-</x:v>
      </x:c>
      <x:c r="M231" s="19" t="str">
        <x:v>该段包含可直接回答问题的方法、指标、比较或研究发现。</x:v>
      </x:c>
      <x:c r="N231" s="13" t="str">
        <x:v>http://arxiv.org/abs/2309.00464v2</x:v>
      </x:c>
    </x:row>
    <x:row r="232" ht="58" customHeight="1">
      <x:c r="A232" s="13" t="str">
        <x:v>csq008-c024</x:v>
      </x:c>
      <x:c r="B232" s="13" t="str">
        <x:v>csq008</x:v>
      </x:c>
      <x:c r="C232" s="21" t="n">
        <x:v>24</x:v>
      </x:c>
      <x:c r="D232" s="20" t="str">
        <x:v>2</x:v>
      </x:c>
      <x:c r="E232" s="20" t="str"/>
      <x:c r="F232" s="20" t="str">
        <x:f>IF(E232="",D232,E232)</x:f>
        <x:v>2</x:v>
      </x:c>
      <x:c r="G232" s="13" t="str">
        <x:v>Approaching Test Time Augmentation in the Context of Uncertainty Calibration for Deep Neural Networks</x:v>
      </x:c>
      <x:c r="H232" s="13" t="n">
        <x:v>7</x:v>
      </x:c>
      <x:c r="I232" s="22" t="n">
        <x:v>0.015384615384615385</x:v>
      </x:c>
      <x:c r="J232" s="13" t="n">
        <x:v>1</x:v>
      </x:c>
      <x:c r="K232" s="19" t="str">
        <x:v>Which metrics and benchmark protocols are used to evaluate uncertainty calibration in deep neural networks, and what failure modes do these metrics miss?</x:v>
      </x:c>
      <x:c r="L232" s="19" t="str">
        <x:v>T. Scaling [7] 0.2624 0.2000 0.6848 2.2624
I. Regression [37] 0.2752 0.2393 0.7085 2.3293
H. Binning [36] 0.2893 0.2596 0.7310 2.6855
Dirichlet [13] 0.2793 0.2580 0.6666 2.5875
Adaptive-TTA [3] 0.2788 0.2549 0.7009 2.5609
M-ATTA(ours) 0.2657 0.2058 0.6870 2.3033
V-ATTA(ours) 0.2519 0.1897 0.6726 2.1471
TABLE 5: Results with respect to the distribution-shift sce-
nario created by substituting the AID test set, for the subset
of the UC-Merced dataset with homologous classes. The
metrics and baselines are the same as before.
uncertainty calibration but, this time, when the distribution
of data on the test set differs significantly from that of the
training and validation sets. Distribution-shifts on the test
data has been shown to have negative effects on uncertainty
calibration, even when applying state-of-the-art calibration
methods [24]. Furthermore, evaluating uncertainty calibra-</x:v>
      </x:c>
      <x:c r="M232" s="19" t="str">
        <x:v>该段包含可直接回答问题的方法、指标、比较或研究发现。</x:v>
      </x:c>
      <x:c r="N232" s="13" t="str">
        <x:v>http://arxiv.org/abs/2304.05104v2</x:v>
      </x:c>
    </x:row>
    <x:row r="233" ht="58" customHeight="1">
      <x:c r="A233" s="13" t="str">
        <x:v>csq008-c025</x:v>
      </x:c>
      <x:c r="B233" s="13" t="str">
        <x:v>csq008</x:v>
      </x:c>
      <x:c r="C233" s="21" t="n">
        <x:v>25</x:v>
      </x:c>
      <x:c r="D233" s="20" t="str">
        <x:v>2</x:v>
      </x:c>
      <x:c r="E233" s="20" t="str"/>
      <x:c r="F233" s="20" t="str">
        <x:f>IF(E233="",D233,E233)</x:f>
        <x:v>2</x:v>
      </x:c>
      <x:c r="G233" s="13" t="str">
        <x:v>A Theoretical and Practical Framework for Evaluating Uncertainty Calibration in Object Detection</x:v>
      </x:c>
      <x:c r="H233" s="13" t="n">
        <x:v>1</x:v>
      </x:c>
      <x:c r="I233" s="22" t="n">
        <x:v>0.015151515151515152</x:v>
      </x:c>
      <x:c r="J233" s="13" t="n">
        <x:v>1</x:v>
      </x:c>
      <x:c r="K233" s="19" t="str">
        <x:v>Which metrics and benchmark protocols are used to evaluate uncertainty calibration in deep neural networks, and what failure modes do these metrics miss?</x:v>
      </x:c>
      <x:c r="L233" s="19" t="str">
        <x:v>bration for classification problems [21, 24, 15].
The lack of evaluation metrics specifically designed to the problem of uncertainty calibration
in object detection is addressed in [11], that proposes the Detection Expected Calibration Error
(D-ECE). Since then, this metric has been adopted as a “go-to” evaluation metric in different works
regarding uncertainty calibration in object detection [17, 22, 16]. Comparably to the metrics pro-
posed in this work, the D-ECE leverages the IoU for a threshold-based evaluation, thus being also
focused on semantic uncertainty. Nonetheless, D-ECE is built on an incomplete formulation of the
problem of uncertainty calibration in object detection, and therefore does not incorporate the effect
of False Negative detections (see Section 4 for further details), which can be critical in safety-related
applications.</x:v>
      </x:c>
      <x:c r="M233" s="19" t="str">
        <x:v>该段包含可直接回答问题的方法、指标、比较或研究发现。</x:v>
      </x:c>
      <x:c r="N233" s="13" t="str">
        <x:v>http://arxiv.org/abs/2309.00464v2</x:v>
      </x:c>
    </x:row>
    <x:row r="234" ht="58" customHeight="1">
      <x:c r="A234" s="13" t="str">
        <x:v>csq008-c026</x:v>
      </x:c>
      <x:c r="B234" s="13" t="str">
        <x:v>csq008</x:v>
      </x:c>
      <x:c r="C234" s="21" t="n">
        <x:v>26</x:v>
      </x:c>
      <x:c r="D234" s="20" t="str">
        <x:v>2</x:v>
      </x:c>
      <x:c r="E234" s="20" t="str"/>
      <x:c r="F234" s="20" t="str">
        <x:f>IF(E234="",D234,E234)</x:f>
        <x:v>2</x:v>
      </x:c>
      <x:c r="G234" s="13" t="str">
        <x:v>A Review of Uncertainty Calibration in Pretrained Object Detectors</x:v>
      </x:c>
      <x:c r="H234" s="13" t="n">
        <x:v>4</x:v>
      </x:c>
      <x:c r="I234" s="22" t="n">
        <x:v>0.015151515151515152</x:v>
      </x:c>
      <x:c r="J234" s="13" t="n">
        <x:v>1</x:v>
      </x:c>
      <x:c r="K234" s="19" t="str">
        <x:v>Which metrics and benchmark protocols are used to evaluate uncertainty calibration in deep neural networks, and what failure modes do these metrics miss?</x:v>
      </x:c>
      <x:c r="L234" s="19" t="str">
        <x:v>quently employs inappropriate metrics for evalu-
ation. In this article, we focus on these aspects
regarding the evaluation of pretrained detectors.
An in-depth study on recalibration techniques of
detectors is subject to our future work.
5 Evaluation Framework
The literature suggests many techniques for eval-
uating the calibration and uncertainty of object
detection architectures. However, most of these
do not clearly deﬁne the steps toward an eval-
uation metric. In particular, it is not clearly
described how to incorporate the predictions of
object classes (i.e., true and false positives, TP
and FP), the predictions of the background class
(i.e., true negatives, TN) and missing predictions</x:v>
      </x:c>
      <x:c r="M234" s="19" t="str">
        <x:v>该段包含可直接回答问题的方法、指标、比较或研究发现。</x:v>
      </x:c>
      <x:c r="N234" s="13" t="str">
        <x:v>http://arxiv.org/abs/2210.02935v1</x:v>
      </x:c>
    </x:row>
    <x:row r="235" ht="58" customHeight="1">
      <x:c r="A235" s="13" t="str">
        <x:v>csq008-c027</x:v>
      </x:c>
      <x:c r="B235" s="13" t="str">
        <x:v>csq008</x:v>
      </x:c>
      <x:c r="C235" s="21" t="n">
        <x:v>27</x:v>
      </x:c>
      <x:c r="D235" s="20" t="str">
        <x:v>2</x:v>
      </x:c>
      <x:c r="E235" s="20" t="str"/>
      <x:c r="F235" s="20" t="str">
        <x:f>IF(E235="",D235,E235)</x:f>
        <x:v>2</x:v>
      </x:c>
      <x:c r="G235" s="13" t="str">
        <x:v>A Review of Uncertainty Calibration in Pretrained Object Detectors</x:v>
      </x:c>
      <x:c r="H235" s="13" t="n">
        <x:v>8</x:v>
      </x:c>
      <x:c r="I235" s="22" t="n">
        <x:v>0.015151515151515152</x:v>
      </x:c>
      <x:c r="J235" s="13" t="n">
        <x:v>1</x:v>
      </x:c>
      <x:c r="K235" s="19" t="str">
        <x:v>Which metrics and benchmark protocols are used to evaluate uncertainty calibration in deep neural networks, and what failure modes do these metrics miss?</x:v>
      </x:c>
      <x:c r="L235" s="19" t="str">
        <x:v>unknown classes. We expect that these uncertain-
ties are higher than the ones obtained from the
in-distribution objects. Note, the entropy is the
only metric we can apply to out-of-distribution
data, since all other metrics require the same label
spaceY.
6 Experiments
In this section, we introduce our experimental
setup and discuss the results of the experiments
that answer our research questions.
6.1 Setup
We focus on object detectors pretrained on the
COCO dataset (Lin et al., 2014) and will eval-
uate their capability to provide well-calibrated
probabilistic predictions as well as their ability
to identify distributional changes. Besides using
the 80 class test split of COCO, we want to be
able to represent the calibration plots in a clear
and understandable way and to investigate the
dependence of calibration quality on the number
of classes. Therefore, we additionally construct</x:v>
      </x:c>
      <x:c r="M235" s="19" t="str">
        <x:v>该段包含可直接回答问题的方法、指标、比较或研究发现。</x:v>
      </x:c>
      <x:c r="N235" s="13" t="str">
        <x:v>http://arxiv.org/abs/2210.02935v1</x:v>
      </x:c>
    </x:row>
    <x:row r="236" ht="58" customHeight="1">
      <x:c r="A236" s="13" t="str">
        <x:v>csq008-c028</x:v>
      </x:c>
      <x:c r="B236" s="13" t="str">
        <x:v>csq008</x:v>
      </x:c>
      <x:c r="C236" s="21" t="n">
        <x:v>28</x:v>
      </x:c>
      <x:c r="D236" s="20" t="str">
        <x:v>1</x:v>
      </x:c>
      <x:c r="E236" s="20" t="str"/>
      <x:c r="F236" s="20" t="str">
        <x:f>IF(E236="",D236,E236)</x:f>
        <x:v>1</x:v>
      </x:c>
      <x:c r="G236" s="13" t="str">
        <x:v>Approaching Test Time Augmentation in the Context of Uncertainty Calibration for Deep Neural Networks</x:v>
      </x:c>
      <x:c r="H236" s="13" t="n">
        <x:v>1</x:v>
      </x:c>
      <x:c r="I236" s="22" t="n">
        <x:v>0.015151515151515152</x:v>
      </x:c>
      <x:c r="J236" s="13" t="n">
        <x:v>1</x:v>
      </x:c>
      <x:c r="K236" s="19" t="str">
        <x:v>Which metrics and benchmark protocols are used to evaluate uncertainty calibration in deep neural networks, and what failure modes do these metrics miss?</x:v>
      </x:c>
      <x:c r="L236" s="19" t="str">
        <x:v>methodology that does not alter the predicted class, while
still calibrating its confidence value.
3 B ACKGROUND
Notation: we will use bold notation to denote vectors, like
p = ( p1,...,p k); the i-nth element of some vector p will
be referred as p{i} := pi; the ↓ symbol, associated with
a given metric, informs that a lower value of such metric
represents a better performance; the ⊙ symbol represents
the Hadamard product;σ : Rk→ ∆k represents the softmax
function. These remarks are valid for all sections of the
article; other remarks on notation will be given along the
text, when found relevant.
In this section we discuss the problem of uncertainty
calibration and present some evaluation metrics commonly
used in this context. In relevant literature, the concept
of uncertainty calibration related to DL systems, in a
multi-class scenario, is often defined in two different ways.</x:v>
      </x:c>
      <x:c r="M236" s="19" t="str">
        <x:v>该段提供相关背景或侧面信息，但没有直接回答问题核心。</x:v>
      </x:c>
      <x:c r="N236" s="13" t="str">
        <x:v>http://arxiv.org/abs/2304.05104v2</x:v>
      </x:c>
    </x:row>
    <x:row r="237" ht="58" customHeight="1">
      <x:c r="A237" s="13" t="str">
        <x:v>csq008-c029</x:v>
      </x:c>
      <x:c r="B237" s="13" t="str">
        <x:v>csq008</x:v>
      </x:c>
      <x:c r="C237" s="21" t="n">
        <x:v>29</x:v>
      </x:c>
      <x:c r="D237" s="20" t="str">
        <x:v>1</x:v>
      </x:c>
      <x:c r="E237" s="20" t="str"/>
      <x:c r="F237" s="20" t="str">
        <x:f>IF(E237="",D237,E237)</x:f>
        <x:v>1</x:v>
      </x:c>
      <x:c r="G237" s="13" t="str">
        <x:v>Improving Uncertainty Calibration of Deep Neural Networks via Truth Discovery and Geometric Optimization</x:v>
      </x:c>
      <x:c r="H237" s="13" t="n">
        <x:v>0</x:v>
      </x:c>
      <x:c r="I237" s="22" t="n">
        <x:v>0.014705882352941176</x:v>
      </x:c>
      <x:c r="J237" s="13" t="n">
        <x:v>1</x:v>
      </x:c>
      <x:c r="K237" s="19" t="str">
        <x:v>Which metrics and benchmark protocols are used to evaluate uncertainty calibration in deep neural networks, and what failure modes do these metrics miss?</x:v>
      </x:c>
      <x:c r="L237" s="19" t="str">
        <x:v>ing’s output to be consistent with the actual probability is
called uncertainty calibration [Guo et al., 2017], and has
drawn a growing attention in recent years.
For a better calibration of the uncertainty of DNNs, the ef-
forts to date have been concentrated on developing more
effective calibration and evaluation methods. Existing cali-
bration methods roughly fall into two categories, depending
on whether an additional hold-out calibration dataset is used.
(1) Post-hoc calibration methods use a calibration dataset to
learn a parameterized transformation that maps from clas-
siﬁers’ raw outputs to their expected probabilities. Quite a
few techniques in this category can be used to learn the map-
ping, such as Temperature Scaling (TS) [Guo et al., 2017]
[Kull et al., 2019], Ensemble Temperature Scaling (ETS)
[Zhang et al., 2020], and cubic spline [Gupta et al., 2021],</x:v>
      </x:c>
      <x:c r="M237" s="19" t="str">
        <x:v>该段提供相关背景或侧面信息，但没有直接回答问题核心。</x:v>
      </x:c>
      <x:c r="N237" s="13" t="str">
        <x:v>http://arxiv.org/abs/2106.14662v3</x:v>
      </x:c>
    </x:row>
    <x:row r="238" ht="58" customHeight="1">
      <x:c r="A238" s="13" t="str">
        <x:v>csq008-c030</x:v>
      </x:c>
      <x:c r="B238" s="13" t="str">
        <x:v>csq008</x:v>
      </x:c>
      <x:c r="C238" s="21" t="n">
        <x:v>30</x:v>
      </x:c>
      <x:c r="D238" s="20" t="str">
        <x:v>1</x:v>
      </x:c>
      <x:c r="E238" s="20" t="str"/>
      <x:c r="F238" s="20" t="str">
        <x:f>IF(E238="",D238,E238)</x:f>
        <x:v>1</x:v>
      </x:c>
      <x:c r="G238" s="13" t="str">
        <x:v>Improving Uncertainty Calibration of Deep Neural Networks via Truth Discovery and Geometric Optimization</x:v>
      </x:c>
      <x:c r="H238" s="13" t="n">
        <x:v>1</x:v>
      </x:c>
      <x:c r="I238" s="22" t="n">
        <x:v>0.014705882352941176</x:v>
      </x:c>
      <x:c r="J238" s="13" t="n">
        <x:v>1</x:v>
      </x:c>
      <x:c r="K238" s="19" t="str">
        <x:v>Which metrics and benchmark protocols are used to evaluate uncertainty calibration in deep neural networks, and what failure modes do these metrics miss?</x:v>
      </x:c>
      <x:c r="L238" s="19" t="str">
        <x:v>necessity of TS when DE is miscalibrated out-of-the-box.
However, due to the intrinsic uncertainty and stochasticity
of the learning process, it is possible that the ensemble mem-
bers are not created equal, and simply averaging over all
members may lead to a suboptimal ensemble result. Further-
more, when TS is appended after DE, the original ensemble
members are all neglected. As a matter of fact, we still lack
a method that can bridge the divide and make the most of
the ensemble members.
A plethora of metrics have been developed during the past
few years for the evaluation of calibration performance, such
as Expected Calibration Error (ECE) [Naeini et al., 2015]
and kernel density estimation-based ECE (ECEKDE) [Zhang
et al., 2020], Log-Likelihood (LL) [Guo et al., 2017] and
calibrated LL [Ashukha et al., 2020], Kolmogorov-Smirnov</x:v>
      </x:c>
      <x:c r="M238" s="19" t="str">
        <x:v>该段提供相关背景或侧面信息，但没有直接回答问题核心。</x:v>
      </x:c>
      <x:c r="N238" s="13" t="str">
        <x:v>http://arxiv.org/abs/2106.14662v3</x:v>
      </x:c>
    </x:row>
    <x:row r="239" ht="58" customHeight="1">
      <x:c r="A239" s="13" t="str">
        <x:v>csq009-c001</x:v>
      </x:c>
      <x:c r="B239" s="13" t="str">
        <x:v>csq009</x:v>
      </x:c>
      <x:c r="C239" s="21" t="n">
        <x:v>1</x:v>
      </x:c>
      <x:c r="D239" s="20" t="str">
        <x:v>0</x:v>
      </x:c>
      <x:c r="E239" s="20" t="str"/>
      <x:c r="F239" s="20" t="str">
        <x:f>IF(E239="",D239,E239)</x:f>
        <x:v>0</x:v>
      </x:c>
      <x:c r="G239" s="13" t="str">
        <x:v>On Vanishing Gradients, Over-Smoothing, and Over-Squashing in GNNs: Bridging Recurrent and Graph Learning</x:v>
      </x:c>
      <x:c r="H239" s="13" t="n">
        <x:v>16</x:v>
      </x:c>
      <x:c r="I239" s="22" t="n">
        <x:v>0.058725791293179716</x:v>
      </x:c>
      <x:c r="J239" s="13" t="n">
        <x:v>4</x:v>
      </x:c>
      <x:c r="K239" s="19" t="str">
        <x:v>What causes over-smoothing and over-squashing in graph neural networks, and which mitigation methods are supported by empirical and theoretical research?</x:v>
      </x:c>
      <x:c r="L239" s="19" t="str">
        <x:v>nections and normalization can provably prevent oversmoothing in gnns.arXiv preprint
arXiv:2406.02997, 2024.
[96] Dai Shi, Andi Han, Lequan Lin, Yi Guo, and Junbin Gao. Exposition on over-squashing
problem on gnns: Current methods, benchmarks and challenges, 2023.
[97] Yunsheng Shi, Zhengjie Huang, Shikun Feng, Hui Zhong, Wenjing Wang, and Yu Sun. Masked
Label Prediction: Unified Message Passing Model for Semi-Supervised Classification. In
Zhi-Hua Zhou, editor,Proceedings of the Thirtieth International Joint Conference on Artifi-
cial Intelligence, IJCAI-21, pages 1548–1554. International Joint Conferences on Artificial
Intelligence Organization, 8 2021. Main Track.
[98] Alessandro Sperduti. Encoding labeled graphs by labeling raam.Advances in Neural Informa-
tion Processing Systems, 6, 1993.
[99] Steven H Strogatz.Nonlinear dynamics and chaos: with applications to physics, biology,</x:v>
      </x:c>
      <x:c r="M239" s="19" t="str">
        <x:v>该段为无关内容、泛泛提及或参考文献片段，不能作为回答证据。</x:v>
      </x:c>
      <x:c r="N239" s="13" t="str">
        <x:v>http://arxiv.org/abs/2502.10818v2</x:v>
      </x:c>
    </x:row>
    <x:row r="240" ht="58" customHeight="1">
      <x:c r="A240" s="13" t="str">
        <x:v>csq009-c002</x:v>
      </x:c>
      <x:c r="B240" s="13" t="str">
        <x:v>csq009</x:v>
      </x:c>
      <x:c r="C240" s="21" t="n">
        <x:v>2</x:v>
      </x:c>
      <x:c r="D240" s="20" t="str">
        <x:v>0</x:v>
      </x:c>
      <x:c r="E240" s="20" t="str"/>
      <x:c r="F240" s="20" t="str">
        <x:f>IF(E240="",D240,E240)</x:f>
        <x:v>0</x:v>
      </x:c>
      <x:c r="G240" s="13" t="str">
        <x:v>Mitigating Over-Smoothing and Over-Squashing using Augmentations of Forman-Ricci Curvature</x:v>
      </x:c>
      <x:c r="H240" s="13" t="n">
        <x:v>12</x:v>
      </x:c>
      <x:c r="I240" s="22" t="n">
        <x:v>0.047162673392181595</x:v>
      </x:c>
      <x:c r="J240" s="13" t="n">
        <x:v>3</x:v>
      </x:c>
      <x:c r="K240" s="19" t="str">
        <x:v>What causes over-smoothing and over-squashing in graph neural networks, and which mitigation methods are supported by empirical and theoretical research?</x:v>
      </x:c>
      <x:c r="L240" s="19" t="str">
        <x:v>https://openreview.net/forum?id=i80OPhOCVH2.
Pradeep Kr Banerjee, Kedar Karhadkar, Yu Guang Wang, Uri Alon, and Guido Mont´ ufar. Over-
squashing in gnns through the lens of information contraction and graph expansion. In 2022
58th Annual Allerton Conference on Communication, Control, and Computing (Allerton) ,
pages 1–8. IEEE, 2022.
Mitchell Black, Zhengchao Wan, Amir Nayyeri, and Yusu Wang. Understanding oversquashing
in gnns through the lens of effective resistance. In International Conference on Machine
Learning, pages 2528–2547. PMLR, 2023.
Chen Cai and Yusu Wang. A note on over-smoothing for graph neural networks. arXiv preprint
arXiv:2006.13318, 2020.
Andreea Deac, Marc Lackenby, and Petar Veliˇ ckovi´ c. Expander graph propagation. InProceed-
ings of the First Learning on Graphs Conference , 2022.</x:v>
      </x:c>
      <x:c r="M240" s="19" t="str">
        <x:v>该段为无关内容、泛泛提及或参考文献片段，不能作为回答证据。</x:v>
      </x:c>
      <x:c r="N240" s="13" t="str">
        <x:v>http://arxiv.org/abs/2309.09384v3</x:v>
      </x:c>
    </x:row>
    <x:row r="241" ht="58" customHeight="1">
      <x:c r="A241" s="13" t="str">
        <x:v>csq009-c003</x:v>
      </x:c>
      <x:c r="B241" s="13" t="str">
        <x:v>csq009</x:v>
      </x:c>
      <x:c r="C241" s="21" t="n">
        <x:v>3</x:v>
      </x:c>
      <x:c r="D241" s="20" t="str">
        <x:v>2</x:v>
      </x:c>
      <x:c r="E241" s="20" t="str"/>
      <x:c r="F241" s="20" t="str">
        <x:f>IF(E241="",D241,E241)</x:f>
        <x:v>2</x:v>
      </x:c>
      <x:c r="G241" s="13" t="str">
        <x:v>On the Trade-off between Over-smoothing and Over-squashing in Deep Graph Neural Networks</x:v>
      </x:c>
      <x:c r="H241" s="13" t="n">
        <x:v>1</x:v>
      </x:c>
      <x:c r="I241" s="22" t="n">
        <x:v>0.046679405392392875</x:v>
      </x:c>
      <x:c r="J241" s="13" t="n">
        <x:v>3</x:v>
      </x:c>
      <x:c r="K241" s="19" t="str">
        <x:v>What causes over-smoothing and over-squashing in graph neural networks, and which mitigation methods are supported by empirical and theoretical research?</x:v>
      </x:c>
      <x:c r="L241" s="19" t="str">
        <x:v>(4) Subgraphs approaches: Zeng et al . [55] proposed to train
GNNs of arbitrary depths with localized subgraphs.
Recent studies have highlighted over-squashing as a critical issue
that hampers the ability of GNNs to effectively propagate infor-
mation between distant nodes in a graph [1]. Alon and Yahav [1]
proposed a rewiring method in which a fully-adjacent matrix is
added in the last GNN layer to mitigate this problem. Topping et al.
[48] and Di Giovanni et al. [12] further contributed to the under-
standing of over-squashing, offering theoretical insights into its ori-
gins, topological alleviation, and the impact of GNN design choices.
Specifically, Toppinget al. [48] introduced a rewiring method based
on concepts from Ricci flow curvature in differential geometry
[22]. However, these studies [1, 48] solely focused on addressing</x:v>
      </x:c>
      <x:c r="M241" s="19" t="str">
        <x:v>该段包含可直接回答问题的方法、指标、比较或研究发现。</x:v>
      </x:c>
      <x:c r="N241" s="13" t="str">
        <x:v>http://arxiv.org/abs/2212.02374v2</x:v>
      </x:c>
    </x:row>
    <x:row r="242" ht="58" customHeight="1">
      <x:c r="A242" s="13" t="str">
        <x:v>csq009-c004</x:v>
      </x:c>
      <x:c r="B242" s="13" t="str">
        <x:v>csq009</x:v>
      </x:c>
      <x:c r="C242" s="21" t="n">
        <x:v>4</x:v>
      </x:c>
      <x:c r="D242" s="20" t="str">
        <x:v>2</x:v>
      </x:c>
      <x:c r="E242" s="20" t="str"/>
      <x:c r="F242" s="20" t="str">
        <x:f>IF(E242="",D242,E242)</x:f>
        <x:v>2</x:v>
      </x:c>
      <x:c r="G242" s="13" t="str">
        <x:v>A Signed Graph Approach to Understanding and Mitigating Oversmoothing in GNNs</x:v>
      </x:c>
      <x:c r="H242" s="13" t="n">
        <x:v>0</x:v>
      </x:c>
      <x:c r="I242" s="22" t="n">
        <x:v>0.04583067206018025</x:v>
      </x:c>
      <x:c r="J242" s="13" t="n">
        <x:v>3</x:v>
      </x:c>
      <x:c r="K242" s="19" t="str">
        <x:v>What causes over-smoothing and over-squashing in graph neural networks, and which mitigation methods are supported by empirical and theoretical research?</x:v>
      </x:c>
      <x:c r="L242" s="19" t="str">
        <x:v>increase—leading to performance degradation in deeper models [12, 13, 14, 15].
Numerous techniques have been proposed to mitigate oversmoothing in GNNs, including normal-
ization layers [16, 17], residual connections [18, 19, 20], and random edge dropout [21, 22]. While
empirically effective, these methods are typically developed independently, with limited theoretical
understanding of the mechanisms that underlie their success. A common challenge is that many
of them introduce architectural modifications that alter the message-passing process [23], making
it difficult to precisely characterize their effects on propagation dynamics and the resulting node
representations. Moreover, their ability to prevent oversmoothing is often limited, especially in
∗Equal contribution.
Preprint.
arXiv:2502.11394v2  [cs.LG]  29 May 2025</x:v>
      </x:c>
      <x:c r="M242" s="19" t="str">
        <x:v>该段包含可直接回答问题的方法、指标、比较或研究发现。</x:v>
      </x:c>
      <x:c r="N242" s="13" t="str">
        <x:v>http://arxiv.org/abs/2502.11394v2</x:v>
      </x:c>
    </x:row>
    <x:row r="243" ht="58" customHeight="1">
      <x:c r="A243" s="13" t="str">
        <x:v>csq009-c005</x:v>
      </x:c>
      <x:c r="B243" s="13" t="str">
        <x:v>csq009</x:v>
      </x:c>
      <x:c r="C243" s="21" t="n">
        <x:v>5</x:v>
      </x:c>
      <x:c r="D243" s="20" t="str">
        <x:v>2</x:v>
      </x:c>
      <x:c r="E243" s="20" t="str"/>
      <x:c r="F243" s="20" t="str">
        <x:f>IF(E243="",D243,E243)</x:f>
        <x:v>2</x:v>
      </x:c>
      <x:c r="G243" s="13" t="str">
        <x:v>A Signed Graph Approach to Understanding and Mitigating Oversmoothing in GNNs</x:v>
      </x:c>
      <x:c r="H243" s="13" t="n">
        <x:v>0</x:v>
      </x:c>
      <x:c r="I243" s="22" t="n">
        <x:v>0.0455155616445939</x:v>
      </x:c>
      <x:c r="J243" s="13" t="n">
        <x:v>3</x:v>
      </x:c>
      <x:c r="K243" s="19" t="str">
        <x:v>What causes over-smoothing and over-squashing in graph neural networks, and which mitigation methods are supported by empirical and theoretical research?</x:v>
      </x:c>
      <x:c r="L243" s="19" t="str">
        <x:v>A Signed Graph Approach to Understanding and
Mitigating Oversmoothing in GNNs
Jiaqi Wang1 ∗ Xinyi Wu2∗ James Cheng1 Yifei Wang3
1 The Chinese University of Hong Kong 2MIT IDSS &amp; LIDS 3MIT CSAIL
{jqwang23, jcheng}@cse.cuhk.edu.hk {xinyiwu, yifei_w}@mit.edu
Abstract
Deep graph neural networks (GNNs) often suffer from oversmoothing, where
node representations become overly homogeneous with increasing depth. While
techniques like normalization, residual connections, and edge dropout have been
proposed to mitigate oversmoothing, they are typically developed independently,
with limited theoretical understanding of their underlying mechanisms. In this
work, we present a unified theoretical perspective based on the framework of signed
graphs, showing that many existing strategies implicitly introduce negative edges
that alter message-passing to resist oversmoothing. However, we show that merely</x:v>
      </x:c>
      <x:c r="M243" s="19" t="str">
        <x:v>该段包含可直接回答问题的方法、指标、比较或研究发现。</x:v>
      </x:c>
      <x:c r="N243" s="13" t="str">
        <x:v>http://arxiv.org/abs/2502.11394v2</x:v>
      </x:c>
    </x:row>
    <x:row r="244" ht="58" customHeight="1">
      <x:c r="A244" s="13" t="str">
        <x:v>csq009-c006</x:v>
      </x:c>
      <x:c r="B244" s="13" t="str">
        <x:v>csq009</x:v>
      </x:c>
      <x:c r="C244" s="21" t="n">
        <x:v>6</x:v>
      </x:c>
      <x:c r="D244" s="20" t="str">
        <x:v>2</x:v>
      </x:c>
      <x:c r="E244" s="20" t="str"/>
      <x:c r="F244" s="20" t="str">
        <x:f>IF(E244="",D244,E244)</x:f>
        <x:v>2</x:v>
      </x:c>
      <x:c r="G244" s="13" t="str">
        <x:v>Mitigating Over-Squashing in Graph Neural Networks by Spectrum-Preserving Sparsification</x:v>
      </x:c>
      <x:c r="H244" s="13" t="n">
        <x:v>0</x:v>
      </x:c>
      <x:c r="I244" s="22" t="n">
        <x:v>0.044415389395194696</x:v>
      </x:c>
      <x:c r="J244" s="13" t="n">
        <x:v>3</x:v>
      </x:c>
      <x:c r="K244" s="19" t="str">
        <x:v>What causes over-smoothing and over-squashing in graph neural networks, and which mitigation methods are supported by empirical and theoretical research?</x:v>
      </x:c>
      <x:c r="L244" s="19" t="str">
        <x:v>arXiv:2506.16110v1  [cs.LG]  19 Jun 2025
Mitigating Over-Squashing in Graph Neural Networks
by Spectrum-Preserving Sparsification
Langzhang Liang 1 Fanchen Bu 2 Zixing Song 3 Zenglin Xu 4 5 Shirui Pan 6 Kijung Shin 1 2
Abstract
The message-passing paradigm of Graph Neu-
ral Networks often struggles with exchanging in-
formation across distant nodes typically due to
structural bottlenecks in certain graph regions, a
limitation known as over-squashing. To reduce
such bottlenecks, graph rewiring, which modifies
graph topology, has been widely used. However,
existing graph rewiring techniques often overlook
the need to preserve critical properties of the orig-
inal graph, e.g., spectral properties. Moreover,
many approaches rely on increasing edge count
to improve connectivity, which introduces sig-
nificant computational overhead and exacerbates</x:v>
      </x:c>
      <x:c r="M244" s="19" t="str">
        <x:v>该段包含可直接回答问题的方法、指标、比较或研究发现。</x:v>
      </x:c>
      <x:c r="N244" s="13" t="str">
        <x:v>http://arxiv.org/abs/2506.16110v1</x:v>
      </x:c>
    </x:row>
    <x:row r="245" ht="58" customHeight="1">
      <x:c r="A245" s="13" t="str">
        <x:v>csq009-c007</x:v>
      </x:c>
      <x:c r="B245" s="13" t="str">
        <x:v>csq009</x:v>
      </x:c>
      <x:c r="C245" s="21" t="n">
        <x:v>7</x:v>
      </x:c>
      <x:c r="D245" s="20" t="str">
        <x:v>2</x:v>
      </x:c>
      <x:c r="E245" s="20" t="str"/>
      <x:c r="F245" s="20" t="str">
        <x:f>IF(E245="",D245,E245)</x:f>
        <x:v>2</x:v>
      </x:c>
      <x:c r="G245" s="13" t="str">
        <x:v>Revisiting Over-smoothing and Over-squashing Using Ollivier-Ricci Curvature</x:v>
      </x:c>
      <x:c r="H245" s="13" t="n">
        <x:v>1</x:v>
      </x:c>
      <x:c r="I245" s="22" t="n">
        <x:v>0.04234321350991521</x:v>
      </x:c>
      <x:c r="J245" s="13" t="n">
        <x:v>3</x:v>
      </x:c>
      <x:c r="K245" s="19" t="str">
        <x:v>What causes over-smoothing and over-squashing in graph neural networks, and which mitigation methods are supported by empirical and theoretical research?</x:v>
      </x:c>
      <x:c r="L245" s="19" t="str">
        <x:v>the problem is a lively research area (Luan et al., 2019; Zhao
&amp; Akoglu, 2020; Rusch et al., 2022). Notably, randomly
removing edges from the base graph consistently improves
GNN performance (Rong et al., 2020).
Over-squashing: The inability of GNNs to effectively take
into account distant information has long been observed
(Xu et al., 2018). Alon &amp; Yahav (2021) showed that this
phenomenon cound be explained by the existence of local
bottlenecks in the graph structure. It was shown by (Topping
et al., 2022) that graph curvature provided an insightful way
to study and address the over-squashing problem. Meth-
ods have been designed to tackle over-squashing, including
those by (Banerjee et al., 2022) and (Karhadkar et al., 2023).
Graph curvature: Efforts have been made to extend the
geometric notion of curvature to settings other than smooth</x:v>
      </x:c>
      <x:c r="M245" s="19" t="str">
        <x:v>该段包含可直接回答问题的方法、指标、比较或研究发现。</x:v>
      </x:c>
      <x:c r="N245" s="13" t="str">
        <x:v>http://arxiv.org/abs/2211.15779v3</x:v>
      </x:c>
    </x:row>
    <x:row r="246" ht="58" customHeight="1">
      <x:c r="A246" s="13" t="str">
        <x:v>csq009-c008</x:v>
      </x:c>
      <x:c r="B246" s="13" t="str">
        <x:v>csq009</x:v>
      </x:c>
      <x:c r="C246" s="21" t="n">
        <x:v>8</x:v>
      </x:c>
      <x:c r="D246" s="20" t="str">
        <x:v>2</x:v>
      </x:c>
      <x:c r="E246" s="20" t="str"/>
      <x:c r="F246" s="20" t="str">
        <x:f>IF(E246="",D246,E246)</x:f>
        <x:v>2</x:v>
      </x:c>
      <x:c r="G246" s="13" t="str">
        <x:v>On Vanishing Gradients, Over-Smoothing, and Over-Squashing in GNNs: Bridging Recurrent and Graph Learning</x:v>
      </x:c>
      <x:c r="H246" s="13" t="n">
        <x:v>3</x:v>
      </x:c>
      <x:c r="I246" s="22" t="n">
        <x:v>0.030834914611005692</x:v>
      </x:c>
      <x:c r="J246" s="13" t="n">
        <x:v>2</x:v>
      </x:c>
      <x:c r="K246" s="19" t="str">
        <x:v>What causes over-smoothing and over-squashing in graph neural networks, and which mitigation methods are supported by empirical and theoretical research?</x:v>
      </x:c>
      <x:c r="L246" s="19" t="str">
        <x:v>Over-squashing.Over-squashing [ 1, 100, 30, 7] was originally introduced as abottleneckresulting
from ‘squashing’ into node representations amounts of information that are growing potentially
exponentially quickly due to the topology of the graph. It is often characterized by the quantity
BhpKq
u {Bhp0q
v
 being low, implying that the final representation of node u is not very sensitive
to the initial representation at some other node v. While the relationship between over-squashing
and vanishing gradients was hinted at by [ 30], in Section 5 we explore this relationship in detail
by showing thattechniques aimed to mitigate vanishing gradients in sequence models help to
mitigate over-squashing in GNNs.
Vanishing gradients.Vanishing gradients have been extensively studied in RNNs [ 11, 61, 82],</x:v>
      </x:c>
      <x:c r="M246" s="19" t="str">
        <x:v>该段包含可直接回答问题的方法、指标、比较或研究发现。</x:v>
      </x:c>
      <x:c r="N246" s="13" t="str">
        <x:v>http://arxiv.org/abs/2502.10818v2</x:v>
      </x:c>
    </x:row>
    <x:row r="247" ht="58" customHeight="1">
      <x:c r="A247" s="13" t="str">
        <x:v>csq009-c009</x:v>
      </x:c>
      <x:c r="B247" s="13" t="str">
        <x:v>csq009</x:v>
      </x:c>
      <x:c r="C247" s="21" t="n">
        <x:v>9</x:v>
      </x:c>
      <x:c r="D247" s="20" t="str">
        <x:v>0</x:v>
      </x:c>
      <x:c r="E247" s="20" t="str"/>
      <x:c r="F247" s="20" t="str">
        <x:f>IF(E247="",D247,E247)</x:f>
        <x:v>0</x:v>
      </x:c>
      <x:c r="G247" s="13" t="str">
        <x:v>On the Trade-off between Over-smoothing and Over-squashing in Deep Graph Neural Networks</x:v>
      </x:c>
      <x:c r="H247" s="13" t="n">
        <x:v>9</x:v>
      </x:c>
      <x:c r="I247" s="22" t="n">
        <x:v>0.030158730158730156</x:v>
      </x:c>
      <x:c r="J247" s="13" t="n">
        <x:v>2</x:v>
      </x:c>
      <x:c r="K247" s="19" t="str">
        <x:v>What causes over-smoothing and over-squashing in graph neural networks, and which mitigation methods are supported by empirical and theoretical research?</x:v>
      </x:c>
      <x:c r="L247" s="19" t="str">
        <x:v>and Relieving the Over-Smoothing Problem for Graph Neural Networks from
the Topological View. In AAAI Conference on Artificial Intelligence .
[9] Yu Chen, Lingfei Wu, and Mohammed Zaki. 2020. Iterative deep graph learning
for graph neural networks: Better and robust node embeddings. In Advances in
Neural Information Processing Systems .
[10] Eli Chien, Jianhao Peng, Pan Li, and Olgica Milenkovic. 2021. Adaptive universal
generalized PageRank graph neural network. In International Conference on
Learning Representations.
[11] Fan R. K. Chung. 1997.Spectral graph theory. Number 92. American Mathematical
Soc.
[12] Francesco Di Giovanni, Lorenzo Giusti, Federico Barbero, Giulia Luise, Pietro Lio,
and Michael Bronstein. 2023. On Over-Squashing in Message Passing Neural Net-
works: The Impact of Width, Depth, and Topology.arXiv preprint arXiv:2302.02941
(2023).</x:v>
      </x:c>
      <x:c r="M247" s="19" t="str">
        <x:v>该段为无关内容、泛泛提及或参考文献片段，不能作为回答证据。</x:v>
      </x:c>
      <x:c r="N247" s="13" t="str">
        <x:v>http://arxiv.org/abs/2212.02374v2</x:v>
      </x:c>
    </x:row>
    <x:row r="248" ht="58" customHeight="1">
      <x:c r="A248" s="13" t="str">
        <x:v>csq009-c010</x:v>
      </x:c>
      <x:c r="B248" s="13" t="str">
        <x:v>csq009</x:v>
      </x:c>
      <x:c r="C248" s="21" t="n">
        <x:v>10</x:v>
      </x:c>
      <x:c r="D248" s="20" t="str">
        <x:v>0</x:v>
      </x:c>
      <x:c r="E248" s="20" t="str"/>
      <x:c r="F248" s="20" t="str">
        <x:f>IF(E248="",D248,E248)</x:f>
        <x:v>0</x:v>
      </x:c>
      <x:c r="G248" s="13" t="str">
        <x:v>Residual connections provably mitigate oversmoothing in graph neural networks</x:v>
      </x:c>
      <x:c r="H248" s="13" t="n">
        <x:v>29</x:v>
      </x:c>
      <x:c r="I248" s="22" t="n">
        <x:v>0.029418126757516764</x:v>
      </x:c>
      <x:c r="J248" s="13" t="n">
        <x:v>2</x:v>
      </x:c>
      <x:c r="K248" s="19" t="str">
        <x:v>What causes over-smoothing and over-squashing in graph neural networks, and which mitigation methods are supported by empirical and theoretical research?</x:v>
      </x:c>
      <x:c r="L248" s="19" t="str">
        <x:v>30 Z. CHEN, Z. LIN, S. CHEN, Y. POLYANSKIY, AND P. RIGOLLET
[SWJS24] Michael Scholkemper, Xinyi Wu, Ali Jadbabaie, and Michael Schaub. Residual connections and
normalization can provably prevent oversmoothing in gnns.arXiv preprint arXiv:2406.02997, 2024.
[VCC`18] Petar Veličković, Guillem Cucurull, Arantxa Casanova, Adriana Romero, Pietro Liò, and Yoshua
Bengio. Graph attention networks. InInternational Conference on Learning Representations, 2018.
[WAWJ23] Xinyi Wu, Amir Ajorlou, Zihui Wu, and Ali Jadbabaie. Demystifying oversmoothing in attention-
based graph neural networks.Advances in Neural Information Processing Systems, 37, 2023.
[WCWJ23] Xinyi Wu, Zhengdao Chen, William Wei Wang, and Ali Jadbabaie. A non-asymptotic analysis of
oversmoothing in graph neural networks. InThe Eleventh International Conference on Learning
Representations, 2023.</x:v>
      </x:c>
      <x:c r="M248" s="19" t="str">
        <x:v>该段为无关内容、泛泛提及或参考文献片段，不能作为回答证据。</x:v>
      </x:c>
      <x:c r="N248" s="13" t="str">
        <x:v>http://arxiv.org/abs/2501.00762v2</x:v>
      </x:c>
    </x:row>
    <x:row r="249" ht="58" customHeight="1">
      <x:c r="A249" s="13" t="str">
        <x:v>csq009-c011</x:v>
      </x:c>
      <x:c r="B249" s="13" t="str">
        <x:v>csq009</x:v>
      </x:c>
      <x:c r="C249" s="21" t="n">
        <x:v>11</x:v>
      </x:c>
      <x:c r="D249" s="20" t="str">
        <x:v>0</x:v>
      </x:c>
      <x:c r="E249" s="20" t="str"/>
      <x:c r="F249" s="20" t="str">
        <x:f>IF(E249="",D249,E249)</x:f>
        <x:v>0</x:v>
      </x:c>
      <x:c r="G249" s="13" t="str">
        <x:v>Over-Squashing in Riemannian Graph Neural Networks</x:v>
      </x:c>
      <x:c r="H249" s="13" t="n">
        <x:v>4</x:v>
      </x:c>
      <x:c r="I249" s="22" t="n">
        <x:v>0.029206349206349208</x:v>
      </x:c>
      <x:c r="J249" s="13" t="n">
        <x:v>2</x:v>
      </x:c>
      <x:c r="K249" s="19" t="str">
        <x:v>What causes over-smoothing and over-squashing in graph neural networks, and which mitigation methods are supported by empirical and theoretical research?</x:v>
      </x:c>
      <x:c r="L249" s="19" t="str">
        <x:v>V ol. 70. Proceedings of Machine Learning Research. PMLR, 2017, pp. 1263–1272. 1
[5] Uri Alon and Eran Yahav. “On the Bottleneck of Graph Neural Networks and its Practical
Implications”. In: International Conference on Learning Representations. 2021. 1
[6] Jake Topping et al. “Understanding over-squashing and bottlenecks on graphs via curvature”.
In: International Conference on Learning Representations. 2022. 1, 3, 4, 7
[7] Pradeep Kr. Banerjee et al. “Oversquashing in GNNs through the lens of information contrac-
tion and graph expansion”. en. In: 2022 58th Annual Allerton Conference on Communication,
Control, and Computing (Allerton). Monticello, IL, USA: IEEE, Sept. 2022, pp. 1–8. 1
[8] Mitchell Black et al. “Understanding Oversquashing in GNNs through the Lens of Effective
Resistance”. In: Proceedings of the 40th International Conference on Machine Learning .</x:v>
      </x:c>
      <x:c r="M249" s="19" t="str">
        <x:v>该段为无关内容、泛泛提及或参考文献片段，不能作为回答证据。</x:v>
      </x:c>
      <x:c r="N249" s="13" t="str">
        <x:v>http://arxiv.org/abs/2311.15945v1</x:v>
      </x:c>
    </x:row>
    <x:row r="250" ht="58" customHeight="1">
      <x:c r="A250" s="13" t="str">
        <x:v>csq009-c012</x:v>
      </x:c>
      <x:c r="B250" s="13" t="str">
        <x:v>csq009</x:v>
      </x:c>
      <x:c r="C250" s="21" t="n">
        <x:v>12</x:v>
      </x:c>
      <x:c r="D250" s="20" t="str">
        <x:v>2</x:v>
      </x:c>
      <x:c r="E250" s="20" t="str"/>
      <x:c r="F250" s="20" t="str">
        <x:f>IF(E250="",D250,E250)</x:f>
        <x:v>2</x:v>
      </x:c>
      <x:c r="G250" s="13" t="str">
        <x:v>Revisiting Over-smoothing and Over-squashing Using Ollivier-Ricci Curvature</x:v>
      </x:c>
      <x:c r="H250" s="13" t="n">
        <x:v>0</x:v>
      </x:c>
      <x:c r="I250" s="22" t="n">
        <x:v>0.0288981288981289</x:v>
      </x:c>
      <x:c r="J250" s="13" t="n">
        <x:v>2</x:v>
      </x:c>
      <x:c r="K250" s="19" t="str">
        <x:v>What causes over-smoothing and over-squashing in graph neural networks, and which mitigation methods are supported by empirical and theoretical research?</x:v>
      </x:c>
      <x:c r="L250" s="19" t="str">
        <x:v>crucial theoretical contribution to our understanding of the
over-smoothing and over-squashing issues. It enables the
development of novel architectures and methods that can
1
arXiv:2211.15779v3  [cs.LG]  31 May 2023</x:v>
      </x:c>
      <x:c r="M250" s="19" t="str">
        <x:v>该段包含可直接回答问题的方法、指标、比较或研究发现。</x:v>
      </x:c>
      <x:c r="N250" s="13" t="str">
        <x:v>http://arxiv.org/abs/2211.15779v3</x:v>
      </x:c>
    </x:row>
    <x:row r="251" ht="58" customHeight="1">
      <x:c r="A251" s="13" t="str">
        <x:v>csq009-c013</x:v>
      </x:c>
      <x:c r="B251" s="13" t="str">
        <x:v>csq009</x:v>
      </x:c>
      <x:c r="C251" s="21" t="n">
        <x:v>13</x:v>
      </x:c>
      <x:c r="D251" s="20" t="str">
        <x:v>2</x:v>
      </x:c>
      <x:c r="E251" s="20" t="str"/>
      <x:c r="F251" s="20" t="str">
        <x:f>IF(E251="",D251,E251)</x:f>
        <x:v>2</x:v>
      </x:c>
      <x:c r="G251" s="13" t="str">
        <x:v>How Wide and How Deep? Mitigating Over-Squashing of GNNs via Channel Capacity Constrained Estimation</x:v>
      </x:c>
      <x:c r="H251" s="13" t="n">
        <x:v>0</x:v>
      </x:c>
      <x:c r="I251" s="22" t="n">
        <x:v>0.028850145288501453</x:v>
      </x:c>
      <x:c r="J251" s="13" t="n">
        <x:v>2</x:v>
      </x:c>
      <x:c r="K251" s="19" t="str">
        <x:v>What causes over-smoothing and over-squashing in graph neural networks, and which mitigation methods are supported by empirical and theoretical research?</x:v>
      </x:c>
      <x:c r="L251" s="19" t="str">
        <x:v>Accepted author manuscript: You, Zheng, &amp; Cartlidge (2026), 40th Annual AAAI Conference on Artificial Intelligence (AAAI-26)
How Wide and How Deep? Mitigating Over-Squashing of GNNs
via Channel Capacity Constrained Estimation
Zinuo You1, Jin Zheng2, John Cartlidge2
1School of Computer Science
2School of Engineering Mathematics and Technology
University of Bristol, UK
zinuo.you@bristol.ac.uk, jin.zheng@bristol.ac.uk, john.cartlidge@bristol.ac.uk
Abstract
Existing graph neural networks typically rely on heuristic
choices for hidden dimensions and propagation depths, which
often lead to severe information loss during propagation,
known as over-squashing. To address this issue, we propose
Channel Capacity Constrained Estimation (C 3E), a novel
framework that formulates the selection of hidden dimensions
and depth as a nonlinear programming problem grounded in</x:v>
      </x:c>
      <x:c r="M251" s="19" t="str">
        <x:v>该段包含可直接回答问题的方法、指标、比较或研究发现。</x:v>
      </x:c>
      <x:c r="N251" s="13" t="str">
        <x:v>http://arxiv.org/abs/2511.06443v1</x:v>
      </x:c>
    </x:row>
    <x:row r="252" ht="58" customHeight="1">
      <x:c r="A252" s="13" t="str">
        <x:v>csq009-c014</x:v>
      </x:c>
      <x:c r="B252" s="13" t="str">
        <x:v>csq009</x:v>
      </x:c>
      <x:c r="C252" s="21" t="n">
        <x:v>14</x:v>
      </x:c>
      <x:c r="D252" s="20" t="str">
        <x:v>2</x:v>
      </x:c>
      <x:c r="E252" s="20" t="str"/>
      <x:c r="F252" s="20" t="str">
        <x:f>IF(E252="",D252,E252)</x:f>
        <x:v>2</x:v>
      </x:c>
      <x:c r="G252" s="13" t="str">
        <x:v>A Signed Graph Approach to Understanding and Mitigating Oversmoothing in GNNs</x:v>
      </x:c>
      <x:c r="H252" s="13" t="n">
        <x:v>2</x:v>
      </x:c>
      <x:c r="I252" s="22" t="n">
        <x:v>0.028850145288501453</x:v>
      </x:c>
      <x:c r="J252" s="13" t="n">
        <x:v>2</x:v>
      </x:c>
      <x:c r="K252" s="19" t="str">
        <x:v>What causes over-smoothing and over-squashing in graph neural networks, and which mitigation methods are supported by empirical and theoretical research?</x:v>
      </x:c>
      <x:c r="L252" s="19" t="str">
        <x:v>2 Related Work
Theory of Oversmoothing. The notion of oversmoothing was first introduced by [12], who observed
that node representations tend to converge to a common value as GNN depth increases. Subsequent
work [13, 15] provided rigorous proofs showing that this convergence occurs at an exponential rate
for GCNs and attention-based GNNs. [ 24] further showed that oversmoothing can arise even in
shallow networks under specific random graph models. [23] proved that residual connections and
normalization layers can mitigate oversmoothing, but they introduce their own limitations by altering
the original message-passing process.
Signed Graph-Inspired Methods. Several methods have drawn inspiration from signed graph
propagation to handle heterophilic graphs [27, 28, 29, 30, 31], where vanilla GNNs tend to perform</x:v>
      </x:c>
      <x:c r="M252" s="19" t="str">
        <x:v>该段包含可直接回答问题的方法、指标、比较或研究发现。</x:v>
      </x:c>
      <x:c r="N252" s="13" t="str">
        <x:v>http://arxiv.org/abs/2502.11394v2</x:v>
      </x:c>
    </x:row>
    <x:row r="253" ht="58" customHeight="1">
      <x:c r="A253" s="13" t="str">
        <x:v>csq009-c015</x:v>
      </x:c>
      <x:c r="B253" s="13" t="str">
        <x:v>csq009</x:v>
      </x:c>
      <x:c r="C253" s="21" t="n">
        <x:v>15</x:v>
      </x:c>
      <x:c r="D253" s="20" t="str">
        <x:v>0</x:v>
      </x:c>
      <x:c r="E253" s="20" t="str"/>
      <x:c r="F253" s="20" t="str">
        <x:f>IF(E253="",D253,E253)</x:f>
        <x:v>0</x:v>
      </x:c>
      <x:c r="G253" s="13" t="str">
        <x:v>A Non-Asymptotic Analysis of Oversmoothing in Graph Neural Networks</x:v>
      </x:c>
      <x:c r="H253" s="13" t="n">
        <x:v>9</x:v>
      </x:c>
      <x:c r="I253" s="22" t="n">
        <x:v>0.02871794871794872</x:v>
      </x:c>
      <x:c r="J253" s="13" t="n">
        <x:v>2</x:v>
      </x:c>
      <x:c r="K253" s="19" t="str">
        <x:v>What causes over-smoothing and over-squashing in graph neural networks, and which mitigation methods are supported by empirical and theoretical research?</x:v>
      </x:c>
      <x:c r="L253" s="19" t="str">
        <x:v>In ICLR, 2020.
[14] Deli Chen, Yankai Lin, Wei Li, Peng Li, Jie Zhou, and Xu Sun. Measuring and relieving the over-smoothing
problem for graph neural networks from the topological view. In AAAI, 2020.
[15] Ming Chen, Zhewei Wei, Zengfeng Huang, Bolin Ding, and Yaliang Li. Simple and deep graph convolutional
networks. In ICML, 2020.
[16] Nicolas Keriven. Not too little, not too much: a theoretical analysis of graph (over)smoothing. In NeurIPS, 2022.
[17] Meng Liu, Zhengyang Wang, and Shuiwang Ji. Non-local graph neural networks. IEEE transactions on pattern
analysis and machine intelligence, 2021.
[18] Yash Deshpande, Andrea Montanari, Elchanan Mossel, and Subhabrata Sen. Contextual stochastic block models.
In NeurIPS, 2018.
[19] Keyulu Xu, Chengtao Li, Yonglong Tian, Tomohiro Sonobe, Ken-ichi Kawarabayashi, and Stefanie Jegelka.</x:v>
      </x:c>
      <x:c r="M253" s="19" t="str">
        <x:v>该段为无关内容、泛泛提及或参考文献片段，不能作为回答证据。</x:v>
      </x:c>
      <x:c r="N253" s="13" t="str">
        <x:v>http://arxiv.org/abs/2212.10701v2</x:v>
      </x:c>
    </x:row>
    <x:row r="254" ht="58" customHeight="1">
      <x:c r="A254" s="13" t="str">
        <x:v>csq009-c016</x:v>
      </x:c>
      <x:c r="B254" s="13" t="str">
        <x:v>csq009</x:v>
      </x:c>
      <x:c r="C254" s="21" t="n">
        <x:v>16</x:v>
      </x:c>
      <x:c r="D254" s="20" t="str">
        <x:v>2</x:v>
      </x:c>
      <x:c r="E254" s="20" t="str"/>
      <x:c r="F254" s="20" t="str">
        <x:f>IF(E254="",D254,E254)</x:f>
        <x:v>2</x:v>
      </x:c>
      <x:c r="G254" s="13" t="str">
        <x:v>How Wide and How Deep? Mitigating Over-Squashing of GNNs via Channel Capacity Constrained Estimation</x:v>
      </x:c>
      <x:c r="H254" s="13" t="n">
        <x:v>1</x:v>
      </x:c>
      <x:c r="I254" s="22" t="n">
        <x:v>0.028484848484848488</x:v>
      </x:c>
      <x:c r="J254" s="13" t="n">
        <x:v>2</x:v>
      </x:c>
      <x:c r="K254" s="19" t="str">
        <x:v>What causes over-smoothing and over-squashing in graph neural networks, and which mitigation methods are supported by empirical and theoretical research?</x:v>
      </x:c>
      <x:c r="L254" s="19" t="str">
        <x:v>Spectral-based GNNs define propagation using spectral fil-
ters or kernel functions. Much of the progress in the field,
from early models like GCN (Kipf and Welling 2017),
APPNP (Gasteiger, Bojchevski, and G¨unnemann 2018), and
SGC (Wu et al. 2019), to advanced methods like GDC (two
variants: GDC HK and GDC PPR) (Gasteiger, Weißenberger,
and G ¨unnemann 2019), GPRGNN (Chien et al. 2020),
S2GC (Zhu and Koniusz 2021), ChebyNetII (He, Wei, and
Wen 2022), and JacobiConv (Wang and Zhang 2022). has
focused on designing sophisticated filters to overcome over-
smoothing. While successful, this focus on the propagation
mechanism has revealed a more fundamental and architec-
tural bottleneck: over-squashing. This form of information
loss stems not from the filter but from the capacity of learn-
able weight matrices that process propagated signals. As re-</x:v>
      </x:c>
      <x:c r="M254" s="19" t="str">
        <x:v>该段包含可直接回答问题的方法、指标、比较或研究发现。</x:v>
      </x:c>
      <x:c r="N254" s="13" t="str">
        <x:v>http://arxiv.org/abs/2511.06443v1</x:v>
      </x:c>
    </x:row>
    <x:row r="255" ht="58" customHeight="1">
      <x:c r="A255" s="13" t="str">
        <x:v>csq009-c017</x:v>
      </x:c>
      <x:c r="B255" s="13" t="str">
        <x:v>csq009</x:v>
      </x:c>
      <x:c r="C255" s="21" t="n">
        <x:v>17</x:v>
      </x:c>
      <x:c r="D255" s="20" t="str">
        <x:v>2</x:v>
      </x:c>
      <x:c r="E255" s="20" t="str"/>
      <x:c r="F255" s="20" t="str">
        <x:f>IF(E255="",D255,E255)</x:f>
        <x:v>2</x:v>
      </x:c>
      <x:c r="G255" s="13" t="str">
        <x:v>Mitigating Over-Smoothing and Over-Squashing using Augmentations of Forman-Ricci Curvature</x:v>
      </x:c>
      <x:c r="H255" s="13" t="n">
        <x:v>0</x:v>
      </x:c>
      <x:c r="I255" s="22" t="n">
        <x:v>0.028370221327967807</x:v>
      </x:c>
      <x:c r="J255" s="13" t="n">
        <x:v>2</x:v>
      </x:c>
      <x:c r="K255" s="19" t="str">
        <x:v>What causes over-smoothing and over-squashing in graph neural networks, and which mitigation methods are supported by empirical and theoretical research?</x:v>
      </x:c>
      <x:c r="L255" s="19" t="str">
        <x:v>Mitigating Over-Smoothing and Over-Squashing using
Augmentations of Forman-Ricci Curvature
Lukas F esser lukas fesser@fas.harvard.edu
Harvard University
Melanie W eber mweber@seas.harvard.edu
Harvard University
Abstract
While Graph Neural Networks (GNNs) have been successfully leveraged for learning on
graph-structured data across domains, several potential pitfalls have been described recently.
Those include the inability to accurately leverage information encoded in long-range connec-
tions ( over-squashing), as well as difficulties distinguishing the learned representations of
nearby nodes with growing network depth ( over-smoothing). An effective way to character-
ize both effects is discrete curvature: Long-range connections that underlie over-squashing
effects have low curvature, whereas edges that contribute to over-smoothing have high cur-</x:v>
      </x:c>
      <x:c r="M255" s="19" t="str">
        <x:v>该段包含可直接回答问题的方法、指标、比较或研究发现。</x:v>
      </x:c>
      <x:c r="N255" s="13" t="str">
        <x:v>http://arxiv.org/abs/2309.09384v3</x:v>
      </x:c>
    </x:row>
    <x:row r="256" ht="58" customHeight="1">
      <x:c r="A256" s="13" t="str">
        <x:v>csq009-c018</x:v>
      </x:c>
      <x:c r="B256" s="13" t="str">
        <x:v>csq009</x:v>
      </x:c>
      <x:c r="C256" s="21" t="n">
        <x:v>18</x:v>
      </x:c>
      <x:c r="D256" s="20" t="str">
        <x:v>2</x:v>
      </x:c>
      <x:c r="E256" s="20" t="str"/>
      <x:c r="F256" s="20" t="str">
        <x:f>IF(E256="",D256,E256)</x:f>
        <x:v>2</x:v>
      </x:c>
      <x:c r="G256" s="13" t="str">
        <x:v>On the Trade-off between Over-smoothing and Over-squashing in Deep Graph Neural Networks</x:v>
      </x:c>
      <x:c r="H256" s="13" t="n">
        <x:v>0</x:v>
      </x:c>
      <x:c r="I256" s="22" t="n">
        <x:v>0.02819138376017471</x:v>
      </x:c>
      <x:c r="J256" s="13" t="n">
        <x:v>2</x:v>
      </x:c>
      <x:c r="K256" s="19" t="str">
        <x:v>What causes over-smoothing and over-squashing in graph neural networks, and which mitigation methods are supported by empirical and theoretical research?</x:v>
      </x:c>
      <x:c r="L256" s="19" t="str">
        <x:v>discovery [16, 59], and computer vision [7, 21, 24, 32, 41].
Although GNNs show great promise in modeling graph-
structured data, they are not immune to common neural net-
work limitations, such as over-fitting and vanishing gradients [32].
Two intrinsic limitations of GNNs, over-smoothing [33] and over-
squashing [1], remain poorly understood. These issues arise when
stacking multiple graph convolutional layers, leading to degraded
node representations and distorted information from distant nodes.
Over-smoothing results from node features becoming more similar
with increasing convolutional layers [ 33], while over-squashing
occurs due to large information compression through bottleneck
edges [1]. These issues are particularly relevant in graphs with
large diameters and long-range dependencies between nodes [14],
as illustrated in Fig. 1, where an exponentially growing number of</x:v>
      </x:c>
      <x:c r="M256" s="19" t="str">
        <x:v>该段包含可直接回答问题的方法、指标、比较或研究发现。</x:v>
      </x:c>
      <x:c r="N256" s="13" t="str">
        <x:v>http://arxiv.org/abs/2212.02374v2</x:v>
      </x:c>
    </x:row>
    <x:row r="257" ht="58" customHeight="1">
      <x:c r="A257" s="13" t="str">
        <x:v>csq009-c019</x:v>
      </x:c>
      <x:c r="B257" s="13" t="str">
        <x:v>csq009</x:v>
      </x:c>
      <x:c r="C257" s="21" t="n">
        <x:v>19</x:v>
      </x:c>
      <x:c r="D257" s="20" t="str">
        <x:v>2</x:v>
      </x:c>
      <x:c r="E257" s="20" t="str"/>
      <x:c r="F257" s="20" t="str">
        <x:f>IF(E257="",D257,E257)</x:f>
        <x:v>2</x:v>
      </x:c>
      <x:c r="G257" s="13" t="str">
        <x:v>Over-Squashing in Riemannian Graph Neural Networks</x:v>
      </x:c>
      <x:c r="H257" s="13" t="n">
        <x:v>0</x:v>
      </x:c>
      <x:c r="I257" s="22" t="n">
        <x:v>0.027777777777777776</x:v>
      </x:c>
      <x:c r="J257" s="13" t="n">
        <x:v>2</x:v>
      </x:c>
      <x:c r="K257" s="19" t="str">
        <x:v>What causes over-smoothing and over-squashing in graph neural networks, and which mitigation methods are supported by empirical and theoretical research?</x:v>
      </x:c>
      <x:c r="L257" s="19" t="str">
        <x:v>Riemannian GNNs as the number of layers increases, which yield promising
theoretical and empirical results for alleviating over-squashing in graphs with
negative curvature.
1 Introduction
Graph Neural Networks (GNNs) have emerged as a powerful tool for modeling relational systems
and learning on graph-structured data [1–4]. Most GNN architectures rely on the message-passing
paradigm in which information is propagated along the edges of the graph, resulting in a class of Mes-
sage Passing Neural Networks (MPNNs). However, due to an exponentially growing computational
tree, the compression of a quickly increasing amount of information into a fixed-size vector leads
to informational over-squashing [5]. This phenomenon poses a significant challenge on long-range
tasks with a large problem radius since it obstructs the diffusion of information from distant nodes.</x:v>
      </x:c>
      <x:c r="M257" s="19" t="str">
        <x:v>该段包含可直接回答问题的方法、指标、比较或研究发现。</x:v>
      </x:c>
      <x:c r="N257" s="13" t="str">
        <x:v>http://arxiv.org/abs/2311.15945v1</x:v>
      </x:c>
    </x:row>
    <x:row r="258" ht="58" customHeight="1">
      <x:c r="A258" s="13" t="str">
        <x:v>csq009-c020</x:v>
      </x:c>
      <x:c r="B258" s="13" t="str">
        <x:v>csq009</x:v>
      </x:c>
      <x:c r="C258" s="21" t="n">
        <x:v>20</x:v>
      </x:c>
      <x:c r="D258" s="20" t="str">
        <x:v>2</x:v>
      </x:c>
      <x:c r="E258" s="20" t="str"/>
      <x:c r="F258" s="20" t="str">
        <x:f>IF(E258="",D258,E258)</x:f>
        <x:v>2</x:v>
      </x:c>
      <x:c r="G258" s="13" t="str">
        <x:v>How Wide and How Deep? Mitigating Over-Squashing of GNNs via Channel Capacity Constrained Estimation</x:v>
      </x:c>
      <x:c r="H258" s="13" t="n">
        <x:v>3</x:v>
      </x:c>
      <x:c r="I258" s="22" t="n">
        <x:v>0.01639344262295082</x:v>
      </x:c>
      <x:c r="J258" s="13" t="n">
        <x:v>1</x:v>
      </x:c>
      <x:c r="K258" s="19" t="str">
        <x:v>What causes over-smoothing and over-squashing in graph neural networks, and which mitigation methods are supported by empirical and theoretical research?</x:v>
      </x:c>
      <x:c r="L258" s="19" t="str">
        <x:v>Accepted author manuscript: You, Zheng, &amp; Cartlidge (2026), 40th Annual AAAI Conference on Artificial Intelligence (AAAI-26)
information compression in GNNs via the graph bottleneck
or the Jacobian of latent representation. For instance, Top-
ping et al. (2021) illustrate that the graph bottleneck leads to
severe information compression and hence over-squashing,
originating from high negative curvature edges. According
to Saxe et al. (2019), information compression occurs along
with the representation learning process. Furthermore, other
studies (Di Giovanni et al. 2023; Huang et al. 2024) show
that over-squashing is closely related to choices of hidden di-
mensions and propagation depth. However, these measures
are hard to obtain due to complex graph structures and vari-
ations in training. Thus, we introduce a metric termed repre-</x:v>
      </x:c>
      <x:c r="M258" s="19" t="str">
        <x:v>该段包含可直接回答问题的方法、指标、比较或研究发现。</x:v>
      </x:c>
      <x:c r="N258" s="13" t="str">
        <x:v>http://arxiv.org/abs/2511.06443v1</x:v>
      </x:c>
    </x:row>
    <x:row r="259" ht="58" customHeight="1">
      <x:c r="A259" s="13" t="str">
        <x:v>csq009-c021</x:v>
      </x:c>
      <x:c r="B259" s="13" t="str">
        <x:v>csq009</x:v>
      </x:c>
      <x:c r="C259" s="21" t="n">
        <x:v>21</x:v>
      </x:c>
      <x:c r="D259" s="20" t="str">
        <x:v>2</x:v>
      </x:c>
      <x:c r="E259" s="20" t="str"/>
      <x:c r="F259" s="20" t="str">
        <x:f>IF(E259="",D259,E259)</x:f>
        <x:v>2</x:v>
      </x:c>
      <x:c r="G259" s="13" t="str">
        <x:v>A Non-Asymptotic Analysis of Oversmoothing in Graph Neural Networks</x:v>
      </x:c>
      <x:c r="H259" s="13" t="n">
        <x:v>0</x:v>
      </x:c>
      <x:c r="I259" s="22" t="n">
        <x:v>0.01639344262295082</x:v>
      </x:c>
      <x:c r="J259" s="13" t="n">
        <x:v>1</x:v>
      </x:c>
      <x:c r="K259" s="19" t="str">
        <x:v>What causes over-smoothing and over-squashing in graph neural networks, and which mitigation methods are supported by empirical and theoretical research?</x:v>
      </x:c>
      <x:c r="L259" s="19" t="str">
        <x:v>A NON -ASYMPTOTIC ANALYSIS OF OVERSMOOTHING
IN GRAPH NEURAL NETWORKS
Xinyi Wu1,2, Zhengdao Chen3*, William Wang2, and Ali Jadbabaie1,2
1Institute for Data, Systems, and Society (IDSS), Massachusetts Institute of Technology
2Laboratory for Information and Decision Systems (LIDS), Massachusetts Institute of Technology
3Courant Institute of Mathematical Sciences, New York University
ABSTRACT
Oversmoothing is a central challenge of building more powerful Graph Neural Networks (GNNs).
While previous works have only demonstrated that oversmoothing is inevitable when the number
of graph convolutions tends to inﬁnity, in this paper, we precisely characterize the mechanism
behind the phenomenon via a non-asymptotic analysis. Speciﬁcally, we distinguish between two
different effects when applying graph convolutions—an undesirable mixing effect that homogenizes</x:v>
      </x:c>
      <x:c r="M259" s="19" t="str">
        <x:v>该段包含可直接回答问题的方法、指标、比较或研究发现。</x:v>
      </x:c>
      <x:c r="N259" s="13" t="str">
        <x:v>http://arxiv.org/abs/2212.10701v2</x:v>
      </x:c>
    </x:row>
    <x:row r="260" ht="58" customHeight="1">
      <x:c r="A260" s="13" t="str">
        <x:v>csq009-c022</x:v>
      </x:c>
      <x:c r="B260" s="13" t="str">
        <x:v>csq009</x:v>
      </x:c>
      <x:c r="C260" s="21" t="n">
        <x:v>22</x:v>
      </x:c>
      <x:c r="D260" s="20" t="str">
        <x:v>2</x:v>
      </x:c>
      <x:c r="E260" s="20" t="str"/>
      <x:c r="F260" s="20" t="str">
        <x:f>IF(E260="",D260,E260)</x:f>
        <x:v>2</x:v>
      </x:c>
      <x:c r="G260" s="13" t="str">
        <x:v>Mitigating Over-Squashing in Graph Neural Networks by Spectrum-Preserving Sparsification</x:v>
      </x:c>
      <x:c r="H260" s="13" t="n">
        <x:v>2</x:v>
      </x:c>
      <x:c r="I260" s="22" t="n">
        <x:v>0.01639344262295082</x:v>
      </x:c>
      <x:c r="J260" s="13" t="n">
        <x:v>1</x:v>
      </x:c>
      <x:c r="K260" s="19" t="str">
        <x:v>What causes over-smoothing and over-squashing in graph neural networks, and which mitigation methods are supported by empirical and theoretical research?</x:v>
      </x:c>
      <x:c r="L260" s="19" t="str">
        <x:v>Mitigating Over-Squashing in Graph Neural Networks by Spectrum-Preserving Sparsification
minimizing total effective resistance to reduce bottlenecks.
Attali et al. (2024) construct new graphs based on node fea-
tures, completely discarding the original topology. Other
methods address over-squashing without altering the origi-
nal graph topology. Giovanni et al. (2023) investigates the
impact of model width, depth, and topology. (Tortorella &amp;
Micheli, 2022) and PANDA (Choi et al., 2024) propose alter-
native message-passing mechanisms, with PANDA focusing
on expanded width-aware message passing. Cooperative
Graph Neural Networks (Finkelshtein et al., 2024) also in-
troduce learned cooperative mechanisms in message passing
that can help alleviate information bottlenecks.
While these approaches improve connectivity, they often
substantially change the topology, overlooking the signif-</x:v>
      </x:c>
      <x:c r="M260" s="19" t="str">
        <x:v>该段包含可直接回答问题的方法、指标、比较或研究发现。</x:v>
      </x:c>
      <x:c r="N260" s="13" t="str">
        <x:v>http://arxiv.org/abs/2506.16110v1</x:v>
      </x:c>
    </x:row>
    <x:row r="261" ht="58" customHeight="1">
      <x:c r="A261" s="13" t="str">
        <x:v>csq009-c023</x:v>
      </x:c>
      <x:c r="B261" s="13" t="str">
        <x:v>csq009</x:v>
      </x:c>
      <x:c r="C261" s="21" t="n">
        <x:v>23</x:v>
      </x:c>
      <x:c r="D261" s="20" t="str">
        <x:v>2</x:v>
      </x:c>
      <x:c r="E261" s="20" t="str"/>
      <x:c r="F261" s="20" t="str">
        <x:f>IF(E261="",D261,E261)</x:f>
        <x:v>2</x:v>
      </x:c>
      <x:c r="G261" s="13" t="str">
        <x:v>A Non-Asymptotic Analysis of Oversmoothing in Graph Neural Networks</x:v>
      </x:c>
      <x:c r="H261" s="13" t="n">
        <x:v>8</x:v>
      </x:c>
      <x:c r="I261" s="22" t="n">
        <x:v>0.016129032258064516</x:v>
      </x:c>
      <x:c r="J261" s="13" t="n">
        <x:v>1</x:v>
      </x:c>
      <x:c r="K261" s="19" t="str">
        <x:v>What causes over-smoothing and over-squashing in graph neural networks, and which mitigation methods are supported by empirical and theoretical research?</x:v>
      </x:c>
      <x:c r="L261" s="19" t="str">
        <x:v>difﬁculty of optimizing deep GNN models.
6 Discussion
Designing more powerful GNNs requires deeper understanding of current GNNs—how they work and why they fail. In
this paper, we precisely characterize the mechanism of overmoothing via a non-asymptotic analysis and justify why
oversmoothing happens at a shallow depth. Our analysis suggests that oversmoothing happens once the undesirable
mixing effect homogenizing node representations in different classes starts to dominate the desirable denoising effect
homogenizing node representations in the same class. Due to the small diameter characteristic of real graphs, the
turning point of the tradeoff will occur after only a few rounds of message-passing, resulting in oversmoothing in
shallow GNNs.
It is worth noting that oversmoothing becomes an important problem in the literature partly because typical Convolutional</x:v>
      </x:c>
      <x:c r="M261" s="19" t="str">
        <x:v>该段包含可直接回答问题的方法、指标、比较或研究发现。</x:v>
      </x:c>
      <x:c r="N261" s="13" t="str">
        <x:v>http://arxiv.org/abs/2212.10701v2</x:v>
      </x:c>
    </x:row>
    <x:row r="262" ht="58" customHeight="1">
      <x:c r="A262" s="13" t="str">
        <x:v>csq009-c024</x:v>
      </x:c>
      <x:c r="B262" s="13" t="str">
        <x:v>csq009</x:v>
      </x:c>
      <x:c r="C262" s="21" t="n">
        <x:v>24</x:v>
      </x:c>
      <x:c r="D262" s="20" t="str">
        <x:v>2</x:v>
      </x:c>
      <x:c r="E262" s="20" t="str"/>
      <x:c r="F262" s="20" t="str">
        <x:f>IF(E262="",D262,E262)</x:f>
        <x:v>2</x:v>
      </x:c>
      <x:c r="G262" s="13" t="str">
        <x:v>A Signed Graph Approach to Understanding and Mitigating Oversmoothing in GNNs</x:v>
      </x:c>
      <x:c r="H262" s="13" t="n">
        <x:v>1</x:v>
      </x:c>
      <x:c r="I262" s="22" t="n">
        <x:v>0.015873015873015872</x:v>
      </x:c>
      <x:c r="J262" s="13" t="n">
        <x:v>1</x:v>
      </x:c>
      <x:c r="K262" s="19" t="str">
        <x:v>What causes over-smoothing and over-squashing in graph neural networks, and which mitigation methods are supported by empirical and theoretical research?</x:v>
      </x:c>
      <x:c r="L262" s="19" t="str">
        <x:v>label-scarce settings (Figure 1(e)). We theoretically show that Label-SBP induces structural balance
under mild conditions. Empirically, we evaluate both variants on nine synthetic and real-world
benchmarks across homophilic and heterophilic settings. Our results show that SBP consistently
improves classification performance and mitigates oversmoothing, validating our theoretical findings.
Finally, we analyze the robustness of SBP to design choices, highlighting its adaptability and reliability
across diverse GNN settings.
Our main contributions are summarized as follows:
• We provide a unified theoretical perspective showing that many oversmoothing mitigation tech-
niques such as normalization, residual connections, and edge dropout, can be interpreted as
implicitly introducing negative edges into the graph. We formalize this insight through the</x:v>
      </x:c>
      <x:c r="M262" s="19" t="str">
        <x:v>该段包含可直接回答问题的方法、指标、比较或研究发现。</x:v>
      </x:c>
      <x:c r="N262" s="13" t="str">
        <x:v>http://arxiv.org/abs/2502.11394v2</x:v>
      </x:c>
    </x:row>
    <x:row r="263" ht="58" customHeight="1">
      <x:c r="A263" s="13" t="str">
        <x:v>csq009-c025</x:v>
      </x:c>
      <x:c r="B263" s="13" t="str">
        <x:v>csq009</x:v>
      </x:c>
      <x:c r="C263" s="21" t="n">
        <x:v>25</x:v>
      </x:c>
      <x:c r="D263" s="20" t="str">
        <x:v>0</x:v>
      </x:c>
      <x:c r="E263" s="20" t="str"/>
      <x:c r="F263" s="20" t="str">
        <x:f>IF(E263="",D263,E263)</x:f>
        <x:v>0</x:v>
      </x:c>
      <x:c r="G263" s="13" t="str">
        <x:v>Mitigating Over-Squashing in Graph Neural Networks by Spectrum-Preserving Sparsification</x:v>
      </x:c>
      <x:c r="H263" s="13" t="n">
        <x:v>9</x:v>
      </x:c>
      <x:c r="I263" s="22" t="n">
        <x:v>0.015873015873015872</x:v>
      </x:c>
      <x:c r="J263" s="13" t="n">
        <x:v>1</x:v>
      </x:c>
      <x:c r="K263" s="19" t="str">
        <x:v>What causes over-smoothing and over-squashing in graph neural networks, and which mitigation methods are supported by empirical and theoretical research?</x:v>
      </x:c>
      <x:c r="L263" s="19" t="str">
        <x:v>Mitigating Over-Squashing in Graph Neural Networks by Spectrum-Preserving Sparsification
Impact Statement
This paper presents work whose goal is to advance the field
of Machine Learning. There are many potential societal
consequences of our work, none of which we feel must be
specifically highlighted here.
Acknowledgements
We thank the anonymous reviewers for their constructive
feedback. This work was partly supported by the National
Research Foundation of Korea (NRF) grant funded by the
Korea government (MSIT) (No. RS-2024-00406985). This
work was partly supported by Institute of Information &amp;
Communications Technology Planning &amp; Evaluation (IITP)
grant funded by the Korea government (MSIT) (No. 2022-0-
00871 / RS-2022-II220871, Development of AI Autonomy
and Knowledge Enhancement for AI Agent Collaboration)
(No. RS-2024-00438638, EntireDB2AI: Foundations and</x:v>
      </x:c>
      <x:c r="M263" s="19" t="str">
        <x:v>该段为无关内容、泛泛提及或参考文献片段，不能作为回答证据。</x:v>
      </x:c>
      <x:c r="N263" s="13" t="str">
        <x:v>http://arxiv.org/abs/2506.16110v1</x:v>
      </x:c>
    </x:row>
    <x:row r="264" ht="58" customHeight="1">
      <x:c r="A264" s="13" t="str">
        <x:v>csq009-c026</x:v>
      </x:c>
      <x:c r="B264" s="13" t="str">
        <x:v>csq009</x:v>
      </x:c>
      <x:c r="C264" s="21" t="n">
        <x:v>26</x:v>
      </x:c>
      <x:c r="D264" s="20" t="str">
        <x:v>2</x:v>
      </x:c>
      <x:c r="E264" s="20" t="str"/>
      <x:c r="F264" s="20" t="str">
        <x:f>IF(E264="",D264,E264)</x:f>
        <x:v>2</x:v>
      </x:c>
      <x:c r="G264" s="13" t="str">
        <x:v>How Wide and How Deep? Mitigating Over-Squashing of GNNs via Channel Capacity Constrained Estimation</x:v>
      </x:c>
      <x:c r="H264" s="13" t="n">
        <x:v>0</x:v>
      </x:c>
      <x:c r="I264" s="22" t="n">
        <x:v>0.015625</x:v>
      </x:c>
      <x:c r="J264" s="13" t="n">
        <x:v>1</x:v>
      </x:c>
      <x:c r="K264" s="19" t="str">
        <x:v>What causes over-smoothing and over-squashing in graph neural networks, and which mitigation methods are supported by empirical and theoretical research?</x:v>
      </x:c>
      <x:c r="L264" s="19" t="str">
        <x:v>framework that formulates the selection of hidden dimensions
and depth as a nonlinear programming problem grounded in
information theory. Through modeling spectral graph neural
networks as communication channels, our approach directly
connects channel capacity to hidden dimensions, propagation
depth, propagation mechanism, and graph structure. Exten-
sive experiments on nine public datasets demonstrate that
hidden dimensions and depths estimated by C 3E can miti-
gate over-squashing and consistently improve representation
learning. Experimental results show that over-squashing oc-
curs due to the cumulative compression of information in
representation matrices. Furthermore, our findings show that
increasing hidden dimensions indeed mitigates information
compression, while the role of propagation depth is more nu-
anced, uncovering a fundamental balance between informa-</x:v>
      </x:c>
      <x:c r="M264" s="19" t="str">
        <x:v>该段包含可直接回答问题的方法、指标、比较或研究发现。</x:v>
      </x:c>
      <x:c r="N264" s="13" t="str">
        <x:v>http://arxiv.org/abs/2511.06443v1</x:v>
      </x:c>
    </x:row>
    <x:row r="265" ht="58" customHeight="1">
      <x:c r="A265" s="13" t="str">
        <x:v>csq009-c027</x:v>
      </x:c>
      <x:c r="B265" s="13" t="str">
        <x:v>csq009</x:v>
      </x:c>
      <x:c r="C265" s="21" t="n">
        <x:v>27</x:v>
      </x:c>
      <x:c r="D265" s="20" t="str">
        <x:v>0</x:v>
      </x:c>
      <x:c r="E265" s="20" t="str"/>
      <x:c r="F265" s="20" t="str">
        <x:f>IF(E265="",D265,E265)</x:f>
        <x:v>0</x:v>
      </x:c>
      <x:c r="G265" s="13" t="str">
        <x:v>A Signed Graph Approach to Understanding and Mitigating Oversmoothing in GNNs</x:v>
      </x:c>
      <x:c r="H265" s="13" t="n">
        <x:v>12</x:v>
      </x:c>
      <x:c r="I265" s="22" t="n">
        <x:v>0.015625</x:v>
      </x:c>
      <x:c r="J265" s="13" t="n">
        <x:v>1</x:v>
      </x:c>
      <x:c r="K265" s="19" t="str">
        <x:v>What causes over-smoothing and over-squashing in graph neural networks, and which mitigation methods are supported by empirical and theoretical research?</x:v>
      </x:c>
      <x:c r="L265" s="19" t="str">
        <x:v>Appendix
Contents
A Limitations 14
B Background on GNNs 14
B.1 Graph Convolution Networks . . . . . . . . . . . . . . . . . . . . . . . . . . . . . 14
B.2 Simplified Graph Convolution Networks . . . . . . . . . . . . . . . . . . . . . . . 14
B.3 Signed Graph Propagation . . . . . . . . . . . . . . . . . . . . . . . . . . . . . . 14
C Proof of Theorem 3.2 15
D Proof of Theorem 4.2 16
E A Signed Graph Perspective on Existing Oversmoothing Countermeasures 17
E.1 Normalizations . . . . . . . . . . . . . . . . . . . . . . . . . . . . . . . . . . . . 18
E.2 Dropping . . . . . . . . . . . . . . . . . . . . . . . . . . . . . . . . . . . . . . . 20
E.3 Residual Connections . . . . . . . . . . . . . . . . . . . . . . . . . . . . . . . . . 20
F Oversmoothing Metrics 21
G Weakly Structural Balance 22
H Statement and Proof of Label- SBP 22
I Details of Experiments 24</x:v>
      </x:c>
      <x:c r="M265" s="19" t="str">
        <x:v>该段为无关内容、泛泛提及或参考文献片段，不能作为回答证据。</x:v>
      </x:c>
      <x:c r="N265" s="13" t="str">
        <x:v>http://arxiv.org/abs/2502.11394v2</x:v>
      </x:c>
    </x:row>
    <x:row r="266" ht="58" customHeight="1">
      <x:c r="A266" s="13" t="str">
        <x:v>csq009-c028</x:v>
      </x:c>
      <x:c r="B266" s="13" t="str">
        <x:v>csq009</x:v>
      </x:c>
      <x:c r="C266" s="21" t="n">
        <x:v>28</x:v>
      </x:c>
      <x:c r="D266" s="20" t="str">
        <x:v>2</x:v>
      </x:c>
      <x:c r="E266" s="20" t="str"/>
      <x:c r="F266" s="20" t="str">
        <x:f>IF(E266="",D266,E266)</x:f>
        <x:v>2</x:v>
      </x:c>
      <x:c r="G266" s="13" t="str">
        <x:v>Revisiting Over-smoothing and Over-squashing Using Ollivier-Ricci Curvature</x:v>
      </x:c>
      <x:c r="H266" s="13" t="n">
        <x:v>0</x:v>
      </x:c>
      <x:c r="I266" s="22" t="n">
        <x:v>0.015625</x:v>
      </x:c>
      <x:c r="J266" s="13" t="n">
        <x:v>1</x:v>
      </x:c>
      <x:c r="K266" s="19" t="str">
        <x:v>What causes over-smoothing and over-squashing in graph neural networks, and which mitigation methods are supported by empirical and theoretical research?</x:v>
      </x:c>
      <x:c r="L266" s="19" t="str">
        <x:v>Revisiting Over-smoothing and Over-squashing Using Ollivier-Ricci Curvature
Khang Nguyen 1 2 Hieu Nong 1 Vinh Nguyen 1 Nhat Ho 3 Stanley Osher 4 Tan Nguyen5
Abstract
Graph Neural Networks (GNNs) had been demon-
strated to be inherently susceptible to the prob-
lems of over-smoothing and over-squashing.
These issues prohibit the ability of GNNs to
model complex graph interactions by limiting
their effectiveness in taking into account distant
information. Our study reveals the key connec-
tion between the local graph geometry and the
occurrence of both of these issues, thereby pro-
viding a unified framework for studying them
at a local scale using the Ollivier-Ricci curva-
ture. Specifically, we demonstrate that over-
smoothing is linked to positive graph curvature
while over-squashing is linked to negative graph
curvature. Based on our theory, we propose the</x:v>
      </x:c>
      <x:c r="M266" s="19" t="str">
        <x:v>该段包含可直接回答问题的方法、指标、比较或研究发现。</x:v>
      </x:c>
      <x:c r="N266" s="13" t="str">
        <x:v>http://arxiv.org/abs/2211.15779v3</x:v>
      </x:c>
    </x:row>
    <x:row r="267" ht="58" customHeight="1">
      <x:c r="A267" s="13" t="str">
        <x:v>csq009-c029</x:v>
      </x:c>
      <x:c r="B267" s="13" t="str">
        <x:v>csq009</x:v>
      </x:c>
      <x:c r="C267" s="21" t="n">
        <x:v>29</x:v>
      </x:c>
      <x:c r="D267" s="20" t="str">
        <x:v>1</x:v>
      </x:c>
      <x:c r="E267" s="20" t="str"/>
      <x:c r="F267" s="20" t="str">
        <x:f>IF(E267="",D267,E267)</x:f>
        <x:v>1</x:v>
      </x:c>
      <x:c r="G267" s="13" t="str">
        <x:v>Revisiting Over-smoothing and Over-squashing Using Ollivier-Ricci Curvature</x:v>
      </x:c>
      <x:c r="H267" s="13" t="n">
        <x:v>1</x:v>
      </x:c>
      <x:c r="I267" s="22" t="n">
        <x:v>0.015151515151515152</x:v>
      </x:c>
      <x:c r="J267" s="13" t="n">
        <x:v>1</x:v>
      </x:c>
      <x:c r="K267" s="19" t="str">
        <x:v>What causes over-smoothing and over-squashing in graph neural networks, and which mitigation methods are supported by empirical and theoretical research?</x:v>
      </x:c>
      <x:c r="L267" s="19" t="str">
        <x:v>u ∼ v if (u, v) ∈ E. The shortest path distance between two
vertices u, vis denoted by d(u, v). We let Nu = {p ∈ V |
p ∼ u} be the 1-hop neighborhood and ˜Nu = Nu ∪ {u} be
the extended neighborhood of u. The characters n, mare
used to denote the degrees of the vertices u, v.
2. Related Work
Over-smoothing: First recognised by (Li et al., 2018a),
who observed that GCN with non-linearity removed induces
a smoothing effect on data features, over-smoothing has
been one of the focal considerations in the study of GNNs.
A dynamical system approach was used by (Oono &amp; Suzuki,
2020) to show that under considerable assumptions, even
GCN with ReLU can not escape this plight. Follow-up
work by (Cai &amp; Wang, 2020) generalized and improved this
approach. Designing ways to alleviate or purposefully avoid
the problem is a lively research area (Luan et al., 2019; Zhao</x:v>
      </x:c>
      <x:c r="M267" s="19" t="str">
        <x:v>该段提供相关背景或侧面信息，但没有直接回答问题核心。</x:v>
      </x:c>
      <x:c r="N267" s="13" t="str">
        <x:v>http://arxiv.org/abs/2211.15779v3</x:v>
      </x:c>
    </x:row>
    <x:row r="268" ht="58" customHeight="1">
      <x:c r="A268" s="13" t="str">
        <x:v>csq009-c030</x:v>
      </x:c>
      <x:c r="B268" s="13" t="str">
        <x:v>csq009</x:v>
      </x:c>
      <x:c r="C268" s="21" t="n">
        <x:v>30</x:v>
      </x:c>
      <x:c r="D268" s="20" t="str">
        <x:v>2</x:v>
      </x:c>
      <x:c r="E268" s="20" t="str"/>
      <x:c r="F268" s="20" t="str">
        <x:f>IF(E268="",D268,E268)</x:f>
        <x:v>2</x:v>
      </x:c>
      <x:c r="G268" s="13" t="str">
        <x:v>Revisiting Over-smoothing and Over-squashing Using Ollivier-Ricci Curvature</x:v>
      </x:c>
      <x:c r="H268" s="13" t="n">
        <x:v>1</x:v>
      </x:c>
      <x:c r="I268" s="22" t="n">
        <x:v>0.014925373134328358</x:v>
      </x:c>
      <x:c r="J268" s="13" t="n">
        <x:v>1</x:v>
      </x:c>
      <x:c r="K268" s="19" t="str">
        <x:v>What causes over-smoothing and over-squashing in graph neural networks, and which mitigation methods are supported by empirical and theoretical research?</x:v>
      </x:c>
      <x:c r="L268" s="19" t="str">
        <x:v>Revisiting Over-smoothing and Over-squashing Using Ollivier-Ricci Curvature
effectively learn complex and long-range graph interactions,
thereby broadening the applications of GNNs on practical
tasks.
Contribution. We present a unified theoretical framework
to study both the over-smoothing and over-squashing phe-
nomena in GNNs at the local level using the Ollivier-Ricci
curvature (Ollivier, 2009), an inherent local geometric prop-
erty of graphs. Our key contributions are three-fold:
1. We prove that very positively curved edges cause node
representations to become similar, thereby establishing
a link between the over-smoothing issue and high edge
curvature.
2. We prove that low curvature value characterizes graph
bottlenecks and demonstrate a connection between the
over-squashing issue and negative edge curvature.
3. Based on our theoretical results, we propose the</x:v>
      </x:c>
      <x:c r="M268" s="19" t="str">
        <x:v>该段包含可直接回答问题的方法、指标、比较或研究发现。</x:v>
      </x:c>
      <x:c r="N268" s="13" t="str">
        <x:v>http://arxiv.org/abs/2211.15779v3</x:v>
      </x:c>
    </x:row>
    <x:row r="269" ht="58" customHeight="1">
      <x:c r="A269" s="13" t="str">
        <x:v>csq010-c001</x:v>
      </x:c>
      <x:c r="B269" s="13" t="str">
        <x:v>csq010</x:v>
      </x:c>
      <x:c r="C269" s="21" t="n">
        <x:v>1</x:v>
      </x:c>
      <x:c r="D269" s="20" t="str">
        <x:v>0</x:v>
      </x:c>
      <x:c r="E269" s="20" t="str"/>
      <x:c r="F269" s="20" t="str">
        <x:f>IF(E269="",D269,E269)</x:f>
        <x:v>0</x:v>
      </x:c>
      <x:c r="G269" s="13" t="str">
        <x:v>Masked Image Modeling: A Survey</x:v>
      </x:c>
      <x:c r="H269" s="13" t="n">
        <x:v>45</x:v>
      </x:c>
      <x:c r="I269" s="22" t="n">
        <x:v>0.06092481618428323</x:v>
      </x:c>
      <x:c r="J269" s="13" t="n">
        <x:v>4</x:v>
      </x:c>
      <x:c r="K269" s="19" t="str">
        <x:v>How have self-supervised representation learning objectives evolved from contrastive learning to non-contrastive and masked-prediction approaches?</x:v>
      </x:c>
      <x:c r="L269" s="19" t="str">
        <x:v>Zhang Q, Wang Y, Wang Y. How Mask Matters:
Towards Theoretical Understandings of Masked
Autoencoders. In: Proceesdings of NeurIPS; 2022.
p. 27127–27139.
Chen T, Kornblith S, Norouzi M, Hinton G. A simple
framework for contrastive learning of visual rep-
resentations. In: Proceedings of ICML; 2020. p.
1597–1607.
Grill JB, Strub F, Altché F, Tallec C, Richemond
PH, Buchatskaya E, et al. Bootstrap your own
latent a new approach to self-supervised learning.
In: Proceedings of NeurIPS; 2020. p. 21271–21284.
He K, Fan H, Wu Y, Xie S, Girshick R. Momentum
Contrast for Unsupervised Visual Representation
Learning. In: Proceedings of CVPR; 2020. p. 9726–
9735.
Ghiţă A, Ionescu RT. A New Loss for Image Retrieval:
Class Anchor Margin. In: Proceedings of PAKDD;
2024. p. 43–54.
Chen P, Liu S, Jia J. Jigsaw Clustering for Unsuper-
vised Visual Representation Learning. In: Proceed-</x:v>
      </x:c>
      <x:c r="M269" s="19" t="str">
        <x:v>该段为无关内容、泛泛提及或参考文献片段，不能作为回答证据。</x:v>
      </x:c>
      <x:c r="N269" s="13" t="str">
        <x:v>http://arxiv.org/abs/2408.06687v3</x:v>
      </x:c>
    </x:row>
    <x:row r="270" ht="58" customHeight="1">
      <x:c r="A270" s="13" t="str">
        <x:v>csq010-c002</x:v>
      </x:c>
      <x:c r="B270" s="13" t="str">
        <x:v>csq010</x:v>
      </x:c>
      <x:c r="C270" s="21" t="n">
        <x:v>2</x:v>
      </x:c>
      <x:c r="D270" s="20" t="str">
        <x:v>0</x:v>
      </x:c>
      <x:c r="E270" s="20" t="str"/>
      <x:c r="F270" s="20" t="str">
        <x:f>IF(E270="",D270,E270)</x:f>
        <x:v>0</x:v>
      </x:c>
      <x:c r="G270" s="13" t="str">
        <x:v>Collapse-Proof Non-Contrastive Self-Supervised Learning</x:v>
      </x:c>
      <x:c r="H270" s="13" t="n">
        <x:v>10</x:v>
      </x:c>
      <x:c r="I270" s="22" t="n">
        <x:v>0.04446778711484593</x:v>
      </x:c>
      <x:c r="J270" s="13" t="n">
        <x:v>3</x:v>
      </x:c>
      <x:c r="K270" s="19" t="str">
        <x:v>How have self-supervised representation learning objectives evolved from contrastive learning to non-contrastive and masked-prediction approaches?</x:v>
      </x:c>
      <x:c r="L270" s="19" t="str">
        <x:v>da Costa, V . G. T., Fini, E., Nabi, M., Sebe, N., and Ricci, E. Solo-learn: A Library of Self-supervised Methods for
Visual Representation Learning. JMLR, 23(56):1–6, 2022.
Dangovski, R., Jing, L., Loh, C., Han, S., Srivastava, A., Cheung, B., Agrawal, P., and Soljacic, M. Equivariant
Contrastive Learning. In ICLR, 2022.
den Oord, A. V ., Li, Y ., and Vinyals, O. Representation Learning with Contrastive Predictive Coding. InarXiv, 2018.
Dhuliawala, S., Sachan, M., and Allen, C. Variational Classification. TMLR, 2023.
Dubois, Y ., Hashimoto, T., Ermon, S., and Liang, P. Improving Self-Supervised Learning by Characterizing Idealized
Representations. In NeurIPS, 2022.
11</x:v>
      </x:c>
      <x:c r="M270" s="19" t="str">
        <x:v>该段为无关内容、泛泛提及或参考文献片段，不能作为回答证据。</x:v>
      </x:c>
      <x:c r="N270" s="13" t="str">
        <x:v>http://arxiv.org/abs/2410.04959v4</x:v>
      </x:c>
    </x:row>
    <x:row r="271" ht="58" customHeight="1">
      <x:c r="A271" s="13" t="str">
        <x:v>csq010-c003</x:v>
      </x:c>
      <x:c r="B271" s="13" t="str">
        <x:v>csq010</x:v>
      </x:c>
      <x:c r="C271" s="21" t="n">
        <x:v>3</x:v>
      </x:c>
      <x:c r="D271" s="20" t="str">
        <x:v>2</x:v>
      </x:c>
      <x:c r="E271" s="20" t="str"/>
      <x:c r="F271" s="20" t="str">
        <x:f>IF(E271="",D271,E271)</x:f>
        <x:v>2</x:v>
      </x:c>
      <x:c r="G271" s="13" t="str">
        <x:v>Masked Image Modeling: A Survey</x:v>
      </x:c>
      <x:c r="H271" s="13" t="n">
        <x:v>6</x:v>
      </x:c>
      <x:c r="I271" s="22" t="n">
        <x:v>0.042531969309462916</x:v>
      </x:c>
      <x:c r="J271" s="13" t="n">
        <x:v>3</x:v>
      </x:c>
      <x:c r="K271" s="19" t="str">
        <x:v>How have self-supervised representation learning objectives evolved from contrastive learning to non-contrastive and masked-prediction approaches?</x:v>
      </x:c>
      <x:c r="L271" s="19" t="str">
        <x:v>models. Second, unlike contrastive learning, MIM
supports both recognition and generation tasks,
as discussed in Section 2.1. In terms of represen-
tation learning, MIM encourages the model to
focus on spatially meaningful features, because it
reconstructs masked regions of the input. Lastly,
contrastive learning relies on negative examples,
which increases the batch size and often requires
hard sample mining, a procedure that introduces
additional computational overhead and complexity
during training (Ghiţă and Ionescu, 2024).
Non-contrastive methods.Early self-supervised
learning approaches primarily focused on creating
pretext tasks, e.g. solving jigsaw puzzles (Noroozi
and Favaro, 2016; Chen et al., 2021), learning
the arrow of time (Wei et al., 2018), or colorizing
images (Zhang et al., 2016). While conceptually
simple, these methods often exhibit limited gen-</x:v>
      </x:c>
      <x:c r="M271" s="19" t="str">
        <x:v>该段包含可直接回答问题的方法、指标、比较或研究发现。</x:v>
      </x:c>
      <x:c r="N271" s="13" t="str">
        <x:v>http://arxiv.org/abs/2408.06687v3</x:v>
      </x:c>
    </x:row>
    <x:row r="272" ht="58" customHeight="1">
      <x:c r="A272" s="13" t="str">
        <x:v>csq010-c004</x:v>
      </x:c>
      <x:c r="B272" s="13" t="str">
        <x:v>csq010</x:v>
      </x:c>
      <x:c r="C272" s="21" t="n">
        <x:v>4</x:v>
      </x:c>
      <x:c r="D272" s="20" t="str">
        <x:v>0</x:v>
      </x:c>
      <x:c r="E272" s="20" t="str"/>
      <x:c r="F272" s="20" t="str">
        <x:f>IF(E272="",D272,E272)</x:f>
        <x:v>0</x:v>
      </x:c>
      <x:c r="G272" s="13" t="str">
        <x:v>DimCL: Dimensional Contrastive Learning For Improving Self-Supervised Learning</x:v>
      </x:c>
      <x:c r="H272" s="13" t="n">
        <x:v>11</x:v>
      </x:c>
      <x:c r="I272" s="22" t="n">
        <x:v>0.04170489727368822</x:v>
      </x:c>
      <x:c r="J272" s="13" t="n">
        <x:v>3</x:v>
      </x:c>
      <x:c r="K272" s="19" t="str">
        <x:v>How have self-supervised representation learning objectives evolved from contrastive learning to non-contrastive and masked-prediction approaches?</x:v>
      </x:c>
      <x:c r="L272" s="19" t="str">
        <x:v>Conference on Research and Development in Information Retrieval, pages
1829–1832, 2020. 1
[49] Kento Nozawa and Issei Sato. Understanding negative samples in instance
discriminative self-supervised representation learning. arXiv preprint
arXiv:2102.06866, 2021. 3, 9
[50] Aaron van den Oord, Yazhe Li, and Oriol Vinyals. Representation learning
with contrastive predictive coding. arXiv preprint arXiv:1807.03748, 2018.
1, 2, 3
[51] Alec Radford, Jeffrey Wu, Rewon Child, David Luan, Dario Amodei, and
Ilya Sutskever. Language models are unsupervised multitask learners.
OpenAI blog, 2019. 1
[52] Pierre H Richemond, Jean-Bastien Grill, Florent Altché, Corentin Tallec,
Florian Strub, Andrew Brock, Samuel Smith, Soham De, Razvan Pascanu,
Bilal Piot, et al. Byol works even without batch statistics. arXiv preprint
arXiv:2010.10241, 2020. 3</x:v>
      </x:c>
      <x:c r="M272" s="19" t="str">
        <x:v>该段为无关内容、泛泛提及或参考文献片段，不能作为回答证据。</x:v>
      </x:c>
      <x:c r="N272" s="13" t="str">
        <x:v>http://arxiv.org/abs/2309.11782v1</x:v>
      </x:c>
    </x:row>
    <x:row r="273" ht="58" customHeight="1">
      <x:c r="A273" s="13" t="str">
        <x:v>csq010-c005</x:v>
      </x:c>
      <x:c r="B273" s="13" t="str">
        <x:v>csq010</x:v>
      </x:c>
      <x:c r="C273" s="21" t="n">
        <x:v>5</x:v>
      </x:c>
      <x:c r="D273" s="20" t="str">
        <x:v>0</x:v>
      </x:c>
      <x:c r="E273" s="20" t="str"/>
      <x:c r="F273" s="20" t="str">
        <x:f>IF(E273="",D273,E273)</x:f>
        <x:v>0</x:v>
      </x:c>
      <x:c r="G273" s="13" t="str">
        <x:v>The Mechanism of Prediction Head in Non-contrastive Self-supervised Learning</x:v>
      </x:c>
      <x:c r="H273" s="13" t="n">
        <x:v>86</x:v>
      </x:c>
      <x:c r="I273" s="22" t="n">
        <x:v>0.03278688524590164</x:v>
      </x:c>
      <x:c r="J273" s="13" t="n">
        <x:v>2</x:v>
      </x:c>
      <x:c r="K273" s="19" t="str">
        <x:v>How have self-supervised representation learning objectives evolved from contrastive learning to non-contrastive and masked-prediction approaches?</x:v>
      </x:c>
      <x:c r="L273" s="19" t="str">
        <x:v>networks. arXiv preprint arXiv:1906.05890 , 2019.
[64] Daisuke Niizumi, Daiki Takeuchi, Yasunori Ohishi, Noboru Harada, and Kunio Kashino. Byol
for audio: Self-supervised learning for general-purpose audio representation. In 2021 Interna-
tional Joint Conference on Neural Networks (IJCNN) , pages 1–8. IEEE, 2021.
[65] Aaron van den Oord, Yazhe Li, and Oriol Vinyals. Representation learning with contrastive
predictive coding. arXiv preprint arXiv:1807.03748 , 2018.
[66] Ashwini Pokle, Jinjin Tian, Yuchen Li, and Andrej Risteski. Contrasting the landscape of
contrastive and non-contrastive learning. arXiv preprint arXiv:2203.15702 , 2022.
[67] Alec Radford, Jong Wook Kim, Chris Hallacy, Aditya Ramesh, Gabriel Goh, Sandhini Agarwal,
Girish Sastry, Amanda Askell, Pamela Mishkin, Jack Clark, et al. Learning transferable visual</x:v>
      </x:c>
      <x:c r="M273" s="19" t="str">
        <x:v>该段为无关内容、泛泛提及或参考文献片段，不能作为回答证据。</x:v>
      </x:c>
      <x:c r="N273" s="13" t="str">
        <x:v>http://arxiv.org/abs/2205.06226v3</x:v>
      </x:c>
    </x:row>
    <x:row r="274" ht="58" customHeight="1">
      <x:c r="A274" s="13" t="str">
        <x:v>csq010-c006</x:v>
      </x:c>
      <x:c r="B274" s="13" t="str">
        <x:v>csq010</x:v>
      </x:c>
      <x:c r="C274" s="21" t="n">
        <x:v>6</x:v>
      </x:c>
      <x:c r="D274" s="20" t="str">
        <x:v>2</x:v>
      </x:c>
      <x:c r="E274" s="20" t="str"/>
      <x:c r="F274" s="20" t="str">
        <x:f>IF(E274="",D274,E274)</x:f>
        <x:v>2</x:v>
      </x:c>
      <x:c r="G274" s="13" t="str">
        <x:v>A Survey on Masked Autoencoder for Self-supervised Learning in Vision and Beyond</x:v>
      </x:c>
      <x:c r="H274" s="13" t="n">
        <x:v>0</x:v>
      </x:c>
      <x:c r="I274" s="22" t="n">
        <x:v>0.03131881575727918</x:v>
      </x:c>
      <x:c r="J274" s="13" t="n">
        <x:v>2</x:v>
      </x:c>
      <x:c r="K274" s="19" t="str">
        <x:v>How have self-supervised representation learning objectives evolved from contrastive learning to non-contrastive and masked-prediction approaches?</x:v>
      </x:c>
      <x:c r="L274" s="19" t="str">
        <x:v>JOURNAL OF LATEX CLASS FILES, VOL. 14, NO. 8, AUGUST 2015 1
A Survey on Masked Autoencoder for
Self-supervised Learning in Vision and Beyond
Chaoning Zhang, Chenshuang Zhang, Junha Song, John Seon Keun Yi, Kang Zhang, In So Kweon
Abstract—Masked autoencoders are scalable vision learners, as the title of MAE [1], which suggests that self-supervised learning
(SSL) in vision might undertake a similar trajectory as in NLP . Speciﬁcally, generative pretext tasks with the masked prediction (e.g.,
BERT) have become a de facto standard SSL practice in NLP . By contrast, early attempts at generative methods in vision have been
buried by their discriminative counterparts (like contrastive learning); however, the success of mask image modeling has revived the
masking autoencoder (often termed denoising autoencoder in the past). As a milestone to bridge the gap with BERT in NLP , masked</x:v>
      </x:c>
      <x:c r="M274" s="19" t="str">
        <x:v>该段包含可直接回答问题的方法、指标、比较或研究发现。</x:v>
      </x:c>
      <x:c r="N274" s="13" t="str">
        <x:v>http://arxiv.org/abs/2208.00173v1</x:v>
      </x:c>
    </x:row>
    <x:row r="275" ht="58" customHeight="1">
      <x:c r="A275" s="13" t="str">
        <x:v>csq010-c007</x:v>
      </x:c>
      <x:c r="B275" s="13" t="str">
        <x:v>csq010</x:v>
      </x:c>
      <x:c r="C275" s="21" t="n">
        <x:v>7</x:v>
      </x:c>
      <x:c r="D275" s="20" t="str">
        <x:v>0</x:v>
      </x:c>
      <x:c r="E275" s="20" t="str"/>
      <x:c r="F275" s="20" t="str">
        <x:f>IF(E275="",D275,E275)</x:f>
        <x:v>0</x:v>
      </x:c>
      <x:c r="G275" s="13" t="str">
        <x:v>On the duality between contrastive and non-contrastive self-supervised learning</x:v>
      </x:c>
      <x:c r="H275" s="13" t="n">
        <x:v>9</x:v>
      </x:c>
      <x:c r="I275" s="22" t="n">
        <x:v>0.031024531024531024</x:v>
      </x:c>
      <x:c r="J275" s="13" t="n">
        <x:v>2</x:v>
      </x:c>
      <x:c r="K275" s="19" t="str">
        <x:v>How have self-supervised representation learning objectives evolved from contrastive learning to non-contrastive and masked-prediction approaches?</x:v>
      </x:c>
      <x:c r="L275" s="19" t="str">
        <x:v>Xinlei Chen and Kaiming He. Exploring simple siamese representation learning. In CVPR, 2020.
Xinlei Chen, Haoqi Fan, Ross Girshick, and Kaiming He. Improved baselines with momentum
contrastive learning. arXiv preprint arXiv:2003.04297, 2020b.
Xinlei Chen, Saining Xie, and Kaiming He. An empirical study of training self-supervised vision
transformers. In ICCV, 2021b.
Jia Deng, Wei Dong, Richard Socher, Li-Jia Li, Kai Li, and Li Fei-Fei. Imagenet: A large-scale
hierarchical image database. In CVPR, 2009.
Aleksandr Ermolov, Aliaksandr Siarohin, Enver Sangineto, and Nicu Sebe. Whitening for self-
supervised representation learning, 2021.
Pierre Fernandez, Alexandre Sablayrolles, Teddy Furon, Herv´e J´egou, and Matthijs Douze. Water-
marking images in self-supervised latent spaces. In IEEE International Conference on Acoustics,
Speech and Signal Processing (ICASSP) . IEEE, 2022.</x:v>
      </x:c>
      <x:c r="M275" s="19" t="str">
        <x:v>该段为无关内容、泛泛提及或参考文献片段，不能作为回答证据。</x:v>
      </x:c>
      <x:c r="N275" s="13" t="str">
        <x:v>http://arxiv.org/abs/2206.02574v3</x:v>
      </x:c>
    </x:row>
    <x:row r="276" ht="58" customHeight="1">
      <x:c r="A276" s="13" t="str">
        <x:v>csq010-c008</x:v>
      </x:c>
      <x:c r="B276" s="13" t="str">
        <x:v>csq010</x:v>
      </x:c>
      <x:c r="C276" s="21" t="n">
        <x:v>8</x:v>
      </x:c>
      <x:c r="D276" s="20" t="str">
        <x:v>2</x:v>
      </x:c>
      <x:c r="E276" s="20" t="str"/>
      <x:c r="F276" s="20" t="str">
        <x:f>IF(E276="",D276,E276)</x:f>
        <x:v>2</x:v>
      </x:c>
      <x:c r="G276" s="13" t="str">
        <x:v>Masked Image Modeling: A Survey</x:v>
      </x:c>
      <x:c r="H276" s="13" t="n">
        <x:v>1</x:v>
      </x:c>
      <x:c r="I276" s="22" t="n">
        <x:v>0.031009615384615385</x:v>
      </x:c>
      <x:c r="J276" s="13" t="n">
        <x:v>2</x:v>
      </x:c>
      <x:c r="K276" s="19" t="str">
        <x:v>How have self-supervised representation learning objectives evolved from contrastive learning to non-contrastive and masked-prediction approaches?</x:v>
      </x:c>
      <x:c r="L276" s="19" t="str">
        <x:v>2021
Self-Supervised
Visual Representations 
Learning by 
Contrastive Mask
Prediction
Masked 
Autoencoders Are 
Scalable Vision 
Learners
SimMIM:
a Simple 
Framework for 
Masked Image 
Modeling
SdAE:
Self-distillated 
Masked 
Autoencoder
2022 2023 2024
Masked Image 
Modeling with 
Denoising 
Contrast
MST: Masked 
Self-Supervised 
Transformer
for Visual 
Representation
Contrastive 
Masked Autoencoders 
are Stronger Vision 
Learners
Exploring the Role
of Mean Teachers in
Self-supervised Masked
Auto-Encoders
4M: 
Massively 
Multimodal 
Masked 
Modeling
Test-Time 
Training with 
Masked 
Autoencoders
ICCV 2021
NeurIPS 2021
CVPR 2022
CVPR 2022
ECCV 2022
ICLR 2023
NeurIPS 2022
ICLR 2023
TPAMI 2023
NeurIPS 2023
2025
GIVT: 
Generative 
Infinite-Vocabulary 
Transformers 
ECCV 2024
CrossMAE: 
Cross-Modality 
Masked Autoencoders 
for Region-Aware 
Audio-Visual 
Pre-Training
CVPR 2024
Text-Guided</x:v>
      </x:c>
      <x:c r="M276" s="19" t="str">
        <x:v>该段包含可直接回答问题的方法、指标、比较或研究发现。</x:v>
      </x:c>
      <x:c r="N276" s="13" t="str">
        <x:v>http://arxiv.org/abs/2408.06687v3</x:v>
      </x:c>
    </x:row>
    <x:row r="277" ht="58" customHeight="1">
      <x:c r="A277" s="13" t="str">
        <x:v>csq010-c009</x:v>
      </x:c>
      <x:c r="B277" s="13" t="str">
        <x:v>csq010</x:v>
      </x:c>
      <x:c r="C277" s="21" t="n">
        <x:v>9</x:v>
      </x:c>
      <x:c r="D277" s="20" t="str">
        <x:v>0</x:v>
      </x:c>
      <x:c r="E277" s="20" t="str"/>
      <x:c r="F277" s="20" t="str">
        <x:f>IF(E277="",D277,E277)</x:f>
        <x:v>0</x:v>
      </x:c>
      <x:c r="G277" s="13" t="str">
        <x:v>A Survey on Masked Autoencoder for Self-supervised Learning in Vision and Beyond</x:v>
      </x:c>
      <x:c r="H277" s="13" t="n">
        <x:v>10</x:v>
      </x:c>
      <x:c r="I277" s="22" t="n">
        <x:v>0.03021353930031804</x:v>
      </x:c>
      <x:c r="J277" s="13" t="n">
        <x:v>2</x:v>
      </x:c>
      <x:c r="K277" s="19" t="str">
        <x:v>How have self-supervised representation learning objectives evolved from contrastive learning to non-contrastive and masked-prediction approaches?</x:v>
      </x:c>
      <x:c r="L277" s="19" t="str">
        <x:v>for visual representation,” NeurIPS, 2021. 7, 13
[76] L. Wang, F. Liang, Y. Li, W. Ouyang, H. Zhang, and J. Shao,
“Repre: Improving self-supervised vision transformer with re-
constructive pre-training,” arXiv preprint arXiv:2201.06857 , 2022.
7, 13
[77] Y. Wei, H. Hu, Z. Xie, Z. Zhang, Y. Cao, J. Bao, D. Chen,
and B. Guo, “Contrastive learning rivals masked image mod-
eling in ﬁne-tuning via feature distillation,” arXiv preprint
arXiv:2205.14141, 2022. 7
[78] L. Jing, J. Zhu, and Y. LeCun, “Masked siamese convnets,” arXiv
preprint arXiv:2206.07700, 2022. 7
[79] J. Zhou, C. Wei, H. Wang, W. Shen, C. Xie, A. Yuille, and T. Kong,
“ibot: Image bert pre-training with online tokenizer,” ICLR, 2022.
7, 13
[80] I. Kakogeorgiou, S. Gidaris, B. Psomas, Y. Avrithis, A. Bursuc,
K. Karantzalos, and N. Komodakis, “What to hide from your stu-</x:v>
      </x:c>
      <x:c r="M277" s="19" t="str">
        <x:v>该段为无关内容、泛泛提及或参考文献片段，不能作为回答证据。</x:v>
      </x:c>
      <x:c r="N277" s="13" t="str">
        <x:v>http://arxiv.org/abs/2208.00173v1</x:v>
      </x:c>
    </x:row>
    <x:row r="278" ht="58" customHeight="1">
      <x:c r="A278" s="13" t="str">
        <x:v>csq010-c010</x:v>
      </x:c>
      <x:c r="B278" s="13" t="str">
        <x:v>csq010</x:v>
      </x:c>
      <x:c r="C278" s="21" t="n">
        <x:v>10</x:v>
      </x:c>
      <x:c r="D278" s="20" t="str">
        <x:v>2</x:v>
      </x:c>
      <x:c r="E278" s="20" t="str"/>
      <x:c r="F278" s="20" t="str">
        <x:f>IF(E278="",D278,E278)</x:f>
        <x:v>2</x:v>
      </x:c>
      <x:c r="G278" s="13" t="str">
        <x:v>The Mechanism of Prediction Head in Non-contrastive Self-supervised Learning</x:v>
      </x:c>
      <x:c r="H278" s="13" t="n">
        <x:v>2</x:v>
      </x:c>
      <x:c r="I278" s="22" t="n">
        <x:v>0.03009207275993712</x:v>
      </x:c>
      <x:c r="J278" s="13" t="n">
        <x:v>2</x:v>
      </x:c>
      <x:c r="K278" s="19" t="str">
        <x:v>How have self-supervised representation learning objectives evolved from contrastive learning to non-contrastive and masked-prediction approaches?</x:v>
      </x:c>
      <x:c r="L278" s="19" t="str">
        <x:v>1 Introduction
Self-supervised learning is about learning representations of real-world vision or language data with-
out human supervision, and contrastive learning [65, 44, 42, 24, 20, 34] is one of the most successful
self-supervised learning approaches. It has been known that the behavior of contrastive learning
depends critically on the minimization of the negative term, which corresponds to contrasting the
representations of negative pairs, i.e., pairs of diﬀerent data points. However, the surprising ﬁnd-
ing of the Bootstrap Your Own Latent (BYOL) method by Grill et al. [39] initiated the research of
non-contrastive self-supervised learning, which refers to contrastive learning methods without using
the negative pairs. BYOL achieved state-of-the-art results in various computer vision benchmarks</x:v>
      </x:c>
      <x:c r="M278" s="19" t="str">
        <x:v>该段包含可直接回答问题的方法、指标、比较或研究发现。</x:v>
      </x:c>
      <x:c r="N278" s="13" t="str">
        <x:v>http://arxiv.org/abs/2205.06226v3</x:v>
      </x:c>
    </x:row>
    <x:row r="279" ht="58" customHeight="1">
      <x:c r="A279" s="13" t="str">
        <x:v>csq010-c011</x:v>
      </x:c>
      <x:c r="B279" s="13" t="str">
        <x:v>csq010</x:v>
      </x:c>
      <x:c r="C279" s="21" t="n">
        <x:v>11</x:v>
      </x:c>
      <x:c r="D279" s="20" t="str">
        <x:v>0</x:v>
      </x:c>
      <x:c r="E279" s="20" t="str"/>
      <x:c r="F279" s="20" t="str">
        <x:f>IF(E279="",D279,E279)</x:f>
        <x:v>0</x:v>
      </x:c>
      <x:c r="G279" s="13" t="str">
        <x:v>The Mechanism of Prediction Head in Non-contrastive Self-supervised Learning</x:v>
      </x:c>
      <x:c r="H279" s="13" t="n">
        <x:v>85</x:v>
      </x:c>
      <x:c r="I279" s="22" t="n">
        <x:v>0.029910714285714284</x:v>
      </x:c>
      <x:c r="J279" s="13" t="n">
        <x:v>2</x:v>
      </x:c>
      <x:c r="K279" s="19" t="str">
        <x:v>How have self-supervised representation learning objectives evolved from contrastive learning to non-contrastive and masked-prediction approaches?</x:v>
      </x:c>
      <x:c r="L279" s="19" t="str">
        <x:v>[43] Kaiming He, Xinlei Chen, Saining Xie, Yanghao Li, Piotr Doll´ ar, and Ross Girshick. Masked
autoencoders are scalable vision learners. arXiv preprint arXiv:2111.06377 , 2021.
[44] R Devon Hjelm, Alex Fedorov, Samuel Lavoie-Marchildon, Karan Grewal, Phil Bachman,
Adam Trischler, and Yoshua Bengio. Learning deep representations by mutual information
estimation and maximization. In International Conference on Learning Representations, 2019.
[45] Tianyu Hua, Wenxiao Wang, Zihui Xue, Sucheng Ren, Yue Wang, and Hang Zhao. On
feature decorrelation in self-supervised learning. InProceedings of the IEEE/CVF International
Conference on Computer Vision , pages 9598–9608, 2021.
[46] Weiran Huang, Mingyang Yi, and Xuyang Zhao. Towards the generalization of contrastive
self-supervised learning. arXiv preprint arXiv:2111.00743 , 2021.</x:v>
      </x:c>
      <x:c r="M279" s="19" t="str">
        <x:v>该段为无关内容、泛泛提及或参考文献片段，不能作为回答证据。</x:v>
      </x:c>
      <x:c r="N279" s="13" t="str">
        <x:v>http://arxiv.org/abs/2205.06226v3</x:v>
      </x:c>
    </x:row>
    <x:row r="280" ht="58" customHeight="1">
      <x:c r="A280" s="13" t="str">
        <x:v>csq010-c012</x:v>
      </x:c>
      <x:c r="B280" s="13" t="str">
        <x:v>csq010</x:v>
      </x:c>
      <x:c r="C280" s="21" t="n">
        <x:v>12</x:v>
      </x:c>
      <x:c r="D280" s="20" t="str">
        <x:v>0</x:v>
      </x:c>
      <x:c r="E280" s="20" t="str"/>
      <x:c r="F280" s="20" t="str">
        <x:f>IF(E280="",D280,E280)</x:f>
        <x:v>0</x:v>
      </x:c>
      <x:c r="G280" s="13" t="str">
        <x:v>On the duality between contrastive and non-contrastive self-supervised learning</x:v>
      </x:c>
      <x:c r="H280" s="13" t="n">
        <x:v>11</x:v>
      </x:c>
      <x:c r="I280" s="22" t="n">
        <x:v>0.029709507042253523</x:v>
      </x:c>
      <x:c r="J280" s="13" t="n">
        <x:v>2</x:v>
      </x:c>
      <x:c r="K280" s="19" t="str">
        <x:v>How have self-supervised representation learning objectives evolved from contrastive learning to non-contrastive and masked-prediction approaches?</x:v>
      </x:c>
      <x:c r="L280" s="19" t="str">
        <x:v>on connecting barlow twins with negative-sample-free contrastive learning. arXiv preprint
arXiv:2104.13712, 2021.
Tongzhou Wang and Phillip Isola. Understanding contrastive representation learning through align-
ment and uniformity on the hypersphere. In ICML, pp. 9929–9939. PMLR, 2020.
Zixin Wen and Yuanzhi Li. Toward understanding the feature learning process of self-supervised
contrastive learning. In International Conference on Machine Learning , pp. 11112–11122.
PMLR, 2021.
Chun-Hsiao Yeh, Cheng-Yao Hong, Yen-Chi Hsu, Tyng-Luh Liu, Yubei Chen, and Yann LeCun.
Decoupled contrastive learning. arXiv preprint arXiv:2110.06848, 2021.
Yang You, Igor Gitman, and Boris Ginsburg. Large batch training of convolutional networks.arXiv
preprint arXiv:1708.03888, 2017.
Jure Zbontar, Li Jing, Ishan Misra, Yann LeCun, and St´ephane Deny. Barlow twins: Self-supervised</x:v>
      </x:c>
      <x:c r="M280" s="19" t="str">
        <x:v>该段为无关内容、泛泛提及或参考文献片段，不能作为回答证据。</x:v>
      </x:c>
      <x:c r="N280" s="13" t="str">
        <x:v>http://arxiv.org/abs/2206.02574v3</x:v>
      </x:c>
    </x:row>
    <x:row r="281" ht="58" customHeight="1">
      <x:c r="A281" s="13" t="str">
        <x:v>csq010-c013</x:v>
      </x:c>
      <x:c r="B281" s="13" t="str">
        <x:v>csq010</x:v>
      </x:c>
      <x:c r="C281" s="21" t="n">
        <x:v>13</x:v>
      </x:c>
      <x:c r="D281" s="20" t="str">
        <x:v>0</x:v>
      </x:c>
      <x:c r="E281" s="20" t="str"/>
      <x:c r="F281" s="20" t="str">
        <x:f>IF(E281="",D281,E281)</x:f>
        <x:v>0</x:v>
      </x:c>
      <x:c r="G281" s="13" t="str">
        <x:v>A Survey on Masked Autoencoder for Self-supervised Learning in Vision and Beyond</x:v>
      </x:c>
      <x:c r="H281" s="13" t="n">
        <x:v>9</x:v>
      </x:c>
      <x:c r="I281" s="22" t="n">
        <x:v>0.02964254577157803</x:v>
      </x:c>
      <x:c r="J281" s="13" t="n">
        <x:v>2</x:v>
      </x:c>
      <x:c r="K281" s="19" t="str">
        <x:v>How have self-supervised representation learning objectives evolved from contrastive learning to non-contrastive and masked-prediction approaches?</x:v>
      </x:c>
      <x:c r="L281" s="19" t="str">
        <x:v>preprint arXiv:2110.09348, 2021. 2
[22] K. Yi, Y. Ge, X. Li, S. Yang, D. Li, J. Wu, Y. Shan, and
X. Qie, “Masked image modeling with denoising contrast,” arXiv
preprint arXiv:2205.09616, 2022. 2, 4, 7, 13
[23] C. Wei, H. Fan, S. Xie, C.-Y. Wu, A. Yuille, and C. Feichten-
hofer, “Masked feature prediction for self-supervised visual pre-
training,” in CVPR, 2022. 2, 4, 8, 13
[24] A. Baevski, W.-N. Hsu, Q. Xu, A. Babu, J. Gu, and M. Auli,
“Data2vec: A general framework for self-supervised learning in
speech, vision and language,” arXiv preprint arXiv:2202.03555 ,
2022. 2, 7, 9
[25] Z. Xie, Z. Zhang, Y. Cao, Y. Lin, J. Bao, Z. Yao, Q. Dai, and H. Hu,
“Simmim: A simple framework for masked image modeling,” in
CVPR, 2022. 2, 4, 5, 7, 8, 13
[26] X. Yu, L. Tang, Y. Rao, T. Huang, J. Zhou, and J. Lu, “Point-
bert: Pre-training 3d point cloud transformers with masked point</x:v>
      </x:c>
      <x:c r="M281" s="19" t="str">
        <x:v>该段为无关内容、泛泛提及或参考文献片段，不能作为回答证据。</x:v>
      </x:c>
      <x:c r="N281" s="13" t="str">
        <x:v>http://arxiv.org/abs/2208.00173v1</x:v>
      </x:c>
    </x:row>
    <x:row r="282" ht="58" customHeight="1">
      <x:c r="A282" s="13" t="str">
        <x:v>csq010-c014</x:v>
      </x:c>
      <x:c r="B282" s="13" t="str">
        <x:v>csq010</x:v>
      </x:c>
      <x:c r="C282" s="21" t="n">
        <x:v>14</x:v>
      </x:c>
      <x:c r="D282" s="20" t="str">
        <x:v>2</x:v>
      </x:c>
      <x:c r="E282" s="20" t="str"/>
      <x:c r="F282" s="20" t="str">
        <x:f>IF(E282="",D282,E282)</x:f>
        <x:v>2</x:v>
      </x:c>
      <x:c r="G282" s="13" t="str">
        <x:v>Masked Image Modeling: A Survey</x:v>
      </x:c>
      <x:c r="H282" s="13" t="n">
        <x:v>28</x:v>
      </x:c>
      <x:c r="I282" s="22" t="n">
        <x:v>0.029083245521601686</x:v>
      </x:c>
      <x:c r="J282" s="13" t="n">
        <x:v>2</x:v>
      </x:c>
      <x:c r="K282" s="19" t="str">
        <x:v>How have self-supervised representation learning objectives evolved from contrastive learning to non-contrastive and masked-prediction approaches?</x:v>
      </x:c>
      <x:c r="L282" s="19" t="str">
        <x:v>tiple losses. Masked Scene Contrast (Wu et al.,
2023) is a framework for 3D representation learning
that utilizes contrastive learning. This framework
generates input pairs through a series of data aug-
mentation techniques and applies complementary
masking. The contrastive learning objective is then
employed between the features of the unmasked
and masked patches. Additionally, the framework
incorporates a reconstruction loss to enhance learn-
ing efficacy. Wang et al. (2023) integrated MAE in
their method for self-supervised video hashing. A
video clip is first downsampled using a CNN, and
then, a token is extracted for each frame. Two dif-
ferent subsets of token frames are sampled, each
being then fed into an encoder and hashed. After
some of the hashed embeddings are masked, a
decoder is used to reconstruct the original frame
tokens. A contrastive loss is added to maximize the</x:v>
      </x:c>
      <x:c r="M282" s="19" t="str">
        <x:v>该段包含可直接回答问题的方法、指标、比较或研究发现。</x:v>
      </x:c>
      <x:c r="N282" s="13" t="str">
        <x:v>http://arxiv.org/abs/2408.06687v3</x:v>
      </x:c>
    </x:row>
    <x:row r="283" ht="58" customHeight="1">
      <x:c r="A283" s="13" t="str">
        <x:v>csq010-c015</x:v>
      </x:c>
      <x:c r="B283" s="13" t="str">
        <x:v>csq010</x:v>
      </x:c>
      <x:c r="C283" s="21" t="n">
        <x:v>15</x:v>
      </x:c>
      <x:c r="D283" s="20" t="str">
        <x:v>0</x:v>
      </x:c>
      <x:c r="E283" s="20" t="str"/>
      <x:c r="F283" s="20" t="str">
        <x:f>IF(E283="",D283,E283)</x:f>
        <x:v>0</x:v>
      </x:c>
      <x:c r="G283" s="13" t="str">
        <x:v>Masked Image Modeling: A Survey</x:v>
      </x:c>
      <x:c r="H283" s="13" t="n">
        <x:v>47</x:v>
      </x:c>
      <x:c r="I283" s="22" t="n">
        <x:v>0.028814262023217248</x:v>
      </x:c>
      <x:c r="J283" s="13" t="n">
        <x:v>2</x:v>
      </x:c>
      <x:c r="K283" s="19" t="str">
        <x:v>How have self-supervised representation learning objectives evolved from contrastive learning to non-contrastive and masked-prediction approaches?</x:v>
      </x:c>
      <x:c r="L283" s="19" t="str">
        <x:v>Wu Z, Lai Z, Sun X, Lin S. Extreme Masking for Learn-
ing Instance and Distributed Visual Representations.
Transactions on Machine Learning Research. 2023;.
Liu H, Cai M, Lee YJ. Masked Discrimination for
Self-Supervised Learning on Point Clouds. In:
Proceedings of ECCV; 2022. p. 657–675.
Li J, Savarese S, Hoi SC. Masked unsupervised
self-training for label-free image classification. In:
Proceedings of ICLR; 2023. .
Hernandez J, Villegas R, Ordonez V. ViC-MAE: Self-
supervised Representation Learning from Images
and Video with Contrastive Masked Autoencoders.
In: Proceedings of ECCV; 2024. p. 444–463.
Lin T, Jabri A. MIMEx: Intrinsic Rewards from
Masked Input Modeling. In: Proceedings of NeurIPS.
vol. 36; 2023. p. 35592–35605.
48</x:v>
      </x:c>
      <x:c r="M283" s="19" t="str">
        <x:v>该段为无关内容、泛泛提及或参考文献片段，不能作为回答证据。</x:v>
      </x:c>
      <x:c r="N283" s="13" t="str">
        <x:v>http://arxiv.org/abs/2408.06687v3</x:v>
      </x:c>
    </x:row>
    <x:row r="284" ht="58" customHeight="1">
      <x:c r="A284" s="13" t="str">
        <x:v>csq010-c016</x:v>
      </x:c>
      <x:c r="B284" s="13" t="str">
        <x:v>csq010</x:v>
      </x:c>
      <x:c r="C284" s="21" t="n">
        <x:v>16</x:v>
      </x:c>
      <x:c r="D284" s="20" t="str">
        <x:v>0</x:v>
      </x:c>
      <x:c r="E284" s="20" t="str"/>
      <x:c r="F284" s="20" t="str">
        <x:f>IF(E284="",D284,E284)</x:f>
        <x:v>0</x:v>
      </x:c>
      <x:c r="G284" s="13" t="str">
        <x:v>On the duality between contrastive and non-contrastive self-supervised learning</x:v>
      </x:c>
      <x:c r="H284" s="13" t="n">
        <x:v>10</x:v>
      </x:c>
      <x:c r="I284" s="22" t="n">
        <x:v>0.028484848484848488</x:v>
      </x:c>
      <x:c r="J284" s="13" t="n">
        <x:v>2</x:v>
      </x:c>
      <x:c r="K284" s="19" t="str">
        <x:v>How have self-supervised representation learning objectives evolved from contrastive learning to non-contrastive and masked-prediction approaches?</x:v>
      </x:c>
      <x:c r="L284" s="19" t="str">
        <x:v>provide implicit variance regularization in byol/simsiam.arXiv preprint arXiv:2212.04858, 2022.
Jeff Z HaoChen, Colin Wei, Adrien Gaidon, and Tengyu Ma. Provable guarantees for self-supervised
deep learning with spectral contrastive loss. NeurIPS, 34, 2021.
Jeff Z HaoChen, Colin Wei, Ananya Kumar, and Tengyu Ma. Beyond separability: Analyzing
the linear transferability of contrastive representations to related subpopulations. arXiv preprint
arXiv:2204.02683, 2022.
Kaiming He, Xiangyu Zhang, Shaoqing Ren, and Jian Sun. Deep residual learning for image recog-
nition. In CVPR, 2016.
Kaiming He, Haoqi Fan, Yuxin Wu, Saining Xie, and Ross Girshick. Momentum contrast for
unsupervised visual representation learning. In CVPR, 2020.
Weiran Huang, Mingyang Yi, and Xuyang Zhao. Towards the generalization of contrastive self-
supervised learning. arXiv preprint arXiv:2111.00743, 2021.</x:v>
      </x:c>
      <x:c r="M284" s="19" t="str">
        <x:v>该段为无关内容、泛泛提及或参考文献片段，不能作为回答证据。</x:v>
      </x:c>
      <x:c r="N284" s="13" t="str">
        <x:v>http://arxiv.org/abs/2206.02574v3</x:v>
      </x:c>
    </x:row>
    <x:row r="285" ht="58" customHeight="1">
      <x:c r="A285" s="13" t="str">
        <x:v>csq010-c017</x:v>
      </x:c>
      <x:c r="B285" s="13" t="str">
        <x:v>csq010</x:v>
      </x:c>
      <x:c r="C285" s="21" t="n">
        <x:v>17</x:v>
      </x:c>
      <x:c r="D285" s="20" t="str">
        <x:v>2</x:v>
      </x:c>
      <x:c r="E285" s="20" t="str"/>
      <x:c r="F285" s="20" t="str">
        <x:f>IF(E285="",D285,E285)</x:f>
        <x:v>2</x:v>
      </x:c>
      <x:c r="G285" s="13" t="str">
        <x:v>The Mechanism of Prediction Head in Non-contrastive Self-supervised Learning</x:v>
      </x:c>
      <x:c r="H285" s="13" t="n">
        <x:v>7</x:v>
      </x:c>
      <x:c r="I285" s="22" t="n">
        <x:v>0.028484848484848488</x:v>
      </x:c>
      <x:c r="J285" s="13" t="n">
        <x:v>2</x:v>
      </x:c>
      <x:c r="K285" s="19" t="str">
        <x:v>How have self-supervised representation learning objectives evolved from contrastive learning to non-contrastive and masked-prediction approaches?</x:v>
      </x:c>
      <x:c r="L285" s="19" t="str">
        <x:v>data augmentations cannot fully explain the dimensional collapse in the non-contrastive setting.
2 Preliminaries on Non-contrastive Learning
In this section, we formally deﬁne what is non-contrastive self-supervised learning. To do this, we
ﬁrst introduce contrastive learning following [24, 88] as background. We use [N] as a shorthand for
the index set{1,...,N }.
Background on contrastive learning. LettingφW (·) be the neural networks, contrastive learn-
ing aims to learn good representations φW via contrasting representations of similar data samples
to those of dissimilar ones. Usually we are given a batch of data points{Xi}i∈[N], and we construct
for each i∈ [N] a positive pair ( X(1)
i ,X (2)
i ) (which are assumed to be simmilar) by applying ran-
dom data augmentations to Xi, and collect negative pairs ( X(1)
i ,X (2)
j ) for i̸=j∈ [N] (which are</x:v>
      </x:c>
      <x:c r="M285" s="19" t="str">
        <x:v>该段包含可直接回答问题的方法、指标、比较或研究发现。</x:v>
      </x:c>
      <x:c r="N285" s="13" t="str">
        <x:v>http://arxiv.org/abs/2205.06226v3</x:v>
      </x:c>
    </x:row>
    <x:row r="286" ht="58" customHeight="1">
      <x:c r="A286" s="13" t="str">
        <x:v>csq010-c018</x:v>
      </x:c>
      <x:c r="B286" s="13" t="str">
        <x:v>csq010</x:v>
      </x:c>
      <x:c r="C286" s="21" t="n">
        <x:v>18</x:v>
      </x:c>
      <x:c r="D286" s="20" t="str">
        <x:v>2</x:v>
      </x:c>
      <x:c r="E286" s="20" t="str"/>
      <x:c r="F286" s="20" t="str">
        <x:f>IF(E286="",D286,E286)</x:f>
        <x:v>2</x:v>
      </x:c>
      <x:c r="G286" s="13" t="str">
        <x:v>Masked Image Modeling: A Survey</x:v>
      </x:c>
      <x:c r="H286" s="13" t="n">
        <x:v>29</x:v>
      </x:c>
      <x:c r="I286" s="22" t="n">
        <x:v>0.028006267136701922</x:v>
      </x:c>
      <x:c r="J286" s="13" t="n">
        <x:v>2</x:v>
      </x:c>
      <x:c r="K286" s="19" t="str">
        <x:v>How have self-supervised representation learning objectives evolved from contrastive learning to non-contrastive and masked-prediction approaches?</x:v>
      </x:c>
      <x:c r="L286" s="19" t="str">
        <x:v>masked tokens are replaced by a learnable token.
A couple of papers opted for a contrastive
objective between two different views of an image
obtained by distinct augmentations. Taking a dif-
ferent masking SSL approach, Huang et al. (2023)
proposed a method whose objective is to be more
robust for downstream tasks. On the input image,
two different sets of augmentations are applied.
The augmented images are encoded, and a projec-
tion layer transforms the encoded representations
into multivariate Gaussian distributions. Finally, a
series of learnable masks are applied. The difference
between both masked probabilistic embeddings is
computed, the objective being that of minimiz-
ing this difference. Yi et al. (2023) presented a
pre-training framework that combines MIM and
contrastive learning. Different subsets (a more
aggressive one and a lighter one) of augmentations</x:v>
      </x:c>
      <x:c r="M286" s="19" t="str">
        <x:v>该段包含可直接回答问题的方法、指标、比较或研究发现。</x:v>
      </x:c>
      <x:c r="N286" s="13" t="str">
        <x:v>http://arxiv.org/abs/2408.06687v3</x:v>
      </x:c>
    </x:row>
    <x:row r="287" ht="58" customHeight="1">
      <x:c r="A287" s="13" t="str">
        <x:v>csq010-c019</x:v>
      </x:c>
      <x:c r="B287" s="13" t="str">
        <x:v>csq010</x:v>
      </x:c>
      <x:c r="C287" s="21" t="n">
        <x:v>19</x:v>
      </x:c>
      <x:c r="D287" s="20" t="str">
        <x:v>2</x:v>
      </x:c>
      <x:c r="E287" s="20" t="str"/>
      <x:c r="F287" s="20" t="str">
        <x:f>IF(E287="",D287,E287)</x:f>
        <x:v>2</x:v>
      </x:c>
      <x:c r="G287" s="13" t="str">
        <x:v>DimCL: Dimensional Contrastive Learning For Improving Self-Supervised Learning</x:v>
      </x:c>
      <x:c r="H287" s="13" t="n">
        <x:v>1</x:v>
      </x:c>
      <x:c r="I287" s="22" t="n">
        <x:v>0.01639344262295082</x:v>
      </x:c>
      <x:c r="J287" s="13" t="n">
        <x:v>1</x:v>
      </x:c>
      <x:c r="K287" s="19" t="str">
        <x:v>How have self-supervised representation learning objectives evolved from contrastive learning to non-contrastive and masked-prediction approaches?</x:v>
      </x:c>
      <x:c r="L287" s="19" t="str">
        <x:v>Contrastive Learning. Contrastive learning (CL) is one
of the prominent keystones of self-supervised learning. It
fosters discriminability in the representation [23], [46], [53],
[54], [67]. Early works have studied margin-based contrastive
losses [27], [32], [67]. After the advent of [50], [70], NCE-
based loss has become the standard loss in CL. Inspired by
this success, CL has been extensively studied for SSL pretext
training [3], [9], [31], [33], [50], [57], [70], [75]. SimCLR
[9] proposes a simple yet effective method to train the
unsupervised model. They show that more negative samples
(4096, for instance) are beneficial for performance. However,
such a massive number of negative samples require a huge
batch size for training to achieve the desired performance.
MoCo v1 [29] has attracted significant attention by demon-
strating superior performance over supervised pre-training</x:v>
      </x:c>
      <x:c r="M287" s="19" t="str">
        <x:v>该段包含可直接回答问题的方法、指标、比较或研究发现。</x:v>
      </x:c>
      <x:c r="N287" s="13" t="str">
        <x:v>http://arxiv.org/abs/2309.11782v1</x:v>
      </x:c>
    </x:row>
    <x:row r="288" ht="58" customHeight="1">
      <x:c r="A288" s="13" t="str">
        <x:v>csq010-c020</x:v>
      </x:c>
      <x:c r="B288" s="13" t="str">
        <x:v>csq010</x:v>
      </x:c>
      <x:c r="C288" s="21" t="n">
        <x:v>20</x:v>
      </x:c>
      <x:c r="D288" s="20" t="str">
        <x:v>2</x:v>
      </x:c>
      <x:c r="E288" s="20" t="str"/>
      <x:c r="F288" s="20" t="str">
        <x:f>IF(E288="",D288,E288)</x:f>
        <x:v>2</x:v>
      </x:c>
      <x:c r="G288" s="13" t="str">
        <x:v>The Mechanism of Prediction Head in Non-contrastive Self-supervised Learning</x:v>
      </x:c>
      <x:c r="H288" s="13" t="n">
        <x:v>8</x:v>
      </x:c>
      <x:c r="I288" s="22" t="n">
        <x:v>0.016129032258064516</x:v>
      </x:c>
      <x:c r="J288" s="13" t="n">
        <x:v>1</x:v>
      </x:c>
      <x:c r="K288" s="19" t="str">
        <x:v>How have self-supervised representation learning objectives evolved from contrastive learning to non-contrastive and masked-prediction approaches?</x:v>
      </x:c>
      <x:c r="L288" s="19" t="str">
        <x:v>for the network φW to be able to “distinguish” data points Xi from{Xj}j̸=i, merely minimizing
the positive term of contrastive loss is not suﬃcient.
As shown by the papers [25, 88], the performance of contrastive learning depends critically on
the negative term. But the BYOL method [39] managed to remove the negative term without harm
by adding a trainable prediction head to the network architecture, which opened the new direction
of non-contrastive self-supervised learning.
Non-contrastive self-supervised learning. We choose the SimSiam method [26] as our pri-
mary framework, whose diﬀererence with BYOL is a EMA component that is proven inessential in
[26]. Following the same notations as above, except that z′
i = StopGrad[φW (X(2)
i )] is detached from
gradient computation, the loss objective become: (the symmetric network version)
L′
SimSiam = 1
N
∑
i∈[N]
−sim(zi,z′
i) (2.2)</x:v>
      </x:c>
      <x:c r="M288" s="19" t="str">
        <x:v>该段包含可直接回答问题的方法、指标、比较或研究发现。</x:v>
      </x:c>
      <x:c r="N288" s="13" t="str">
        <x:v>http://arxiv.org/abs/2205.06226v3</x:v>
      </x:c>
    </x:row>
    <x:row r="289" ht="58" customHeight="1">
      <x:c r="A289" s="13" t="str">
        <x:v>csq010-c021</x:v>
      </x:c>
      <x:c r="B289" s="13" t="str">
        <x:v>csq010</x:v>
      </x:c>
      <x:c r="C289" s="21" t="n">
        <x:v>21</x:v>
      </x:c>
      <x:c r="D289" s="20" t="str">
        <x:v>2</x:v>
      </x:c>
      <x:c r="E289" s="20" t="str"/>
      <x:c r="F289" s="20" t="str">
        <x:f>IF(E289="",D289,E289)</x:f>
        <x:v>2</x:v>
      </x:c>
      <x:c r="G289" s="13" t="str">
        <x:v>The Mechanism of Prediction Head in Non-contrastive Self-supervised Learning</x:v>
      </x:c>
      <x:c r="H289" s="13" t="n">
        <x:v>82</x:v>
      </x:c>
      <x:c r="I289" s="22" t="n">
        <x:v>0.016129032258064516</x:v>
      </x:c>
      <x:c r="J289" s="13" t="n">
        <x:v>1</x:v>
      </x:c>
      <x:c r="K289" s="19" t="str">
        <x:v>How have self-supervised representation learning objectives evolved from contrastive learning to non-contrastive and masked-prediction approaches?</x:v>
      </x:c>
      <x:c r="L289" s="19" t="str">
        <x:v>Saunshi. A theoretical analysis of contrastive unsupervised representation learning. arXiv
preprint arXiv:1902.09229, 2019.
[13] Jordan T Ash, Surbhi Goel, Akshay Krishnamurthy, and Dipendra Misra. Investigating the
role of negatives in contrastive representation learning.arXiv preprint arXiv:2106.09943, 2021.
[14] Yamini Bansal, Gal Kaplun, and Boaz Barak. For self-supervised learning, rationality implies
generalization, provably. arXiv preprint arXiv:2010.08508 , 2020.
81</x:v>
      </x:c>
      <x:c r="M289" s="19" t="str">
        <x:v>该段包含可直接回答问题的方法、指标、比较或研究发现。</x:v>
      </x:c>
      <x:c r="N289" s="13" t="str">
        <x:v>http://arxiv.org/abs/2205.06226v3</x:v>
      </x:c>
    </x:row>
    <x:row r="290" ht="58" customHeight="1">
      <x:c r="A290" s="13" t="str">
        <x:v>csq010-c022</x:v>
      </x:c>
      <x:c r="B290" s="13" t="str">
        <x:v>csq010</x:v>
      </x:c>
      <x:c r="C290" s="21" t="n">
        <x:v>22</x:v>
      </x:c>
      <x:c r="D290" s="20" t="str">
        <x:v>0</x:v>
      </x:c>
      <x:c r="E290" s="20" t="str"/>
      <x:c r="F290" s="20" t="str">
        <x:f>IF(E290="",D290,E290)</x:f>
        <x:v>0</x:v>
      </x:c>
      <x:c r="G290" s="13" t="str">
        <x:v>Masked Image Modeling: A Survey</x:v>
      </x:c>
      <x:c r="H290" s="13" t="n">
        <x:v>6</x:v>
      </x:c>
      <x:c r="I290" s="22" t="n">
        <x:v>0.015873015873015872</x:v>
      </x:c>
      <x:c r="J290" s="13" t="n">
        <x:v>1</x:v>
      </x:c>
      <x:c r="K290" s="19" t="str">
        <x:v>How have self-supervised representation learning objectives evolved from contrastive learning to non-contrastive and masked-prediction approaches?</x:v>
      </x:c>
      <x:c r="L290" s="19" t="str">
        <x:v>images (Zhang et al., 2016). While conceptually
simple, these methods often exhibit limited gen-
eralization, because the objectives of the pretext
tasks are not always aligned with those of down-
stream tasks. More recent studies (Caron et al.,
2021, 2020; Bardes et al., 2022) leverage semantic
similarities between samples. The core idea is to
employ a dual-network architecture, where both
networks are trained to generate similar embed-
dings for different augmented views of the same
image. Notably, this approach differs from con-
trastive learning, because it eliminates the need
for negative examples.
Compared with MIM, the aforementioned self-
supervised approaches differ in several key aspects.
First, they can be less stable during training
and often rely on additional techniques, such as
momentum encoders, to ensure convergence. Sec-
ond, unlike alternative methods, MIM inherently</x:v>
      </x:c>
      <x:c r="M290" s="19" t="str">
        <x:v>该段为无关内容、泛泛提及或参考文献片段，不能作为回答证据。</x:v>
      </x:c>
      <x:c r="N290" s="13" t="str">
        <x:v>http://arxiv.org/abs/2408.06687v3</x:v>
      </x:c>
    </x:row>
    <x:row r="291" ht="58" customHeight="1">
      <x:c r="A291" s="13" t="str">
        <x:v>csq010-c023</x:v>
      </x:c>
      <x:c r="B291" s="13" t="str">
        <x:v>csq010</x:v>
      </x:c>
      <x:c r="C291" s="21" t="n">
        <x:v>23</x:v>
      </x:c>
      <x:c r="D291" s="20" t="str">
        <x:v>2</x:v>
      </x:c>
      <x:c r="E291" s="20" t="str"/>
      <x:c r="F291" s="20" t="str">
        <x:f>IF(E291="",D291,E291)</x:f>
        <x:v>2</x:v>
      </x:c>
      <x:c r="G291" s="13" t="str">
        <x:v>Masked Image Modeling: A Survey</x:v>
      </x:c>
      <x:c r="H291" s="13" t="n">
        <x:v>12</x:v>
      </x:c>
      <x:c r="I291" s="22" t="n">
        <x:v>0.015873015873015872</x:v>
      </x:c>
      <x:c r="J291" s="13" t="n">
        <x:v>1</x:v>
      </x:c>
      <x:c r="K291" s="19" t="str">
        <x:v>How have self-supervised representation learning objectives evolved from contrastive learning to non-contrastive and masked-prediction approaches?</x:v>
      </x:c>
      <x:c r="L291" s="19" t="str">
        <x:v>ily contribute through the types of target features
they employ.
Chen et al. (2022) argued that reconstructing
the image pixel space does not force the net-
work to learn an ideal representation of the data.
Thus, they introduced a self-distillation frame-
work, shown in Figure 9, in which the student
branch follows the original MAE flow, while the
teacher network (which is not updated by gradi-
ent descent, but rather from the weights of the
student) only takes the masked patches. The objec-
tive is to match the high-level features between
the two networks. A similar approach is proposed
by Assran et al. (2022). The authors presented a
self-supervised masking pre-training strategy that
involves Siamese networks. Given a source image
and applying transformations on it, two different
views(anchorandtarget)aregenerated.Then,only
the anchor’s tokenized patches are masked, and</x:v>
      </x:c>
      <x:c r="M291" s="19" t="str">
        <x:v>该段包含可直接回答问题的方法、指标、比较或研究发现。</x:v>
      </x:c>
      <x:c r="N291" s="13" t="str">
        <x:v>http://arxiv.org/abs/2408.06687v3</x:v>
      </x:c>
    </x:row>
    <x:row r="292" ht="58" customHeight="1">
      <x:c r="A292" s="13" t="str">
        <x:v>csq010-c024</x:v>
      </x:c>
      <x:c r="B292" s="13" t="str">
        <x:v>csq010</x:v>
      </x:c>
      <x:c r="C292" s="21" t="n">
        <x:v>24</x:v>
      </x:c>
      <x:c r="D292" s="20" t="str">
        <x:v>2</x:v>
      </x:c>
      <x:c r="E292" s="20" t="str"/>
      <x:c r="F292" s="20" t="str">
        <x:f>IF(E292="",D292,E292)</x:f>
        <x:v>2</x:v>
      </x:c>
      <x:c r="G292" s="13" t="str">
        <x:v>Masked Image Modeling: A Survey</x:v>
      </x:c>
      <x:c r="H292" s="13" t="n">
        <x:v>28</x:v>
      </x:c>
      <x:c r="I292" s="22" t="n">
        <x:v>0.015873015873015872</x:v>
      </x:c>
      <x:c r="J292" s="13" t="n">
        <x:v>1</x:v>
      </x:c>
      <x:c r="K292" s="19" t="str">
        <x:v>How have self-supervised representation learning objectives evolved from contrastive learning to non-contrastive and masked-prediction approaches?</x:v>
      </x:c>
      <x:c r="L292" s="19" t="str">
        <x:v>or adapted the masking strategy to a different
input type (Yu et al., 2022; Wang et al., 2023).
Further, to maximize the benefit of using a new
masking strategy, the objective function is altered
to be more suitable for recovering the original input
source (Wu et al., 2023; Zhang et al., 2023; Yu
et al., 2022; Wu et al., 2023). For example, Yu
et al. (2022) performed the masking in the discrete
space of a dVAE and, due to this change, the
reconstruction loss is the cross-entropy. Another
example is the work of Wang et al. (2023), in which
the contrastive loss is employed to align the token
representations of two different masked versions of
the same image.
A consistent number of papers in this section
employed an objective function composed of mul-
tiple losses. Masked Scene Contrast (Wu et al.,
2023) is a framework for 3D representation learning</x:v>
      </x:c>
      <x:c r="M292" s="19" t="str">
        <x:v>该段包含可直接回答问题的方法、指标、比较或研究发现。</x:v>
      </x:c>
      <x:c r="N292" s="13" t="str">
        <x:v>http://arxiv.org/abs/2408.06687v3</x:v>
      </x:c>
    </x:row>
    <x:row r="293" ht="58" customHeight="1">
      <x:c r="A293" s="13" t="str">
        <x:v>csq010-c025</x:v>
      </x:c>
      <x:c r="B293" s="13" t="str">
        <x:v>csq010</x:v>
      </x:c>
      <x:c r="C293" s="21" t="n">
        <x:v>25</x:v>
      </x:c>
      <x:c r="D293" s="20" t="str">
        <x:v>2</x:v>
      </x:c>
      <x:c r="E293" s="20" t="str"/>
      <x:c r="F293" s="20" t="str">
        <x:f>IF(E293="",D293,E293)</x:f>
        <x:v>2</x:v>
      </x:c>
      <x:c r="G293" s="13" t="str">
        <x:v>On the duality between contrastive and non-contrastive self-supervised learning</x:v>
      </x:c>
      <x:c r="H293" s="13" t="n">
        <x:v>0</x:v>
      </x:c>
      <x:c r="I293" s="22" t="n">
        <x:v>0.015625</x:v>
      </x:c>
      <x:c r="J293" s="13" t="n">
        <x:v>1</x:v>
      </x:c>
      <x:c r="K293" s="19" t="str">
        <x:v>How have self-supervised representation learning objectives evolved from contrastive learning to non-contrastive and masked-prediction approaches?</x:v>
      </x:c>
      <x:c r="L293" s="19" t="str">
        <x:v>proaching, and sometime even surpassing, the performance of supervised baselines on many down-
stream tasks. Most recent approaches are based on the joint-embedding framework with a siamese
network architecture (Bromley et al., 1994) which are divided into two main categories, contrastive
and non-contrastive methods. Contrastive methods bring together embeddings of different views of
the same image while pushing away the embeddings from different images. Non-contrastive meth-
ods also attract embeddings of views from the same image but remove the need for explicit negative
pairs, either by architectural design (Grill et al., 2020; Chen &amp; He, 2020) or by regularization of the
covariance of the embeddings (Zbontar et al., 2021; Bardes et al., 2021; Li et al., 2022b).
While contrastive and non-contrastive approaches seem very different and have been described as</x:v>
      </x:c>
      <x:c r="M293" s="19" t="str">
        <x:v>该段包含可直接回答问题的方法、指标、比较或研究发现。</x:v>
      </x:c>
      <x:c r="N293" s="13" t="str">
        <x:v>http://arxiv.org/abs/2206.02574v3</x:v>
      </x:c>
    </x:row>
    <x:row r="294" ht="58" customHeight="1">
      <x:c r="A294" s="13" t="str">
        <x:v>csq010-c026</x:v>
      </x:c>
      <x:c r="B294" s="13" t="str">
        <x:v>csq010</x:v>
      </x:c>
      <x:c r="C294" s="21" t="n">
        <x:v>26</x:v>
      </x:c>
      <x:c r="D294" s="20" t="str">
        <x:v>2</x:v>
      </x:c>
      <x:c r="E294" s="20" t="str"/>
      <x:c r="F294" s="20" t="str">
        <x:f>IF(E294="",D294,E294)</x:f>
        <x:v>2</x:v>
      </x:c>
      <x:c r="G294" s="13" t="str">
        <x:v>Masked Image Modeling: A Survey</x:v>
      </x:c>
      <x:c r="H294" s="13" t="n">
        <x:v>1</x:v>
      </x:c>
      <x:c r="I294" s="22" t="n">
        <x:v>0.015625</x:v>
      </x:c>
      <x:c r="J294" s="13" t="n">
        <x:v>1</x:v>
      </x:c>
      <x:c r="K294" s="19" t="str">
        <x:v>How have self-supervised representation learning objectives evolved from contrastive learning to non-contrastive and masked-prediction approaches?</x:v>
      </x:c>
      <x:c r="L294" s="19" t="str">
        <x:v>unstructured text data could be used. Notably, this
pretext strategy was applied in vision problems
earlier, by Vincent et al. (2010) and Pathak et al.
(2016), where the original input signal was altered
(corrupted or obscured) and then reconstructed
using an architecture based on convolutional layers.
The latter work even employed an encoder-decoder
model to inpaint the missing regions from the
input image. Nevertheless, as presented by He et al.
(2022), there are some differences from the recent
Masked Image Modeling (MIM) literature, as the
aforementioned papers framed the problem as a
denoising task.
In Figure 1, we present a timeline with the
most prominent works in masked image model-
ing. At ICCV 2021, Zhao et al. (2021) presented
a self-supervised learning method that applies a
contrastive loss between a masked patch from an
image and other regions. At NeurIPS 2021, Li</x:v>
      </x:c>
      <x:c r="M294" s="19" t="str">
        <x:v>该段包含可直接回答问题的方法、指标、比较或研究发现。</x:v>
      </x:c>
      <x:c r="N294" s="13" t="str">
        <x:v>http://arxiv.org/abs/2408.06687v3</x:v>
      </x:c>
    </x:row>
    <x:row r="295" ht="58" customHeight="1">
      <x:c r="A295" s="13" t="str">
        <x:v>csq010-c027</x:v>
      </x:c>
      <x:c r="B295" s="13" t="str">
        <x:v>csq010</x:v>
      </x:c>
      <x:c r="C295" s="21" t="n">
        <x:v>27</x:v>
      </x:c>
      <x:c r="D295" s="20" t="str">
        <x:v>2</x:v>
      </x:c>
      <x:c r="E295" s="20" t="str"/>
      <x:c r="F295" s="20" t="str">
        <x:f>IF(E295="",D295,E295)</x:f>
        <x:v>2</x:v>
      </x:c>
      <x:c r="G295" s="13" t="str">
        <x:v>On the duality between contrastive and non-contrastive self-supervised learning</x:v>
      </x:c>
      <x:c r="H295" s="13" t="n">
        <x:v>11</x:v>
      </x:c>
      <x:c r="I295" s="22" t="n">
        <x:v>0.015384615384615385</x:v>
      </x:c>
      <x:c r="J295" s="13" t="n">
        <x:v>1</x:v>
      </x:c>
      <x:c r="K295" s="19" t="str">
        <x:v>How have self-supervised representation learning objectives evolved from contrastive learning to non-contrastive and masked-prediction approaches?</x:v>
      </x:c>
      <x:c r="L295" s="19" t="str">
        <x:v>Published as a conference paper at ICLR 2023
Chenxin Tao, Honghui Wang, Xizhou Zhu, Jiahua Dong, Shiji Song, Gao Huang, and Jifeng Dai.
Exploring the equivalence of siamese self-supervised learning via a unified gradient framework.
arXiv preprint arXiv:2112.05141, 2021.
Yuandong Tian, Xinlei Chen, and Surya Ganguli. Understanding self-supervised learning dynamics
without contrastive pairs. arXiv preprint arXiv:2102.06810, 2021.
Nenad Tomasev, Ioana Bica, Brian McWilliams, Lars Buesing, Razvan Pascanu, Charles Blundell,
and Jovana Mitrovic. Pushing the limits of self-supervised resnets: Can we outperform supervised
learning without labels on imagenet? arXiv preprint arXiv:2201.05119, 2022.
Yao-Hung Hubert Tsai, Shaojie Bai, Louis-Philippe Morency, and Ruslan Salakhutdinov. A note
on connecting barlow twins with negative-sample-free contrastive learning. arXiv preprint</x:v>
      </x:c>
      <x:c r="M295" s="19" t="str">
        <x:v>该段包含可直接回答问题的方法、指标、比较或研究发现。</x:v>
      </x:c>
      <x:c r="N295" s="13" t="str">
        <x:v>http://arxiv.org/abs/2206.02574v3</x:v>
      </x:c>
    </x:row>
    <x:row r="296" ht="58" customHeight="1">
      <x:c r="A296" s="13" t="str">
        <x:v>csq010-c028</x:v>
      </x:c>
      <x:c r="B296" s="13" t="str">
        <x:v>csq010</x:v>
      </x:c>
      <x:c r="C296" s="21" t="n">
        <x:v>28</x:v>
      </x:c>
      <x:c r="D296" s="20" t="str">
        <x:v>2</x:v>
      </x:c>
      <x:c r="E296" s="20" t="str"/>
      <x:c r="F296" s="20" t="str">
        <x:f>IF(E296="",D296,E296)</x:f>
        <x:v>2</x:v>
      </x:c>
      <x:c r="G296" s="13" t="str">
        <x:v>The Mechanism of Prediction Head in Non-contrastive Self-supervised Learning</x:v>
      </x:c>
      <x:c r="H296" s="13" t="n">
        <x:v>18</x:v>
      </x:c>
      <x:c r="I296" s="22" t="n">
        <x:v>0.015384615384615385</x:v>
      </x:c>
      <x:c r="J296" s="13" t="n">
        <x:v>1</x:v>
      </x:c>
      <x:c r="K296" s="19" t="str">
        <x:v>How have self-supervised representation learning objectives evolved from contrastive learning to non-contrastive and masked-prediction approaches?</x:v>
      </x:c>
      <x:c r="L296" s="19" t="str">
        <x:v>6 Additional Related Work
Self-supervised learning The area of self-supervised learning has evolved at a tremendous
speed in recent years. It has created huge success in natural language processing [30, 89, 18] and
established a paradigm where the networks are ﬁrst trained on an unsupervised pretext task and
then be ﬁnetuned in downstream applications. In vision, supervised pretraining had been the go-to
choice until representations learned by contrastive learning [78, 42, 24, 20, 27, 28, 34, 67, 33] became
dominant in many downstream tasks. Another type of self-supervised learning is the generative
learning [68, 16, 43], which also gives promising results in downstream adaptations. Interesting
applications such as [67, 69] also illustrate the power of contrastive learning in multiple domains.
Theory of self-supervised learning The theoretical side of self-supervised learning developed</x:v>
      </x:c>
      <x:c r="M296" s="19" t="str">
        <x:v>该段包含可直接回答问题的方法、指标、比较或研究发现。</x:v>
      </x:c>
      <x:c r="N296" s="13" t="str">
        <x:v>http://arxiv.org/abs/2205.06226v3</x:v>
      </x:c>
    </x:row>
    <x:row r="297" ht="58" customHeight="1">
      <x:c r="A297" s="13" t="str">
        <x:v>csq010-c029</x:v>
      </x:c>
      <x:c r="B297" s="13" t="str">
        <x:v>csq010</x:v>
      </x:c>
      <x:c r="C297" s="21" t="n">
        <x:v>29</x:v>
      </x:c>
      <x:c r="D297" s="20" t="str">
        <x:v>0</x:v>
      </x:c>
      <x:c r="E297" s="20" t="str"/>
      <x:c r="F297" s="20" t="str">
        <x:f>IF(E297="",D297,E297)</x:f>
        <x:v>0</x:v>
      </x:c>
      <x:c r="G297" s="13" t="str">
        <x:v>DimCL: Dimensional Contrastive Learning For Improving Self-Supervised Learning</x:v>
      </x:c>
      <x:c r="H297" s="13" t="n">
        <x:v>10</x:v>
      </x:c>
      <x:c r="I297" s="22" t="n">
        <x:v>0.015384615384615385</x:v>
      </x:c>
      <x:c r="J297" s="13" t="n">
        <x:v>1</x:v>
      </x:c>
      <x:c r="K297" s="19" t="str">
        <x:v>How have self-supervised representation learning objectives evolved from contrastive learning to non-contrastive and masked-prediction approaches?</x:v>
      </x:c>
      <x:c r="L297" s="19" t="str">
        <x:v>arXiv:2003.04297, 2020. 2
[11] Xinlei Chen, Haoqi Fan, Ross Girshick, and Kaiming He. Im-
proved baselines with momentum contrastive learning. arXiv preprint
arXiv:2003.04297, 2020. 6
[12] Xinlei Chen and Kaiming He. Exploring simple siamese representation
learning. In CVPR, 2021. 1, 2, 3, 5, 6, 8, 9
[13] Xinlei Chen, Saining Xie, and Kaiming He. An empirical study of training
self-supervised vision transformers. ICCV, 2021. 1
[14] Xinlei Chen, Saining Xie, and Kaiming He. An empirical study of training
self-supervised vision transformers. ICCV, 2021. 2
[15] Ching-Yao Chuang, Joshua Robinson, Yen-Chen Lin, Antonio Torralba,
and Stefanie Jegelka. Debiased contrastive learning. In NeurIPS, 2020. 3
[16] Adam Coates, Andrew Ng, and Honglak Lee. An analysis of single-layer
networks in unsupervised feature learning. In Proceedings of the fourteenth</x:v>
      </x:c>
      <x:c r="M297" s="19" t="str">
        <x:v>该段为无关内容、泛泛提及或参考文献片段，不能作为回答证据。</x:v>
      </x:c>
      <x:c r="N297" s="13" t="str">
        <x:v>http://arxiv.org/abs/2309.11782v1</x:v>
      </x:c>
    </x:row>
    <x:row r="298" ht="58" customHeight="1">
      <x:c r="A298" s="13" t="str">
        <x:v>csq010-c030</x:v>
      </x:c>
      <x:c r="B298" s="13" t="str">
        <x:v>csq010</x:v>
      </x:c>
      <x:c r="C298" s="21" t="n">
        <x:v>30</x:v>
      </x:c>
      <x:c r="D298" s="20" t="str">
        <x:v>2</x:v>
      </x:c>
      <x:c r="E298" s="20" t="str"/>
      <x:c r="F298" s="20" t="str">
        <x:f>IF(E298="",D298,E298)</x:f>
        <x:v>2</x:v>
      </x:c>
      <x:c r="G298" s="13" t="str">
        <x:v>On the duality between contrastive and non-contrastive self-supervised learning</x:v>
      </x:c>
      <x:c r="H298" s="13" t="n">
        <x:v>9</x:v>
      </x:c>
      <x:c r="I298" s="22" t="n">
        <x:v>0.014925373134328358</x:v>
      </x:c>
      <x:c r="J298" s="13" t="n">
        <x:v>1</x:v>
      </x:c>
      <x:c r="K298" s="19" t="str">
        <x:v>How have self-supervised representation learning objectives evolved from contrastive learning to non-contrastive and masked-prediction approaches?</x:v>
      </x:c>
      <x:c r="L298" s="19" t="str">
        <x:v>pervised learning. In ECCV, 2018.
Mathilde Caron, Ishan Misra, Julien Mairal, Priya Goyal, Piotr Bojanowski, and Armand Joulin.
Unsupervised learning of visual features by contrasting cluster assignments. In NeurIPS, 2020.
Mathilde Caron, Hugo Touvron, Ishan Misra, Herve Jegou, and Julien Mairal Piotr Bojanowski Ar-
mand Joulin. Emerging properties in self-supervised vision transformers. In ICCV, 2021.
Ting Chen, Simon Kornblith, Mohammad Norouzi, and Geoffrey Hinton. A simple framework for
contrastive learning of visual representations. In ICML, pp. 1597–1607. PMLR, 2020a.
Ting Chen, Calvin Luo, and Lala Li. Intriguing properties of contrastive losses. Advances in Neural
Information Processing Systems, 34:11834–11845, 2021a.
Xinlei Chen and Kaiming He. Exploring simple siamese representation learning. In CVPR, 2020.</x:v>
      </x:c>
      <x:c r="M298" s="19" t="str">
        <x:v>该段包含可直接回答问题的方法、指标、比较或研究发现。</x:v>
      </x:c>
      <x:c r="N298" s="13" t="str">
        <x:v>http://arxiv.org/abs/2206.02574v3</x:v>
      </x:c>
    </x:row>
    <x:row r="299" ht="58" customHeight="1">
      <x:c r="A299" s="13" t="str">
        <x:v>csq011-c001</x:v>
      </x:c>
      <x:c r="B299" s="13" t="str">
        <x:v>csq011</x:v>
      </x:c>
      <x:c r="C299" s="21" t="n">
        <x:v>1</x:v>
      </x:c>
      <x:c r="D299" s="20" t="str">
        <x:v>2</x:v>
      </x:c>
      <x:c r="E299" s="20" t="str"/>
      <x:c r="F299" s="20" t="str">
        <x:f>IF(E299="",D299,E299)</x:f>
        <x:v>2</x:v>
      </x:c>
      <x:c r="G299" s="13" t="str">
        <x:v>Feature Splatting for Better Novel View Synthesis with Low Overlap</x:v>
      </x:c>
      <x:c r="H299" s="13" t="n">
        <x:v>0</x:v>
      </x:c>
      <x:c r="I299" s="22" t="n">
        <x:v>0.06045634920634921</x:v>
      </x:c>
      <x:c r="J299" s="13" t="n">
        <x:v>4</x:v>
      </x:c>
      <x:c r="K299" s="19" t="str">
        <x:v>What are the main neural representations for novel-view synthesis, including neural radiance fields and 3D Gaussian splatting, and what are their computational trade-offs?</x:v>
      </x:c>
      <x:c r="L299" s="19" t="str">
        <x:v>their per-pixel semantic labels. Code is available on the project page.
Keywords: Gaussian Splatting, Novel View Synthesis, Feature Splatting
1 Introduction
Finding appropriate 3D scene representations is a key challenge in order to enable robotics,
VR and AR applications. In general, representations should not only encode a scene’s geom-
etry. Radiance properties are very relevant for novel view synthesis, and high-level aspects
such as semantics or affordances are essential to define robotics tasks. In the last years, Neu-
ral Radiance Fields (NeRFs) [21] have been the dominant approach in the research literature
to learn implicit scene representations from images. However, NeRFs are computationally
demanding at training and rendering and scale badly with the size of the scene, which has
limited their use in practical applications.</x:v>
      </x:c>
      <x:c r="M299" s="19" t="str">
        <x:v>该段包含可直接回答问题的方法、指标、比较或研究发现。</x:v>
      </x:c>
      <x:c r="N299" s="13" t="str">
        <x:v>http://arxiv.org/abs/2405.15518v2</x:v>
      </x:c>
    </x:row>
    <x:row r="300" ht="58" customHeight="1">
      <x:c r="A300" s="13" t="str">
        <x:v>csq011-c002</x:v>
      </x:c>
      <x:c r="B300" s="13" t="str">
        <x:v>csq011</x:v>
      </x:c>
      <x:c r="C300" s="21" t="n">
        <x:v>2</x:v>
      </x:c>
      <x:c r="D300" s="20" t="str">
        <x:v>2</x:v>
      </x:c>
      <x:c r="E300" s="20" t="str"/>
      <x:c r="F300" s="20" t="str">
        <x:f>IF(E300="",D300,E300)</x:f>
        <x:v>2</x:v>
      </x:c>
      <x:c r="G300" s="13" t="str">
        <x:v>Few-shot Novel View Synthesis using Depth Aware 3D Gaussian Splatting</x:v>
      </x:c>
      <x:c r="H300" s="13" t="n">
        <x:v>0</x:v>
      </x:c>
      <x:c r="I300" s="22" t="n">
        <x:v>0.04814747488101534</x:v>
      </x:c>
      <x:c r="J300" s="13" t="n">
        <x:v>3</x:v>
      </x:c>
      <x:c r="K300" s="19" t="str">
        <x:v>What are the main neural representations for novel-view synthesis, including neural radiance fields and 3D Gaussian splatting, and what are their computational trade-offs?</x:v>
      </x:c>
      <x:c r="L300" s="19" t="str">
        <x:v>· Few-shot
1 Introduction
Novel View Synthesis (NVS), where the goal is to render unseen viewpoints
given a set of input images, is a long-standing problem in the field of 3D vision.
Neural Radiance Field (NeRF) [20] emerged as a state-of-the-art representa-
tion to achieve the highest quality renderings. Although NeRF achieves high-
quality rendering, it suffers from high computational overhead due to the use of
aMulti-LayerPerceptron(MLP)anddifferentialvolumetricrendering[20,22,31].
Recently, Kerbl et al. [9] introduced a 3D Gaussian based representation with
point-based differentiable rendering, achieving a very high-quality and real-time
rendering.
⋆ Authors contributed equally
arXiv:2410.11080v1  [cs.CV]  14 Oct 2024</x:v>
      </x:c>
      <x:c r="M300" s="19" t="str">
        <x:v>该段包含可直接回答问题的方法、指标、比较或研究发现。</x:v>
      </x:c>
      <x:c r="N300" s="13" t="str">
        <x:v>http://arxiv.org/abs/2410.11080v1</x:v>
      </x:c>
    </x:row>
    <x:row r="301" ht="58" customHeight="1">
      <x:c r="A301" s="13" t="str">
        <x:v>csq011-c003</x:v>
      </x:c>
      <x:c r="B301" s="13" t="str">
        <x:v>csq011</x:v>
      </x:c>
      <x:c r="C301" s="21" t="n">
        <x:v>3</x:v>
      </x:c>
      <x:c r="D301" s="20" t="str">
        <x:v>2</x:v>
      </x:c>
      <x:c r="E301" s="20" t="str"/>
      <x:c r="F301" s="20" t="str">
        <x:f>IF(E301="",D301,E301)</x:f>
        <x:v>2</x:v>
      </x:c>
      <x:c r="G301" s="13" t="str">
        <x:v>F-3DGS: Factorized Coordinates and Representations for 3D Gaussian Splatting</x:v>
      </x:c>
      <x:c r="H301" s="13" t="n">
        <x:v>0</x:v>
      </x:c>
      <x:c r="I301" s="22" t="n">
        <x:v>0.046035988394528854</x:v>
      </x:c>
      <x:c r="J301" s="13" t="n">
        <x:v>3</x:v>
      </x:c>
      <x:c r="K301" s="19" t="str">
        <x:v>What are the main neural representations for novel-view synthesis, including neural radiance fields and 3D Gaussian splatting, and what are their computational trade-offs?</x:v>
      </x:c>
      <x:c r="L301" s="19" t="str">
        <x:v>F-3DGS: Factorized Coordinates and Representations for 3D
Gaussian Splatting
Xiangyu Sun
Sungkyunkwan University
Joo Chan Lee
Sungkyunkwan University
Daniel Rho
KT
Jong Hwan Ko
Sungkyunkwan University
Usman Ali
Sungkyunkwan University
Eunbyung Park∗
Sungkyunkwan University
ABSTRACT
The neural radiance field (NeRF) has made significant strides in
representing 3D scenes and synthesizing novel views. Despite its ad-
vancements, the high computational costs of NeRF have posed chal-
lenges for its deployment in resource-constrained environments
and real-time applications. As an alternative to NeRF-like neural
rendering methods, 3D Gaussian Splatting (3DGS) offers rapid ren-
dering speeds while maintaining excellent image quality. However,
as it represents objects and scenes using a myriad of Gaussians, it
requires substantial storage to achieve high-quality representation.</x:v>
      </x:c>
      <x:c r="M301" s="19" t="str">
        <x:v>该段包含可直接回答问题的方法、指标、比较或研究发现。</x:v>
      </x:c>
      <x:c r="N301" s="13" t="str">
        <x:v>http://arxiv.org/abs/2405.17083v2</x:v>
      </x:c>
    </x:row>
    <x:row r="302" ht="58" customHeight="1">
      <x:c r="A302" s="13" t="str">
        <x:v>csq011-c004</x:v>
      </x:c>
      <x:c r="B302" s="13" t="str">
        <x:v>csq011</x:v>
      </x:c>
      <x:c r="C302" s="21" t="n">
        <x:v>4</x:v>
      </x:c>
      <x:c r="D302" s="20" t="str">
        <x:v>2</x:v>
      </x:c>
      <x:c r="E302" s="20" t="str"/>
      <x:c r="F302" s="20" t="str">
        <x:f>IF(E302="",D302,E302)</x:f>
        <x:v>2</x:v>
      </x:c>
      <x:c r="G302" s="13" t="str">
        <x:v>F-3DGS: Factorized Coordinates and Representations for 3D Gaussian Splatting</x:v>
      </x:c>
      <x:c r="H302" s="13" t="n">
        <x:v>1</x:v>
      </x:c>
      <x:c r="I302" s="22" t="n">
        <x:v>0.044533544747991996</x:v>
      </x:c>
      <x:c r="J302" s="13" t="n">
        <x:v>3</x:v>
      </x:c>
      <x:c r="K302" s="19" t="str">
        <x:v>What are the main neural representations for novel-view synthesis, including neural radiance fields and 3D Gaussian splatting, and what are their computational trade-offs?</x:v>
      </x:c>
      <x:c r="L302" s="19" t="str">
        <x:v>exploits differentiable computational pipelines to render images, which includes both
NeRF and 3DGS.
NeRF interprets objects and scenes as fields where every point in
space possesses specific values that are computationally generated
by neural networks. These values are then rendered using the volu-
metric rendering equation (Eq. 1). While NeRF allows for detailed
rendering, it necessitates dense sampling of the entire volume, in-
cluding empty spaces, which markedly increases computational
costs. Several strategies have been proposed to mitigate this limita-
tion [10, 39], yet achieving both high-quality representation and
real-time rendering remains a significant challenge.
Addressing the inefficiencies in NeRF’s approach, 3D Gauss-
ian Splatting (3DGS) focuses on rendering only known primitives
(Gaussians), thereby eliminating the need for sampling in empty</x:v>
      </x:c>
      <x:c r="M302" s="19" t="str">
        <x:v>该段包含可直接回答问题的方法、指标、比较或研究发现。</x:v>
      </x:c>
      <x:c r="N302" s="13" t="str">
        <x:v>http://arxiv.org/abs/2405.17083v2</x:v>
      </x:c>
    </x:row>
    <x:row r="303" ht="58" customHeight="1">
      <x:c r="A303" s="13" t="str">
        <x:v>csq011-c005</x:v>
      </x:c>
      <x:c r="B303" s="13" t="str">
        <x:v>csq011</x:v>
      </x:c>
      <x:c r="C303" s="21" t="n">
        <x:v>5</x:v>
      </x:c>
      <x:c r="D303" s="20" t="str">
        <x:v>2</x:v>
      </x:c>
      <x:c r="E303" s="20" t="str"/>
      <x:c r="F303" s="20" t="str">
        <x:f>IF(E303="",D303,E303)</x:f>
        <x:v>2</x:v>
      </x:c>
      <x:c r="G303" s="13" t="str">
        <x:v>Compressed 3D Gaussian Splatting for Accelerated Novel View Synthesis</x:v>
      </x:c>
      <x:c r="H303" s="13" t="n">
        <x:v>1</x:v>
      </x:c>
      <x:c r="I303" s="22" t="n">
        <x:v>0.031544957774465976</x:v>
      </x:c>
      <x:c r="J303" s="13" t="n">
        <x:v>2</x:v>
      </x:c>
      <x:c r="K303" s="19" t="str">
        <x:v>What are the main neural representations for novel-view synthesis, including neural radiance fields and 3D Gaussian splatting, and what are their computational trade-offs?</x:v>
      </x:c>
      <x:c r="L303" s="19" t="str">
        <x:v>iments on benchmark datasets to empirically validate our
method across different scenarios. The contribution of each
individual step is demonstrated with an ablation study.
2. Related Work
Our work builds upon previous works in novel view synthe-
sis via differentiable rendering and scene compression.
Novel View Synthesis Neural Radiance Fields (NeRF)
[16] use neural networks to model a 3D scene. They rep-
resent the scene as a density field with direction-dependent
colors that are rendered with volume rendering. The field is
reconstructed from a set of images with known camera pa-
rameters using gradient-based optimization of the volume
rendering process.
To speed up training and rendering efficiency, a number
of different scene models have been proposed. Most often,
structured space discretizations like voxel grids [10, 24, 28],</x:v>
      </x:c>
      <x:c r="M303" s="19" t="str">
        <x:v>该段包含可直接回答问题的方法、指标、比较或研究发现。</x:v>
      </x:c>
      <x:c r="N303" s="13" t="str">
        <x:v>http://arxiv.org/abs/2401.02436v2</x:v>
      </x:c>
    </x:row>
    <x:row r="304" ht="58" customHeight="1">
      <x:c r="A304" s="13" t="str">
        <x:v>csq011-c006</x:v>
      </x:c>
      <x:c r="B304" s="13" t="str">
        <x:v>csq011</x:v>
      </x:c>
      <x:c r="C304" s="21" t="n">
        <x:v>6</x:v>
      </x:c>
      <x:c r="D304" s="20" t="str">
        <x:v>2</x:v>
      </x:c>
      <x:c r="E304" s="20" t="str"/>
      <x:c r="F304" s="20" t="str">
        <x:f>IF(E304="",D304,E304)</x:f>
        <x:v>2</x:v>
      </x:c>
      <x:c r="G304" s="13" t="str">
        <x:v>Few-shot Novel View Synthesis using Depth Aware 3D Gaussian Splatting</x:v>
      </x:c>
      <x:c r="H304" s="13" t="n">
        <x:v>1</x:v>
      </x:c>
      <x:c r="I304" s="22" t="n">
        <x:v>0.031544957774465976</x:v>
      </x:c>
      <x:c r="J304" s="13" t="n">
        <x:v>2</x:v>
      </x:c>
      <x:c r="K304" s="19" t="str">
        <x:v>What are the main neural representations for novel-view synthesis, including neural radiance fields and 3D Gaussian splatting, and what are their computational trade-offs?</x:v>
      </x:c>
      <x:c r="L304" s="19" t="str">
        <x:v>centyears.Mildenhalletal.[20]introducedNeRF,anMLP-basedscenerepresen-
tation that predicts the density and color of a 3D point given its coordinate and
view direction. It achieved state-of-the-art results in synthesizing novel views of
complex scenes. This work laid the foundation of several studies applying neu-
ral radiance fields in various domains including model reconstruction [23,33],
video representations [2,13,16], pose estimation [3,29] and editing [7,11]. The
main challenge of the NeRF based method lies in the heavy computation cost
requiring hours of training even for a single scene. The challenge arises from
the large parameter MLP and a slow volumetric rendering process. To improve
the training time, Müller et al. [21] proposes a Multiresolution Hash Encoding-
based representation which avoids the MLP and also provides a faster rendering</x:v>
      </x:c>
      <x:c r="M304" s="19" t="str">
        <x:v>该段包含可直接回答问题的方法、指标、比较或研究发现。</x:v>
      </x:c>
      <x:c r="N304" s="13" t="str">
        <x:v>http://arxiv.org/abs/2410.11080v1</x:v>
      </x:c>
    </x:row>
    <x:row r="305" ht="58" customHeight="1">
      <x:c r="A305" s="13" t="str">
        <x:v>csq011-c007</x:v>
      </x:c>
      <x:c r="B305" s="13" t="str">
        <x:v>csq011</x:v>
      </x:c>
      <x:c r="C305" s="21" t="n">
        <x:v>7</x:v>
      </x:c>
      <x:c r="D305" s="20" t="str">
        <x:v>2</x:v>
      </x:c>
      <x:c r="E305" s="20" t="str"/>
      <x:c r="F305" s="20" t="str">
        <x:f>IF(E305="",D305,E305)</x:f>
        <x:v>2</x:v>
      </x:c>
      <x:c r="G305" s="13" t="str">
        <x:v>HyRF: Hybrid Radiance Fields for Memory-efficient and High-quality Novel View Synthesis</x:v>
      </x:c>
      <x:c r="H305" s="13" t="n">
        <x:v>0</x:v>
      </x:c>
      <x:c r="I305" s="22" t="n">
        <x:v>0.031024531024531024</x:v>
      </x:c>
      <x:c r="J305" s="13" t="n">
        <x:v>2</x:v>
      </x:c>
      <x:c r="K305" s="19" t="str">
        <x:v>What are the main neural representations for novel-view synthesis, including neural radiance fields and 3D Gaussian splatting, and what are their computational trade-offs?</x:v>
      </x:c>
      <x:c r="L305" s="19" t="str">
        <x:v>compared to 3DGS and maintaining real-time performance. Our project page is
available athttps://wzpscott.github.io/hyrf/.
1 Introduction
Novel view synthesis is a critical area in computer vision, with applications in scene manipulation [31,
44, 46, 32], autonomous driving [ 33, 42], virtual fly-throughs [ 43, 56, 24], and 3D generation
models [19, 14, 12, 35]. Neural Radiance Fields (NeRF) [25] have emerged as a leading technology,
leveraging implicit scene representations through neural networks and volume rendering to generate
novel views. While NeRF-based methods excel in producing high-quality renderings with compact
model sizes, they are hindered by slow rendering speeds. In recent advancements, the 3D Gaussian
Splatting (3DGS) [15] method has emerged as a compelling alternative to NeRF-based approaches,</x:v>
      </x:c>
      <x:c r="M305" s="19" t="str">
        <x:v>该段包含可直接回答问题的方法、指标、比较或研究发现。</x:v>
      </x:c>
      <x:c r="N305" s="13" t="str">
        <x:v>http://arxiv.org/abs/2509.17083v2</x:v>
      </x:c>
    </x:row>
    <x:row r="306" ht="58" customHeight="1">
      <x:c r="A306" s="13" t="str">
        <x:v>csq011-c008</x:v>
      </x:c>
      <x:c r="B306" s="13" t="str">
        <x:v>csq011</x:v>
      </x:c>
      <x:c r="C306" s="21" t="n">
        <x:v>8</x:v>
      </x:c>
      <x:c r="D306" s="20" t="str">
        <x:v>2</x:v>
      </x:c>
      <x:c r="E306" s="20" t="str"/>
      <x:c r="F306" s="20" t="str">
        <x:f>IF(E306="",D306,E306)</x:f>
        <x:v>2</x:v>
      </x:c>
      <x:c r="G306" s="13" t="str">
        <x:v>Feature Splatting for Better Novel View Synthesis with Low Overlap</x:v>
      </x:c>
      <x:c r="H306" s="13" t="n">
        <x:v>1</x:v>
      </x:c>
      <x:c r="I306" s="22" t="n">
        <x:v>0.031009615384615385</x:v>
      </x:c>
      <x:c r="J306" s="13" t="n">
        <x:v>2</x:v>
      </x:c>
      <x:c r="K306" s="19" t="str">
        <x:v>What are the main neural representations for novel-view synthesis, including neural radiance fields and 3D Gaussian splatting, and what are their computational trade-offs?</x:v>
      </x:c>
      <x:c r="L306" s="19" t="str">
        <x:v>network is trained on the scene data so that it learns such function. One of the most successful
examples are NeRFs [21]. A NeRF consists on a Multi Layer Perceptron (MLP) that maps a
3D point and a viewing direction to a RGB color and an occupancy or density value, coupled
with a differentiable rendering equation to aggregate values of 3D points along a ray casted
through each pixel to compute the final RGB color. Given a set of posed images, the MLP
is optimized to perform novel view synthesis afterwards. To compensate for the initial high
training and rendering times, several approaches have been developed. Some proposed to
use depth information to reduce sampling in 3D [2, 23, 27, 35]; others combined the MLP
with explicit 3D representations like Octrees [3, 40], V oxels [19], 3D point clouds [36] and</x:v>
      </x:c>
      <x:c r="M306" s="19" t="str">
        <x:v>该段包含可直接回答问题的方法、指标、比较或研究发现。</x:v>
      </x:c>
      <x:c r="N306" s="13" t="str">
        <x:v>http://arxiv.org/abs/2405.15518v2</x:v>
      </x:c>
    </x:row>
    <x:row r="307" ht="58" customHeight="1">
      <x:c r="A307" s="13" t="str">
        <x:v>csq011-c009</x:v>
      </x:c>
      <x:c r="B307" s="13" t="str">
        <x:v>csq011</x:v>
      </x:c>
      <x:c r="C307" s="21" t="n">
        <x:v>9</x:v>
      </x:c>
      <x:c r="D307" s="20" t="str">
        <x:v>2</x:v>
      </x:c>
      <x:c r="E307" s="20" t="str"/>
      <x:c r="F307" s="20" t="str">
        <x:f>IF(E307="",D307,E307)</x:f>
        <x:v>2</x:v>
      </x:c>
      <x:c r="G307" s="13" t="str">
        <x:v>Feature Splatting for Better Novel View Synthesis with Low Overlap</x:v>
      </x:c>
      <x:c r="H307" s="13" t="n">
        <x:v>0</x:v>
      </x:c>
      <x:c r="I307" s="22" t="n">
        <x:v>0.0304147465437788</x:v>
      </x:c>
      <x:c r="J307" s="13" t="n">
        <x:v>2</x:v>
      </x:c>
      <x:c r="K307" s="19" t="str">
        <x:v>What are the main neural representations for novel-view synthesis, including neural radiance fields and 3D Gaussian splatting, and what are their computational trade-offs?</x:v>
      </x:c>
      <x:c r="L307" s="19" t="str">
        <x:v>limited their use in practical applications.
3D Gaussian Splatting (3DGS) [9] appeared very recently as a promising alternative to
NeRFs. 3DGS is able to achieve similar quality for novel view synthesis significantly faster,
although with a much higher memory footprint. Representing a scene with 3D Gaussians,
however, does not come without limitations. As the most relevant to our work, a explicit
© 2024. The copyright of this document resides with its authors.
It may be distributed unchanged freely in print or electronic forms.
arXiv:2405.15518v2  [cs.CV]  30 Sep 2024</x:v>
      </x:c>
      <x:c r="M307" s="19" t="str">
        <x:v>该段包含可直接回答问题的方法、指标、比较或研究发现。</x:v>
      </x:c>
      <x:c r="N307" s="13" t="str">
        <x:v>http://arxiv.org/abs/2405.15518v2</x:v>
      </x:c>
    </x:row>
    <x:row r="308" ht="58" customHeight="1">
      <x:c r="A308" s="13" t="str">
        <x:v>csq011-c010</x:v>
      </x:c>
      <x:c r="B308" s="13" t="str">
        <x:v>csq011</x:v>
      </x:c>
      <x:c r="C308" s="21" t="n">
        <x:v>10</x:v>
      </x:c>
      <x:c r="D308" s="20" t="str">
        <x:v>2</x:v>
      </x:c>
      <x:c r="E308" s="20" t="str"/>
      <x:c r="F308" s="20" t="str">
        <x:f>IF(E308="",D308,E308)</x:f>
        <x:v>2</x:v>
      </x:c>
      <x:c r="G308" s="13" t="str">
        <x:v>Recent Advances in 3D Gaussian Splatting</x:v>
      </x:c>
      <x:c r="H308" s="13" t="n">
        <x:v>0</x:v>
      </x:c>
      <x:c r="I308" s="22" t="n">
        <x:v>0.030090497737556562</x:v>
      </x:c>
      <x:c r="J308" s="13" t="n">
        <x:v>2</x:v>
      </x:c>
      <x:c r="K308" s="19" t="str">
        <x:v>What are the main neural representations for novel-view synthesis, including neural radiance fields and 3D Gaussian splatting, and what are their computational trade-offs?</x:v>
      </x:c>
      <x:c r="L308" s="19" t="str">
        <x:v>Computational Visual Media
https://doi.org/10.1007/s41095-0xx-xxxx-x
Research/Review Article
Recent Advances in 3D Gaussian Splatting
Tong Wu1, Yu-Jie Yuan1, Ling-Xiao Zhang1, Jie Yang1, Yan-Pei Cao2, Ling-Qi Yan3, and Lin Gao1(B)
© The Author(s)
Abstract The emergence of 3D Gaussian Splatting
(3DGS) has greatly accelerated the rendering speed of novel
view synthesis. Unlike neural implicit representations like
Neural Radiance Fields (NeRF) that represent a 3D scene
with position and viewpoint-conditioned neural networks,
3D Gaussian Splatting utilizes a set of Gaussian ellipsoids
to model the scene so that efficient rendering can be ac-
complished by rasterizing Gaussian ellipsoids into images.
Apart from the fast rendering speed, the explicit representa-
tion of 3D Gaussian Splatting facilitates downstream tasks
like dynamic reconstruction, geometry editing, and physi-</x:v>
      </x:c>
      <x:c r="M308" s="19" t="str">
        <x:v>该段包含可直接回答问题的方法、指标、比较或研究发现。</x:v>
      </x:c>
      <x:c r="N308" s="13" t="str">
        <x:v>http://arxiv.org/abs/2403.11134v2</x:v>
      </x:c>
    </x:row>
    <x:row r="309" ht="58" customHeight="1">
      <x:c r="A309" s="13" t="str">
        <x:v>csq011-c011</x:v>
      </x:c>
      <x:c r="B309" s="13" t="str">
        <x:v>csq011</x:v>
      </x:c>
      <x:c r="C309" s="21" t="n">
        <x:v>11</x:v>
      </x:c>
      <x:c r="D309" s="20" t="str">
        <x:v>2</x:v>
      </x:c>
      <x:c r="E309" s="20" t="str"/>
      <x:c r="F309" s="20" t="str">
        <x:f>IF(E309="",D309,E309)</x:f>
        <x:v>2</x:v>
      </x:c>
      <x:c r="G309" s="13" t="str">
        <x:v>NeurMiPs: Neural Mixture of Planar Experts for View Synthesis</x:v>
      </x:c>
      <x:c r="H309" s="13" t="n">
        <x:v>0</x:v>
      </x:c>
      <x:c r="I309" s="22" t="n">
        <x:v>0.029957522915269395</x:v>
      </x:c>
      <x:c r="J309" s="13" t="n">
        <x:v>2</x:v>
      </x:c>
      <x:c r="K309" s="19" t="str">
        <x:v>What are the main neural representations for novel-view synthesis, including neural radiance fields and 3D Gaussian splatting, and what are their computational trade-offs?</x:v>
      </x:c>
      <x:c r="L309" s="19" t="str">
        <x:v>sentations in novel view synthesis1.
1. Introduction
Imagine one day in the future where people can explore
the world freely and immersively without leaving their room.
When they move forward, details pop up; and when they
move sideways, the occluded regions re-appear. Whenever
people take action, the world will respond with correspond-
ing visual scenes that look natural, as if people are visiting
the place in person. While appealing, bringing this vision
to reality requires advancement in multiple domains, one of
which is real-time, high-quality, and memory-efficient novel
1Project page: https://zhihao-lin.github.io/neurmips/.
view synthesis. Specifically, given a set of posed images of
the world, an ideal NVS system needs to re-render the scene
from novel viewpoints photo-realistically. The system also
needs to be fast and lightweight such that it can be deployed
ubiquitously.</x:v>
      </x:c>
      <x:c r="M309" s="19" t="str">
        <x:v>该段包含可直接回答问题的方法、指标、比较或研究发现。</x:v>
      </x:c>
      <x:c r="N309" s="13" t="str">
        <x:v>http://arxiv.org/abs/2204.13696v1</x:v>
      </x:c>
    </x:row>
    <x:row r="310" ht="58" customHeight="1">
      <x:c r="A310" s="13" t="str">
        <x:v>csq011-c012</x:v>
      </x:c>
      <x:c r="B310" s="13" t="str">
        <x:v>csq011</x:v>
      </x:c>
      <x:c r="C310" s="21" t="n">
        <x:v>12</x:v>
      </x:c>
      <x:c r="D310" s="20" t="str">
        <x:v>2</x:v>
      </x:c>
      <x:c r="E310" s="20" t="str"/>
      <x:c r="F310" s="20" t="str">
        <x:f>IF(E310="",D310,E310)</x:f>
        <x:v>2</x:v>
      </x:c>
      <x:c r="G310" s="13" t="str">
        <x:v>NeurMiPs: Neural Mixture of Planar Experts for View Synthesis</x:v>
      </x:c>
      <x:c r="H310" s="13" t="n">
        <x:v>7</x:v>
      </x:c>
      <x:c r="I310" s="22" t="n">
        <x:v>0.02919863597612958</x:v>
      </x:c>
      <x:c r="J310" s="13" t="n">
        <x:v>2</x:v>
      </x:c>
      <x:c r="K310" s="19" t="str">
        <x:v>What are the main neural representations for novel-view synthesis, including neural radiance fields and 3D Gaussian splatting, and what are their computational trade-offs?</x:v>
      </x:c>
      <x:c r="L310" s="19" t="str">
        <x:v>non-euclidean coordinates. We leave this for future study.
5. Conclusion
In this paper, we proposed NeurMiPs, a novel 3D repre-
sentation for novel view synthesis. NeurMiPs represents the
3D scene with a mixture of learnable planar experts. Each
plane consists of a rectangular shape and a neural radiance
field. Our approach alleviates the frontal-parallel limitation
of MPI-based methods while remaining efficient thanks to
ray-casting-based rendering. We demonstrated that our ap-
proach could be integrated with classic rendering pipelines.
We believe NeurMiPs will open new possibilities for 3D
modeling and rendering.
Acknowledgement We thank National Center for High-
performance Computing (NCHC) for providing computa-
tional and storage resources. We also thank NVIDIA for
hardware donation.</x:v>
      </x:c>
      <x:c r="M310" s="19" t="str">
        <x:v>该段包含可直接回答问题的方法、指标、比较或研究发现。</x:v>
      </x:c>
      <x:c r="N310" s="13" t="str">
        <x:v>http://arxiv.org/abs/2204.13696v1</x:v>
      </x:c>
    </x:row>
    <x:row r="311" ht="58" customHeight="1">
      <x:c r="A311" s="13" t="str">
        <x:v>csq011-c013</x:v>
      </x:c>
      <x:c r="B311" s="13" t="str">
        <x:v>csq011</x:v>
      </x:c>
      <x:c r="C311" s="21" t="n">
        <x:v>13</x:v>
      </x:c>
      <x:c r="D311" s="20" t="str">
        <x:v>2</x:v>
      </x:c>
      <x:c r="E311" s="20" t="str"/>
      <x:c r="F311" s="20" t="str">
        <x:f>IF(E311="",D311,E311)</x:f>
        <x:v>2</x:v>
      </x:c>
      <x:c r="G311" s="13" t="str">
        <x:v>Recent Advances in 3D Gaussian Splatting</x:v>
      </x:c>
      <x:c r="H311" s="13" t="n">
        <x:v>0</x:v>
      </x:c>
      <x:c r="I311" s="22" t="n">
        <x:v>0.028958333333333336</x:v>
      </x:c>
      <x:c r="J311" s="13" t="n">
        <x:v>2</x:v>
      </x:c>
      <x:c r="K311" s="19" t="str">
        <x:v>What are the main neural representations for novel-view synthesis, including neural radiance fields and 3D Gaussian splatting, and what are their computational trade-offs?</x:v>
      </x:c>
      <x:c r="L311" s="19" t="str">
        <x:v>train a NeRF quickly enough (⩽ 1 hour) on a consumer-level
GPU and render a 3D scene at an interactive frame rate ( ∼
30 FPS) on common devices like cellphones and laptops. To
resolve the speed issues, 3D Gaussian Splatting (3DGS) [5]
proposes to rasterize a set of Gaussian ellipsoids to approxi-
mate the appearance of a 3D scene, which not only achieves
comparable novel view synthesis quality but also allows fast
converge (∼ 30 minutes) and real-time rendering (⩾ 30 FPS)
at 1080p resolution, making low-cost 3D content creation and
real-time applications possible.
Based on the 3D Gaussian Splatting representation, a num-
ber of research works have come out and more are on the
way. To help readers get familiar with 3D Gaussian Splatting
quickly, we present a survey on 3D Gaussian Splatting, which
covers both traditional splatting methods and recent neural-</x:v>
      </x:c>
      <x:c r="M311" s="19" t="str">
        <x:v>该段包含可直接回答问题的方法、指标、比较或研究发现。</x:v>
      </x:c>
      <x:c r="N311" s="13" t="str">
        <x:v>http://arxiv.org/abs/2403.11134v2</x:v>
      </x:c>
    </x:row>
    <x:row r="312" ht="58" customHeight="1">
      <x:c r="A312" s="13" t="str">
        <x:v>csq011-c014</x:v>
      </x:c>
      <x:c r="B312" s="13" t="str">
        <x:v>csq011</x:v>
      </x:c>
      <x:c r="C312" s="21" t="n">
        <x:v>14</x:v>
      </x:c>
      <x:c r="D312" s="20" t="str">
        <x:v>2</x:v>
      </x:c>
      <x:c r="E312" s="20" t="str"/>
      <x:c r="F312" s="20" t="str">
        <x:f>IF(E312="",D312,E312)</x:f>
        <x:v>2</x:v>
      </x:c>
      <x:c r="G312" s="13" t="str">
        <x:v>Compressed 3D Gaussian Splatting for Accelerated Novel View Synthesis</x:v>
      </x:c>
      <x:c r="H312" s="13" t="n">
        <x:v>0</x:v>
      </x:c>
      <x:c r="I312" s="22" t="n">
        <x:v>0.02871794871794872</x:v>
      </x:c>
      <x:c r="J312" s="13" t="n">
        <x:v>2</x:v>
      </x:c>
      <x:c r="K312" s="19" t="str">
        <x:v>What are the main neural representations for novel-view synthesis, including neural radiance fields and 3D Gaussian splatting, and what are their computational trade-offs?</x:v>
      </x:c>
      <x:c r="L312" s="19" t="str">
        <x:v>have proposed the use of direct volume rendering to learn
a volumetric radiance field from which novel views can be
rendered. However, expensive neural network evaluations
prohibit efficient training and rendering. Recent research
utilizes explicit scene representations such as voxel-based
[24] or point-based structures [29] to enhance rendering ef-
ficiency. The use of 3D voxel grids on the GPU in com-
bination with a multiresolution hash encoding of the input
[17] significantly reduces the operations needed and permits
real-time performance.
While achieving excellent reconstruction quality and
speed, many NeRF-style approaches require exhaustive
93 FPS54 FPS 321 FPS211 FPS
25.2 PSNR / 1.5 GB 25.0 PSNR / 47 MB
31× Compression
Figure 1. Our method achieves a31× compression at indiscernible
loss in image quality and greatly improves rendering speed com-</x:v>
      </x:c>
      <x:c r="M312" s="19" t="str">
        <x:v>该段包含可直接回答问题的方法、指标、比较或研究发现。</x:v>
      </x:c>
      <x:c r="N312" s="13" t="str">
        <x:v>http://arxiv.org/abs/2401.02436v2</x:v>
      </x:c>
    </x:row>
    <x:row r="313" ht="58" customHeight="1">
      <x:c r="A313" s="13" t="str">
        <x:v>csq011-c015</x:v>
      </x:c>
      <x:c r="B313" s="13" t="str">
        <x:v>csq011</x:v>
      </x:c>
      <x:c r="C313" s="21" t="n">
        <x:v>15</x:v>
      </x:c>
      <x:c r="D313" s="20" t="str">
        <x:v>0</x:v>
      </x:c>
      <x:c r="E313" s="20" t="str"/>
      <x:c r="F313" s="20" t="str">
        <x:f>IF(E313="",D313,E313)</x:f>
        <x:v>0</x:v>
      </x:c>
      <x:c r="G313" s="13" t="str">
        <x:v>F-3DGS: Factorized Coordinates and Representations for 3D Gaussian Splatting</x:v>
      </x:c>
      <x:c r="H313" s="13" t="n">
        <x:v>8</x:v>
      </x:c>
      <x:c r="I313" s="22" t="n">
        <x:v>0.02819138376017471</x:v>
      </x:c>
      <x:c r="J313" s="13" t="n">
        <x:v>2</x:v>
      </x:c>
      <x:c r="K313" s="19" t="str">
        <x:v>What are the main neural representations for novel-view synthesis, including neural radiance fields and 3D Gaussian splatting, and what are their computational trade-offs?</x:v>
      </x:c>
      <x:c r="L313" s="19" t="str">
        <x:v>neural graphics primitives with a multiresolution hash encoding. ACM Trans.
Graph., 41(4), 2022.
[27] Simon Niedermayr, Josef Stumpfegger, and Rüdiger Westermann. Compressed
3d gaussian splatting for accelerated novel view synthesis. arXiv preprint
arXiv:2401.02436, 2023.
[28] Michael Niemeyer, Fabian Manhardt, Marie-Julie Rakotosaona, Michael Oechsle,
Daniel Duckworth, Rama Gosula, Keisuke Tateno, John Bates, Dominik Kaeser,
and Federico Tombari. Radsplat: Radiance field-informed gaussian splatting for
robust real-time rendering with 900+ fps. arXiv.org, 2024.
[29] Adam Paszke, Sam Gross, Francisco Massa, Adam Lerer, James Bradbury, Gregory
Chanan, Trevor Killeen, Zeming Lin, Natalia Gimelshein, Luca Antiga, et al.
Pytorch: An imperative style, high-performance deep learning library. Advances
in Neural Information Processing Systems , 32, 2019.</x:v>
      </x:c>
      <x:c r="M313" s="19" t="str">
        <x:v>该段为无关内容、泛泛提及或参考文献片段，不能作为回答证据。</x:v>
      </x:c>
      <x:c r="N313" s="13" t="str">
        <x:v>http://arxiv.org/abs/2405.17083v2</x:v>
      </x:c>
    </x:row>
    <x:row r="314" ht="58" customHeight="1">
      <x:c r="A314" s="13" t="str">
        <x:v>csq011-c016</x:v>
      </x:c>
      <x:c r="B314" s="13" t="str">
        <x:v>csq011</x:v>
      </x:c>
      <x:c r="C314" s="21" t="n">
        <x:v>16</x:v>
      </x:c>
      <x:c r="D314" s="20" t="str">
        <x:v>2</x:v>
      </x:c>
      <x:c r="E314" s="20" t="str"/>
      <x:c r="F314" s="20" t="str">
        <x:f>IF(E314="",D314,E314)</x:f>
        <x:v>2</x:v>
      </x:c>
      <x:c r="G314" s="13" t="str">
        <x:v>NeurMiPs: Neural Mixture of Planar Experts for View Synthesis</x:v>
      </x:c>
      <x:c r="H314" s="13" t="n">
        <x:v>0</x:v>
      </x:c>
      <x:c r="I314" s="22" t="n">
        <x:v>0.027212143650499815</x:v>
      </x:c>
      <x:c r="J314" s="13" t="n">
        <x:v>2</x:v>
      </x:c>
      <x:c r="K314" s="19" t="str">
        <x:v>What are the main neural representations for novel-view synthesis, including neural radiance fields and 3D Gaussian splatting, and what are their computational trade-offs?</x:v>
      </x:c>
      <x:c r="L314" s="19" t="str">
        <x:v>needs to be fast and lightweight such that it can be deployed
ubiquitously.
Towards this grand goal, researchers have developed a
plethora of methods to reproduce our visual world. One
promising direction is to explicitly model the geometry of
the scene (e.g. multi-planar imagery [12, 13, 73, 86], point
clouds [1, 39, 53], meshes [31, 51, 52]) and conduct image-
based rendering (IBR) [3, 9, 10, 31, 63]. By adapting visual
features from other existing views, these approaches can
render high-quality images efficiently. Unfortunately, they
are often memory intensive and require good proxy geome-
try. On the other hand, recent advances in neural radiance
fields [44, 50, 79, 80, 83, 85] have allowed us to synthesize
highly realistic images with low memory footprint. By en-
coding color and density functions as neural networks, they
can handle complicated geometry and scene effects that are</x:v>
      </x:c>
      <x:c r="M314" s="19" t="str">
        <x:v>该段包含可直接回答问题的方法、指标、比较或研究发现。</x:v>
      </x:c>
      <x:c r="N314" s="13" t="str">
        <x:v>http://arxiv.org/abs/2204.13696v1</x:v>
      </x:c>
    </x:row>
    <x:row r="315" ht="58" customHeight="1">
      <x:c r="A315" s="13" t="str">
        <x:v>csq011-c017</x:v>
      </x:c>
      <x:c r="B315" s="13" t="str">
        <x:v>csq011</x:v>
      </x:c>
      <x:c r="C315" s="21" t="n">
        <x:v>17</x:v>
      </x:c>
      <x:c r="D315" s="20" t="str">
        <x:v>2</x:v>
      </x:c>
      <x:c r="E315" s="20" t="str"/>
      <x:c r="F315" s="20" t="str">
        <x:f>IF(E315="",D315,E315)</x:f>
        <x:v>2</x:v>
      </x:c>
      <x:c r="G315" s="13" t="str">
        <x:v>Compressed 3D Gaussian Splatting for Accelerated Novel View Synthesis</x:v>
      </x:c>
      <x:c r="H315" s="13" t="n">
        <x:v>1</x:v>
      </x:c>
      <x:c r="I315" s="22" t="n">
        <x:v>0.01639344262295082</x:v>
      </x:c>
      <x:c r="J315" s="13" t="n">
        <x:v>1</x:v>
      </x:c>
      <x:c r="K315" s="19" t="str">
        <x:v>What are the main neural representations for novel-view synthesis, including neural radiance fields and 3D Gaussian splatting, and what are their computational trade-offs?</x:v>
      </x:c>
      <x:c r="L315" s="19" t="str">
        <x:v>plored for neural scene representations [8] and voxel-based
NeRFs [12], demonstrating effective weight quantization
with negligible loss in rendering quality.
To reduce the size and latency of neural networks, vari-
ous approaches for weight quantization have been explored
[8, 11, 12, 18]. These methods rely on the observation that
2</x:v>
      </x:c>
      <x:c r="M315" s="19" t="str">
        <x:v>该段包含可直接回答问题的方法、指标、比较或研究发现。</x:v>
      </x:c>
      <x:c r="N315" s="13" t="str">
        <x:v>http://arxiv.org/abs/2401.02436v2</x:v>
      </x:c>
    </x:row>
    <x:row r="316" ht="58" customHeight="1">
      <x:c r="A316" s="13" t="str">
        <x:v>csq011-c018</x:v>
      </x:c>
      <x:c r="B316" s="13" t="str">
        <x:v>csq011</x:v>
      </x:c>
      <x:c r="C316" s="21" t="n">
        <x:v>18</x:v>
      </x:c>
      <x:c r="D316" s="20" t="str">
        <x:v>0</x:v>
      </x:c>
      <x:c r="E316" s="20" t="str"/>
      <x:c r="F316" s="20" t="str">
        <x:f>IF(E316="",D316,E316)</x:f>
        <x:v>0</x:v>
      </x:c>
      <x:c r="G316" s="13" t="str">
        <x:v>Feature Splatting for Better Novel View Synthesis with Low Overlap</x:v>
      </x:c>
      <x:c r="H316" s="13" t="n">
        <x:v>11</x:v>
      </x:c>
      <x:c r="I316" s="22" t="n">
        <x:v>0.016129032258064516</x:v>
      </x:c>
      <x:c r="J316" s="13" t="n">
        <x:v>1</x:v>
      </x:c>
      <x:c r="K316" s="19" t="str">
        <x:v>What are the main neural representations for novel-view synthesis, including neural radiance fields and 3D Gaussian splatting, and what are their computational trade-offs?</x:v>
      </x:c>
      <x:c r="L316" s="19" t="str">
        <x:v>12 BERRIEL MARTINS, CIVERA: FEA TURE SPLA TTING
[14] Georgios Kopanas, Julien Philip, Thomas Leimkühler, and George Drettakis. Point-
based neural rendering with per-view optimization. In Computer Graphics F orum,
volume 40, pages 29–43. Wiley Online Library, 2021.
[15] Georgios Kopanas, Thomas Leimkühler, Gilles Rainer, Clément Jambon, and George
Drettakis. Neural point catacaustics for novel-view synthesis of reflections. ACM
Transactions on Graphics (TOG), 41(6):1–15, 2022.
[16] Abhijit Kundu, Kyle Genova, Xiaoqi Yin, Alireza Fathi, Caroline Pantofaru, Leonidas J
Guibas, Andrea Tagliasacchi, Frank Dellaert, and Thomas Funkhouser. Panoptic neural
fields: A semantic object-aware neural scene representation. In Proceedings of the
IEEE/CVF Conference on Computer Vision and Pattern Recognition , pages 12871–
12881, 2022.</x:v>
      </x:c>
      <x:c r="M316" s="19" t="str">
        <x:v>该段为无关内容、泛泛提及或参考文献片段，不能作为回答证据。</x:v>
      </x:c>
      <x:c r="N316" s="13" t="str">
        <x:v>http://arxiv.org/abs/2405.15518v2</x:v>
      </x:c>
    </x:row>
    <x:row r="317" ht="58" customHeight="1">
      <x:c r="A317" s="13" t="str">
        <x:v>csq011-c019</x:v>
      </x:c>
      <x:c r="B317" s="13" t="str">
        <x:v>csq011</x:v>
      </x:c>
      <x:c r="C317" s="21" t="n">
        <x:v>19</x:v>
      </x:c>
      <x:c r="D317" s="20" t="str">
        <x:v>2</x:v>
      </x:c>
      <x:c r="E317" s="20" t="str"/>
      <x:c r="F317" s="20" t="str">
        <x:f>IF(E317="",D317,E317)</x:f>
        <x:v>2</x:v>
      </x:c>
      <x:c r="G317" s="13" t="str">
        <x:v>HyRF: Hybrid Radiance Fields for Memory-efficient and High-quality Novel View Synthesis</x:v>
      </x:c>
      <x:c r="H317" s="13" t="n">
        <x:v>0</x:v>
      </x:c>
      <x:c r="I317" s="22" t="n">
        <x:v>0.015873015873015872</x:v>
      </x:c>
      <x:c r="J317" s="13" t="n">
        <x:v>1</x:v>
      </x:c>
      <x:c r="K317" s="19" t="str">
        <x:v>What are the main neural representations for novel-view synthesis, including neural radiance fields and 3D Gaussian splatting, and what are their computational trade-offs?</x:v>
      </x:c>
      <x:c r="L317" s="19" t="str">
        <x:v>Splatting (3DGS) [15] method has emerged as a compelling alternative to NeRF-based approaches,
enabling real-time rendering of high-resolution novel views. Unlike NeRF, which relies on continuous
neural networks, 3DGS employs a set of explicit, optimizable 3D Gaussians to represent scenes.
This approach is able to bypass the computational overhead of volume rendering by leveraging an
efficient differentiable point-based splatting process [57, 51], achieving real-time performance while
enhancing rendering quality.
However, 3DGS suffers from significant memory overhead due to its parameter-intensive representa-
tion of view-dependent colors and anisotropic shapes. Each 3D Gaussian requires 59 parameters,
with 48 parameters dedicated to view-dependent color representation via spherical harmonics and</x:v>
      </x:c>
      <x:c r="M317" s="19" t="str">
        <x:v>该段包含可直接回答问题的方法、指标、比较或研究发现。</x:v>
      </x:c>
      <x:c r="N317" s="13" t="str">
        <x:v>http://arxiv.org/abs/2509.17083v2</x:v>
      </x:c>
    </x:row>
    <x:row r="318" ht="58" customHeight="1">
      <x:c r="A318" s="13" t="str">
        <x:v>csq011-c020</x:v>
      </x:c>
      <x:c r="B318" s="13" t="str">
        <x:v>csq011</x:v>
      </x:c>
      <x:c r="C318" s="21" t="n">
        <x:v>20</x:v>
      </x:c>
      <x:c r="D318" s="20" t="str">
        <x:v>2</x:v>
      </x:c>
      <x:c r="E318" s="20" t="str"/>
      <x:c r="F318" s="20" t="str">
        <x:f>IF(E318="",D318,E318)</x:f>
        <x:v>2</x:v>
      </x:c>
      <x:c r="G318" s="13" t="str">
        <x:v>F-3DGS: Factorized Coordinates and Representations for 3D Gaussian Splatting</x:v>
      </x:c>
      <x:c r="H318" s="13" t="n">
        <x:v>1</x:v>
      </x:c>
      <x:c r="I318" s="22" t="n">
        <x:v>0.015873015873015872</x:v>
      </x:c>
      <x:c r="J318" s="13" t="n">
        <x:v>1</x:v>
      </x:c>
      <x:c r="K318" s="19" t="str">
        <x:v>What are the main neural representations for novel-view synthesis, including neural radiance fields and 3D Gaussian splatting, and what are their computational trade-offs?</x:v>
      </x:c>
      <x:c r="L318" s="19" t="str">
        <x:v>factorization method significantly reduces the required storage
by downsizing 3DGS over 90% while achieving comparable image
quality. We also provide qualitative results and analysis to support
our findings and conclusions, helping to provide a comprehensive
understanding of the subject matter. Finally, we prove our approach
as an efficient framework for representing 3D scenes, achieving
high performance, compact storage, and fast rendering.
2 RELATED WORK
2.1 Neural Rendering
Neural rendering 1 is an emerging approach that leverages ma-
chine learning to generate photorealistic visual objects and scenes.
Central to this domain is differentiable rendering, enabling the
end-to-end training and optimization of 3D scene representations
directly from images [20]. Along with differentiable rendering, vol-
umetric rendering has also been an important component in neural</x:v>
      </x:c>
      <x:c r="M318" s="19" t="str">
        <x:v>该段包含可直接回答问题的方法、指标、比较或研究发现。</x:v>
      </x:c>
      <x:c r="N318" s="13" t="str">
        <x:v>http://arxiv.org/abs/2405.17083v2</x:v>
      </x:c>
    </x:row>
    <x:row r="319" ht="58" customHeight="1">
      <x:c r="A319" s="13" t="str">
        <x:v>csq011-c021</x:v>
      </x:c>
      <x:c r="B319" s="13" t="str">
        <x:v>csq011</x:v>
      </x:c>
      <x:c r="C319" s="21" t="n">
        <x:v>21</x:v>
      </x:c>
      <x:c r="D319" s="20" t="str">
        <x:v>2</x:v>
      </x:c>
      <x:c r="E319" s="20" t="str"/>
      <x:c r="F319" s="20" t="str">
        <x:f>IF(E319="",D319,E319)</x:f>
        <x:v>2</x:v>
      </x:c>
      <x:c r="G319" s="13" t="str">
        <x:v>Compressed 3D Gaussian Splatting for Accelerated Novel View Synthesis</x:v>
      </x:c>
      <x:c r="H319" s="13" t="n">
        <x:v>1</x:v>
      </x:c>
      <x:c r="I319" s="22" t="n">
        <x:v>0.015384615384615385</x:v>
      </x:c>
      <x:c r="J319" s="13" t="n">
        <x:v>1</x:v>
      </x:c>
      <x:c r="K319" s="19" t="str">
        <x:v>What are the main neural representations for novel-view synthesis, including neural radiance fields and 3D Gaussian splatting, and what are their computational trade-offs?</x:v>
      </x:c>
      <x:c r="L319" s="19" t="str">
        <x:v>structured space discretizations like voxel grids [10, 24, 28],
octrees [6] or hash grids [17] are used to represent the scene.
To avoid encoding empty space, point-based representa-
tions have been proposed. Xu et al. [29] perform nearest
neighbor search in a point cloud to aggregate local features,
and R¨uckert et al. [21] render a point cloud with deep fea-
tures and use deferred neural rendering to generate the final
image.
More recently, differentiable splatting [7, 13] has been
positioned as a powerful alternative to NeRF-like ap-
proaches for novel view synthesis. In particular, 3D Gaus-
sian Splatting [13] offers state-of-the-art scene reconstruc-
tion, by using a scene model consisting of an optimized set
of 3D Gaussian kernels that can be rendered efficiently. Dif-
ferentiable rendering on a set of training images is used to</x:v>
      </x:c>
      <x:c r="M319" s="19" t="str">
        <x:v>该段包含可直接回答问题的方法、指标、比较或研究发现。</x:v>
      </x:c>
      <x:c r="N319" s="13" t="str">
        <x:v>http://arxiv.org/abs/2401.02436v2</x:v>
      </x:c>
    </x:row>
    <x:row r="320" ht="58" customHeight="1">
      <x:c r="A320" s="13" t="str">
        <x:v>csq011-c022</x:v>
      </x:c>
      <x:c r="B320" s="13" t="str">
        <x:v>csq011</x:v>
      </x:c>
      <x:c r="C320" s="21" t="n">
        <x:v>22</x:v>
      </x:c>
      <x:c r="D320" s="20" t="str">
        <x:v>2</x:v>
      </x:c>
      <x:c r="E320" s="20" t="str"/>
      <x:c r="F320" s="20" t="str">
        <x:f>IF(E320="",D320,E320)</x:f>
        <x:v>2</x:v>
      </x:c>
      <x:c r="G320" s="13" t="str">
        <x:v>V4d: voxel for 4d novel view synthesis</x:v>
      </x:c>
      <x:c r="H320" s="13" t="n">
        <x:v>6</x:v>
      </x:c>
      <x:c r="I320" s="22" t="n">
        <x:v>0.015384615384615385</x:v>
      </x:c>
      <x:c r="J320" s="13" t="n">
        <x:v>1</x:v>
      </x:c>
      <x:c r="K320" s="19" t="str">
        <x:v>What are the main neural representations for novel-view synthesis, including neural radiance fields and 3D Gaussian splatting, and what are their computational trade-offs?</x:v>
      </x:c>
      <x:c r="L320" s="19" t="str">
        <x:v>4.2 Results
4D novel view synthesis The main motivation of our approach is to address the problems in the
exited method D-NeRF [23]. One problem is the unsatisfied performance due to the limited capacity
in MLP-based networks, and the other problem is the high computational cost for both training and
inference. Therefore, we strictly aligned the experiment setting with D-NeRF and compared the
result with it. For the synthesis scenes [23], our proposed method is much better than the D-NeRF
both quantitatively (Table 1) and qualitatively (Figure 4). Besides, comparing the concurrent works,
NDVG [9] and TiNeuV ox [6], our method is also better than theirs. For the real dynamic scenes [21],
we also achieves competitive results as recorded in Table 2 and Figure 5. The disadvantage of our
method is that we need a longer training time, which is because we do not adapt the canonical manner</x:v>
      </x:c>
      <x:c r="M320" s="19" t="str">
        <x:v>该段包含可直接回答问题的方法、指标、比较或研究发现。</x:v>
      </x:c>
      <x:c r="N320" s="13" t="str">
        <x:v>http://arxiv.org/abs/2205.14332v4</x:v>
      </x:c>
    </x:row>
    <x:row r="321" ht="58" customHeight="1">
      <x:c r="A321" s="13" t="str">
        <x:v>csq011-c023</x:v>
      </x:c>
      <x:c r="B321" s="13" t="str">
        <x:v>csq011</x:v>
      </x:c>
      <x:c r="C321" s="21" t="n">
        <x:v>23</x:v>
      </x:c>
      <x:c r="D321" s="20" t="str">
        <x:v>0</x:v>
      </x:c>
      <x:c r="E321" s="20" t="str"/>
      <x:c r="F321" s="20" t="str">
        <x:f>IF(E321="",D321,E321)</x:f>
        <x:v>0</x:v>
      </x:c>
      <x:c r="G321" s="13" t="str">
        <x:v>HyRF: Hybrid Radiance Fields for Memory-efficient and High-quality Novel View Synthesis</x:v>
      </x:c>
      <x:c r="H321" s="13" t="n">
        <x:v>10</x:v>
      </x:c>
      <x:c r="I321" s="22" t="n">
        <x:v>0.015151515151515152</x:v>
      </x:c>
      <x:c r="J321" s="13" t="n">
        <x:v>1</x:v>
      </x:c>
      <x:c r="K321" s="19" t="str">
        <x:v>What are the main neural representations for novel-view synthesis, including neural radiance fields and 3D Gaussian splatting, and what are their computational trade-offs?</x:v>
      </x:c>
      <x:c r="L321" s="19" t="str">
        <x:v>voxel fields.NeurIPS, 2020.
[22] Xiangrui Liu, Xinju Wu, Pingping Zhang, Shiqi Wang, Zhu Li, and Sam Kwong. Compgs:
Efficient 3d scene representation via compressed gaussian splatting.arXiv preprint
arXiv:2404.09458, 2024.
[23] Tao Lu, Mulin Yu, Linning Xu, Yuanbo Xiangli, Limin Wang, Dahua Lin, and Bo Dai. Scaffold-
gs: Structured 3d gaussians for view-adaptive rendering. InCVPR, 2024.
[24] Ricardo Martin-Brualla, Noha Radwan, Mehdi SM Sajjadi, Jonathan T Barron, Alexey Dosovit-
skiy, and Daniel Duckworth. Nerf in the wild: Neural radiance fields for unconstrained photo
collections. InCVPR, 2021.
[25] Ben Mildenhall, Pratul P Srinivasan, Matthew Tancik, Jonathan T Barron, Ravi Ramamoorthi,
and Ren Ng. Nerf: Representing scenes as neural radiance fields for view synthesis.ECCV,
2021.
[26] Thomas Müller. tiny-cuda-nn, 2021.</x:v>
      </x:c>
      <x:c r="M321" s="19" t="str">
        <x:v>该段为无关内容、泛泛提及或参考文献片段，不能作为回答证据。</x:v>
      </x:c>
      <x:c r="N321" s="13" t="str">
        <x:v>http://arxiv.org/abs/2509.17083v2</x:v>
      </x:c>
    </x:row>
    <x:row r="322" ht="58" customHeight="1">
      <x:c r="A322" s="13" t="str">
        <x:v>csq011-c024</x:v>
      </x:c>
      <x:c r="B322" s="13" t="str">
        <x:v>csq011</x:v>
      </x:c>
      <x:c r="C322" s="21" t="n">
        <x:v>24</x:v>
      </x:c>
      <x:c r="D322" s="20" t="str">
        <x:v>2</x:v>
      </x:c>
      <x:c r="E322" s="20" t="str"/>
      <x:c r="F322" s="20" t="str">
        <x:f>IF(E322="",D322,E322)</x:f>
        <x:v>2</x:v>
      </x:c>
      <x:c r="G322" s="13" t="str">
        <x:v>NeurMiPs: Neural Mixture of Planar Experts for View Synthesis</x:v>
      </x:c>
      <x:c r="H322" s="13" t="n">
        <x:v>0</x:v>
      </x:c>
      <x:c r="I322" s="22" t="n">
        <x:v>0.015151515151515152</x:v>
      </x:c>
      <x:c r="J322" s="13" t="n">
        <x:v>1</x:v>
      </x:c>
      <x:c r="K322" s="19" t="str">
        <x:v>What are the main neural representations for novel-view synthesis, including neural radiance fields and 3D Gaussian splatting, and what are their computational trade-offs?</x:v>
      </x:c>
      <x:c r="L322" s="19" t="str">
        <x:v>Abstract
We present Neural Mixtures of Planar Experts (Neur-
MiPs), a novel planar-based scene representation for mod-
eling geometry and appearance. NeurMiPs leverages a
collection of local planar experts in 3D space as the scene
representation. Each planar expert consists of the param-
eters of the local rectangular shape representing geometry
and a neural radiance field modeling the color and opacity.
We render novel views by calculating ray-plane intersections
and composite output colors and densities at intersected
points to the image. NeurMiPs blends the efficiency of ex-
plicit mesh rendering and flexibility of the neural radiance
field. Experiments demonstrate superior performance and
speed of our proposed method, compared to other 3D repre-
sentations in novel view synthesis1.
1. Introduction
Imagine one day in the future where people can explore</x:v>
      </x:c>
      <x:c r="M322" s="19" t="str">
        <x:v>该段包含可直接回答问题的方法、指标、比较或研究发现。</x:v>
      </x:c>
      <x:c r="N322" s="13" t="str">
        <x:v>http://arxiv.org/abs/2204.13696v1</x:v>
      </x:c>
    </x:row>
    <x:row r="323" ht="58" customHeight="1">
      <x:c r="A323" s="13" t="str">
        <x:v>csq011-c025</x:v>
      </x:c>
      <x:c r="B323" s="13" t="str">
        <x:v>csq011</x:v>
      </x:c>
      <x:c r="C323" s="21" t="n">
        <x:v>25</x:v>
      </x:c>
      <x:c r="D323" s="20" t="str">
        <x:v>2</x:v>
      </x:c>
      <x:c r="E323" s="20" t="str"/>
      <x:c r="F323" s="20" t="str">
        <x:f>IF(E323="",D323,E323)</x:f>
        <x:v>2</x:v>
      </x:c>
      <x:c r="G323" s="13" t="str">
        <x:v>HyRF: Hybrid Radiance Fields for Memory-efficient and High-quality Novel View Synthesis</x:v>
      </x:c>
      <x:c r="H323" s="13" t="n">
        <x:v>2</x:v>
      </x:c>
      <x:c r="I323" s="22" t="n">
        <x:v>0.014925373134328358</x:v>
      </x:c>
      <x:c r="J323" s="13" t="n">
        <x:v>1</x:v>
      </x:c>
      <x:c r="K323" s="19" t="str">
        <x:v>What are the main neural representations for novel-view synthesis, including neural radiance fields and 3D Gaussian splatting, and what are their computational trade-offs?</x:v>
      </x:c>
      <x:c r="L323" s="19" t="str">
        <x:v>often due to limited grid resolution or hash collisions.
Explicit Radiance Fields.Another line of research [ 1, 51, 47] explores replacing implicit neural
fields with explicit, point-based scene representations, which can be rendered more efficiently using
rasterization techniques. Notably, 3D Gaussian Splatting (3DGS) [15] introduced a scene representa-
tion based on 3D Gaussians, synthesizing novel views through point-based alpha blending [57]. This
approach achieves state-of-the-art rendering quality and real-time performance. However, the size of
models using 3D Gaussian representations is always considerably larger than NeRF-based methods.
Compressed 3D Gaussian Splatting.While 3D Gaussian Splatting (3DGS) achieves superior
rendering performance compared to NeRF-based methods, its significantly larger model size has</x:v>
      </x:c>
      <x:c r="M323" s="19" t="str">
        <x:v>该段包含可直接回答问题的方法、指标、比较或研究发现。</x:v>
      </x:c>
      <x:c r="N323" s="13" t="str">
        <x:v>http://arxiv.org/abs/2509.17083v2</x:v>
      </x:c>
    </x:row>
    <x:row r="324" ht="58" customHeight="1">
      <x:c r="A324" s="13" t="str">
        <x:v>csq011-c026</x:v>
      </x:c>
      <x:c r="B324" s="13" t="str">
        <x:v>csq011</x:v>
      </x:c>
      <x:c r="C324" s="21" t="n">
        <x:v>26</x:v>
      </x:c>
      <x:c r="D324" s="20" t="str">
        <x:v>0</x:v>
      </x:c>
      <x:c r="E324" s="20" t="str"/>
      <x:c r="F324" s="20" t="str">
        <x:f>IF(E324="",D324,E324)</x:f>
        <x:v>0</x:v>
      </x:c>
      <x:c r="G324" s="13" t="str">
        <x:v>Feature Splatting for Better Novel View Synthesis with Low Overlap</x:v>
      </x:c>
      <x:c r="H324" s="13" t="n">
        <x:v>11</x:v>
      </x:c>
      <x:c r="I324" s="22" t="n">
        <x:v>0.014925373134328358</x:v>
      </x:c>
      <x:c r="J324" s="13" t="n">
        <x:v>1</x:v>
      </x:c>
      <x:c r="K324" s="19" t="str">
        <x:v>What are the main neural representations for novel-view synthesis, including neural radiance fields and 3D Gaussian splatting, and what are their computational trade-offs?</x:v>
      </x:c>
      <x:c r="L324" s="19" t="str">
        <x:v>IEEE/CVF Conference on Computer Vision and Pattern Recognition , pages 12871–
12881, 2022.
[17] Joo Chan Lee, Daniel Rho, Xiangyu Sun, Jong Hwan Ko, and Eunbyung Park. Com-
pact 3d gaussian representation for radiance field. arXiv preprint arXiv:2311.13681 ,
2023.
[18] Jiaxin Li, Zijian Feng, Qi She, Henghui Ding, Changhu Wang, and Gim Hee Lee. Mine:
Towards continuous depth mpi with nerf for novel view synthesis. InProceedings of the
IEEE/CVF International Conference on Computer Vision , pages 12578–12588, 2021.
[19] Lingjie Liu, Jiatao Gu, Kyaw Zaw Lin, Tat-Seng Chua, and Christian Theobalt. Neural
sparse voxel fields. Advances in Neural Information Processing Systems , 33:15651–
15663, 2020.
[20] Duane G Merrill and Andrew S Grimshaw. Revisiting sorting for gpgpu stream archi-
tectures. In Proceedings of the 19th international conference on Parallel architectures</x:v>
      </x:c>
      <x:c r="M324" s="19" t="str">
        <x:v>该段为无关内容、泛泛提及或参考文献片段，不能作为回答证据。</x:v>
      </x:c>
      <x:c r="N324" s="13" t="str">
        <x:v>http://arxiv.org/abs/2405.15518v2</x:v>
      </x:c>
    </x:row>
    <x:row r="325" ht="58" customHeight="1">
      <x:c r="A325" s="13" t="str">
        <x:v>csq011-c027</x:v>
      </x:c>
      <x:c r="B325" s="13" t="str">
        <x:v>csq011</x:v>
      </x:c>
      <x:c r="C325" s="21" t="n">
        <x:v>27</x:v>
      </x:c>
      <x:c r="D325" s="20" t="str">
        <x:v>2</x:v>
      </x:c>
      <x:c r="E325" s="20" t="str"/>
      <x:c r="F325" s="20" t="str">
        <x:f>IF(E325="",D325,E325)</x:f>
        <x:v>2</x:v>
      </x:c>
      <x:c r="G325" s="13" t="str">
        <x:v>V4d: voxel for 4d novel view synthesis</x:v>
      </x:c>
      <x:c r="H325" s="13" t="n">
        <x:v>0</x:v>
      </x:c>
      <x:c r="I325" s="22" t="n">
        <x:v>0.014925373134328358</x:v>
      </x:c>
      <x:c r="J325" s="13" t="n">
        <x:v>1</x:v>
      </x:c>
      <x:c r="K325" s="19" t="str">
        <x:v>What are the main neural representations for novel-view synthesis, including neural radiance fields and 3D Gaussian splatting, and what are their computational trade-offs?</x:v>
      </x:c>
      <x:c r="L325" s="19" t="str">
        <x:v>4D data that achieves performance gain with negligible computational burdens.
Extensive experiments demonstrate that the proposed method achieves state-of-the-
art performance at a low computational cost. The relevant code will be available in
https://github.com/GANW ANSHUI/V4D.
1 Introduction
The novel view synthesis task could offer an immersive experience in applications such as augmented
reality, virtual reality, games, and the movie industry, which has been attracting more and more
attention in recent years. The differentiable volume rendering technique has significantly boosted the
performance in novel synthesis tasks, where the representative one in these two years should be the
Neural Radiance Fields (NeRF) proposed in [17]. In NeRF, the relative soft geometry representation
via volume rendering could make the geometry learn more efficiently, especially under multi-view</x:v>
      </x:c>
      <x:c r="M325" s="19" t="str">
        <x:v>该段包含可直接回答问题的方法、指标、比较或研究发现。</x:v>
      </x:c>
      <x:c r="N325" s="13" t="str">
        <x:v>http://arxiv.org/abs/2205.14332v4</x:v>
      </x:c>
    </x:row>
    <x:row r="326" ht="58" customHeight="1">
      <x:c r="A326" s="13" t="str">
        <x:v>csq011-c028</x:v>
      </x:c>
      <x:c r="B326" s="13" t="str">
        <x:v>csq011</x:v>
      </x:c>
      <x:c r="C326" s="21" t="n">
        <x:v>28</x:v>
      </x:c>
      <x:c r="D326" s="20" t="str">
        <x:v>2</x:v>
      </x:c>
      <x:c r="E326" s="20" t="str"/>
      <x:c r="F326" s="20" t="str">
        <x:f>IF(E326="",D326,E326)</x:f>
        <x:v>2</x:v>
      </x:c>
      <x:c r="G326" s="13" t="str">
        <x:v>V4d: voxel for 4d novel view synthesis</x:v>
      </x:c>
      <x:c r="H326" s="13" t="n">
        <x:v>13</x:v>
      </x:c>
      <x:c r="I326" s="22" t="n">
        <x:v>0.014925373134328358</x:v>
      </x:c>
      <x:c r="J326" s="13" t="n">
        <x:v>1</x:v>
      </x:c>
      <x:c r="K326" s="19" t="str">
        <x:v>What are the main neural representations for novel-view synthesis, including neural radiance fields and 3D Gaussian splatting, and what are their computational trade-offs?</x:v>
      </x:c>
      <x:c r="L326" s="19" t="str">
        <x:v>Srinivasan, Jonathan T Barron, and Henrik Kretzschmar. Block-nerf: Scalable large scene
neural view synthesis. In Proceedings of the IEEE/CVF Conference on Computer Vision and
Pattern Recognition, pages 8248–8258, 2022.
[29] Edgar Tretschk, Ayush Tewari, Vladislav Golyanik, Michael Zollhöfer, Christoph Lassner, and
Christian Theobalt. Non-rigid neural radiance fields: Reconstruction and novel view synthesis
of a dynamic scene from monocular video. In Proceedings of the IEEE/CVF International
Conference on Computer Vision, pages 12959–12970, 2021.
[30] Liao Wang, Jiakai Zhang, Xinhang Liu, Fuqiang Zhao, Yanshun Zhang, Yingliang Zhang,
Minye Wu, Jingyi Yu, and Lan Xu. Fourier plenoctrees for dynamic radiance field rendering
in real-time. In Proceedings of the IEEE/CVF Conference on Computer Vision and Pattern
Recognition, pages 13524–13534, 2022.</x:v>
      </x:c>
      <x:c r="M326" s="19" t="str">
        <x:v>该段包含可直接回答问题的方法、指标、比较或研究发现。</x:v>
      </x:c>
      <x:c r="N326" s="13" t="str">
        <x:v>http://arxiv.org/abs/2205.14332v4</x:v>
      </x:c>
    </x:row>
    <x:row r="327" ht="58" customHeight="1">
      <x:c r="A327" s="13" t="str">
        <x:v>csq011-c029</x:v>
      </x:c>
      <x:c r="B327" s="13" t="str">
        <x:v>csq011</x:v>
      </x:c>
      <x:c r="C327" s="21" t="n">
        <x:v>29</x:v>
      </x:c>
      <x:c r="D327" s="20" t="str">
        <x:v>0</x:v>
      </x:c>
      <x:c r="E327" s="20" t="str"/>
      <x:c r="F327" s="20" t="str">
        <x:f>IF(E327="",D327,E327)</x:f>
        <x:v>0</x:v>
      </x:c>
      <x:c r="G327" s="13" t="str">
        <x:v>NeurMiPs: Neural Mixture of Planar Experts for View Synthesis</x:v>
      </x:c>
      <x:c r="H327" s="13" t="n">
        <x:v>5</x:v>
      </x:c>
      <x:c r="I327" s="22" t="n">
        <x:v>0.014925373134328358</x:v>
      </x:c>
      <x:c r="J327" s="13" t="n">
        <x:v>1</x:v>
      </x:c>
      <x:c r="K327" s="19" t="str">
        <x:v>What are the main neural representations for novel-view synthesis, including neural radiance fields and 3D Gaussian splatting, and what are their computational trade-offs?</x:v>
      </x:c>
      <x:c r="L327" s="19" t="str">
        <x:v>Model PSNR↑ SSIM↑ LPIPS↓
NeRF [44] 28.32 0.904 0.168
SRN [59] 24.10 0.847 0.251
Neural V olumes [37] 23.70 0.834 0.260
NSVF [36] 28.40 0.900 0.153
PlenOctrees [79] 27.99 0.917 0.131
KiloNeRF [50] 28.41 0.910 0.090
Ours 28.46 0.908 0.089
Table 1. Quantitative comparison on Tanks &amp; Temples.
Therefore, we fine-tune the RGB branch of planar experts
for better rendering quality.
Early Ray Termination Evaluating radiance for all inter-
secting rectangles is unnecessary, in particular when the
transmittance value Q
i(1 − αi) is close to zero (e.g. ray hit-
ting a non-transparent plane) since it may only have a minor
impact. In practice, we exploit early ray termination to avoid
additional network evaluation, thereby enhancing rendering
efficiency considerably. We also perform re-normalization if
the sum of the alpha values is smaller than 1. We empirically</x:v>
      </x:c>
      <x:c r="M327" s="19" t="str">
        <x:v>该段为无关内容、泛泛提及或参考文献片段，不能作为回答证据。</x:v>
      </x:c>
      <x:c r="N327" s="13" t="str">
        <x:v>http://arxiv.org/abs/2204.13696v1</x:v>
      </x:c>
    </x:row>
    <x:row r="328" ht="58" customHeight="1">
      <x:c r="A328" s="13" t="str">
        <x:v>csq011-c030</x:v>
      </x:c>
      <x:c r="B328" s="13" t="str">
        <x:v>csq011</x:v>
      </x:c>
      <x:c r="C328" s="21" t="n">
        <x:v>30</x:v>
      </x:c>
      <x:c r="D328" s="20" t="str">
        <x:v>2</x:v>
      </x:c>
      <x:c r="E328" s="20" t="str"/>
      <x:c r="F328" s="20" t="str">
        <x:f>IF(E328="",D328,E328)</x:f>
        <x:v>2</x:v>
      </x:c>
      <x:c r="G328" s="13" t="str">
        <x:v>HyRF: Hybrid Radiance Fields for Memory-efficient and High-quality Novel View Synthesis</x:v>
      </x:c>
      <x:c r="H328" s="13" t="n">
        <x:v>9</x:v>
      </x:c>
      <x:c r="I328" s="22" t="n">
        <x:v>0.014705882352941176</x:v>
      </x:c>
      <x:c r="J328" s="13" t="n">
        <x:v>1</x:v>
      </x:c>
      <x:c r="K328" s="19" t="str">
        <x:v>What are the main neural representations for novel-view synthesis, including neural radiance fields and 3D Gaussian splatting, and what are their computational trade-offs?</x:v>
      </x:c>
      <x:c r="L328" s="19" t="str">
        <x:v>speed advantages. As novel view synthesis continues to play a crucial role in diverse applications
from virtual production to autonomous systems, we believe our contributions represent a significant
step toward practical, high-quality real-time neural rendering.
Limitations:As in the original 3DGS, our present method does not address the aliasing issue [ 53]
and sometimes produces inaccurate surface reconstruction. Moreover, the neural field components
in HyRF currently benefit from high-end GPUs for high rendering speed. Achieving comparable
efficiency on web platforms or integrated graphics remains an open challenge for the community.
References
[1] Kara-Ali Aliev, Artem Sevastopolsky, Maria Kolos, Dmitry Ulyanov, and Victor Lempitsky.
Neural point-based graphics. InECCV, 2020.
[2] Jonathan T Barron, Ben Mildenhall, Matthew Tancik, Peter Hedman, Ricardo Martin-Brualla,</x:v>
      </x:c>
      <x:c r="M328" s="19" t="str">
        <x:v>该段包含可直接回答问题的方法、指标、比较或研究发现。</x:v>
      </x:c>
      <x:c r="N328" s="13" t="str">
        <x:v>http://arxiv.org/abs/2509.17083v2</x:v>
      </x:c>
    </x:row>
    <x:row r="329" ht="58" customHeight="1">
      <x:c r="A329" s="13" t="str">
        <x:v>csq012-c001</x:v>
      </x:c>
      <x:c r="B329" s="13" t="str">
        <x:v>csq012</x:v>
      </x:c>
      <x:c r="C329" s="21" t="n">
        <x:v>1</x:v>
      </x:c>
      <x:c r="D329" s="20" t="str">
        <x:v>2</x:v>
      </x:c>
      <x:c r="E329" s="20" t="str"/>
      <x:c r="F329" s="20" t="str">
        <x:f>IF(E329="",D329,E329)</x:f>
        <x:v>2</x:v>
      </x:c>
      <x:c r="G329" s="13" t="str">
        <x:v>D-AR: Diffusion via Autoregressive Models</x:v>
      </x:c>
      <x:c r="H329" s="13" t="n">
        <x:v>2</x:v>
      </x:c>
      <x:c r="I329" s="22" t="n">
        <x:v>0.06505334374186834</x:v>
      </x:c>
      <x:c r="J329" s="13" t="n">
        <x:v>4</x:v>
      </x:c>
      <x:c r="K329" s="19" t="str">
        <x:v>How do diffusion-based and autoregressive image generation models compare in training objectives, sampling cost, controllability, and output quality?</x:v>
      </x:c>
      <x:c r="L329" s="19" t="str">
        <x:v>Diffusion models and autoregressive models are currently two main streams of modern generative
modeling. Diffusion models [20, 19, 21, 35], exemplified by several commercial text-to-image mod-
els [23, 22], excel in generating high-quality visual content by iteratively denoising a sample from an
initial noise. Though powerful in generating visually pleasing images, the diffusion process typically
operates in a dense manner and requires significant sampling steps, which can be computationally
expensive. Recent success in language modeling using autoregressive paradigm, especially large
language models [3, 1, 36, 37], has inspired researchers to explore the potential of this paradigm in vi-
sual generation tasks due to its scalability and mature training and inference infrastructures. However,</x:v>
      </x:c>
      <x:c r="M329" s="19" t="str">
        <x:v>该段包含可直接回答问题的方法、指标、比较或研究发现。</x:v>
      </x:c>
      <x:c r="N329" s="13" t="str">
        <x:v>http://arxiv.org/abs/2505.23660v1</x:v>
      </x:c>
    </x:row>
    <x:row r="330" ht="58" customHeight="1">
      <x:c r="A330" s="13" t="str">
        <x:v>csq012-c002</x:v>
      </x:c>
      <x:c r="B330" s="13" t="str">
        <x:v>csq012</x:v>
      </x:c>
      <x:c r="C330" s="21" t="n">
        <x:v>2</x:v>
      </x:c>
      <x:c r="D330" s="20" t="str">
        <x:v>2</x:v>
      </x:c>
      <x:c r="E330" s="20" t="str"/>
      <x:c r="F330" s="20" t="str">
        <x:f>IF(E330="",D330,E330)</x:f>
        <x:v>2</x:v>
      </x:c>
      <x:c r="G330" s="13" t="str">
        <x:v>CAR: Controllable Autoregressive Modeling for Visual Generation</x:v>
      </x:c>
      <x:c r="H330" s="13" t="n">
        <x:v>2</x:v>
      </x:c>
      <x:c r="I330" s="22" t="n">
        <x:v>0.05896740309185127</x:v>
      </x:c>
      <x:c r="J330" s="13" t="n">
        <x:v>4</x:v>
      </x:c>
      <x:c r="K330" s="19" t="str">
        <x:v>How do diffusion-based and autoregressive image generation models compare in training objectives, sampling cost, controllability, and output quality?</x:v>
      </x:c>
      <x:c r="L330" s="19" t="str">
        <x:v>2023; 2024). More recently, some works have increasingly focused on integrating diffusion models
into multimodal tasks (Nichol et al., 2021; Lu et al., 2022; 2024; Xie et al., 2024; Zhou et al., 2024).
Autoregressive Models Autoregressive models have emerged as a scalable alternative to diffusion
models in generative tasks, offering a more efficient architecture for image synthesis. Inspired by
the success of autoregressive models in language tasks, such as GPT (Radford et al., 2019; Brown,
2020), their visual counterparts like DALL-E (Ramesh et al., 2021) model image generation as a
sequence prediction problem. This paradigm shift allows autoregressive models to generate high-
quality images while circumventing the iterative nature of diffusion models, thereby reducing com-
putational overhead. A number of excellent works adhering to this paradigm have emerged (Ge</x:v>
      </x:c>
      <x:c r="M330" s="19" t="str">
        <x:v>该段包含可直接回答问题的方法、指标、比较或研究发现。</x:v>
      </x:c>
      <x:c r="N330" s="13" t="str">
        <x:v>http://arxiv.org/abs/2410.04671v1</x:v>
      </x:c>
    </x:row>
    <x:row r="331" ht="58" customHeight="1">
      <x:c r="A331" s="13" t="str">
        <x:v>csq012-c003</x:v>
      </x:c>
      <x:c r="B331" s="13" t="str">
        <x:v>csq012</x:v>
      </x:c>
      <x:c r="C331" s="21" t="n">
        <x:v>3</x:v>
      </x:c>
      <x:c r="D331" s="20" t="str">
        <x:v>2</x:v>
      </x:c>
      <x:c r="E331" s="20" t="str"/>
      <x:c r="F331" s="20" t="str">
        <x:f>IF(E331="",D331,E331)</x:f>
        <x:v>2</x:v>
      </x:c>
      <x:c r="G331" s="13" t="str">
        <x:v>CAR: Controllable Autoregressive Modeling for Visual Generation</x:v>
      </x:c>
      <x:c r="H331" s="13" t="n">
        <x:v>1</x:v>
      </x:c>
      <x:c r="I331" s="22" t="n">
        <x:v>0.04696394686907021</x:v>
      </x:c>
      <x:c r="J331" s="13" t="n">
        <x:v>3</x:v>
      </x:c>
      <x:c r="K331" s="19" t="str">
        <x:v>How do diffusion-based and autoregressive image generation models compare in training objectives, sampling cost, controllability, and output quality?</x:v>
      </x:c>
      <x:c r="L331" s="19" t="str">
        <x:v>Preprint
1 I NTRODUCTION
Controllable generation represents a pivotal aspect of visual generative models, enabling precise and
fine-grained control over generated outputs. This capability is indispensable for tasks that demand
a high degree of precision and adaptability, positioning it as a significant area of focus within the
domain. Currently, there are mainly two primary paradigms that have substantially advanced the
field of visual generation: diffusion models (Rombach et al., 2022; Saharia et al., 2022) and autore-
gressive models (Tian et al., 2024; Esser et al., 2021). While the diffusion paradigm has already
given rise to numerous widely adopted methods for controllable generation, the autoregressive ap-
proach remains underexplored, particularly in how to empower the strengths of this paradigm for
controllable generation, which constitutes the central emphasis of this work.</x:v>
      </x:c>
      <x:c r="M331" s="19" t="str">
        <x:v>该段包含可直接回答问题的方法、指标、比较或研究发现。</x:v>
      </x:c>
      <x:c r="N331" s="13" t="str">
        <x:v>http://arxiv.org/abs/2410.04671v1</x:v>
      </x:c>
    </x:row>
    <x:row r="332" ht="58" customHeight="1">
      <x:c r="A332" s="13" t="str">
        <x:v>csq012-c004</x:v>
      </x:c>
      <x:c r="B332" s="13" t="str">
        <x:v>csq012</x:v>
      </x:c>
      <x:c r="C332" s="21" t="n">
        <x:v>4</x:v>
      </x:c>
      <x:c r="D332" s="20" t="str">
        <x:v>2</x:v>
      </x:c>
      <x:c r="E332" s="20" t="str"/>
      <x:c r="F332" s="20" t="str">
        <x:f>IF(E332="",D332,E332)</x:f>
        <x:v>2</x:v>
      </x:c>
      <x:c r="G332" s="13" t="str">
        <x:v>ControlAR: Controllable Image Generation with Autoregressive Models</x:v>
      </x:c>
      <x:c r="H332" s="13" t="n">
        <x:v>1</x:v>
      </x:c>
      <x:c r="I332" s="22" t="n">
        <x:v>0.045783730158730156</x:v>
      </x:c>
      <x:c r="J332" s="13" t="n">
        <x:v>3</x:v>
      </x:c>
      <x:c r="K332" s="19" t="str">
        <x:v>How do diffusion-based and autoregressive image generation models compare in training objectives, sampling cost, controllability, and output quality?</x:v>
      </x:c>
      <x:c r="L332" s="19" t="str">
        <x:v>Despite the success of diffusion models, most recent works reveal the potential of autoregres-
sive models for image generation, e.g., LlamaGen (Sun et al., 2024) follows the architecture of
Llama (Touvron et al., 2023) to achieve image generation and obtained remarkable results. More-
over, several works (Kondratyuk et al., 2024; Gao et al., 2024) have explored autoregressive models
for video generation and achieved promising results, further demonstrating the great potential of au-
toregressive models for visual generation. However, controlling autoregressive models as a crucial
direction remains unexplored, making it challenging for autoregressive models to achieve same level
of fine-grained control as diffusion models. In contrast to controllable diffusion models, adding con-
ditional controls to autoregressive models is not straightforward because of two major challenges:</x:v>
      </x:c>
      <x:c r="M332" s="19" t="str">
        <x:v>该段包含可直接回答问题的方法、指标、比较或研究发现。</x:v>
      </x:c>
      <x:c r="N332" s="13" t="str">
        <x:v>http://arxiv.org/abs/2410.02705v3</x:v>
      </x:c>
    </x:row>
    <x:row r="333" ht="58" customHeight="1">
      <x:c r="A333" s="13" t="str">
        <x:v>csq012-c005</x:v>
      </x:c>
      <x:c r="B333" s="13" t="str">
        <x:v>csq012</x:v>
      </x:c>
      <x:c r="C333" s="21" t="n">
        <x:v>5</x:v>
      </x:c>
      <x:c r="D333" s="20" t="str">
        <x:v>2</x:v>
      </x:c>
      <x:c r="E333" s="20" t="str"/>
      <x:c r="F333" s="20" t="str">
        <x:f>IF(E333="",D333,E333)</x:f>
        <x:v>2</x:v>
      </x:c>
      <x:c r="G333" s="13" t="str">
        <x:v>D-AR: Diffusion via Autoregressive Models</x:v>
      </x:c>
      <x:c r="H333" s="13" t="n">
        <x:v>2</x:v>
      </x:c>
      <x:c r="I333" s="22" t="n">
        <x:v>0.04534011967810716</x:v>
      </x:c>
      <x:c r="J333" s="13" t="n">
        <x:v>3</x:v>
      </x:c>
      <x:c r="K333" s="19" t="str">
        <x:v>How do diffusion-based and autoregressive image generation models compare in training objectives, sampling cost, controllability, and output quality?</x:v>
      </x:c>
      <x:c r="L333" s="19" t="str">
        <x:v>to different diffusion steps and require diffusion gradients to train AR models [31, 32, 33, 34]; (d)
ours uses vanilla AR models, which can train with discrete inputs/outputs by simply cross entropy,
and sequentially decode output tokens with our diffusion tokenizer.
synthesis by conditioning several prefix tokens. Besides these interesting properties, D-AR also
excels on the standard ImageNet class-conditioned generation benchmark. With a 775M-parameter,
LLaMA backbone [2] operating purely in the next-token-prediction paradigm, D-AR-XL achieves
2.09 gFID with a total of 256 tokens. We hope our work can inspire future research on integrated
multi-modal LLM architectures with native visual generation capabilities.
2 Related Work
2.1 Diffusion and Autoregressive Models
Diffusion models and autoregressive models are currently two main streams of modern generative</x:v>
      </x:c>
      <x:c r="M333" s="19" t="str">
        <x:v>该段包含可直接回答问题的方法、指标、比较或研究发现。</x:v>
      </x:c>
      <x:c r="N333" s="13" t="str">
        <x:v>http://arxiv.org/abs/2505.23660v1</x:v>
      </x:c>
    </x:row>
    <x:row r="334" ht="58" customHeight="1">
      <x:c r="A334" s="13" t="str">
        <x:v>csq012-c006</x:v>
      </x:c>
      <x:c r="B334" s="13" t="str">
        <x:v>csq012</x:v>
      </x:c>
      <x:c r="C334" s="21" t="n">
        <x:v>6</x:v>
      </x:c>
      <x:c r="D334" s="20" t="str">
        <x:v>0</x:v>
      </x:c>
      <x:c r="E334" s="20" t="str"/>
      <x:c r="F334" s="20" t="str">
        <x:f>IF(E334="",D334,E334)</x:f>
        <x:v>0</x:v>
      </x:c>
      <x:c r="G334" s="13" t="str">
        <x:v>NextStep-1: Toward Autoregressive Image Generation with Continuous Tokens at Scale</x:v>
      </x:c>
      <x:c r="H334" s="13" t="n">
        <x:v>23</x:v>
      </x:c>
      <x:c r="I334" s="22" t="n">
        <x:v>0.043979386626445446</x:v>
      </x:c>
      <x:c r="J334" s="13" t="n">
        <x:v>3</x:v>
      </x:c>
      <x:c r="K334" s="19" t="str">
        <x:v>How do diffusion-based and autoregressive image generation models compare in training objectives, sampling cost, controllability, and output quality?</x:v>
      </x:c>
      <x:c r="L334" s="19" t="str">
        <x:v>J. Yao, B. Yang, and X. Wang. Reconstruction vs. generation: Taming optimization dilemma
in latent diffusion models. In Proceedings of the Computer Vision and Pattern Recognition
Conference (CVPR), 2025.
Y. Ye, X. He, Z. Li, B. Lin, S. Yuan, Z. Yan, B. Hou, and L. Yuan. Imgedit: A unified image editing
dataset and benchmark. arXiv preprint arXiv:2505.20275, 2025.
J. Yu, Y. Xu, J. Y. Koh, T. Luong, G. Baid, Z. Wang, V . Vasudevan, A. Ku, Y. Yang, B. K. Ayan,
B. Hutchinson, W. Han, Z. Parekh, X. Li, H. Zhang, J. Baldridge, and Y. Wu. Scaling autore-
gressive models for content-rich text-to-image generation. In TMLR, 2022.
L. Yu, J. Lezama, N. B. Gundavarapu, L. Versari, K. Sohn, D. Minnen, Y. Cheng, V . Birodkar,
A. Gupta, X. Gu, et al. Language model beats diffusion–tokenizer is key to visual generation.
arXiv preprint arXiv:2310.05737, 2023.</x:v>
      </x:c>
      <x:c r="M334" s="19" t="str">
        <x:v>该段为无关内容、泛泛提及或参考文献片段，不能作为回答证据。</x:v>
      </x:c>
      <x:c r="N334" s="13" t="str">
        <x:v>http://arxiv.org/abs/2508.10711v2</x:v>
      </x:c>
    </x:row>
    <x:row r="335" ht="58" customHeight="1">
      <x:c r="A335" s="13" t="str">
        <x:v>csq012-c007</x:v>
      </x:c>
      <x:c r="B335" s="13" t="str">
        <x:v>csq012</x:v>
      </x:c>
      <x:c r="C335" s="21" t="n">
        <x:v>7</x:v>
      </x:c>
      <x:c r="D335" s="20" t="str">
        <x:v>2</x:v>
      </x:c>
      <x:c r="E335" s="20" t="str"/>
      <x:c r="F335" s="20" t="str">
        <x:f>IF(E335="",D335,E335)</x:f>
        <x:v>2</x:v>
      </x:c>
      <x:c r="G335" s="13" t="str">
        <x:v>D-AR: Diffusion via Autoregressive Models</x:v>
      </x:c>
      <x:c r="H335" s="13" t="n">
        <x:v>9</x:v>
      </x:c>
      <x:c r="I335" s="22" t="n">
        <x:v>0.04311039484286865</x:v>
      </x:c>
      <x:c r="J335" s="13" t="n">
        <x:v>3</x:v>
      </x:c>
      <x:c r="K335" s="19" t="str">
        <x:v>How do diffusion-based and autoregressive image generation models compare in training objectives, sampling cost, controllability, and output quality?</x:v>
      </x:c>
      <x:c r="L335" s="19" t="str">
        <x:v>ImageNet 256 × 256 benchmark shows that D-AR can generate high-quality images, reaching com-
petitive 2.09 FID with 775M parameters as a vanilla autoregressive model, together with several
properties from both autoregressive and diffusion worlds.
Limitation. Due to the limited hardware resources, we only experiment with D-AR models of a
relatively moderate amount of parameters (&lt;1.0B) on ImageNet. Though our method is generally
designed for unified autoregressive architectures for native visual generation compatible with LLMs,
we do not explore the native text-to-image generation in this paper, where yet we believe the D-AR
framework holds significant potential values.
Acknowledgment. This research is supported by the National Research Foundation, Singapore
under its AI Singapore Programme (AISG Award No: AISG3-RP-2022-030). We would like to thank</x:v>
      </x:c>
      <x:c r="M335" s="19" t="str">
        <x:v>该段包含可直接回答问题的方法、指标、比较或研究发现。</x:v>
      </x:c>
      <x:c r="N335" s="13" t="str">
        <x:v>http://arxiv.org/abs/2505.23660v1</x:v>
      </x:c>
    </x:row>
    <x:row r="336" ht="58" customHeight="1">
      <x:c r="A336" s="13" t="str">
        <x:v>csq012-c008</x:v>
      </x:c>
      <x:c r="B336" s="13" t="str">
        <x:v>csq012</x:v>
      </x:c>
      <x:c r="C336" s="21" t="n">
        <x:v>8</x:v>
      </x:c>
      <x:c r="D336" s="20" t="str">
        <x:v>2</x:v>
      </x:c>
      <x:c r="E336" s="20" t="str"/>
      <x:c r="F336" s="20" t="str">
        <x:f>IF(E336="",D336,E336)</x:f>
        <x:v>2</x:v>
      </x:c>
      <x:c r="G336" s="13" t="str">
        <x:v>D-AR: Diffusion via Autoregressive Models</x:v>
      </x:c>
      <x:c r="H336" s="13" t="n">
        <x:v>7</x:v>
      </x:c>
      <x:c r="I336" s="22" t="n">
        <x:v>0.04246614955433082</x:v>
      </x:c>
      <x:c r="J336" s="13" t="n">
        <x:v>3</x:v>
      </x:c>
      <x:c r="K336" s="19" t="str">
        <x:v>How do diffusion-based and autoregressive image generation models compare in training objectives, sampling cost, controllability, and output quality?</x:v>
      </x:c>
      <x:c r="L336" s="19" t="str">
        <x:v>FM, and MAR, have also shown highly competitive results. However, they require significant
modifications in the autoregressive framework to tackle continuous-valued inputs and outputs of
images. In contrast, D-AR maintains the vanilla autoregressive mechanism with favored performance.
Consistent previews and generation trajectories. As discussed in Section 3.1, the sequential
diffusion tokenizer can generate consistent previews of generated images when partial tokens are
generated, inherited from the diffusion property to jump-estimate the target ˆx1 = (1− t)vt + xt
Table 3: System-level comparison on class-conditional generation over 50K samples on 256 × 256
ImageNet benchmark. Note that #params in the table only counts in AR model parameters and our
tokenizer is with 300M parameters. MAR is difficult to categorize into mask-based or tailored AR
methods.</x:v>
      </x:c>
      <x:c r="M336" s="19" t="str">
        <x:v>该段包含可直接回答问题的方法、指标、比较或研究发现。</x:v>
      </x:c>
      <x:c r="N336" s="13" t="str">
        <x:v>http://arxiv.org/abs/2505.23660v1</x:v>
      </x:c>
    </x:row>
    <x:row r="337" ht="58" customHeight="1">
      <x:c r="A337" s="13" t="str">
        <x:v>csq012-c009</x:v>
      </x:c>
      <x:c r="B337" s="13" t="str">
        <x:v>csq012</x:v>
      </x:c>
      <x:c r="C337" s="21" t="n">
        <x:v>9</x:v>
      </x:c>
      <x:c r="D337" s="20" t="str">
        <x:v>2</x:v>
      </x:c>
      <x:c r="E337" s="20" t="str"/>
      <x:c r="F337" s="20" t="str">
        <x:f>IF(E337="",D337,E337)</x:f>
        <x:v>2</x:v>
      </x:c>
      <x:c r="G337" s="13" t="str">
        <x:v>CAR: Controllable Autoregressive Modeling for Visual Generation</x:v>
      </x:c>
      <x:c r="H337" s="13" t="n">
        <x:v>0</x:v>
      </x:c>
      <x:c r="I337" s="22" t="n">
        <x:v>0.032018442622950824</x:v>
      </x:c>
      <x:c r="J337" s="13" t="n">
        <x:v>2</x:v>
      </x:c>
      <x:c r="K337" s="19" t="str">
        <x:v>How do diffusion-based and autoregressive image generation models compare in training objectives, sampling cost, controllability, and output quality?</x:v>
      </x:c>
      <x:c r="L337" s="19" t="str">
        <x:v>and autoregressive models. Diffusion models, as exemplified by ControlNet and
T2I-Adapter, offer advanced control mechanisms, whereas autoregressive models,
despite showcasing impressive generative quality and scalability, remain under-
explored in terms of controllability and flexibility. In this study, we introduce
Controllable AutoRegressive Modeling ( CAR), a novel, plug-and-play frame-
work that integrates conditional control into multi-scale latent variable model-
ing, enabling efficient control generation within a pre-trained visual autoregressive
model. CAR progressively refines and captures control representations, which are
injected into each autoregressive step of the pre-trained model to guide the gener-
ation process. Our approach demonstrates excellent controllability across various
types of conditions and delivers higher image quality compared to previous meth-</x:v>
      </x:c>
      <x:c r="M337" s="19" t="str">
        <x:v>该段包含可直接回答问题的方法、指标、比较或研究发现。</x:v>
      </x:c>
      <x:c r="N337" s="13" t="str">
        <x:v>http://arxiv.org/abs/2410.04671v1</x:v>
      </x:c>
    </x:row>
    <x:row r="338" ht="58" customHeight="1">
      <x:c r="A338" s="13" t="str">
        <x:v>csq012-c010</x:v>
      </x:c>
      <x:c r="B338" s="13" t="str">
        <x:v>csq012</x:v>
      </x:c>
      <x:c r="C338" s="21" t="n">
        <x:v>10</x:v>
      </x:c>
      <x:c r="D338" s="20" t="str">
        <x:v>2</x:v>
      </x:c>
      <x:c r="E338" s="20" t="str"/>
      <x:c r="F338" s="20" t="str">
        <x:f>IF(E338="",D338,E338)</x:f>
        <x:v>2</x:v>
      </x:c>
      <x:c r="G338" s="13" t="str">
        <x:v>D-AR: Diffusion via Autoregressive Models</x:v>
      </x:c>
      <x:c r="H338" s="13" t="n">
        <x:v>7</x:v>
      </x:c>
      <x:c r="I338" s="22" t="n">
        <x:v>0.0315136476426799</x:v>
      </x:c>
      <x:c r="J338" s="13" t="n">
        <x:v>2</x:v>
      </x:c>
      <x:c r="K338" s="19" t="str">
        <x:v>How do diffusion-based and autoregressive image generation models compare in training objectives, sampling cost, controllability, and output quality?</x:v>
      </x:c>
      <x:c r="L338" s="19" t="str">
        <x:v>increasing numbers of function evaluations (NFEs) on the diffusion decoder.
System-level comparison. To compare with state-of-the-art methods, we experiment with D-AR
models on the ImageNet 256 × 256 class-conditional generation benchmark. Following [ 15], the
linear CFG schedule is used in D-AR (1.1→8.0 for D-AR-L and 1.1→10.0 for D-AR-XL). In Table
3, D-AR-L and D-AR-XL achieve the leading level of performance in their parameter count regions.
Among vanilla AR models in the strict token-by-token fashion, D-AR-XL achieves 2.09 FID with
775M parameters, outperforming LlamaGen-XXL and competing with IBQ-XXL 2.1B.
Recent attempts to incorporate diffusion into autoregressive models, such as CausalFusion, DART-
FM, and MAR, have also shown highly competitive results. However, they require significant</x:v>
      </x:c>
      <x:c r="M338" s="19" t="str">
        <x:v>该段包含可直接回答问题的方法、指标、比较或研究发现。</x:v>
      </x:c>
      <x:c r="N338" s="13" t="str">
        <x:v>http://arxiv.org/abs/2505.23660v1</x:v>
      </x:c>
    </x:row>
    <x:row r="339" ht="58" customHeight="1">
      <x:c r="A339" s="13" t="str">
        <x:v>csq012-c011</x:v>
      </x:c>
      <x:c r="B339" s="13" t="str">
        <x:v>csq012</x:v>
      </x:c>
      <x:c r="C339" s="21" t="n">
        <x:v>11</x:v>
      </x:c>
      <x:c r="D339" s="20" t="str">
        <x:v>2</x:v>
      </x:c>
      <x:c r="E339" s="20" t="str"/>
      <x:c r="F339" s="20" t="str">
        <x:f>IF(E339="",D339,E339)</x:f>
        <x:v>2</x:v>
      </x:c>
      <x:c r="G339" s="13" t="str">
        <x:v>CAR: Controllable Autoregressive Modeling for Visual Generation</x:v>
      </x:c>
      <x:c r="H339" s="13" t="n">
        <x:v>0</x:v>
      </x:c>
      <x:c r="I339" s="22" t="n">
        <x:v>0.031024531024531024</x:v>
      </x:c>
      <x:c r="J339" s="13" t="n">
        <x:v>2</x:v>
      </x:c>
      <x:c r="K339" s="19" t="str">
        <x:v>How do diffusion-based and autoregressive image generation models compare in training objectives, sampling cost, controllability, and output quality?</x:v>
      </x:c>
      <x:c r="L339" s="19" t="str">
        <x:v>Preprint
CAR
 : C ONTROLLABLE AUTO REGRESSIVE
MODELING FOR VISUAL GENERATION
Ziyu Yao1, 2, *, Jialin Li 2, Yifeng Zhou2, Y ong Liu2, Xi Jiang 2, 3, Chengjie Wang2,
Feng Zheng3, Yuexian Zou1, †, Lei Li 4, †
1School of Electronic and Computer Engineering, Peking University 2Tencent Youtu Lab
3Southern University of Science and Technology 4University of Washington
Image
Image
Image
Image
Image
Image
Sketch
HED
Normal
Canny
Canny
Normal
ImageDepthImageHED
Figure 1: Controllable generation using CAR under various conditions. Results are 512 × 512.
ABSTRACT
Controllable generation, which enables fine-grained control over generated out-
puts, has emerged as a critical focus in visual generative models. Currently,
there are two primary technical approaches in visual generation: diffusion models
and autoregressive models. Diffusion models, as exemplified by ControlNet and</x:v>
      </x:c>
      <x:c r="M339" s="19" t="str">
        <x:v>该段包含可直接回答问题的方法、指标、比较或研究发现。</x:v>
      </x:c>
      <x:c r="N339" s="13" t="str">
        <x:v>http://arxiv.org/abs/2410.04671v1</x:v>
      </x:c>
    </x:row>
    <x:row r="340" ht="58" customHeight="1">
      <x:c r="A340" s="13" t="str">
        <x:v>csq012-c012</x:v>
      </x:c>
      <x:c r="B340" s="13" t="str">
        <x:v>csq012</x:v>
      </x:c>
      <x:c r="C340" s="21" t="n">
        <x:v>12</x:v>
      </x:c>
      <x:c r="D340" s="20" t="str">
        <x:v>2</x:v>
      </x:c>
      <x:c r="E340" s="20" t="str"/>
      <x:c r="F340" s="20" t="str">
        <x:f>IF(E340="",D340,E340)</x:f>
        <x:v>2</x:v>
      </x:c>
      <x:c r="G340" s="13" t="str">
        <x:v>CAR: Controllable Autoregressive Modeling for Visual Generation</x:v>
      </x:c>
      <x:c r="H340" s="13" t="n">
        <x:v>1</x:v>
      </x:c>
      <x:c r="I340" s="22" t="n">
        <x:v>0.030536130536130537</x:v>
      </x:c>
      <x:c r="J340" s="13" t="n">
        <x:v>2</x:v>
      </x:c>
      <x:c r="K340" s="19" t="str">
        <x:v>How do diffusion-based and autoregressive image generation models compare in training objectives, sampling cost, controllability, and output quality?</x:v>
      </x:c>
      <x:c r="L340" s="19" t="str">
        <x:v>employing intricate and scalable designs, recent autoregressive models (Sun et al., 2024; Tian et al.,
2024) have demonstrated generative capabilities comparable to those of diffusion models. However,
existing autoregressive models have not yet fully explored the potential of controllable visual gen-
eration. In an earlier attempt, IQ-V AE (Zhan et al., 2022) introduced condition patches as prefix
tokens to generate subsequent image patches. This approach results in overly long sequences, which
significantly reduces efficiency. More recently, ControlV AR (Li et al., 2024) models conditions and
images simultaneously to guide the generation process. However, it restricts the ability to effectively
utilize pre-trained models, thereby increasing the training resources needed and reducing flexibility</x:v>
      </x:c>
      <x:c r="M340" s="19" t="str">
        <x:v>该段包含可直接回答问题的方法、指标、比较或研究发现。</x:v>
      </x:c>
      <x:c r="N340" s="13" t="str">
        <x:v>http://arxiv.org/abs/2410.04671v1</x:v>
      </x:c>
    </x:row>
    <x:row r="341" ht="58" customHeight="1">
      <x:c r="A341" s="13" t="str">
        <x:v>csq012-c013</x:v>
      </x:c>
      <x:c r="B341" s="13" t="str">
        <x:v>csq012</x:v>
      </x:c>
      <x:c r="C341" s="21" t="n">
        <x:v>13</x:v>
      </x:c>
      <x:c r="D341" s="20" t="str">
        <x:v>2</x:v>
      </x:c>
      <x:c r="E341" s="20" t="str"/>
      <x:c r="F341" s="20" t="str">
        <x:f>IF(E341="",D341,E341)</x:f>
        <x:v>2</x:v>
      </x:c>
      <x:c r="G341" s="13" t="str">
        <x:v>ControlAR: Controllable Image Generation with Autoregressive Models</x:v>
      </x:c>
      <x:c r="H341" s="13" t="n">
        <x:v>0</x:v>
      </x:c>
      <x:c r="I341" s="22" t="n">
        <x:v>0.029418126757516764</x:v>
      </x:c>
      <x:c r="J341" s="13" t="n">
        <x:v>2</x:v>
      </x:c>
      <x:c r="K341" s="19" t="str">
        <x:v>How do diffusion-based and autoregressive image generation models compare in training objectives, sampling cost, controllability, and output quality?</x:v>
      </x:c>
      <x:c r="L341" s="19" t="str">
        <x:v>Published as a conference paper at ICLR 2025
CONTROL AR: C ONTROLLABLE IMAGE GENERATION
WITH AUTOREGRESSIVE MODELS
Zongming Li1∗
, Tianheng Cheng1∗
, Shoufa Chen2, Peize Sun2, Haocheng Shen3,
Longjin Ran3, Xiaoxin Chen3, Wenyu Liu1 &amp; Xinggang Wang1†
1 School of EIC, Huazhong University of Science and Technology
2 Department of Computer Science, The University of Hong Kong
3 vivo AI Lab
ABSTRACT
Autoregressive (AR) models have reformulated image generation as next-token
prediction, demonstrating remarkable potential and emerging as strong competi-
tors to diffusion models. However, control-to-image generation, akin to Control-
Net, remains largely unexplored within AR models. Although a natural approach,
inspired by advancements Large Language Models, is to tokenize control images
into tokens and prefill them into the autoregressive model before decoding im-</x:v>
      </x:c>
      <x:c r="M341" s="19" t="str">
        <x:v>该段包含可直接回答问题的方法、指标、比较或研究发现。</x:v>
      </x:c>
      <x:c r="N341" s="13" t="str">
        <x:v>http://arxiv.org/abs/2410.02705v3</x:v>
      </x:c>
    </x:row>
    <x:row r="342" ht="58" customHeight="1">
      <x:c r="A342" s="13" t="str">
        <x:v>csq012-c014</x:v>
      </x:c>
      <x:c r="B342" s="13" t="str">
        <x:v>csq012</x:v>
      </x:c>
      <x:c r="C342" s="21" t="n">
        <x:v>14</x:v>
      </x:c>
      <x:c r="D342" s="20" t="str">
        <x:v>2</x:v>
      </x:c>
      <x:c r="E342" s="20" t="str"/>
      <x:c r="F342" s="20" t="str">
        <x:f>IF(E342="",D342,E342)</x:f>
        <x:v>2</x:v>
      </x:c>
      <x:c r="G342" s="13" t="str">
        <x:v>D-AR: Diffusion via Autoregressive Models</x:v>
      </x:c>
      <x:c r="H342" s="13" t="n">
        <x:v>3</x:v>
      </x:c>
      <x:c r="I342" s="22" t="n">
        <x:v>0.028484848484848488</x:v>
      </x:c>
      <x:c r="J342" s="13" t="n">
        <x:v>2</x:v>
      </x:c>
      <x:c r="K342" s="19" t="str">
        <x:v>How do diffusion-based and autoregressive image generation models compare in training objectives, sampling cost, controllability, and output quality?</x:v>
      </x:c>
      <x:c r="L342" s="19" t="str">
        <x:v>process into the autoregressive sequential generation using the diffusion tokenizer. Our method
is individually developed from a recent conceptually related work, DDT-LLaMa [50], which also
uses a diffusion decoder to sequentialize tokens but in a reversed order. As a consequence, notably,
DDT-LLaMa cannot represent diffusion steps as sequential AR generation process and therefore
cannot decode with partial tokens generated by autoregressive models, marking a key distinction
from our method and underlying motivation.
3 Methods
There is a recent debate in the vision community on whether autoregressive modeling surpasses
diffusion models in visual generation tasks [8, 14], given the great success of large language models.
A critical challenge in autoregressive modeling is, for a long time, how to tokenize a 2D image into a</x:v>
      </x:c>
      <x:c r="M342" s="19" t="str">
        <x:v>该段包含可直接回答问题的方法、指标、比较或研究发现。</x:v>
      </x:c>
      <x:c r="N342" s="13" t="str">
        <x:v>http://arxiv.org/abs/2505.23660v1</x:v>
      </x:c>
    </x:row>
    <x:row r="343" ht="58" customHeight="1">
      <x:c r="A343" s="13" t="str">
        <x:v>csq012-c015</x:v>
      </x:c>
      <x:c r="B343" s="13" t="str">
        <x:v>csq012</x:v>
      </x:c>
      <x:c r="C343" s="21" t="n">
        <x:v>15</x:v>
      </x:c>
      <x:c r="D343" s="20" t="str">
        <x:v>2</x:v>
      </x:c>
      <x:c r="E343" s="20" t="str"/>
      <x:c r="F343" s="20" t="str">
        <x:f>IF(E343="",D343,E343)</x:f>
        <x:v>2</x:v>
      </x:c>
      <x:c r="G343" s="13" t="str">
        <x:v>ControlAR: Controllable Image Generation with Autoregressive Models</x:v>
      </x:c>
      <x:c r="H343" s="13" t="n">
        <x:v>10</x:v>
      </x:c>
      <x:c r="I343" s="22" t="n">
        <x:v>0.028258706467661692</x:v>
      </x:c>
      <x:c r="J343" s="13" t="n">
        <x:v>2</x:v>
      </x:c>
      <x:c r="K343" s="19" t="str">
        <x:v>How do diffusion-based and autoregressive image generation models compare in training objectives, sampling cost, controllability, and output quality?</x:v>
      </x:c>
      <x:c r="L343" s="19" t="str">
        <x:v>extends the capability of the autoregressive image generation model for arbitrary-resolution image
generation. Experimental results under a variety of control conditions show that ControlAR is ca-
pable of precise control without compromising image quality, and is also very competitive with the
diffusion model-based state-of-the-art methods.
Acknowledgment. We sincerely thank Jingfeng Yao, Lianghui Zhu, and Zhuoyan Luo for kind
and helpful discussions about the draft.
REFERENCES
Holger Caesar, Jasper Uijlings, and Vittorio Ferrari. Coco-stuff: Thing and stuff classes in context.
In Proceedings of the IEEE conference on computer vision and pattern recognition , pp. 1209–
1218, 2018.
John Canny. A computational approach to edge detection. IEEE Transactions on pattern analysis
and machine intelligence, (6):679–698, 1986.</x:v>
      </x:c>
      <x:c r="M343" s="19" t="str">
        <x:v>该段包含可直接回答问题的方法、指标、比较或研究发现。</x:v>
      </x:c>
      <x:c r="N343" s="13" t="str">
        <x:v>http://arxiv.org/abs/2410.02705v3</x:v>
      </x:c>
    </x:row>
    <x:row r="344" ht="58" customHeight="1">
      <x:c r="A344" s="13" t="str">
        <x:v>csq012-c016</x:v>
      </x:c>
      <x:c r="B344" s="13" t="str">
        <x:v>csq012</x:v>
      </x:c>
      <x:c r="C344" s="21" t="n">
        <x:v>16</x:v>
      </x:c>
      <x:c r="D344" s="20" t="str">
        <x:v>2</x:v>
      </x:c>
      <x:c r="E344" s="20" t="str"/>
      <x:c r="F344" s="20" t="str">
        <x:f>IF(E344="",D344,E344)</x:f>
        <x:v>2</x:v>
      </x:c>
      <x:c r="G344" s="13" t="str">
        <x:v>ControlAR: Controllable Image Generation with Autoregressive Models</x:v>
      </x:c>
      <x:c r="H344" s="13" t="n">
        <x:v>2</x:v>
      </x:c>
      <x:c r="I344" s="22" t="n">
        <x:v>0.02821939586645469</x:v>
      </x:c>
      <x:c r="J344" s="13" t="n">
        <x:v>2</x:v>
      </x:c>
      <x:c r="K344" s="19" t="str">
        <x:v>How do diffusion-based and autoregressive image generation models compare in training objectives, sampling cost, controllability, and output quality?</x:v>
      </x:c>
      <x:c r="L344" s="19" t="str">
        <x:v>competitive performance towards conditional consistency and image quality compared to
state-of-the-art diffusion methods, e.g., ControlNet++.
• We exploit the properties of our proposed conditional decoding to extend the ability of
the autoregressive model to generate arbitrary resolution. With a simple multi-resolution
training recipe, , we extend ControlAR to Multi-Resolution ControlAR (MR-ControlAR),
which allows autoregressive models to generate high-quality images with different resolu-
tions, further enhancing their control capability.
2 R ELATED WORK
2.1 I MAGE GENERATION WITH DIFFUSION MODELS
Diffusion models (Song &amp; Ermon, 2019; Ho et al., 2020; Song et al., 2020a; Dhariwal &amp; Nichol,
2021; Nichol et al., 2021; Lu et al., 2022; Rombach et al., 2022; Podell et al., 2023) have cemented</x:v>
      </x:c>
      <x:c r="M344" s="19" t="str">
        <x:v>该段包含可直接回答问题的方法、指标、比较或研究发现。</x:v>
      </x:c>
      <x:c r="N344" s="13" t="str">
        <x:v>http://arxiv.org/abs/2410.02705v3</x:v>
      </x:c>
    </x:row>
    <x:row r="345" ht="58" customHeight="1">
      <x:c r="A345" s="13" t="str">
        <x:v>csq012-c017</x:v>
      </x:c>
      <x:c r="B345" s="13" t="str">
        <x:v>csq012</x:v>
      </x:c>
      <x:c r="C345" s="21" t="n">
        <x:v>17</x:v>
      </x:c>
      <x:c r="D345" s="20" t="str">
        <x:v>2</x:v>
      </x:c>
      <x:c r="E345" s="20" t="str"/>
      <x:c r="F345" s="20" t="str">
        <x:f>IF(E345="",D345,E345)</x:f>
        <x:v>2</x:v>
      </x:c>
      <x:c r="G345" s="13" t="str">
        <x:v>NextStep-1: Toward Autoregressive Image Generation with Continuous Tokens at Scale</x:v>
      </x:c>
      <x:c r="H345" s="13" t="n">
        <x:v>9</x:v>
      </x:c>
      <x:c r="I345" s="22" t="n">
        <x:v>0.027777777777777776</x:v>
      </x:c>
      <x:c r="J345" s="13" t="n">
        <x:v>2</x:v>
      </x:c>
      <x:c r="K345" s="19" t="str">
        <x:v>How do diffusion-based and autoregressive image generation models compare in training objectives, sampling cost, controllability, and output quality?</x:v>
      </x:c>
      <x:c r="L345" s="19" t="str">
        <x:v>Qwen-Image (Wu et al., 2025a) 0.62 0.63 0.77 0.57 0.75 0.40 0.62 -
AutoRegressive
Show-o-512 (Xie et al., 2024) 0.28 0.40 0.48 0.30 0.46 0.30 0.35 0.64VILA-U (Wu et al., 2024) 0.26 0.33 0.37 0.35 0.39 0.23 0.31 -Emu3 (Wang et al., 2024b) 0.34 0.45 0.48 0.41 0.45 0.27 0.39 0.63Janus-Pro-7B (Chen et al., 2025b) 0.30 0.37 0.49 0.36 0.42 0.26 0.35 0.71NextStep-1 0.51/0.70† 0.54/0.65† 0.61/0.69† 0.52/0.63† 0.63/0.73† 0.48/0.52† 0.54/0.67† 0.79/0.83†
6. Discussions
6.1. What Governs Image Generation: the AR Transformer or the FM Head?
A key architectural distinction of our framework is its direct, autoregressive modeling of
continuous image tokens using a flow matching objective. Prevailing autoregressive models
10</x:v>
      </x:c>
      <x:c r="M345" s="19" t="str">
        <x:v>该段包含可直接回答问题的方法、指标、比较或研究发现。</x:v>
      </x:c>
      <x:c r="N345" s="13" t="str">
        <x:v>http://arxiv.org/abs/2508.10711v2</x:v>
      </x:c>
    </x:row>
    <x:row r="346" ht="58" customHeight="1">
      <x:c r="A346" s="13" t="str">
        <x:v>csq012-c018</x:v>
      </x:c>
      <x:c r="B346" s="13" t="str">
        <x:v>csq012</x:v>
      </x:c>
      <x:c r="C346" s="21" t="n">
        <x:v>18</x:v>
      </x:c>
      <x:c r="D346" s="20" t="str">
        <x:v>2</x:v>
      </x:c>
      <x:c r="E346" s="20" t="str"/>
      <x:c r="F346" s="20" t="str">
        <x:f>IF(E346="",D346,E346)</x:f>
        <x:v>2</x:v>
      </x:c>
      <x:c r="G346" s="13" t="str">
        <x:v>NextStep-1: Toward Autoregressive Image Generation with Continuous Tokens at Scale</x:v>
      </x:c>
      <x:c r="H346" s="13" t="n">
        <x:v>0</x:v>
      </x:c>
      <x:c r="I346" s="22" t="n">
        <x:v>0.0273972602739726</x:v>
      </x:c>
      <x:c r="J346" s="13" t="n">
        <x:v>2</x:v>
      </x:c>
      <x:c r="K346" s="19" t="str">
        <x:v>How do diffusion-based and autoregressive image generation models compare in training objectives, sampling cost, controllability, and output quality?</x:v>
      </x:c>
      <x:c r="L346" s="19" t="str">
        <x:v>accommodates diverse conditioning signals.
However, most existing autoregressive approaches for text-to-image generation (Chen et al.,
2025b; Dong et al., 2024; Sun et al., 2024a,b; Tong et al., 2024; Wang et al., 2024b) either rely on
heavy diffusion models or adopt vector quantization (VQ) (Eslami et al., 2021; Yu et al., 2023;
Zheng et al., 2022) to tokenize images into discrete visual tokens, which encounter limitations
including exposure bias (Han et al., 2025) and suboptimal image tokenization (Li et al., 2024c).
While recent efforts with continuous latent representations (Fan et al., 2024; Li et al., 2024c; Sun
et al., 2024c; Tschannen et al., 2024, 2025) have shown promise, a significant performance gap
persists between autoregressive models and state-of-the-art diffusion methods (Esser et al., 2024;</x:v>
      </x:c>
      <x:c r="M346" s="19" t="str">
        <x:v>该段包含可直接回答问题的方法、指标、比较或研究发现。</x:v>
      </x:c>
      <x:c r="N346" s="13" t="str">
        <x:v>http://arxiv.org/abs/2508.10711v2</x:v>
      </x:c>
    </x:row>
    <x:row r="347" ht="58" customHeight="1">
      <x:c r="A347" s="13" t="str">
        <x:v>csq012-c019</x:v>
      </x:c>
      <x:c r="B347" s="13" t="str">
        <x:v>csq012</x:v>
      </x:c>
      <x:c r="C347" s="21" t="n">
        <x:v>19</x:v>
      </x:c>
      <x:c r="D347" s="20" t="str">
        <x:v>2</x:v>
      </x:c>
      <x:c r="E347" s="20" t="str"/>
      <x:c r="F347" s="20" t="str">
        <x:f>IF(E347="",D347,E347)</x:f>
        <x:v>2</x:v>
      </x:c>
      <x:c r="G347" s="13" t="str">
        <x:v>D-AR: Diffusion via Autoregressive Models</x:v>
      </x:c>
      <x:c r="H347" s="13" t="n">
        <x:v>4</x:v>
      </x:c>
      <x:c r="I347" s="22" t="n">
        <x:v>0.01639344262295082</x:v>
      </x:c>
      <x:c r="J347" s="13" t="n">
        <x:v>1</x:v>
      </x:c>
      <x:c r="K347" s="19" t="str">
        <x:v>How do diffusion-based and autoregressive image generation models compare in training objectives, sampling cost, controllability, and output quality?</x:v>
      </x:c>
      <x:c r="L347" s="19" t="str">
        <x:v>standard autoregressive next token prediction to model the image generation process:
pθ(z) =
NY
i=1
pθ(zi|z1, . . . ,zi−1), (6)
where θ is the AR model parameters and one can use simple cross entropy loss to optimize parameters.
In this paper, we resort to the decoder-only transformer architecture [2, 8] for autoregressive modeling.
Vanilla vision autoregressive modeling. General autoregressive modeling assumes a linearized
order of data elements, which is hard to define in images. Thanks to tokens linearized by the sequential
diffusion tokenizer, we do not need to modify any component in the underlying autoregressive
modeling. That is, D-AR models do not change discrete inputs and outputs, customize attention masks
or kernels, or vary training loss function/inference logistics. In contrast, most visual autoregressive</x:v>
      </x:c>
      <x:c r="M347" s="19" t="str">
        <x:v>该段包含可直接回答问题的方法、指标、比较或研究发现。</x:v>
      </x:c>
      <x:c r="N347" s="13" t="str">
        <x:v>http://arxiv.org/abs/2505.23660v1</x:v>
      </x:c>
    </x:row>
    <x:row r="348" ht="58" customHeight="1">
      <x:c r="A348" s="13" t="str">
        <x:v>csq012-c020</x:v>
      </x:c>
      <x:c r="B348" s="13" t="str">
        <x:v>csq012</x:v>
      </x:c>
      <x:c r="C348" s="21" t="n">
        <x:v>20</x:v>
      </x:c>
      <x:c r="D348" s="20" t="str">
        <x:v>2</x:v>
      </x:c>
      <x:c r="E348" s="20" t="str"/>
      <x:c r="F348" s="20" t="str">
        <x:f>IF(E348="",D348,E348)</x:f>
        <x:v>2</x:v>
      </x:c>
      <x:c r="G348" s="13" t="str">
        <x:v>DiSA: Diffusion Step Annealing in Autoregressive Image Generation</x:v>
      </x:c>
      <x:c r="H348" s="13" t="n">
        <x:v>0</x:v>
      </x:c>
      <x:c r="I348" s="22" t="n">
        <x:v>0.016129032258064516</x:v>
      </x:c>
      <x:c r="J348" s="13" t="n">
        <x:v>1</x:v>
      </x:c>
      <x:c r="K348" s="19" t="str">
        <x:v>How do diffusion-based and autoregressive image generation models compare in training objectives, sampling cost, controllability, and output quality?</x:v>
      </x:c>
      <x:c r="L348" s="19" t="str">
        <x:v>DiSA: Diffusion Step Annealing in Autoregressive
Image Generation
Qinyu Zhao1, Jaskirat Singh1, Ming Xu1, Akshay Asthana2, Stephen Gould1, Liang Zheng1
1 Australian National University
2 Seeing Machines Ltd
{qinyu.zhao,jaskirat.singh,mingda.xu,stephen.gould,liang.zheng}@anu.edu.au
{akshay.asthana}@seeingmachines.com
Abstract
An increasing number of autoregressive models, such as MAR, FlowAR, xAR,
and Harmon adopt diffusion sampling to improve the quality of image generation.
However, this strategy leads to low inference efficiency, because it usually takes 50
to 100 steps for diffusion to sample a token. This paper explores how to effectively
address this issue. Our key motivation is that as more tokens are generated during
the autoregressive process, subsequent tokens follow more constrained distributions</x:v>
      </x:c>
      <x:c r="M348" s="19" t="str">
        <x:v>该段包含可直接回答问题的方法、指标、比较或研究发现。</x:v>
      </x:c>
      <x:c r="N348" s="13" t="str">
        <x:v>http://arxiv.org/abs/2505.20297v1</x:v>
      </x:c>
    </x:row>
    <x:row r="349" ht="58" customHeight="1">
      <x:c r="A349" s="13" t="str">
        <x:v>csq012-c021</x:v>
      </x:c>
      <x:c r="B349" s="13" t="str">
        <x:v>csq012</x:v>
      </x:c>
      <x:c r="C349" s="21" t="n">
        <x:v>21</x:v>
      </x:c>
      <x:c r="D349" s="20" t="str">
        <x:v>2</x:v>
      </x:c>
      <x:c r="E349" s="20" t="str"/>
      <x:c r="F349" s="20" t="str">
        <x:f>IF(E349="",D349,E349)</x:f>
        <x:v>2</x:v>
      </x:c>
      <x:c r="G349" s="13" t="str">
        <x:v>Randomized Autoregressive Visual Generation</x:v>
      </x:c>
      <x:c r="H349" s="13" t="n">
        <x:v>6</x:v>
      </x:c>
      <x:c r="I349" s="22" t="n">
        <x:v>0.015873015873015872</x:v>
      </x:c>
      <x:c r="J349" s="13" t="n">
        <x:v>1</x:v>
      </x:c>
      <x:c r="K349" s="19" t="str">
        <x:v>How do diffusion-based and autoregressive image generation models compare in training objectives, sampling cost, controllability, and output quality?</x:v>
      </x:c>
      <x:c r="L349" s="19" t="str">
        <x:v>for large language models to visual generation [52].
Moreover, RAR demonstrates superior performance to
state-of-the-art visual generators in different frameworks.
It performs better against the leading autoregressive mod-
els, diffusion models and masked transformer models,
surpassing LlamaGen-3B-384 [52], MDTv2-XL/2 [25]
and MaskBit [65] respectively (FID 1.48 from RAR vs.
2.18 from LlamaGen, 1.58 from MDTv2, and 1.52 from
MaskBit). To the best of our knowledge, this is the first
time that the language modeling style autoregressive visual
tokenizer type generator #params FID ↓ IS↑ Pre.↑ Rec.↑
VQ [50] Diff. LDM-8 [50] 258M 7.76 209.5 0.84 0.35
V AE [50] Diff. LDM-4 [50] 400M 3.60 247.7 0.87 0.48
V AE [51] Diff.
UViT-L/2 [6] 287M 3.40 219.9 0.83 0.52
UViT-H/2 [6] 501M 2.29 263.9 0.82 0.57
DiT-L/2 [45] 458M 5.02 167.2 0.75 0.57
DiT-XL/2 [45] 675M 2.27 278.2 0.83 0.57</x:v>
      </x:c>
      <x:c r="M349" s="19" t="str">
        <x:v>该段包含可直接回答问题的方法、指标、比较或研究发现。</x:v>
      </x:c>
      <x:c r="N349" s="13" t="str">
        <x:v>http://arxiv.org/abs/2411.00776v1</x:v>
      </x:c>
    </x:row>
    <x:row r="350" ht="58" customHeight="1">
      <x:c r="A350" s="13" t="str">
        <x:v>csq012-c022</x:v>
      </x:c>
      <x:c r="B350" s="13" t="str">
        <x:v>csq012</x:v>
      </x:c>
      <x:c r="C350" s="21" t="n">
        <x:v>22</x:v>
      </x:c>
      <x:c r="D350" s="20" t="str">
        <x:v>2</x:v>
      </x:c>
      <x:c r="E350" s="20" t="str"/>
      <x:c r="F350" s="20" t="str">
        <x:f>IF(E350="",D350,E350)</x:f>
        <x:v>2</x:v>
      </x:c>
      <x:c r="G350" s="13" t="str">
        <x:v>NextStep-1: Toward Autoregressive Image Generation with Continuous Tokens at Scale</x:v>
      </x:c>
      <x:c r="H350" s="13" t="n">
        <x:v>0</x:v>
      </x:c>
      <x:c r="I350" s="22" t="n">
        <x:v>0.015625</x:v>
      </x:c>
      <x:c r="J350" s="13" t="n">
        <x:v>1</x:v>
      </x:c>
      <x:c r="K350" s="19" t="str">
        <x:v>How do diffusion-based and autoregressive image generation models compare in training objectives, sampling cost, controllability, and output quality?</x:v>
      </x:c>
      <x:c r="L350" s="19" t="str">
        <x:v>persists between autoregressive models and state-of-the-art diffusion methods (Esser et al., 2024;
Labs, 2024; Podell et al., 2024), particularly in image quality and consistency.
In this paper, we introduce NextStep-1, a simple yet effective autoregressive model built
on the next-token prediction paradigm that achieves state-of-the-art performance in text-to-
image generation tasks. Comprehensive evaluations confirm its competitive performance
across a suite of challenging benchmarks. Specifically, NextStep-1 demonstrates exceptional
compositional and linguistic understanding, achieving 0.54 on WISE (Niu et al., 2025), 0.67
on the advanced prompts of GenAI-Bench (Lin et al., 2024), 85.28 on DPG-Bench (Hu et al.,
2024), and 0.417 on the English prompts of OneIG-Bench (Chang et al., 2025). These results</x:v>
      </x:c>
      <x:c r="M350" s="19" t="str">
        <x:v>该段包含可直接回答问题的方法、指标、比较或研究发现。</x:v>
      </x:c>
      <x:c r="N350" s="13" t="str">
        <x:v>http://arxiv.org/abs/2508.10711v2</x:v>
      </x:c>
    </x:row>
    <x:row r="351" ht="58" customHeight="1">
      <x:c r="A351" s="13" t="str">
        <x:v>csq012-c023</x:v>
      </x:c>
      <x:c r="B351" s="13" t="str">
        <x:v>csq012</x:v>
      </x:c>
      <x:c r="C351" s="21" t="n">
        <x:v>23</x:v>
      </x:c>
      <x:c r="D351" s="20" t="str">
        <x:v>2</x:v>
      </x:c>
      <x:c r="E351" s="20" t="str"/>
      <x:c r="F351" s="20" t="str">
        <x:f>IF(E351="",D351,E351)</x:f>
        <x:v>2</x:v>
      </x:c>
      <x:c r="G351" s="13" t="str">
        <x:v>D-AR: Diffusion via Autoregressive Models</x:v>
      </x:c>
      <x:c r="H351" s="13" t="n">
        <x:v>2</x:v>
      </x:c>
      <x:c r="I351" s="22" t="n">
        <x:v>0.015625</x:v>
      </x:c>
      <x:c r="J351" s="13" t="n">
        <x:v>1</x:v>
      </x:c>
      <x:c r="K351" s="19" t="str">
        <x:v>How do diffusion-based and autoregressive image generation models compare in training objectives, sampling cost, controllability, and output quality?</x:v>
      </x:c>
      <x:c r="L351" s="19" t="str">
        <x:v>at visual continuous signals. In this paper, we seek to bridge diffusion models and autoregressive
models for visual generation and leverage the advantage of both sides, following previous efforts in
this research line [27, 30, 29, 28, 33, 34, 32, 11, 39]. But different from these work, we strictly adhere
to the standard next-token-prediction autoregressive paradigm with discrete inputs and outputs, and
design diffusion in the tokenizer decoder in a sequential manner to tackle with visual continuous data.
2.2 Visual Tokenization with Diffusion Models
How to encode images into sequences of discrete tokens and then effectively reconstruct pixels from
them is a key design for visual generation in autoregressive models. Due to the vector quantization and
downsampling operations, visual tokenization methods inevitably suffer from the loss of information</x:v>
      </x:c>
      <x:c r="M351" s="19" t="str">
        <x:v>该段包含可直接回答问题的方法、指标、比较或研究发现。</x:v>
      </x:c>
      <x:c r="N351" s="13" t="str">
        <x:v>http://arxiv.org/abs/2505.23660v1</x:v>
      </x:c>
    </x:row>
    <x:row r="352" ht="58" customHeight="1">
      <x:c r="A352" s="13" t="str">
        <x:v>csq012-c024</x:v>
      </x:c>
      <x:c r="B352" s="13" t="str">
        <x:v>csq012</x:v>
      </x:c>
      <x:c r="C352" s="21" t="n">
        <x:v>24</x:v>
      </x:c>
      <x:c r="D352" s="20" t="str">
        <x:v>2</x:v>
      </x:c>
      <x:c r="E352" s="20" t="str"/>
      <x:c r="F352" s="20" t="str">
        <x:f>IF(E352="",D352,E352)</x:f>
        <x:v>2</x:v>
      </x:c>
      <x:c r="G352" s="13" t="str">
        <x:v>DiSA: Diffusion Step Annealing in Autoregressive Image Generation</x:v>
      </x:c>
      <x:c r="H352" s="13" t="n">
        <x:v>1</x:v>
      </x:c>
      <x:c r="I352" s="22" t="n">
        <x:v>0.015625</x:v>
      </x:c>
      <x:c r="J352" s="13" t="n">
        <x:v>1</x:v>
      </x:c>
      <x:c r="K352" s="19" t="str">
        <x:v>How do diffusion-based and autoregressive image generation models compare in training objectives, sampling cost, controllability, and output quality?</x:v>
      </x:c>
      <x:c r="L352" s="19" t="str">
        <x:v>by 5 − 10× and FlowAR and xAR by 1.4 − 2.5× without sacrificing image generation quality.
In summary, this paper covers three main points. First, we reveal that the role of diffusion in
autoregressive models is different along the generation process. Second, based on this insight,
we design a new sampling strategy, DiSA, for scheduling diffusion steps in autoregressive image
generation. Third, experiments demonstrate that DiSA delivers very useful acceleration during
inference while exhibiting competitive or better generation performance.
2 Related-Work
Autoregressive models meet diffusion. A common practice for autoregressive image generation is
to quantize an image into discrete tokens [23, 2, 11] and train autoregressive models on the tokens.
A main bottleneck for these models is that discrete tokens introduce quantization errors, limiting</x:v>
      </x:c>
      <x:c r="M352" s="19" t="str">
        <x:v>该段包含可直接回答问题的方法、指标、比较或研究发现。</x:v>
      </x:c>
      <x:c r="N352" s="13" t="str">
        <x:v>http://arxiv.org/abs/2505.20297v1</x:v>
      </x:c>
    </x:row>
    <x:row r="353" ht="58" customHeight="1">
      <x:c r="A353" s="13" t="str">
        <x:v>csq012-c025</x:v>
      </x:c>
      <x:c r="B353" s="13" t="str">
        <x:v>csq012</x:v>
      </x:c>
      <x:c r="C353" s="21" t="n">
        <x:v>25</x:v>
      </x:c>
      <x:c r="D353" s="20" t="str">
        <x:v>2</x:v>
      </x:c>
      <x:c r="E353" s="20" t="str"/>
      <x:c r="F353" s="20" t="str">
        <x:f>IF(E353="",D353,E353)</x:f>
        <x:v>2</x:v>
      </x:c>
      <x:c r="G353" s="13" t="str">
        <x:v>NextStep-1: Toward Autoregressive Image Generation with Continuous Tokens at Scale</x:v>
      </x:c>
      <x:c r="H353" s="13" t="n">
        <x:v>9</x:v>
      </x:c>
      <x:c r="I353" s="22" t="n">
        <x:v>0.015384615384615385</x:v>
      </x:c>
      <x:c r="J353" s="13" t="n">
        <x:v>1</x:v>
      </x:c>
      <x:c r="K353" s="19" t="str">
        <x:v>How do diffusion-based and autoregressive image generation models compare in training objectives, sampling cost, controllability, and output quality?</x:v>
      </x:c>
      <x:c r="L353" s="19" t="str">
        <x:v>Proprietary
GPT-4o (OpenAI, 2025b) 0.81 0.71 0.89 0.83 0.79 0.74 0.80 -
Diffusion
Stable Diffusion 1.5 (Rombach et al., 2022) 0.34 0.35 0.32 0.28 0.29 0.21 0.32 0.50Stable Diffusion XL (Podell et al., 2024) 0.43 0.48 0.47 0.44 0.45 0.27 0.43 0.65Stable Diffusion 3.5 Large (Stability-AI, 2024) 0.44 0.50 0.58 0.44 0.52 0.31 0.46 0.72PixArt-Alpha (Chen et al., 2024b) 0.45 0.50 0.48 0.49 0.56 0.34 0.47 0.63Playground v2.5 (Li et al., 2024b) 0.49 0.58 0.55 0.43 0.48 0.33 0.49 0.71Flux.1-dev (Labs, 2024) 0.48 0.58 0.62 0.42 0.51 0.35 0.50 0.73MetaQuery-XL (Pan et al., 2025) 0.56 0.55 0.62 0.49 0.63 0.41 0.55 -BAGEL (Deng et al., 2025) 0.44/ 0.76† 0.55/0.69† 0.68/0.75† 0.44/0.65† 0.60/0.75† 0.39/0.58† 0.52/0.70† 0.71/0.77†
Qwen-Image (Wu et al., 2025a) 0.62 0.63 0.77 0.57 0.75 0.40 0.62 -
AutoRegressive</x:v>
      </x:c>
      <x:c r="M353" s="19" t="str">
        <x:v>该段包含可直接回答问题的方法、指标、比较或研究发现。</x:v>
      </x:c>
      <x:c r="N353" s="13" t="str">
        <x:v>http://arxiv.org/abs/2508.10711v2</x:v>
      </x:c>
    </x:row>
    <x:row r="354" ht="58" customHeight="1">
      <x:c r="A354" s="13" t="str">
        <x:v>csq012-c026</x:v>
      </x:c>
      <x:c r="B354" s="13" t="str">
        <x:v>csq012</x:v>
      </x:c>
      <x:c r="C354" s="21" t="n">
        <x:v>26</x:v>
      </x:c>
      <x:c r="D354" s="20" t="str">
        <x:v>2</x:v>
      </x:c>
      <x:c r="E354" s="20" t="str"/>
      <x:c r="F354" s="20" t="str">
        <x:f>IF(E354="",D354,E354)</x:f>
        <x:v>2</x:v>
      </x:c>
      <x:c r="G354" s="13" t="str">
        <x:v>ControlAR: Controllable Image Generation with Autoregressive Models</x:v>
      </x:c>
      <x:c r="H354" s="13" t="n">
        <x:v>1</x:v>
      </x:c>
      <x:c r="I354" s="22" t="n">
        <x:v>0.015384615384615385</x:v>
      </x:c>
      <x:c r="J354" s="13" t="n">
        <x:v>1</x:v>
      </x:c>
      <x:c r="K354" s="19" t="str">
        <x:v>How do diffusion-based and autoregressive image generation models compare in training objectives, sampling cost, controllability, and output quality?</x:v>
      </x:c>
      <x:c r="L354" s="19" t="str">
        <x:v>ditional controls to autoregressive models is not straightforward because of two major challenges:
(1) how to encode 2D spatial control images for autoregressive models and (2) how to guide im-
age generation with encoded controls . Specifically, diffusion models directly use the 2D features
of control images and control the generated image through pixel-wise feature fusion. However,
autoregressive models adopt sequence modeling and next-token prediction to perform image gener-
ation sequentially. Therefore, the techniques proposed in (Zhang et al., 2023a; Li et al., 2024b) are
infeasible in autoregressive models.
In this paper, we delve into the two aforementioned challenges and introduce the Controllable
AutoRegressive (ControlAR) framework to enhance the control capabilities of autoregressive im-</x:v>
      </x:c>
      <x:c r="M354" s="19" t="str">
        <x:v>该段包含可直接回答问题的方法、指标、比较或研究发现。</x:v>
      </x:c>
      <x:c r="N354" s="13" t="str">
        <x:v>http://arxiv.org/abs/2410.02705v3</x:v>
      </x:c>
    </x:row>
    <x:row r="355" ht="58" customHeight="1">
      <x:c r="A355" s="13" t="str">
        <x:v>csq012-c027</x:v>
      </x:c>
      <x:c r="B355" s="13" t="str">
        <x:v>csq012</x:v>
      </x:c>
      <x:c r="C355" s="21" t="n">
        <x:v>27</x:v>
      </x:c>
      <x:c r="D355" s="20" t="str">
        <x:v>2</x:v>
      </x:c>
      <x:c r="E355" s="20" t="str"/>
      <x:c r="F355" s="20" t="str">
        <x:f>IF(E355="",D355,E355)</x:f>
        <x:v>2</x:v>
      </x:c>
      <x:c r="G355" s="13" t="str">
        <x:v>Randomized Autoregressive Visual Generation</x:v>
      </x:c>
      <x:c r="H355" s="13" t="n">
        <x:v>0</x:v>
      </x:c>
      <x:c r="I355" s="22" t="n">
        <x:v>0.015151515151515152</x:v>
      </x:c>
      <x:c r="J355" s="13" t="n">
        <x:v>1</x:v>
      </x:c>
      <x:c r="K355" s="19" t="str">
        <x:v>How do diffusion-based and autoregressive image generation models compare in training objectives, sampling cost, controllability, and output quality?</x:v>
      </x:c>
      <x:c r="L355" s="19" t="str">
        <x:v>200 400 600 800 1000 1200 1400 1600
model size (M)
1.5
2.0
2.5
3.0
3.5
4.0
4.5
5.0
FID (lower is better)
LlamaGen
Open-MAGVIT2
RAR (ours)
VIM
TamingTrans
Figure 1. Comparison among different language modeling
compatible autoregressive (AR) image generators. The pro-
posed RAR demonstrates significant improvements over previous
AR methods. RAR-B, with only 261M parameters, achieves an
FID score of 1.95, outperforming both LlamaGen-XXL (1.4B pa-
rameters) and Open-MAGVIT2-XL (1.5B parameters).
competitive performance in image generation tasks [22, 35,
39, 52, 69, 70] to diffusion models [6, 18, 36, 45] or non-
autoregressive transformers [10, 65, 71–73]. More impor-
tantly, autoregressive modeling is emerging as a promising
pathway toward unified models across multiple modalities
and tasks [5, 9, 14, 55, 56, 66].
Despite the dominance of autoregressive models in lan-</x:v>
      </x:c>
      <x:c r="M355" s="19" t="str">
        <x:v>该段包含可直接回答问题的方法、指标、比较或研究发现。</x:v>
      </x:c>
      <x:c r="N355" s="13" t="str">
        <x:v>http://arxiv.org/abs/2411.00776v1</x:v>
      </x:c>
    </x:row>
    <x:row r="356" ht="58" customHeight="1">
      <x:c r="A356" s="13" t="str">
        <x:v>csq012-c028</x:v>
      </x:c>
      <x:c r="B356" s="13" t="str">
        <x:v>csq012</x:v>
      </x:c>
      <x:c r="C356" s="21" t="n">
        <x:v>28</x:v>
      </x:c>
      <x:c r="D356" s="20" t="str">
        <x:v>2</x:v>
      </x:c>
      <x:c r="E356" s="20" t="str"/>
      <x:c r="F356" s="20" t="str">
        <x:f>IF(E356="",D356,E356)</x:f>
        <x:v>2</x:v>
      </x:c>
      <x:c r="G356" s="13" t="str">
        <x:v>DiSA: Diffusion Step Annealing in Autoregressive Image Generation</x:v>
      </x:c>
      <x:c r="H356" s="13" t="n">
        <x:v>0</x:v>
      </x:c>
      <x:c r="I356" s="22" t="n">
        <x:v>0.015151515151515152</x:v>
      </x:c>
      <x:c r="J356" s="13" t="n">
        <x:v>1</x:v>
      </x:c>
      <x:c r="K356" s="19" t="str">
        <x:v>How do diffusion-based and autoregressive image generation models compare in training objectives, sampling cost, controllability, and output quality?</x:v>
      </x:c>
      <x:c r="L356" s="19" t="str">
        <x:v>Although the diffusion process yields higher image quality for autoregressve models, it suffers from
low inference efficiency because tens of denosing steps are needed to generate each token. For
example, MAR [12] denoises 100 times while xAR [25] does 50 times. Our preliminary experiments
show that the many-step diffusion process accounts for about 50% inference latency in MAR and
90% in xAR. Naively reducing the number of diffusion steps would accelerate these models but will
significantly degrade generation quality. For example, with 10 diffusion steps, the Fréchet Inception
Distance (FID) of xAR-L on ImageNet 256×256 increases shapely from 1.28 to 8.6, and MAR-L
even fails to generate meaningful images. This paper thus aims to address the efficiency issue.
We are motivated by the finding that as more tokens are generated, token distributions become more</x:v>
      </x:c>
      <x:c r="M356" s="19" t="str">
        <x:v>该段包含可直接回答问题的方法、指标、比较或研究发现。</x:v>
      </x:c>
      <x:c r="N356" s="13" t="str">
        <x:v>http://arxiv.org/abs/2505.20297v1</x:v>
      </x:c>
    </x:row>
    <x:row r="357" ht="58" customHeight="1">
      <x:c r="A357" s="13" t="str">
        <x:v>csq012-c029</x:v>
      </x:c>
      <x:c r="B357" s="13" t="str">
        <x:v>csq012</x:v>
      </x:c>
      <x:c r="C357" s="21" t="n">
        <x:v>29</x:v>
      </x:c>
      <x:c r="D357" s="20" t="str">
        <x:v>2</x:v>
      </x:c>
      <x:c r="E357" s="20" t="str"/>
      <x:c r="F357" s="20" t="str">
        <x:f>IF(E357="",D357,E357)</x:f>
        <x:v>2</x:v>
      </x:c>
      <x:c r="G357" s="13" t="str">
        <x:v>DiSA: Diffusion Step Annealing in Autoregressive Image Generation</x:v>
      </x:c>
      <x:c r="H357" s="13" t="n">
        <x:v>0</x:v>
      </x:c>
      <x:c r="I357" s="22" t="n">
        <x:v>0.014925373134328358</x:v>
      </x:c>
      <x:c r="J357" s="13" t="n">
        <x:v>1</x:v>
      </x:c>
      <x:c r="K357" s="19" t="str">
        <x:v>How do diffusion-based and autoregressive image generation models compare in training objectives, sampling cost, controllability, and output quality?</x:v>
      </x:c>
      <x:c r="L357" s="19" t="str">
        <x:v>DiSA is derived from our finding specific to diffusion in autoregressive models, it
is complementary to existing acceleration methods designed for diffusion alone.
DiSA can be implemented in only a few lines of code on existing models, and albeit
simple, achieves 5 − 10× faster inference for MAR and Harmon and 1.4 − 2.5×
for FlowAR and xAR, while maintaining the generation quality.
1 Introduction
A growing number of autoregressive models introduce diffusion sampling to generate continuous
tokens, such as MAR [12], FlowAR [24], xAR [25], and Harmon [38], which significantly improves
generation quality. At inference time, these models take autoregressively generated tokens as input
and adopt a diffusion process to sample the next tokens. An illustration is shown in Figure 1(a-d).
Although the diffusion process yields higher image quality for autoregressve models, it suffers from</x:v>
      </x:c>
      <x:c r="M357" s="19" t="str">
        <x:v>该段包含可直接回答问题的方法、指标、比较或研究发现。</x:v>
      </x:c>
      <x:c r="N357" s="13" t="str">
        <x:v>http://arxiv.org/abs/2505.20297v1</x:v>
      </x:c>
    </x:row>
    <x:row r="358" ht="58" customHeight="1">
      <x:c r="A358" s="13" t="str">
        <x:v>csq012-c030</x:v>
      </x:c>
      <x:c r="B358" s="13" t="str">
        <x:v>csq012</x:v>
      </x:c>
      <x:c r="C358" s="21" t="n">
        <x:v>30</x:v>
      </x:c>
      <x:c r="D358" s="20" t="str">
        <x:v>2</x:v>
      </x:c>
      <x:c r="E358" s="20" t="str"/>
      <x:c r="F358" s="20" t="str">
        <x:f>IF(E358="",D358,E358)</x:f>
        <x:v>2</x:v>
      </x:c>
      <x:c r="G358" s="13" t="str">
        <x:v>D-AR: Diffusion via Autoregressive Models</x:v>
      </x:c>
      <x:c r="H358" s="13" t="n">
        <x:v>2</x:v>
      </x:c>
      <x:c r="I358" s="22" t="n">
        <x:v>0.014492753623188406</x:v>
      </x:c>
      <x:c r="J358" s="13" t="n">
        <x:v>1</x:v>
      </x:c>
      <x:c r="K358" s="19" t="str">
        <x:v>How do diffusion-based and autoregressive image generation models compare in training objectives, sampling cost, controllability, and output quality?</x:v>
      </x:c>
      <x:c r="L358" s="19" t="str">
        <x:v>continuous intailoredAR
image-level diffusion
(a) MAR, CasualFusion… (d) D-AR (ours)discrete intailored AR(c) SEED-X, NExT-GPT, MetaQuery…
Step 2Step k
(b) DART vanilla ARStep 1
image-level diffusionStep 2Step k
Step 1···
tailored ARimage-level diffusion→→→ →→→···
→Step 1→Step 2···
→
→
→
patch-level diffusion
→
Figure 3: Different paradigms incorporating diffusion and autoregressive models for vision
generation. (a) uses patch-level diffusion during every single autoregressive step to tackle continuous
outputs [27, 28, 29]; (b) DART [ 30] denoises a full image per every autoregressive step by AR
transformer, together inputted with history denoised images; (c) use a single set of continuous outputs
to different diffusion steps and require diffusion gradients to train AR models [31, 32, 33, 34]; (d)</x:v>
      </x:c>
      <x:c r="M358" s="19" t="str">
        <x:v>该段包含可直接回答问题的方法、指标、比较或研究发现。</x:v>
      </x:c>
      <x:c r="N358" s="13" t="str">
        <x:v>http://arxiv.org/abs/2505.23660v1</x:v>
      </x:c>
    </x:row>
    <x:row r="359" ht="58" customHeight="1">
      <x:c r="A359" s="13" t="str">
        <x:v>csq013-c001</x:v>
      </x:c>
      <x:c r="B359" s="13" t="str">
        <x:v>csq013</x:v>
      </x:c>
      <x:c r="C359" s="21" t="n">
        <x:v>1</x:v>
      </x:c>
      <x:c r="D359" s="20" t="str">
        <x:v>2</x:v>
      </x:c>
      <x:c r="E359" s="20" t="str"/>
      <x:c r="F359" s="20" t="str">
        <x:f>IF(E359="",D359,E359)</x:f>
        <x:v>2</x:v>
      </x:c>
      <x:c r="G359" s="13" t="str">
        <x:v>BEAF: Observing BEfore-AFter Changes to Evaluate Hallucination in Vision-language Models</x:v>
      </x:c>
      <x:c r="H359" s="13" t="n">
        <x:v>3</x:v>
      </x:c>
      <x:c r="I359" s="22" t="n">
        <x:v>0.06125805513462215</x:v>
      </x:c>
      <x:c r="J359" s="13" t="n">
        <x:v>4</x:v>
      </x:c>
      <x:c r="K359" s="19" t="str">
        <x:v>Which benchmarks and metrics have been proposed to evaluate hallucination in vision-language models, and what aspects of model behavior does each benchmark test?</x:v>
      </x:c>
      <x:c r="L359" s="19" t="str">
        <x:v>4 Ye-Bin et al.
– We propose a benchmark, called BEfore-AFter (BEAF), to evaluate the hallu-
cination of large vision-language models. Our benchmark comprises a dataset
that considers both text- and vision-axes, and change-aware metrics, which
allow us to perform granular evaluation.
– We demonstrate that previously reported outcomes deemed non-hallucinatory
in the prior text-axis-only evaluation benchmarks may be hallucinations.
– We also visualize the impact of relationships between objects within halluci-
natory images based on the BEAF results.
2 Related Work
Vision Language Models (VLMs). VLMs [1,4,5,8,10,23–25,40,43] have
demonstrated their impressive image describing and reasoning ability based on
powerful large language models (LLMs) [6,31–33]. Generally, VLMs consist of
three parts: vision encoder, LLM, and vision-language alignment module. The</x:v>
      </x:c>
      <x:c r="M359" s="19" t="str">
        <x:v>该段包含可直接回答问题的方法、指标、比较或研究发现。</x:v>
      </x:c>
      <x:c r="N359" s="13" t="str">
        <x:v>http://arxiv.org/abs/2407.13442v1</x:v>
      </x:c>
    </x:row>
    <x:row r="360" ht="58" customHeight="1">
      <x:c r="A360" s="13" t="str">
        <x:v>csq013-c002</x:v>
      </x:c>
      <x:c r="B360" s="13" t="str">
        <x:v>csq013</x:v>
      </x:c>
      <x:c r="C360" s="21" t="n">
        <x:v>2</x:v>
      </x:c>
      <x:c r="D360" s="20" t="str">
        <x:v>0</x:v>
      </x:c>
      <x:c r="E360" s="20" t="str"/>
      <x:c r="F360" s="20" t="str">
        <x:f>IF(E360="",D360,E360)</x:f>
        <x:v>0</x:v>
      </x:c>
      <x:c r="G360" s="13" t="str">
        <x:v>Evaluating and Analyzing Relationship Hallucinations in Large Vision-Language Models</x:v>
      </x:c>
      <x:c r="H360" s="13" t="n">
        <x:v>9</x:v>
      </x:c>
      <x:c r="I360" s="22" t="n">
        <x:v>0.06088698439241918</x:v>
      </x:c>
      <x:c r="J360" s="13" t="n">
        <x:v>4</x:v>
      </x:c>
      <x:c r="K360" s="19" t="str">
        <x:v>Which benchmarks and metrics have been proposed to evaluate hallucination in vision-language models, and what aspects of model behavior does each benchmark test?</x:v>
      </x:c>
      <x:c r="L360" s="19" t="str">
        <x:v>arXiv preprint arXiv:2309.02301, 2023.
Jing, L., Li, R., Chen, Y ., Jia, M., and Du, X. Faithscore:
Evaluating hallucinations in large vision-language mod-
els. arXiv preprint arXiv:2311.01477, 2023.
Kembhavi, A., Salvato, M., Kolve, E., Seo, M., Hajishirzi,
H., and Farhadi, A. A diagram is worth a dozen images.
In Computer Vision–ECCV 2016: 14th European Confer-
ence, Amsterdam, The Netherlands, October 11–14, 2016,
Proceedings, Part IV 14, pp. 235–251. Springer, 2016.
Kirillov, A., Mintun, E., Ravi, N., Mao, H., Rolland, C.,
Gustafson, L., Xiao, T., Whitehead, S., Berg, A. C.,
Lo, W.-Y ., et al. Segment anything. arXiv preprint
arXiv:2304.02643, 2023.
Krishna, R., Zhu, Y ., Groth, O., Johnson, J., Hata, K.,
Kravitz, J., Chen, S., Kalantidis, Y ., Li, L.-J., Shamma,
D. A., et al. Visual genome: Connecting language and
vision using crowdsourced dense image annotations. In-</x:v>
      </x:c>
      <x:c r="M360" s="19" t="str">
        <x:v>该段为无关内容、泛泛提及或参考文献片段，不能作为回答证据。</x:v>
      </x:c>
      <x:c r="N360" s="13" t="str">
        <x:v>http://arxiv.org/abs/2406.16449v4</x:v>
      </x:c>
    </x:row>
    <x:row r="361" ht="58" customHeight="1">
      <x:c r="A361" s="13" t="str">
        <x:v>csq013-c003</x:v>
      </x:c>
      <x:c r="B361" s="13" t="str">
        <x:v>csq013</x:v>
      </x:c>
      <x:c r="C361" s="21" t="n">
        <x:v>3</x:v>
      </x:c>
      <x:c r="D361" s="20" t="str">
        <x:v>2</x:v>
      </x:c>
      <x:c r="E361" s="20" t="str"/>
      <x:c r="F361" s="20" t="str">
        <x:f>IF(E361="",D361,E361)</x:f>
        <x:v>2</x:v>
      </x:c>
      <x:c r="G361" s="13" t="str">
        <x:v>BEAF: Observing BEfore-AFter Changes to Evaluate Hallucination in Vision-language Models</x:v>
      </x:c>
      <x:c r="H361" s="13" t="n">
        <x:v>1</x:v>
      </x:c>
      <x:c r="I361" s="22" t="n">
        <x:v>0.059086768462425394</x:v>
      </x:c>
      <x:c r="J361" s="13" t="n">
        <x:v>4</x:v>
      </x:c>
      <x:c r="K361" s="19" t="str">
        <x:v>Which benchmarks and metrics have been proposed to evaluate hallucination in vision-language models, and what aspects of model behavior does each benchmark test?</x:v>
      </x:c>
      <x:c r="L361" s="19" t="str">
        <x:v>“Is there {object} in the image? ”, and gets a YES or NO answer. The fol-
lowing hallucination benchmarks [14,19,34] commonly leverage LLMs or human
annotators to generate question prompts with available scene information such
as bounding boxes and captions. This text-axis evaluation may assess certain as-
pects of the hallucination performance well, but it is hard to disentangle sources
of hallucination, particularly in VLMs that handle both visual and text modal-
ities. Thus, to thoroughly analyze and understand the behavior of VLMs, it is
both natural and necessary to consider both modalities.
In this work, we propose a BEfore-AFter (BEAF) hallucination evaluation
benchmark. This benchmark comprises a dataset enhanced along the vision-axis
and metrics that are aware of changes. We manipulate scenes by selectively</x:v>
      </x:c>
      <x:c r="M361" s="19" t="str">
        <x:v>该段包含可直接回答问题的方法、指标、比较或研究发现。</x:v>
      </x:c>
      <x:c r="N361" s="13" t="str">
        <x:v>http://arxiv.org/abs/2407.13442v1</x:v>
      </x:c>
    </x:row>
    <x:row r="362" ht="58" customHeight="1">
      <x:c r="A362" s="13" t="str">
        <x:v>csq013-c004</x:v>
      </x:c>
      <x:c r="B362" s="13" t="str">
        <x:v>csq013</x:v>
      </x:c>
      <x:c r="C362" s="21" t="n">
        <x:v>4</x:v>
      </x:c>
      <x:c r="D362" s="20" t="str">
        <x:v>0</x:v>
      </x:c>
      <x:c r="E362" s="20" t="str"/>
      <x:c r="F362" s="20" t="str">
        <x:f>IF(E362="",D362,E362)</x:f>
        <x:v>0</x:v>
      </x:c>
      <x:c r="G362" s="13" t="str">
        <x:v>Multi-Object Hallucination in Vision-Language Models</x:v>
      </x:c>
      <x:c r="H362" s="13" t="n">
        <x:v>13</x:v>
      </x:c>
      <x:c r="I362" s="22" t="n">
        <x:v>0.04839549075403121</x:v>
      </x:c>
      <x:c r="J362" s="13" t="n">
        <x:v>3</x:v>
      </x:c>
      <x:c r="K362" s="19" t="str">
        <x:v>Which benchmarks and metrics have been proposed to evaluate hallucination in vision-language models, and what aspects of model behavior does each benchmark test?</x:v>
      </x:c>
      <x:c r="L362" s="19" t="str">
        <x:v>arXiv:2403.02325.
[53] Junyang Wang, Yuhang Wang, Guohai Xu, Jing Zhang, Yukai Gu, Haitao Jia, Ming Yan,
Ji Zhang, and Jitao Sang. 2023. An llm-free multi-dimensional benchmark for mllms hallucina-
tion evaluation. arXiv preprint arXiv:2311.07397.
[54] Junyang Wang, Yiyang Zhou, Guohai Xu, Pengcheng Shi, Chenlin Zhao, Haiyang Xu, Qinghao
Ye, Ming Yan, Ji Zhang, Jihua Zhu, et al. 2023. Evaluation and analysis of hallucination in
large vision-language models. arXiv preprint arXiv:2308.15126.
[55] Weihan Wang, Qingsong Lv, Wenmeng Yu, Wenyi Hong, Ji Qi, Yan Wang, Junhui Ji, Zhuoyi
Yang, Lei Zhao, Xixuan Song, et al. 2023. Cogvlm: Visual expert for pretrained language
models. arXiv preprint arXiv:2311.03079.
[56] Wenhai Wang, Zhe Chen, Xiaokang Chen, Jiannan Wu, Xizhou Zhu, Gang Zeng, Ping Luo,
Tong Lu, Jie Zhou, Yu Qiao, et al. 2023. Visionllm: Large language model is also an open-ended</x:v>
      </x:c>
      <x:c r="M362" s="19" t="str">
        <x:v>该段为无关内容、泛泛提及或参考文献片段，不能作为回答证据。</x:v>
      </x:c>
      <x:c r="N362" s="13" t="str">
        <x:v>http://arxiv.org/abs/2407.06192v2</x:v>
      </x:c>
    </x:row>
    <x:row r="363" ht="58" customHeight="1">
      <x:c r="A363" s="13" t="str">
        <x:v>csq013-c005</x:v>
      </x:c>
      <x:c r="B363" s="13" t="str">
        <x:v>csq013</x:v>
      </x:c>
      <x:c r="C363" s="21" t="n">
        <x:v>5</x:v>
      </x:c>
      <x:c r="D363" s="20" t="str">
        <x:v>2</x:v>
      </x:c>
      <x:c r="E363" s="20" t="str"/>
      <x:c r="F363" s="20" t="str">
        <x:f>IF(E363="",D363,E363)</x:f>
        <x:v>2</x:v>
      </x:c>
      <x:c r="G363" s="13" t="str">
        <x:v>BEAF: Observing BEfore-AFter Changes to Evaluate Hallucination in Vision-language Models</x:v>
      </x:c>
      <x:c r="H363" s="13" t="n">
        <x:v>0</x:v>
      </x:c>
      <x:c r="I363" s="22" t="n">
        <x:v>0.0451389124346464</x:v>
      </x:c>
      <x:c r="J363" s="13" t="n">
        <x:v>3</x:v>
      </x:c>
      <x:c r="K363" s="19" t="str">
        <x:v>Which benchmarks and metrics have been proposed to evaluate hallucination in vision-language models, and what aspects of model behavior does each benchmark test?</x:v>
      </x:c>
      <x:c r="L363" s="19" t="str">
        <x:v>shot capability. However, recent studies show that VLMs are vulnerable
to hallucination. This undesirable behavior degrades reliability and cred-
ibility, thereby making users unable to fully trust the output from VLMs.
To enhance trustworthiness and better tackle the hallucination of VLMs,
we curate a new evaluation dataset, called the BEfore-AFter hallucina-
tion dataset (BEAF), and introduce new metrics: True Understanding
(TU), IGnorance (IG), StuBbornness (SB), and InDecision (ID). Unlike
prior works that focus only on constructing questions and answers, the
key idea of our benchmark is to manipulate visual scene information by
image editing models and to design the metrics based on scene changes.
This allows us to clearly assess whether VLMs correctly understand a
given scene by observing the ability to perceive changes. We also visual-</x:v>
      </x:c>
      <x:c r="M363" s="19" t="str">
        <x:v>该段包含可直接回答问题的方法、指标、比较或研究发现。</x:v>
      </x:c>
      <x:c r="N363" s="13" t="str">
        <x:v>http://arxiv.org/abs/2407.13442v1</x:v>
      </x:c>
    </x:row>
    <x:row r="364" ht="58" customHeight="1">
      <x:c r="A364" s="13" t="str">
        <x:v>csq013-c006</x:v>
      </x:c>
      <x:c r="B364" s="13" t="str">
        <x:v>csq013</x:v>
      </x:c>
      <x:c r="C364" s="21" t="n">
        <x:v>6</x:v>
      </x:c>
      <x:c r="D364" s="20" t="str">
        <x:v>0</x:v>
      </x:c>
      <x:c r="E364" s="20" t="str"/>
      <x:c r="F364" s="20" t="str">
        <x:f>IF(E364="",D364,E364)</x:f>
        <x:v>0</x:v>
      </x:c>
      <x:c r="G364" s="13" t="str">
        <x:v>Unified Triplet-Level Hallucination Evaluation for Large Vision-Language Models</x:v>
      </x:c>
      <x:c r="H364" s="13" t="n">
        <x:v>15</x:v>
      </x:c>
      <x:c r="I364" s="22" t="n">
        <x:v>0.04417500477981008</x:v>
      </x:c>
      <x:c r="J364" s="13" t="n">
        <x:v>3</x:v>
      </x:c>
      <x:c r="K364" s="19" t="str">
        <x:v>Which benchmarks and metrics have been proposed to evaluate hallucination in vision-language models, and what aspects of model behavior does each benchmark test?</x:v>
      </x:c>
      <x:c r="L364" s="19" t="str">
        <x:v>Junyang Wang, Yuhang Wang, Guohai Xu, Jing Zhang, Yukai Gu, Haitao Jia, Ming Yan, Ji Zhang, and
Jitao Sang. An llm-free multi-dimensional benchmark for mllms hallucination evaluation.arXiv preprint
arXiv:2311.07397, 2023a.
Junyang Wang, Yuhang Wang, Guohai Xu, Jing Zhang, Yukai Gu, Haitao Jia, Ming Yan, Ji Zhang, and
Jitao Sang. An llm-free multi-dimensional benchmark for mllms hallucination evaluation.ArXiv preprint,
abs/2311.07397, 2023b. URL https://arxiv.org/abs/2311.07397.
Junyang Wang, Yiyang Zhou, Guohai Xu, Pengcheng Shi, Chenlin Zhao, Haiyang Xu, Qinghao Ye, Ming
Yan, Ji Zhang, Jihua Zhu, et al. Evaluation and analysis of hallucination in large vision-language models.
ArXiv preprint, abs/2308.15126, 2023c. URLhttps://arxiv.org/abs/2308.15126.
Yibo Wang, Ruiyuan Gao, Kai Chen, Kaiqiang Zhou, Yingjie Cai, Lanqing Hong, Zhenguo Li, Lihui</x:v>
      </x:c>
      <x:c r="M364" s="19" t="str">
        <x:v>该段为无关内容、泛泛提及或参考文献片段，不能作为回答证据。</x:v>
      </x:c>
      <x:c r="N364" s="13" t="str">
        <x:v>http://arxiv.org/abs/2410.23114v4</x:v>
      </x:c>
    </x:row>
    <x:row r="365" ht="58" customHeight="1">
      <x:c r="A365" s="13" t="str">
        <x:v>csq013-c007</x:v>
      </x:c>
      <x:c r="B365" s="13" t="str">
        <x:v>csq013</x:v>
      </x:c>
      <x:c r="C365" s="21" t="n">
        <x:v>7</x:v>
      </x:c>
      <x:c r="D365" s="20" t="str">
        <x:v>0</x:v>
      </x:c>
      <x:c r="E365" s="20" t="str"/>
      <x:c r="F365" s="20" t="str">
        <x:f>IF(E365="",D365,E365)</x:f>
        <x:v>0</x:v>
      </x:c>
      <x:c r="G365" s="13" t="str">
        <x:v>A Comprehensive Analysis for Visual Object Hallucination in Large Vision-Language Models</x:v>
      </x:c>
      <x:c r="H365" s="13" t="n">
        <x:v>10</x:v>
      </x:c>
      <x:c r="I365" s="22" t="n">
        <x:v>0.030330882352941176</x:v>
      </x:c>
      <x:c r="J365" s="13" t="n">
        <x:v>2</x:v>
      </x:c>
      <x:c r="K365" s="19" t="str">
        <x:v>Which benchmarks and metrics have been proposed to evaluate hallucination in vision-language models, and what aspects of model behavior does each benchmark test?</x:v>
      </x:c>
      <x:c r="L365" s="19" t="str">
        <x:v>(CLIP) models. In Proceedings of the 2024 Con-
ference on Empirical Methods in Natural Language
Processing, EMNLP 2024, Miami, FL, USA, Novem-
ber 12-16, 2024, pages 18288–18301. Association
for Computational Linguistics.
Holy Lovenia, Wenliang Dai, Samuel Cahyawijaya, Zi-
wei Ji, and Pascale Fung. 2023. Negative object
presence evaluation (nope) to measure object halluci-
nation in vision-language models.
Jiaying Lu, Jinmeng Rao, Kezhen Chen, Xiaoyuan
Guo, Yawen Zhang, Baochen Sun, Carl Yang, and
Jie Yang. 2023. Evaluation and mitigation of ag-
nosia in multimodal large language models. CoRR,
abs/2309.04041.
Sewon Min, Kalpesh Krishna, Xinxi Lyu, Mike
Lewis, Wen-tau Yih, Pang Wei Koh, Mohit Iyyer,
Luke Zettlemoyer, and Hannaneh Hajishirzi. 2023.
Factscore: Fine-grained atomic evaluation of fac-
tual precision in long form text generation. CoRR,
abs/2305.14251.</x:v>
      </x:c>
      <x:c r="M365" s="19" t="str">
        <x:v>该段为无关内容、泛泛提及或参考文献片段，不能作为回答证据。</x:v>
      </x:c>
      <x:c r="N365" s="13" t="str">
        <x:v>http://arxiv.org/abs/2505.01958v1</x:v>
      </x:c>
    </x:row>
    <x:row r="366" ht="58" customHeight="1">
      <x:c r="A366" s="13" t="str">
        <x:v>csq013-c008</x:v>
      </x:c>
      <x:c r="B366" s="13" t="str">
        <x:v>csq013</x:v>
      </x:c>
      <x:c r="C366" s="21" t="n">
        <x:v>8</x:v>
      </x:c>
      <x:c r="D366" s="20" t="str">
        <x:v>2</x:v>
      </x:c>
      <x:c r="E366" s="20" t="str"/>
      <x:c r="F366" s="20" t="str">
        <x:f>IF(E366="",D366,E366)</x:f>
        <x:v>2</x:v>
      </x:c>
      <x:c r="G366" s="13" t="str">
        <x:v>Unified Triplet-Level Hallucination Evaluation for Large Vision-Language Models</x:v>
      </x:c>
      <x:c r="H366" s="13" t="n">
        <x:v>2</x:v>
      </x:c>
      <x:c r="I366" s="22" t="n">
        <x:v>0.03009207275993712</x:v>
      </x:c>
      <x:c r="J366" s="13" t="n">
        <x:v>2</x:v>
      </x:c>
      <x:c r="K366" s="19" t="str">
        <x:v>Which benchmarks and metrics have been proposed to evaluate hallucination in vision-language models, and what aspects of model behavior does each benchmark test?</x:v>
      </x:c>
      <x:c r="L366" s="19" t="str">
        <x:v>2.2 Hallucination Evaluation in LVLMs
With the prevalence of LVLMs, a growing number of studies have been conducted on their hallucination
issues (Chen et al., 2024b;d; Han et al., 2024; Huang et al., 2023; Li et al., 2023b; Wang et al., 2023b; Guan
et al., 2024; Yue et al., 2024). Previous hallucination evaluation works can be categorized into two groups: 1)
solely evaluating object hallucinations or do not distinguish different hallucinations (Zhao et al., 2023; Li
et al., 2023c; Wang et al., 2023b; Chen et al., 2024c), which neglects other hallucination types like relation
hallucination and is thus not comprehensive. The other type of works use “yes/no” questions to evaluate
LVLM’s relation/object hallucinations (Li et al., 2023e; Wang et al., 2023a; Guan et al., 2024; Wu et al.,</x:v>
      </x:c>
      <x:c r="M366" s="19" t="str">
        <x:v>该段包含可直接回答问题的方法、指标、比较或研究发现。</x:v>
      </x:c>
      <x:c r="N366" s="13" t="str">
        <x:v>http://arxiv.org/abs/2410.23114v4</x:v>
      </x:c>
    </x:row>
    <x:row r="367" ht="58" customHeight="1">
      <x:c r="A367" s="13" t="str">
        <x:v>csq013-c009</x:v>
      </x:c>
      <x:c r="B367" s="13" t="str">
        <x:v>csq013</x:v>
      </x:c>
      <x:c r="C367" s="21" t="n">
        <x:v>9</x:v>
      </x:c>
      <x:c r="D367" s="20" t="str">
        <x:v>2</x:v>
      </x:c>
      <x:c r="E367" s="20" t="str"/>
      <x:c r="F367" s="20" t="str">
        <x:f>IF(E367="",D367,E367)</x:f>
        <x:v>2</x:v>
      </x:c>
      <x:c r="G367" s="13" t="str">
        <x:v>FaithScore: Fine-grained Evaluations of Hallucinations in Large Vision-Language Models</x:v>
      </x:c>
      <x:c r="H367" s="13" t="n">
        <x:v>4</x:v>
      </x:c>
      <x:c r="I367" s="22" t="n">
        <x:v>0.029513888888888888</x:v>
      </x:c>
      <x:c r="J367" s="13" t="n">
        <x:v>2</x:v>
      </x:c>
      <x:c r="K367" s="19" t="str">
        <x:v>Which benchmarks and metrics have been proposed to evaluate hallucination in vision-language models, and what aspects of model behavior does each benchmark test?</x:v>
      </x:c>
      <x:c r="L367" s="19" t="str">
        <x:v>ˆss = 1 − Sh/S, where S is the total number of
descriptive sub-sentences in the answer and Sh is
the total number of descriptive sub-sentences with
hallucinations.
4 Meta-evaluate F AITH SCORE
To verify that our automatic evaluation correlates
with human judgment, we conduct human evalua-
tions in terms of hallucination. We select the test
dataset from the LLaV A paper (Liu et al., 2023e)
(LLA V A-Bench) for human evaluation, which is
constructed based on the MSCOCO dataset. This
test set is a visual instruction following dataset
comprising three distinct question types: detailed
description, conversation, and complex question.
For each type, this dataset includes 90 questions.
We select answers from LLaV A (Liu et al., 2023e)
Recognizer LVLM OverallLLaV A InstructBLIP
ChatGPT 89.84 91.58 90.74
LLaMA-7B 68.01 71.39 69.75
LLaMA-7B (w/ context) 72.80 66.76 69.68</x:v>
      </x:c>
      <x:c r="M367" s="19" t="str">
        <x:v>该段包含可直接回答问题的方法、指标、比较或研究发现。</x:v>
      </x:c>
      <x:c r="N367" s="13" t="str">
        <x:v>http://arxiv.org/abs/2311.01477v2</x:v>
      </x:c>
    </x:row>
    <x:row r="368" ht="58" customHeight="1">
      <x:c r="A368" s="13" t="str">
        <x:v>csq013-c010</x:v>
      </x:c>
      <x:c r="B368" s="13" t="str">
        <x:v>csq013</x:v>
      </x:c>
      <x:c r="C368" s="21" t="n">
        <x:v>10</x:v>
      </x:c>
      <x:c r="D368" s="20" t="str">
        <x:v>0</x:v>
      </x:c>
      <x:c r="E368" s="20" t="str"/>
      <x:c r="F368" s="20" t="str">
        <x:f>IF(E368="",D368,E368)</x:f>
        <x:v>0</x:v>
      </x:c>
      <x:c r="G368" s="13" t="str">
        <x:v>HEDGE: Hallucination Estimation via Dense Geometric Entropy for VQA with Vision-Language Models</x:v>
      </x:c>
      <x:c r="H368" s="13" t="n">
        <x:v>15</x:v>
      </x:c>
      <x:c r="I368" s="22" t="n">
        <x:v>0.029386529386529386</x:v>
      </x:c>
      <x:c r="J368" s="13" t="n">
        <x:v>2</x:v>
      </x:c>
      <x:c r="K368" s="19" t="str">
        <x:v>Which benchmarks and metrics have been proposed to evaluate hallucination in vision-language models, and what aspects of model behavior does each benchmark test?</x:v>
      </x:c>
      <x:c r="L368" s="19" t="str">
        <x:v>Anthology(Dec. 2023), 314–334. doi:10.18653/
v1/2023.conll-1.21
[64] Suzanne Petryk, David M. Chan, Anish Kachinthaya,
Haodi Zou, John Canny, Joseph E. Gonzalez, and
Trevor Darrell. 2024. ALOHa: A New Measure
for Hallucination in Captioning Models. InProceed-
ings of the 2024 Conference of the North American
Chapter of the Association for Computational Lin-
guistics: Human Language Technologies (Volume 2:
Short Papers), Kevin Duh, Helena Gomez, and Steven
Bethard (Eds.). Association for Computational Lin-
guistics, Mexico City, Mexico, 342–357. doi:10.
18653/v1/2024.naacl-short.30
[65] Nhi Pham and Michael Schott. 2024. H-POPE: Hier-
archical Polling-based Probing Evaluation of Halluci-
nations in Large Vision-Language Models.ArXiv e-
prints(Nov. 2024). doi:10.48550/arXiv.2411.
04077
[66] Vishnu Prabhakaran, Purav Aggarwal, Vinay Ku-
mar Verma, Gokul Swamy, and Anoop Saladi. 2025.</x:v>
      </x:c>
      <x:c r="M368" s="19" t="str">
        <x:v>该段为无关内容、泛泛提及或参考文献片段，不能作为回答证据。</x:v>
      </x:c>
      <x:c r="N368" s="13" t="str">
        <x:v>http://arxiv.org/abs/2511.12693v1</x:v>
      </x:c>
    </x:row>
    <x:row r="369" ht="58" customHeight="1">
      <x:c r="A369" s="13" t="str">
        <x:v>csq013-c011</x:v>
      </x:c>
      <x:c r="B369" s="13" t="str">
        <x:v>csq013</x:v>
      </x:c>
      <x:c r="C369" s="21" t="n">
        <x:v>11</x:v>
      </x:c>
      <x:c r="D369" s="20" t="str">
        <x:v>2</x:v>
      </x:c>
      <x:c r="E369" s="20" t="str"/>
      <x:c r="F369" s="20" t="str">
        <x:f>IF(E369="",D369,E369)</x:f>
        <x:v>2</x:v>
      </x:c>
      <x:c r="G369" s="13" t="str">
        <x:v>BEAF: Observing BEfore-AFter Changes to Evaluate Hallucination in Vision-language Models</x:v>
      </x:c>
      <x:c r="H369" s="13" t="n">
        <x:v>3</x:v>
      </x:c>
      <x:c r="I369" s="22" t="n">
        <x:v>0.029138513513513514</x:v>
      </x:c>
      <x:c r="J369" s="13" t="n">
        <x:v>2</x:v>
      </x:c>
      <x:c r="K369" s="19" t="str">
        <x:v>Which benchmarks and metrics have been proposed to evaluate hallucination in vision-language models, and what aspects of model behavior does each benchmark test?</x:v>
      </x:c>
      <x:c r="L369" s="19" t="str">
        <x:v>lucination benchmarks to understand and assess these undesirable phenomena of
VLMs. Motivated by traditional visual and question benchmarks, existing hal-
lucination benchmarks [14,19,34] follow this VQA style that provides a simple
QnA evaluation pipeline and intuitive metrics. POPE [19] and CIEM [14] cu-
rate images and QnA pairs with metrics such as accuracy, precision, and recall,
where they use a specific question type inducing multi-choice or yes/no answers,
called discriminative type. AMBER [34] includes an additional question type
that induces open-ended caption generation as answers, called generative type.
For such open-generation assessment, they extract the objects from the output
text answers and compare them with the ground-truth objects in the image.
These prior studies focus on manipulating texts of questions and answers only,</x:v>
      </x:c>
      <x:c r="M369" s="19" t="str">
        <x:v>该段包含可直接回答问题的方法、指标、比较或研究发现。</x:v>
      </x:c>
      <x:c r="N369" s="13" t="str">
        <x:v>http://arxiv.org/abs/2407.13442v1</x:v>
      </x:c>
    </x:row>
    <x:row r="370" ht="58" customHeight="1">
      <x:c r="A370" s="13" t="str">
        <x:v>csq013-c012</x:v>
      </x:c>
      <x:c r="B370" s="13" t="str">
        <x:v>csq013</x:v>
      </x:c>
      <x:c r="C370" s="21" t="n">
        <x:v>12</x:v>
      </x:c>
      <x:c r="D370" s="20" t="str">
        <x:v>2</x:v>
      </x:c>
      <x:c r="E370" s="20" t="str"/>
      <x:c r="F370" s="20" t="str">
        <x:f>IF(E370="",D370,E370)</x:f>
        <x:v>2</x:v>
      </x:c>
      <x:c r="G370" s="13" t="str">
        <x:v>FaithScore: Fine-grained Evaluations of Hallucinations in Large Vision-Language Models</x:v>
      </x:c>
      <x:c r="H370" s="13" t="n">
        <x:v>2</x:v>
      </x:c>
      <x:c r="I370" s="22" t="n">
        <x:v>0.02862400327131466</x:v>
      </x:c>
      <x:c r="J370" s="13" t="n">
        <x:v>2</x:v>
      </x:c>
      <x:c r="K370" s="19" t="str">
        <x:v>Which benchmarks and metrics have been proposed to evaluate hallucination in vision-language models, and what aspects of model behavior does each benchmark test?</x:v>
      </x:c>
      <x:c r="L370" s="19" t="str">
        <x:v>VQA, based on “POPE”. Gunjal et al. (2023) fur-
ther proposed to detect hallucinations in more de-
tailed image captions and investigated utilizing a
reward model for mitigating them. Lu et al. (2023)
introduced an evaluation benchmark that contains
more diverse types of questions, such as Yes-or-No
and Fill-in-the-Blank.
Different from all the above, we are the first to
propose a reference-free metric for fine-grained
evaluating the answers in the open-ended visual
question-answering setting, where answers are of
free form and can be lengthy.
3 Estimating F AITH SCORE
In this section, we begin by clearly defining the
research problem in Section 3.1, followed by a
detailed framework of estimating FAITH SCORE in
Section 3.2.
3.1 Task and Settings
Suppose we have an image I and a corresponding
prompt Q. We then feed them into the LVLM
denoted as M, to obtain the generated answer A.</x:v>
      </x:c>
      <x:c r="M370" s="19" t="str">
        <x:v>该段包含可直接回答问题的方法、指标、比较或研究发现。</x:v>
      </x:c>
      <x:c r="N370" s="13" t="str">
        <x:v>http://arxiv.org/abs/2311.01477v2</x:v>
      </x:c>
    </x:row>
    <x:row r="371" ht="58" customHeight="1">
      <x:c r="A371" s="13" t="str">
        <x:v>csq013-c013</x:v>
      </x:c>
      <x:c r="B371" s="13" t="str">
        <x:v>csq013</x:v>
      </x:c>
      <x:c r="C371" s="21" t="n">
        <x:v>13</x:v>
      </x:c>
      <x:c r="D371" s="20" t="str">
        <x:v>0</x:v>
      </x:c>
      <x:c r="E371" s="20" t="str"/>
      <x:c r="F371" s="20" t="str">
        <x:f>IF(E371="",D371,E371)</x:f>
        <x:v>0</x:v>
      </x:c>
      <x:c r="G371" s="13" t="str">
        <x:v>FaithScore: Fine-grained Evaluations of Hallucinations in Large Vision-Language Models</x:v>
      </x:c>
      <x:c r="H371" s="13" t="n">
        <x:v>9</x:v>
      </x:c>
      <x:c r="I371" s="22" t="n">
        <x:v>0.028484848484848488</x:v>
      </x:c>
      <x:c r="J371" s="13" t="n">
        <x:v>2</x:v>
      </x:c>
      <x:c r="K371" s="19" t="str">
        <x:v>Which benchmarks and metrics have been proposed to evaluate hallucination in vision-language models, and what aspects of model behavior does each benchmark test?</x:v>
      </x:c>
      <x:c r="L371" s="19" t="str">
        <x:v>Lee. 2023e. Visual instruction tuning. CoRR,
abs/2304.08485.
Holy Lovenia, Wenliang Dai, Samuel Cahyawijaya, Zi-
wei Ji, and Pascale Fung. 2023. Negative object
presence evaluation (nope) to measure object halluci-
nation in vision-language models.
Jiaying Lu, Jinmeng Rao, Kezhen Chen, Xiaoyuan
Guo, Yawen Zhang, Baochen Sun, Carl Yang, and
Jie Yang. 2023. Evaluation and mitigation of ag-
nosia in multimodal large language models. CoRR,
abs/2309.04041.
Haley MacLeod, Cynthia L. Bennett, Meredith Ringel
Morris, and Edward Cutrell. 2017. Understanding
blind people’s experiences with computer-generated
captions of social media images. In CHI, pages 5988–
5999. ACM.
Sewon Min, Kalpesh Krishna, Xinxi Lyu, Mike
Lewis, Wen-tau Yih, Pang Wei Koh, Mohit Iyyer,
Luke Zettlemoyer, and Hannaneh Hajishirzi. 2023.
Factscore: Fine-grained atomic evaluation of fac-</x:v>
      </x:c>
      <x:c r="M371" s="19" t="str">
        <x:v>该段为无关内容、泛泛提及或参考文献片段，不能作为回答证据。</x:v>
      </x:c>
      <x:c r="N371" s="13" t="str">
        <x:v>http://arxiv.org/abs/2311.01477v2</x:v>
      </x:c>
    </x:row>
    <x:row r="372" ht="58" customHeight="1">
      <x:c r="A372" s="13" t="str">
        <x:v>csq013-c014</x:v>
      </x:c>
      <x:c r="B372" s="13" t="str">
        <x:v>csq013</x:v>
      </x:c>
      <x:c r="C372" s="21" t="n">
        <x:v>14</x:v>
      </x:c>
      <x:c r="D372" s="20" t="str">
        <x:v>2</x:v>
      </x:c>
      <x:c r="E372" s="20" t="str"/>
      <x:c r="F372" s="20" t="str">
        <x:f>IF(E372="",D372,E372)</x:f>
        <x:v>2</x:v>
      </x:c>
      <x:c r="G372" s="13" t="str">
        <x:v>BEAF: Observing BEfore-AFter Changes to Evaluate Hallucination in Vision-language Models</x:v>
      </x:c>
      <x:c r="H372" s="13" t="n">
        <x:v>10</x:v>
      </x:c>
      <x:c r="I372" s="22" t="n">
        <x:v>0.028381642512077296</x:v>
      </x:c>
      <x:c r="J372" s="13" t="n">
        <x:v>2</x:v>
      </x:c>
      <x:c r="K372" s="19" t="str">
        <x:v>Which benchmarks and metrics have been proposed to evaluate hallucination in vision-language models, and what aspects of model behavior does each benchmark test?</x:v>
      </x:c>
      <x:c r="L372" s="19" t="str">
        <x:v>that, while mPLUG-Owl2 outper-
forms others on VQAv2 and LLaVA
excels on GQA, Shikra leads in per-
formance on our metric. We observe that there is a negative correlation between
performance and the incidence of hallucination, which aligns with the previ-
ous observation [35]. Although improving performance on various benchmarks is
challenging, it is essential to check multiple aspects of the performance, includ-
ing hallucination. We believe that our benchmark provides valuable insights in
conjunction with existing benchmarks.
Image-wise object relationship. We visualize changes in dynamic object
relationship along the vision and text axes, as shown in Fig. 4. Compared to
our metrics providing comprehensive statistics as summarized scores, this visu-
alization enables to track the changes in VLMs’ responses at object-wise and</x:v>
      </x:c>
      <x:c r="M372" s="19" t="str">
        <x:v>该段包含可直接回答问题的方法、指标、比较或研究发现。</x:v>
      </x:c>
      <x:c r="N372" s="13" t="str">
        <x:v>http://arxiv.org/abs/2407.13442v1</x:v>
      </x:c>
    </x:row>
    <x:row r="373" ht="58" customHeight="1">
      <x:c r="A373" s="13" t="str">
        <x:v>csq013-c015</x:v>
      </x:c>
      <x:c r="B373" s="13" t="str">
        <x:v>csq013</x:v>
      </x:c>
      <x:c r="C373" s="21" t="n">
        <x:v>15</x:v>
      </x:c>
      <x:c r="D373" s="20" t="str">
        <x:v>2</x:v>
      </x:c>
      <x:c r="E373" s="20" t="str"/>
      <x:c r="F373" s="20" t="str">
        <x:f>IF(E373="",D373,E373)</x:f>
        <x:v>2</x:v>
      </x:c>
      <x:c r="G373" s="13" t="str">
        <x:v>A Comprehensive Analysis for Visual Object Hallucination in Large Vision-Language Models</x:v>
      </x:c>
      <x:c r="H373" s="13" t="n">
        <x:v>1</x:v>
      </x:c>
      <x:c r="I373" s="22" t="n">
        <x:v>0.01639344262295082</x:v>
      </x:c>
      <x:c r="J373" s="13" t="n">
        <x:v>1</x:v>
      </x:c>
      <x:c r="K373" s="19" t="str">
        <x:v>Which benchmarks and metrics have been proposed to evaluate hallucination in vision-language models, and what aspects of model behavior does each benchmark test?</x:v>
      </x:c>
      <x:c r="L373" s="19" t="str">
        <x:v>quently co-occur with present objects but do not
actually exist in the image. 2) QA-VisualGenome.
To further investigate the hallucination issue on
relations and attributes of objects, we construct a
new fine-grained evaluation benchmark based on
the VisualGenome dataset (Krishna et al., 2017),
which collects dense annotations of attributes and
relationships of objects for each image. Specifi-
cally, we design two types of Yes-or-No questions
to evaluate models: attributes and relations. For
example, an attribute question could be “Is the dog
red in the image? ” A relational question would
ask, “Is the dog standing on the table? ”. Similar
to previous work (Wang et al., 2020), we exclude
uncommon relations and attributes. We randomly
select one relation or attribute to generate negative
samples.
1All benchmark datasets, code, and models will be re-
leased.</x:v>
      </x:c>
      <x:c r="M373" s="19" t="str">
        <x:v>该段包含可直接回答问题的方法、指标、比较或研究发现。</x:v>
      </x:c>
      <x:c r="N373" s="13" t="str">
        <x:v>http://arxiv.org/abs/2505.01958v1</x:v>
      </x:c>
    </x:row>
    <x:row r="374" ht="58" customHeight="1">
      <x:c r="A374" s="13" t="str">
        <x:v>csq013-c016</x:v>
      </x:c>
      <x:c r="B374" s="13" t="str">
        <x:v>csq013</x:v>
      </x:c>
      <x:c r="C374" s="21" t="n">
        <x:v>16</x:v>
      </x:c>
      <x:c r="D374" s="20" t="str">
        <x:v>2</x:v>
      </x:c>
      <x:c r="E374" s="20" t="str"/>
      <x:c r="F374" s="20" t="str">
        <x:f>IF(E374="",D374,E374)</x:f>
        <x:v>2</x:v>
      </x:c>
      <x:c r="G374" s="13" t="str">
        <x:v>VOPE: Revisiting Hallucination of Vision-Language Models in Voluntary Imagination Task</x:v>
      </x:c>
      <x:c r="H374" s="13" t="n">
        <x:v>3</x:v>
      </x:c>
      <x:c r="I374" s="22" t="n">
        <x:v>0.01639344262295082</x:v>
      </x:c>
      <x:c r="J374" s="13" t="n">
        <x:v>1</x:v>
      </x:c>
      <x:c r="K374" s="19" t="str">
        <x:v>Which benchmarks and metrics have been proposed to evaluate hallucination in vision-language models, and what aspects of model behavior does each benchmark test?</x:v>
      </x:c>
      <x:c r="L374" s="19" t="str">
        <x:v>tual description and voluntary imagination output, we propose two
metrics,𝐻𝑎𝑙-𝐷 and𝐻𝑎𝑙-𝐼 , to evaluate LVLMs’ hallucination rate
based on the proportion of the hallucinated objects. For clarity, we
define the sets of each category of objects as follows: true descrip-
tion is denoted asDT, hallucination in factual description is denoted
as DH, true imagination is denoted as IT and the grounding error
in voluntary imagination is denoted asI H.
The first metric evaluates the model’s hallucination rate within
its factual description:
𝐻𝑎𝑙-𝐷= |DH|
|DT|+|D H|. (1)
The second metric evaluates the model’s grounding failure rate
on voluntarily imagined objects. To maintain consistency with the
first metric, we denote it as the hallucination rate under voluntary
imagination:
𝐻𝑎𝑙-𝐼= |IH|
|IT|+|I H|. (2)
Considering that the amount of voluntary imagination may affect</x:v>
      </x:c>
      <x:c r="M374" s="19" t="str">
        <x:v>该段包含可直接回答问题的方法、指标、比较或研究发现。</x:v>
      </x:c>
      <x:c r="N374" s="13" t="str">
        <x:v>http://arxiv.org/abs/2511.13420v2</x:v>
      </x:c>
    </x:row>
    <x:row r="375" ht="58" customHeight="1">
      <x:c r="A375" s="13" t="str">
        <x:v>csq013-c017</x:v>
      </x:c>
      <x:c r="B375" s="13" t="str">
        <x:v>csq013</x:v>
      </x:c>
      <x:c r="C375" s="21" t="n">
        <x:v>17</x:v>
      </x:c>
      <x:c r="D375" s="20" t="str">
        <x:v>0</x:v>
      </x:c>
      <x:c r="E375" s="20" t="str"/>
      <x:c r="F375" s="20" t="str">
        <x:f>IF(E375="",D375,E375)</x:f>
        <x:v>0</x:v>
      </x:c>
      <x:c r="G375" s="13" t="str">
        <x:v>Unified Triplet-Level Hallucination Evaluation for Large Vision-Language Models</x:v>
      </x:c>
      <x:c r="H375" s="13" t="n">
        <x:v>13</x:v>
      </x:c>
      <x:c r="I375" s="22" t="n">
        <x:v>0.016129032258064516</x:v>
      </x:c>
      <x:c r="J375" s="13" t="n">
        <x:v>1</x:v>
      </x:c>
      <x:c r="K375" s="19" t="str">
        <x:v>Which benchmarks and metrics have been proposed to evaluate hallucination in vision-language models, and what aspects of model behavior does each benchmark test?</x:v>
      </x:c>
      <x:c r="L375" s="19" t="str">
        <x:v>//arxiv.org/abs/2311.17911.
Drew A. Hudson and Christopher D. Manning. GQA: A new dataset for real-world visual reasoning and
compositional question answering. InCVPR, 2019.
Ziwei Ji, Nayeon Lee, Rita Frieske, Tiezheng Yu, Dan Su, Yan Xu, Etsuko Ishii, Ye Jin Bang, Andrea
Madotto, and Pascale Fung. Survey of hallucination in natural language generation. InACM Computing
Surveys, 2023.
Liqiang Jing, Ruosen Li, Yunmo Chen, Mengzhao Jia, and Xinya Du. Faithscore: Evaluating hallucinations
in large vision-language models.arXiv preprint arXiv:2311.01477 , 2023.
14</x:v>
      </x:c>
      <x:c r="M375" s="19" t="str">
        <x:v>该段为无关内容、泛泛提及或参考文献片段，不能作为回答证据。</x:v>
      </x:c>
      <x:c r="N375" s="13" t="str">
        <x:v>http://arxiv.org/abs/2410.23114v4</x:v>
      </x:c>
    </x:row>
    <x:row r="376" ht="58" customHeight="1">
      <x:c r="A376" s="13" t="str">
        <x:v>csq013-c018</x:v>
      </x:c>
      <x:c r="B376" s="13" t="str">
        <x:v>csq013</x:v>
      </x:c>
      <x:c r="C376" s="21" t="n">
        <x:v>18</x:v>
      </x:c>
      <x:c r="D376" s="20" t="str">
        <x:v>2</x:v>
      </x:c>
      <x:c r="E376" s="20" t="str"/>
      <x:c r="F376" s="20" t="str">
        <x:f>IF(E376="",D376,E376)</x:f>
        <x:v>2</x:v>
      </x:c>
      <x:c r="G376" s="13" t="str">
        <x:v>BEAF: Observing BEfore-AFter Changes to Evaluate Hallucination in Vision-language Models</x:v>
      </x:c>
      <x:c r="H376" s="13" t="n">
        <x:v>2</x:v>
      </x:c>
      <x:c r="I376" s="22" t="n">
        <x:v>0.016129032258064516</x:v>
      </x:c>
      <x:c r="J376" s="13" t="n">
        <x:v>1</x:v>
      </x:c>
      <x:c r="K376" s="19" t="str">
        <x:v>Which benchmarks and metrics have been proposed to evaluate hallucination in vision-language models, and what aspects of model behavior does each benchmark test?</x:v>
      </x:c>
      <x:c r="L376" s="19" t="str">
        <x:v>ID: Indecision
Q2: Is there an orange?A2: (GT=Yes)
Q3: Is there a grape?A3: (GT=No)
Q2: Is there an orange?A2: (GT=Yes)
Q3: Is there a grape?A3: (GT=No)
Asking about the removed object
Asking about the unremoved object
Observe changesin answers!
Fig. 1: Illustration of BEfore-AFter (BEAF) benchmark. We present a compar-
isonbetweentraditionalevaluationbenchmarksandourBEAFbenchmarkforassessing
the hallucination behavior in VLMs. Traditional evaluation methods solely manipulate
questions based on the existence of an object and measure accuracy or F1 score. In
contrast, our BEAF benchmark not only constructs questions but also manipulates
images and tracks changes in answers as the images undergo manipulation. The BEAF
benchmark introduces novel metrics including True Understanding (TU), IGnorance
(IG), StuBbornness (SB), and InDecision (ID), which consider the changes in answers.</x:v>
      </x:c>
      <x:c r="M376" s="19" t="str">
        <x:v>该段包含可直接回答问题的方法、指标、比较或研究发现。</x:v>
      </x:c>
      <x:c r="N376" s="13" t="str">
        <x:v>http://arxiv.org/abs/2407.13442v1</x:v>
      </x:c>
    </x:row>
    <x:row r="377" ht="58" customHeight="1">
      <x:c r="A377" s="13" t="str">
        <x:v>csq013-c019</x:v>
      </x:c>
      <x:c r="B377" s="13" t="str">
        <x:v>csq013</x:v>
      </x:c>
      <x:c r="C377" s="21" t="n">
        <x:v>19</x:v>
      </x:c>
      <x:c r="D377" s="20" t="str">
        <x:v>2</x:v>
      </x:c>
      <x:c r="E377" s="20" t="str"/>
      <x:c r="F377" s="20" t="str">
        <x:f>IF(E377="",D377,E377)</x:f>
        <x:v>2</x:v>
      </x:c>
      <x:c r="G377" s="13" t="str">
        <x:v>FaithScore: Fine-grained Evaluations of Hallucinations in Large Vision-Language Models</x:v>
      </x:c>
      <x:c r="H377" s="13" t="n">
        <x:v>0</x:v>
      </x:c>
      <x:c r="I377" s="22" t="n">
        <x:v>0.016129032258064516</x:v>
      </x:c>
      <x:c r="J377" s="13" t="n">
        <x:v>1</x:v>
      </x:c>
      <x:c r="K377" s="19" t="str">
        <x:v>Which benchmarks and metrics have been proposed to evaluate hallucination in vision-language models, and what aspects of model behavior does each benchmark test?</x:v>
      </x:c>
      <x:c r="L377" s="19" t="str">
        <x:v>FAITH SCORE : Fine-grained Evaluations of Hallucinations
in Large Vision-Language Models
Liqiang Jing1, Ruosen Li1, Yunmo Chen2, Xinya Du1
1University of Texas at Dallas, 2Johns Hopkins University
jingliqiang6@gmail.com, xinya.du@utdallas.edu
Abstract
We introduce FAITH SCORE (Faithfulness to
Atomic Image Facts Score), a reference-free
and fine-grained evaluation metric that mea-
sures the faithfulness of the generated free-form
answers from large vision-language models
(LVLMs). The FAITH SCORE evaluation first
identifies sub-sentences containing descriptive
statements that need to be verified, then extracts
a comprehensive list of atomic facts from these
sub-sentences, and finally conducts consistency
verification between fine-grained atomic facts
and the input image. Meta-evaluation demon-
strates that our metric highly correlates with
human judgments of faithfulness. We col-</x:v>
      </x:c>
      <x:c r="M377" s="19" t="str">
        <x:v>该段包含可直接回答问题的方法、指标、比较或研究发现。</x:v>
      </x:c>
      <x:c r="N377" s="13" t="str">
        <x:v>http://arxiv.org/abs/2311.01477v2</x:v>
      </x:c>
    </x:row>
    <x:row r="378" ht="58" customHeight="1">
      <x:c r="A378" s="13" t="str">
        <x:v>csq013-c020</x:v>
      </x:c>
      <x:c r="B378" s="13" t="str">
        <x:v>csq013</x:v>
      </x:c>
      <x:c r="C378" s="21" t="n">
        <x:v>20</x:v>
      </x:c>
      <x:c r="D378" s="20" t="str">
        <x:v>2</x:v>
      </x:c>
      <x:c r="E378" s="20" t="str"/>
      <x:c r="F378" s="20" t="str">
        <x:f>IF(E378="",D378,E378)</x:f>
        <x:v>2</x:v>
      </x:c>
      <x:c r="G378" s="13" t="str">
        <x:v>FaithScore: Fine-grained Evaluations of Hallucinations in Large Vision-Language Models</x:v>
      </x:c>
      <x:c r="H378" s="13" t="n">
        <x:v>1</x:v>
      </x:c>
      <x:c r="I378" s="22" t="n">
        <x:v>0.015873015873015872</x:v>
      </x:c>
      <x:c r="J378" s="13" t="n">
        <x:v>1</x:v>
      </x:c>
      <x:c r="K378" s="19" t="str">
        <x:v>Which benchmarks and metrics have been proposed to evaluate hallucination in vision-language models, and what aspects of model behavior does each benchmark test?</x:v>
      </x:c>
      <x:c r="L378" s="19" t="str">
        <x:v>polling-based object probing evaluation method. In
addition, Gunjal et al. (2023) annotated a multi-
modal hallucination detection dataset tailored for
detailed image description evaluation. Lovenia
et al. (2023) devised Negative Object Presence
Evaluation (NOPE), which used VQA to quanti-
tatively evaluate object hallucination in LVLMs.
These approaches, however, exhibit two key weak-
nesses: (1) they focus on the limited setting of
image captioning, and none of them explored eval-
uating hallucination of the complex and free-form
answers to the open-ended questions (OpenAI,
2023) (e.g. multimodal conversations (Liu et al.,
2023e; Sundar and Heck, 2022), world knowledge-
based VQA (Schwenk et al., 2022) and visual sto-
rytelling (Huang et al., 2016)); (2) they ignore fine-
grained hallucinations of visual attributes in the
generated answer (Liu et al., 2024; Rohrbach et al.,
2018).</x:v>
      </x:c>
      <x:c r="M378" s="19" t="str">
        <x:v>该段包含可直接回答问题的方法、指标、比较或研究发现。</x:v>
      </x:c>
      <x:c r="N378" s="13" t="str">
        <x:v>http://arxiv.org/abs/2311.01477v2</x:v>
      </x:c>
    </x:row>
    <x:row r="379" ht="58" customHeight="1">
      <x:c r="A379" s="13" t="str">
        <x:v>csq013-c021</x:v>
      </x:c>
      <x:c r="B379" s="13" t="str">
        <x:v>csq013</x:v>
      </x:c>
      <x:c r="C379" s="21" t="n">
        <x:v>21</x:v>
      </x:c>
      <x:c r="D379" s="20" t="str">
        <x:v>2</x:v>
      </x:c>
      <x:c r="E379" s="20" t="str"/>
      <x:c r="F379" s="20" t="str">
        <x:f>IF(E379="",D379,E379)</x:f>
        <x:v>2</x:v>
      </x:c>
      <x:c r="G379" s="13" t="str">
        <x:v>A Comprehensive Analysis for Visual Object Hallucination in Large Vision-Language Models</x:v>
      </x:c>
      <x:c r="H379" s="13" t="n">
        <x:v>1</x:v>
      </x:c>
      <x:c r="I379" s="22" t="n">
        <x:v>0.015873015873015872</x:v>
      </x:c>
      <x:c r="J379" s="13" t="n">
        <x:v>1</x:v>
      </x:c>
      <x:c r="K379" s="19" t="str">
        <x:v>Which benchmarks and metrics have been proposed to evaluate hallucination in vision-language models, and what aspects of model behavior does each benchmark test?</x:v>
      </x:c>
      <x:c r="L379" s="19" t="str">
        <x:v>training pipeline with minimal additional costs.
To conduct a comprehensive hallucination eval-
uation, we develop a fine-grained hallucination
benchmark named QA-VisualGenome, which
is built upon the Visual Genome dataset (Kr-
ishna et al., 2017). Unlike existing object-
oriented hallucination benchmarks ( e.g., POPE),
QA-VisualGenome emphasizes the detailed at-
tribute and relationship hallucinations. Further-
more, existing hallucination benchmarks primarily
focus on perception-based hallucinations for gen-
eral objects, neglecting cognition-based hallucina-
tions such as the names of people and famous build-
ings. To address this gap, we construct a cognition-
based hallucination benchmark named QA-FB15K,
which is based on the FB-15K dataset (Bordes et al.,
2013), a multimodal knowledge graph with textual
entities, image entities, and textual relations. QA-</x:v>
      </x:c>
      <x:c r="M379" s="19" t="str">
        <x:v>该段包含可直接回答问题的方法、指标、比较或研究发现。</x:v>
      </x:c>
      <x:c r="N379" s="13" t="str">
        <x:v>http://arxiv.org/abs/2505.01958v1</x:v>
      </x:c>
    </x:row>
    <x:row r="380" ht="58" customHeight="1">
      <x:c r="A380" s="13" t="str">
        <x:v>csq013-c022</x:v>
      </x:c>
      <x:c r="B380" s="13" t="str">
        <x:v>csq013</x:v>
      </x:c>
      <x:c r="C380" s="21" t="n">
        <x:v>22</x:v>
      </x:c>
      <x:c r="D380" s="20" t="str">
        <x:v>2</x:v>
      </x:c>
      <x:c r="E380" s="20" t="str"/>
      <x:c r="F380" s="20" t="str">
        <x:f>IF(E380="",D380,E380)</x:f>
        <x:v>2</x:v>
      </x:c>
      <x:c r="G380" s="13" t="str">
        <x:v>Evaluating and Analyzing Relationship Hallucinations in Large Vision-Language Models</x:v>
      </x:c>
      <x:c r="H380" s="13" t="n">
        <x:v>0</x:v>
      </x:c>
      <x:c r="I380" s="22" t="n">
        <x:v>0.015625</x:v>
      </x:c>
      <x:c r="J380" s="13" t="n">
        <x:v>1</x:v>
      </x:c>
      <x:c r="K380" s="19" t="str">
        <x:v>Which benchmarks and metrics have been proposed to evaluate hallucination in vision-language models, and what aspects of model behavior does each benchmark test?</x:v>
      </x:c>
      <x:c r="L380" s="19" t="str">
        <x:v>Evaluating and Analyzing Relationship Hallucinations
in Large Vision-Language Models
Mingrui Wu 1 Jiayi Ji 1 Oucheng Huang 1 Jiale Li 1 Yuhang Wu1 Xiaoshuai Sun 1 Rongrong Ji 1
Abstract
The issue of hallucinations is a prevalent con-
cern in existing Large Vision-Language Models
(LVLMs). Previous efforts have primarily focused
on investigating object hallucinations, which can
be easily alleviated by introducing object detec-
tors. However, these efforts neglect hallucinations
in inter-object relationships, which is essential for
visual comprehension. In this work, we intro-
duce R-Bench, a novel benchmark for evaluating
Vision Relationship Hallucination. R-Bench fea-
tures image-level questions that focus on the exis-
tence of relationships and instance-level questions
that assess local visual comprehension. We iden-
tify three types of relationship co-occurrences that</x:v>
      </x:c>
      <x:c r="M380" s="19" t="str">
        <x:v>该段包含可直接回答问题的方法、指标、比较或研究发现。</x:v>
      </x:c>
      <x:c r="N380" s="13" t="str">
        <x:v>http://arxiv.org/abs/2406.16449v4</x:v>
      </x:c>
    </x:row>
    <x:row r="381" ht="58" customHeight="1">
      <x:c r="A381" s="13" t="str">
        <x:v>csq013-c023</x:v>
      </x:c>
      <x:c r="B381" s="13" t="str">
        <x:v>csq013</x:v>
      </x:c>
      <x:c r="C381" s="21" t="n">
        <x:v>23</x:v>
      </x:c>
      <x:c r="D381" s="20" t="str">
        <x:v>2</x:v>
      </x:c>
      <x:c r="E381" s="20" t="str"/>
      <x:c r="F381" s="20" t="str">
        <x:f>IF(E381="",D381,E381)</x:f>
        <x:v>2</x:v>
      </x:c>
      <x:c r="G381" s="13" t="str">
        <x:v>Evaluating and Analyzing Relationship Hallucinations in Large Vision-Language Models</x:v>
      </x:c>
      <x:c r="H381" s="13" t="n">
        <x:v>3</x:v>
      </x:c>
      <x:c r="I381" s="22" t="n">
        <x:v>0.015384615384615385</x:v>
      </x:c>
      <x:c r="J381" s="13" t="n">
        <x:v>1</x:v>
      </x:c>
      <x:c r="K381" s="19" t="str">
        <x:v>Which benchmarks and metrics have been proposed to evaluate hallucination in vision-language models, and what aspects of model behavior does each benchmark test?</x:v>
      </x:c>
      <x:c r="L381" s="19" t="str">
        <x:v>Evaluating and Analyzing Relationship Hallucinations in LVLMs
Table 1. The reference object accuracies. We report box accuracy
and mask accuracy respectively. The result is for reference only
due to ignoring the different words with the same semantics, this
can lead to lower accuracy.
MODEL BOX ACC . MASK ACC .
LLAVA-1.5 71.04 82.60
INSTRUT BLIP 72.45 77.29
MPLUG-O WL2 70.71 75.74
QWEN -VL 76.25 70.66
yes or no response, rendering our benchmark potentially
compatible with the existing object hallucination bench-
mark (Li et al., 2023e). Additionally, this simple binary
classification problem demonstrates better stability com-
pared to instruction-based methods (Li et al., 2023e). We
adopt an LLM to generate the questions based on a pre-
extracted set of relationships from COCO captions. This
approach allows us to analyze the hallucinations of LVLMs</x:v>
      </x:c>
      <x:c r="M381" s="19" t="str">
        <x:v>该段包含可直接回答问题的方法、指标、比较或研究发现。</x:v>
      </x:c>
      <x:c r="N381" s="13" t="str">
        <x:v>http://arxiv.org/abs/2406.16449v4</x:v>
      </x:c>
    </x:row>
    <x:row r="382" ht="58" customHeight="1">
      <x:c r="A382" s="13" t="str">
        <x:v>csq013-c024</x:v>
      </x:c>
      <x:c r="B382" s="13" t="str">
        <x:v>csq013</x:v>
      </x:c>
      <x:c r="C382" s="21" t="n">
        <x:v>24</x:v>
      </x:c>
      <x:c r="D382" s="20" t="str">
        <x:v>2</x:v>
      </x:c>
      <x:c r="E382" s="20" t="str"/>
      <x:c r="F382" s="20" t="str">
        <x:f>IF(E382="",D382,E382)</x:f>
        <x:v>2</x:v>
      </x:c>
      <x:c r="G382" s="13" t="str">
        <x:v>BEAF: Observing BEfore-AFter Changes to Evaluate Hallucination in Vision-language Models</x:v>
      </x:c>
      <x:c r="H382" s="13" t="n">
        <x:v>4</x:v>
      </x:c>
      <x:c r="I382" s="22" t="n">
        <x:v>0.015384615384615385</x:v>
      </x:c>
      <x:c r="J382" s="13" t="n">
        <x:v>1</x:v>
      </x:c>
      <x:c r="K382" s="19" t="str">
        <x:v>Which benchmarks and metrics have been proposed to evaluate hallucination in vision-language models, and what aspects of model behavior does each benchmark test?</x:v>
      </x:c>
      <x:c r="L382" s="19" t="str">
        <x:v>scene information and questions together,i.e., vision-/text-axes; it enables the
fine-grained analysis of hallucination. We call it vision-/text-axes evaluation.
3 BEAF Evaluation Benchmark for Hallucination
We explore another axis,i.e., vision-axis, to make up for the deficiencies in the
text-axis evaluation. Our key idea is to manipulate a visual scene by removing
and inpainting objects within an image. This allows us to focus on changes and
to check whether the VLMs are correctly aware of it. We describe how to curate
our dataset in Sec. 3.1, and then elaborate our new metrics in Sec. 3.2</x:v>
      </x:c>
      <x:c r="M382" s="19" t="str">
        <x:v>该段包含可直接回答问题的方法、指标、比较或研究发现。</x:v>
      </x:c>
      <x:c r="N382" s="13" t="str">
        <x:v>http://arxiv.org/abs/2407.13442v1</x:v>
      </x:c>
    </x:row>
    <x:row r="383" ht="58" customHeight="1">
      <x:c r="A383" s="13" t="str">
        <x:v>csq013-c025</x:v>
      </x:c>
      <x:c r="B383" s="13" t="str">
        <x:v>csq013</x:v>
      </x:c>
      <x:c r="C383" s="21" t="n">
        <x:v>25</x:v>
      </x:c>
      <x:c r="D383" s="20" t="str">
        <x:v>0</x:v>
      </x:c>
      <x:c r="E383" s="20" t="str"/>
      <x:c r="F383" s="20" t="str">
        <x:f>IF(E383="",D383,E383)</x:f>
        <x:v>0</x:v>
      </x:c>
      <x:c r="G383" s="13" t="str">
        <x:v>BEAF: Observing BEfore-AFter Changes to Evaluate Hallucination in Vision-language Models</x:v>
      </x:c>
      <x:c r="H383" s="13" t="n">
        <x:v>16</x:v>
      </x:c>
      <x:c r="I383" s="22" t="n">
        <x:v>0.015151515151515152</x:v>
      </x:c>
      <x:c r="J383" s="13" t="n">
        <x:v>1</x:v>
      </x:c>
      <x:c r="K383" s="19" t="str">
        <x:v>Which benchmarks and metrics have been proposed to evaluate hallucination in vision-language models, and what aspects of model behavior does each benchmark test?</x:v>
      </x:c>
      <x:c r="L383" s="19" t="str">
        <x:v>BEAF Benchmark 17
32. Touvron, H., Lavril, T., Izacard, G., Martinet, X., Lachaux, M.A., Lacroix, T.,
Rozière, B., Goyal, N., Hambro, E., Azhar, F., et al.: Llama: Open and efficient
foundation language models. arXiv (2023) 1, 4
33. Touvron, H., Martin, L., Stone, K., Albert, P., Almahairi, A., Babaei, Y., Bash-
lykov, N., Batra, S., Bhargava, P., Bhosale, S., et al.: Llama 2: Open foundation
and fine-tuned chat models. arXiv (2023) 1, 4
34. Wang, J., Wang, Y., Xu, G., Zhang, J., Gu, Y., Jia, H., Yan, M., Zhang, J., Sang,
J.: An llm-free multi-dimensional benchmark for mllms hallucination evaluation.
arXiv (2023) 2, 4, 7
35. Wang, J., Zhou, Y., Xu, G., Shi, P., Zhao, C., Xu, H., Ye, Q., Yan, M., Zhang,
J., Zhu, J., et al.: Evaluation and analysis of hallucination in large vision-language
models. arXiv preprint arXiv:2308.15126 (2023) 4, 11</x:v>
      </x:c>
      <x:c r="M383" s="19" t="str">
        <x:v>该段为无关内容、泛泛提及或参考文献片段，不能作为回答证据。</x:v>
      </x:c>
      <x:c r="N383" s="13" t="str">
        <x:v>http://arxiv.org/abs/2407.13442v1</x:v>
      </x:c>
    </x:row>
    <x:row r="384" ht="58" customHeight="1">
      <x:c r="A384" s="13" t="str">
        <x:v>csq013-c026</x:v>
      </x:c>
      <x:c r="B384" s="13" t="str">
        <x:v>csq013</x:v>
      </x:c>
      <x:c r="C384" s="21" t="n">
        <x:v>26</x:v>
      </x:c>
      <x:c r="D384" s="20" t="str">
        <x:v>2</x:v>
      </x:c>
      <x:c r="E384" s="20" t="str"/>
      <x:c r="F384" s="20" t="str">
        <x:f>IF(E384="",D384,E384)</x:f>
        <x:v>2</x:v>
      </x:c>
      <x:c r="G384" s="13" t="str">
        <x:v>FaithScore: Fine-grained Evaluations of Hallucinations in Large Vision-Language Models</x:v>
      </x:c>
      <x:c r="H384" s="13" t="n">
        <x:v>7</x:v>
      </x:c>
      <x:c r="I384" s="22" t="n">
        <x:v>0.015151515151515152</x:v>
      </x:c>
      <x:c r="J384" s="13" t="n">
        <x:v>1</x:v>
      </x:c>
      <x:c r="K384" s="19" t="str">
        <x:v>Which benchmarks and metrics have been proposed to evaluate hallucination in vision-language models, and what aspects of model behavior does each benchmark test?</x:v>
      </x:c>
      <x:c r="L384" s="19" t="str">
        <x:v>alignment with human judgments. Our quantita-
tive analysis demonstrates that current LVLMs are
prone to visual hallucination problems. We also
find that the answer length and number of objects
could affect the faithfulness of LVLMs. In addition,
the faithfulness performance of LVLMs on differ-
ent types of atomic facts varies. We expect that
FAITH SCORE will be of great value for evaluating
forthcoming advanced LVLMs.</x:v>
      </x:c>
      <x:c r="M384" s="19" t="str">
        <x:v>该段包含可直接回答问题的方法、指标、比较或研究发现。</x:v>
      </x:c>
      <x:c r="N384" s="13" t="str">
        <x:v>http://arxiv.org/abs/2311.01477v2</x:v>
      </x:c>
    </x:row>
    <x:row r="385" ht="58" customHeight="1">
      <x:c r="A385" s="13" t="str">
        <x:v>csq013-c027</x:v>
      </x:c>
      <x:c r="B385" s="13" t="str">
        <x:v>csq013</x:v>
      </x:c>
      <x:c r="C385" s="21" t="n">
        <x:v>27</x:v>
      </x:c>
      <x:c r="D385" s="20" t="str">
        <x:v>2</x:v>
      </x:c>
      <x:c r="E385" s="20" t="str"/>
      <x:c r="F385" s="20" t="str">
        <x:f>IF(E385="",D385,E385)</x:f>
        <x:v>2</x:v>
      </x:c>
      <x:c r="G385" s="13" t="str">
        <x:v>VOPE: Revisiting Hallucination of Vision-Language Models in Voluntary Imagination Task</x:v>
      </x:c>
      <x:c r="H385" s="13" t="n">
        <x:v>4</x:v>
      </x:c>
      <x:c r="I385" s="22" t="n">
        <x:v>0.015151515151515152</x:v>
      </x:c>
      <x:c r="J385" s="13" t="n">
        <x:v>1</x:v>
      </x:c>
      <x:c r="K385" s="19" t="str">
        <x:v>Which benchmarks and metrics have been proposed to evaluate hallucination in vision-language models, and what aspects of model behavior does each benchmark test?</x:v>
      </x:c>
      <x:c r="L385" s="19" t="str">
        <x:v>cination metrics remain useful in factual generation, but become
unreliable once voluntary imagination is involved. We next com-
pare VOPE with broader hallucination benchmarks to examine
whether it reveals a different failure pattern.
We further compare 𝐻𝑎𝑙-𝐼 with other existing hallucination
benchmarks, including POPE [27], MMHal [43], and PhD [33]. As
shown in Table 2, the relative ranking of models differs substan-
tially across these evaluations. This difference is expected because
existing benchmarks mainly assess hallucination on pre-defined
queries, while VOPE further evaluates the model’s presence judg-
ments regarding its own generated objects. For example, Qwen2.5-
VL achieves strong POPE and PhD results, but still yields the worst
𝐻𝑎𝑙-𝐼 result. Conversely, Gemma3 achieves a high PhD score while
maintaining a relatively low𝐻𝑎𝑙-𝐼. These differences suggest that</x:v>
      </x:c>
      <x:c r="M385" s="19" t="str">
        <x:v>该段包含可直接回答问题的方法、指标、比较或研究发现。</x:v>
      </x:c>
      <x:c r="N385" s="13" t="str">
        <x:v>http://arxiv.org/abs/2511.13420v2</x:v>
      </x:c>
    </x:row>
    <x:row r="386" ht="58" customHeight="1">
      <x:c r="A386" s="13" t="str">
        <x:v>csq013-c028</x:v>
      </x:c>
      <x:c r="B386" s="13" t="str">
        <x:v>csq013</x:v>
      </x:c>
      <x:c r="C386" s="21" t="n">
        <x:v>28</x:v>
      </x:c>
      <x:c r="D386" s="20" t="str">
        <x:v>2</x:v>
      </x:c>
      <x:c r="E386" s="20" t="str"/>
      <x:c r="F386" s="20" t="str">
        <x:f>IF(E386="",D386,E386)</x:f>
        <x:v>2</x:v>
      </x:c>
      <x:c r="G386" s="13" t="str">
        <x:v>FaithScore: Fine-grained Evaluations of Hallucinations in Large Vision-Language Models</x:v>
      </x:c>
      <x:c r="H386" s="13" t="n">
        <x:v>1</x:v>
      </x:c>
      <x:c r="I386" s="22" t="n">
        <x:v>0.014925373134328358</x:v>
      </x:c>
      <x:c r="J386" s="13" t="n">
        <x:v>1</x:v>
      </x:c>
      <x:c r="K386" s="19" t="str">
        <x:v>Which benchmarks and metrics have been proposed to evaluate hallucination in vision-language models, and what aspects of model behavior does each benchmark test?</x:v>
      </x:c>
      <x:c r="L386" s="19" t="str">
        <x:v>component deconstructs this descriptive content
into fine-grained elements (i.e., atomic facts) (Min
et al., 2023). These atomic facts cover compre-
hensive types, such as objects attributes and in-
terrelationships. The last component emphasizes
verifying the consistency between the visual infor-
mation and the derived atomic facts via a Visual
Entailment Model (VEM) (Xie et al., 2019). Based
on the proposed metric, we evaluated several ad-
vanced LVLMs, such as LLaV A (Liu et al., 2023e)
and MiniGPT-4 (Zhu et al., 2023). From the results,
we conclude that current LVLMs still face chal-
lenges of answers that are not faithful to the input
image, which leaves a large room for improvement.
In summary, our contributions are as follows:
(1) We introduce FAITH SCORE , a metric tailored
to assess hallucinations in LVLMs free-form an-
swers to open-ended questions, which is not yet</x:v>
      </x:c>
      <x:c r="M386" s="19" t="str">
        <x:v>该段包含可直接回答问题的方法、指标、比较或研究发现。</x:v>
      </x:c>
      <x:c r="N386" s="13" t="str">
        <x:v>http://arxiv.org/abs/2311.01477v2</x:v>
      </x:c>
    </x:row>
    <x:row r="387" ht="58" customHeight="1">
      <x:c r="A387" s="13" t="str">
        <x:v>csq013-c029</x:v>
      </x:c>
      <x:c r="B387" s="13" t="str">
        <x:v>csq013</x:v>
      </x:c>
      <x:c r="C387" s="21" t="n">
        <x:v>29</x:v>
      </x:c>
      <x:c r="D387" s="20" t="str">
        <x:v>2</x:v>
      </x:c>
      <x:c r="E387" s="20" t="str"/>
      <x:c r="F387" s="20" t="str">
        <x:f>IF(E387="",D387,E387)</x:f>
        <x:v>2</x:v>
      </x:c>
      <x:c r="G387" s="13" t="str">
        <x:v>Detecting and Evaluating Medical Hallucinations in Large Vision Language Models</x:v>
      </x:c>
      <x:c r="H387" s="13" t="n">
        <x:v>3</x:v>
      </x:c>
      <x:c r="I387" s="22" t="n">
        <x:v>0.014705882352941176</x:v>
      </x:c>
      <x:c r="J387" s="13" t="n">
        <x:v>1</x:v>
      </x:c>
      <x:c r="K387" s="19" t="str">
        <x:v>Which benchmarks and metrics have been proposed to evaluate hallucination in vision-language models, and what aspects of model behavior does each benchmark test?</x:v>
      </x:c>
      <x:c r="L387" s="19" t="str">
        <x:v>BertScore and ROUGE metrics for open-ended questions from a global perspective. Our benchmark
also supports hallucination detection across four refined dimensions, as illustrated in Figure 1. The
questions can be categorized into four types, conventional medical questions, confidence-weakening
questions, counterfactual questions, and image depiction questions (More details in Supplementary
material) for users to measure the model’s performance from different aspects.
3.2 Multifaceted Hallucination Data
Our benchmark includes multifaceted hallucination data, detailed across three primary dimensions:
ground truth (GT), LVLM outputs for prompts, and annotations of the LVLM-generated content. The
GT provide a reliable standard against which to evaluate LVLM performance. The LVLM outputs
for prompts may be correct or may contain hallucinations. Med-HallMark includes fine-grained</x:v>
      </x:c>
      <x:c r="M387" s="19" t="str">
        <x:v>该段包含可直接回答问题的方法、指标、比较或研究发现。</x:v>
      </x:c>
      <x:c r="N387" s="13" t="str">
        <x:v>http://arxiv.org/abs/2406.10185v2</x:v>
      </x:c>
    </x:row>
    <x:row r="388" ht="58" customHeight="1">
      <x:c r="A388" s="13" t="str">
        <x:v>csq013-c030</x:v>
      </x:c>
      <x:c r="B388" s="13" t="str">
        <x:v>csq013</x:v>
      </x:c>
      <x:c r="C388" s="21" t="n">
        <x:v>30</x:v>
      </x:c>
      <x:c r="D388" s="20" t="str">
        <x:v>0</x:v>
      </x:c>
      <x:c r="E388" s="20" t="str"/>
      <x:c r="F388" s="20" t="str">
        <x:f>IF(E388="",D388,E388)</x:f>
        <x:v>0</x:v>
      </x:c>
      <x:c r="G388" s="13" t="str">
        <x:v>Detecting and Evaluating Medical Hallucinations in Large Vision Language Models</x:v>
      </x:c>
      <x:c r="H388" s="13" t="n">
        <x:v>23</x:v>
      </x:c>
      <x:c r="I388" s="22" t="n">
        <x:v>0.014705882352941176</x:v>
      </x:c>
      <x:c r="J388" s="13" t="n">
        <x:v>1</x:v>
      </x:c>
      <x:c r="K388" s="19" t="str">
        <x:v>Which benchmarks and metrics have been proposed to evaluate hallucination in vision-language models, and what aspects of model behavior does each benchmark test?</x:v>
      </x:c>
      <x:c r="L388" s="19" t="str">
        <x:v>arXiv:2301.12597, 2023.
[13] Yifan Li, Yifan Du, Kun Zhou, Jinpeng Wang, Wayne Xin Zhao, and Ji-Rong Wen. Evaluating
object hallucination in large vision-language models.arXiv preprint arXiv:2305.10355, 2023.
[14] Bo Liu, Li-Ming Zhan, Li Xu, Lin Ma, Yan Yang, and Xiao-Ming Wu. Slake: A semantically-
labeled knowledge-enhanced dataset for medical visual question answering. In2021 IEEE 18th
International Symposium on Biomedical Imaging (ISBI), pages 1650–1654. IEEE, 2021.
[15] Fuxiao Liu, Kevin Lin, Linjie Li, Jianfeng Wang, Yaser Yacoob, and Lijuan Wang. Mitigat-
ing hallucination in large multi-modal models via robust instruction tuning. InThe Twelfth
International Conference on Learning Representations, 2023.
[16] Haotian Liu, Chunyuan Li, Yuheng Li, Bo Li, Yuanhan Zhang, Sheng Shen, and Yong Jae Lee.
Llava-next: Improved reasoning, ocr, and world knowledge, 2024.</x:v>
      </x:c>
      <x:c r="M388" s="19" t="str">
        <x:v>该段为无关内容、泛泛提及或参考文献片段，不能作为回答证据。</x:v>
      </x:c>
      <x:c r="N388" s="13" t="str">
        <x:v>http://arxiv.org/abs/2406.10185v2</x:v>
      </x:c>
    </x:row>
    <x:row r="389" ht="58" customHeight="1">
      <x:c r="A389" s="13" t="str">
        <x:v>csq014-c001</x:v>
      </x:c>
      <x:c r="B389" s="13" t="str">
        <x:v>csq014</x:v>
      </x:c>
      <x:c r="C389" s="21" t="n">
        <x:v>1</x:v>
      </x:c>
      <x:c r="D389" s="20" t="str">
        <x:v>2</x:v>
      </x:c>
      <x:c r="E389" s="20" t="str"/>
      <x:c r="F389" s="20" t="str">
        <x:f>IF(E389="",D389,E389)</x:f>
        <x:v>2</x:v>
      </x:c>
      <x:c r="G389" s="13" t="str">
        <x:v>Blending adversarial training and representation-conditional purification via aggregation improves adversarial robustness</x:v>
      </x:c>
      <x:c r="H389" s="13" t="n">
        <x:v>22</x:v>
      </x:c>
      <x:c r="I389" s="22" t="n">
        <x:v>0.04918032786885246</x:v>
      </x:c>
      <x:c r="J389" s="13" t="n">
        <x:v>3</x:v>
      </x:c>
      <x:c r="K389" s="19" t="str">
        <x:v>What limitations of adversarial training as a defense for image classifiers have been established, particularly regarding accuracy, computational cost, and generalization to unseen attacks?</x:v>
      </x:c>
      <x:c r="L389" s="19" t="str">
        <x:v>adversarial robustness on generic image classification datasets – even if at the cost of a slightcleanaccuracy
penalty. Since an adversarially-trained classifier would be used nonetheless as the latter, this does not incur
in increased training-time computational intensity.
23</x:v>
      </x:c>
      <x:c r="M389" s="19" t="str">
        <x:v>该段包含可直接回答问题的方法、指标、比较或研究发现。</x:v>
      </x:c>
      <x:c r="N389" s="13" t="str">
        <x:v>http://arxiv.org/abs/2306.06081v6</x:v>
      </x:c>
    </x:row>
    <x:row r="390" ht="58" customHeight="1">
      <x:c r="A390" s="13" t="str">
        <x:v>csq014-c002</x:v>
      </x:c>
      <x:c r="B390" s="13" t="str">
        <x:v>csq014</x:v>
      </x:c>
      <x:c r="C390" s="21" t="n">
        <x:v>2</x:v>
      </x:c>
      <x:c r="D390" s="20" t="str">
        <x:v>2</x:v>
      </x:c>
      <x:c r="E390" s="20" t="str"/>
      <x:c r="F390" s="20" t="str">
        <x:f>IF(E390="",D390,E390)</x:f>
        <x:v>2</x:v>
      </x:c>
      <x:c r="G390" s="13" t="str">
        <x:v>Robust Classification via a Single Diffusion Model</x:v>
      </x:c>
      <x:c r="H390" s="13" t="n">
        <x:v>1</x:v>
      </x:c>
      <x:c r="I390" s="22" t="n">
        <x:v>0.04865990111891752</x:v>
      </x:c>
      <x:c r="J390" s="13" t="n">
        <x:v>3</x:v>
      </x:c>
      <x:c r="K390" s="19" t="str">
        <x:v>What limitations of adversarial training as a defense for image classifiers have been established, particularly regarding accuracy, computational cost, and generalization to unseen attacks?</x:v>
      </x:c>
      <x:c r="L390" s="19" t="str">
        <x:v>Zhang et al., 2019) stands out as the most effective method,
which trains neural networks using adversarially augmented
data. However, these models tend to exhibit robustness only
to a specific attack they are trained with, and have poor
generalization ability to unseen threats (Tramèr &amp; Boneh,
2019; Laidlaw et al., 2021). Another popular approach is
adversarial purification (Liao et al., 2018; Samangouei et al.,
2018; Song et al., 2018; Nie et al., 2022), which denoises
the input images for classification. Most of these defenses
cause obfuscated gradients (Athalye et al., 2018) and can be
evaded by adaptive attacks (Tramer et al., 2020).
Generative classifiers. Generative classifiers, like naive
Bayes (Ng &amp; Jordan, 2001), predict the class probabilities
p(y|x) for a given input x by modeling the data likelihood
p(x|y) using generative models. Compared with discrimi-</x:v>
      </x:c>
      <x:c r="M390" s="19" t="str">
        <x:v>该段包含可直接回答问题的方法、指标、比较或研究发现。</x:v>
      </x:c>
      <x:c r="N390" s="13" t="str">
        <x:v>http://arxiv.org/abs/2305.15241v2</x:v>
      </x:c>
    </x:row>
    <x:row r="391" ht="58" customHeight="1">
      <x:c r="A391" s="13" t="str">
        <x:v>csq014-c003</x:v>
      </x:c>
      <x:c r="B391" s="13" t="str">
        <x:v>csq014</x:v>
      </x:c>
      <x:c r="C391" s="21" t="n">
        <x:v>3</x:v>
      </x:c>
      <x:c r="D391" s="20" t="str">
        <x:v>2</x:v>
      </x:c>
      <x:c r="E391" s="20" t="str"/>
      <x:c r="F391" s="20" t="str">
        <x:f>IF(E391="",D391,E391)</x:f>
        <x:v>2</x:v>
      </x:c>
      <x:c r="G391" s="13" t="str">
        <x:v>Adversarial Robustness on In- and Out-Distribution Improves Explainability</x:v>
      </x:c>
      <x:c r="H391" s="13" t="n">
        <x:v>1</x:v>
      </x:c>
      <x:c r="I391" s="22" t="n">
        <x:v>0.046679405392392875</x:v>
      </x:c>
      <x:c r="J391" s="13" t="n">
        <x:v>3</x:v>
      </x:c>
      <x:c r="K391" s="19" t="str">
        <x:v>What limitations of adversarial training as a defense for image classifiers have been established, particularly regarding accuracy, computational cost, and generalization to unseen attacks?</x:v>
      </x:c>
      <x:c r="L391" s="19" t="str">
        <x:v>mary of our results for CIFAR10 and SVHN and Table 2 for CIFAR100 and
restricted ImageNet [65].
2 Related Work
Adversarial Robustness. Adversarial attacks are small changes of an image
with respect to some distance measure, which change the decision of a classiﬁer
[62]. Many defenses have been proposed but with more powerful or adapted at-
tacks most of them could be defeated [14,8,3,46]. Adversarial training (AT) [41]
is the most widely used approach that has not been broken. However, adversarial
robustness comes at the price of a drop in accuracy [59,61]. Recent variations are
using other losses [72] and boost robustness via generation of additional training
data [10,1] or pre-training [30]. Another line of work are provable defenses, either
deterministic [69,13,45,20] or based on randomized smoothing [40,36,12]. How-</x:v>
      </x:c>
      <x:c r="M391" s="19" t="str">
        <x:v>该段包含可直接回答问题的方法、指标、比较或研究发现。</x:v>
      </x:c>
      <x:c r="N391" s="13" t="str">
        <x:v>http://arxiv.org/abs/2003.09461v2</x:v>
      </x:c>
    </x:row>
    <x:row r="392" ht="58" customHeight="1">
      <x:c r="A392" s="13" t="str">
        <x:v>csq014-c004</x:v>
      </x:c>
      <x:c r="B392" s="13" t="str">
        <x:v>csq014</x:v>
      </x:c>
      <x:c r="C392" s="21" t="n">
        <x:v>4</x:v>
      </x:c>
      <x:c r="D392" s="20" t="str">
        <x:v>1</x:v>
      </x:c>
      <x:c r="E392" s="20" t="str"/>
      <x:c r="F392" s="20" t="str">
        <x:f>IF(E392="",D392,E392)</x:f>
        <x:v>1</x:v>
      </x:c>
      <x:c r="G392" s="13" t="str">
        <x:v>Localized Adversarial Training for Increased Accuracy and Robustness in Image Classification</x:v>
      </x:c>
      <x:c r="H392" s="13" t="n">
        <x:v>0</x:v>
      </x:c>
      <x:c r="I392" s="22" t="n">
        <x:v>0.04596351361057244</x:v>
      </x:c>
      <x:c r="J392" s="13" t="n">
        <x:v>3</x:v>
      </x:c>
      <x:c r="K392" s="19" t="str">
        <x:v>What limitations of adversarial training as a defense for image classifiers have been established, particularly regarding accuracy, computational cost, and generalization to unseen attacks?</x:v>
      </x:c>
      <x:c r="L392" s="19" t="str">
        <x:v>On the other hand, adversarial examples pose a potentially ex-
istential threat to the safety of vision-dependent technologies. If
image classi/f_iers can be fooled, then so can the technologies that
use them. Adversarial a/t_tacks have already been experimented with
against self-driving cars and facial recognition authentication.
Adversarial training, the process of including adversarial ex-
amples in the training set, is one popular defense [ 5]. However,
while this technique has been shown to improve the robustness of a
classi/f_ier against adversarial examples, the inclusion of adversarial
images in the training process weakens classi/f_iers’ accuracy on nat-
ural (unaltered) images [20] [16]. Building classi/f_iers that maintain
state-of-the-art accuracy on both natural and adversarial examples is
a key challenge in image classi/f_ication, as a solution would provide</x:v>
      </x:c>
      <x:c r="M392" s="19" t="str">
        <x:v>该段提供相关背景或侧面信息，但没有直接回答问题核心。</x:v>
      </x:c>
      <x:c r="N392" s="13" t="str">
        <x:v>http://arxiv.org/abs/1909.04779v1</x:v>
      </x:c>
    </x:row>
    <x:row r="393" ht="58" customHeight="1">
      <x:c r="A393" s="13" t="str">
        <x:v>csq014-c005</x:v>
      </x:c>
      <x:c r="B393" s="13" t="str">
        <x:v>csq014</x:v>
      </x:c>
      <x:c r="C393" s="21" t="n">
        <x:v>5</x:v>
      </x:c>
      <x:c r="D393" s="20" t="str">
        <x:v>1</x:v>
      </x:c>
      <x:c r="E393" s="20" t="str"/>
      <x:c r="F393" s="20" t="str">
        <x:f>IF(E393="",D393,E393)</x:f>
        <x:v>1</x:v>
      </x:c>
      <x:c r="G393" s="13" t="str">
        <x:v>Blending adversarial training and representation-conditional purification via aggregation improves adversarial robustness</x:v>
      </x:c>
      <x:c r="H393" s="13" t="n">
        <x:v>1</x:v>
      </x:c>
      <x:c r="I393" s="22" t="n">
        <x:v>0.031754032258064516</x:v>
      </x:c>
      <x:c r="J393" s="13" t="n">
        <x:v>2</x:v>
      </x:c>
      <x:c r="K393" s="19" t="str">
        <x:v>What limitations of adversarial training as a defense for image classifiers have been established, particularly regarding accuracy, computational cost, and generalization to unseen attacks?</x:v>
      </x:c>
      <x:c r="L393" s="19" t="str">
        <x:v>classification is performed. Nonetheless, such attempts have generally fallen short of expectations due to
inherent limitations of the generative models used in early attempts (Nie et al., 2022), or due to decreases in
robust accuracy1 when attackedend-to-end(Gu &amp; Rigazio, 2015; Lee &amp; Kim, 2024) – resulting in subpar
robustness if the defensive structure is known to the adversary (Tramèr et al., 2020). More recently, the rise
of diffusion-based generative models (Huang et al., 2021) and their use for purification have enabled more
successful results of this kind (Nie et al., 2022; Chen et al., 2023) – although at the cost of longer training
and inference times, and a much brittler robustness evaluation (Chen et al., 2023; Lee &amp; Kim, 2024).
In this work, we design a novel adversarial defence for supervised image classification, dubbedCarso</x:v>
      </x:c>
      <x:c r="M393" s="19" t="str">
        <x:v>该段提供相关背景或侧面信息，但没有直接回答问题核心。</x:v>
      </x:c>
      <x:c r="N393" s="13" t="str">
        <x:v>http://arxiv.org/abs/2306.06081v6</x:v>
      </x:c>
    </x:row>
    <x:row r="394" ht="58" customHeight="1">
      <x:c r="A394" s="13" t="str">
        <x:v>csq014-c006</x:v>
      </x:c>
      <x:c r="B394" s="13" t="str">
        <x:v>csq014</x:v>
      </x:c>
      <x:c r="C394" s="21" t="n">
        <x:v>6</x:v>
      </x:c>
      <x:c r="D394" s="20" t="str">
        <x:v>0</x:v>
      </x:c>
      <x:c r="E394" s="20" t="str"/>
      <x:c r="F394" s="20" t="str">
        <x:f>IF(E394="",D394,E394)</x:f>
        <x:v>0</x:v>
      </x:c>
      <x:c r="G394" s="13" t="str">
        <x:v>Blending adversarial training and representation-conditional purification via aggregation improves adversarial robustness</x:v>
      </x:c>
      <x:c r="H394" s="13" t="n">
        <x:v>12</x:v>
      </x:c>
      <x:c r="I394" s="22" t="n">
        <x:v>0.03021353930031804</x:v>
      </x:c>
      <x:c r="J394" s="13" t="n">
        <x:v>2</x:v>
      </x:c>
      <x:c r="K394" s="19" t="str">
        <x:v>What limitations of adversarial training as a defense for image classifiers have been established, particularly regarding accuracy, computational cost, and generalization to unseen attacks?</x:v>
      </x:c>
      <x:c r="L394" s="19" t="str">
        <x:v>(3):400 – 407, 1951.
Pouya Samangouei, Maya Kabkab, and Rama Chellappa. Defense-GAN: Protecting classifiers against adversarial
attacks using generative models. InInternational Conference on Learning Representations, 2018.
Changhao Shi, Chester Holtz, and Gal Mishne. Online adversarial purification based on self-supervised learning. In
International Conference on Learning Representations, 2021.
Naman D Singh, Francesco Croce, and Matthias Hein. Revisiting adversarial training for ImageNet: Architectures,
training and generalization across threat models, 2023.
Leslie N. Smith. Cyclical learning rates for training neural networks. InIEEE Winter Conference on Applications of
Computer Vision, 2017.
13</x:v>
      </x:c>
      <x:c r="M394" s="19" t="str">
        <x:v>该段为无关内容、泛泛提及或参考文献片段，不能作为回答证据。</x:v>
      </x:c>
      <x:c r="N394" s="13" t="str">
        <x:v>http://arxiv.org/abs/2306.06081v6</x:v>
      </x:c>
    </x:row>
    <x:row r="395" ht="58" customHeight="1">
      <x:c r="A395" s="13" t="str">
        <x:v>csq014-c007</x:v>
      </x:c>
      <x:c r="B395" s="13" t="str">
        <x:v>csq014</x:v>
      </x:c>
      <x:c r="C395" s="21" t="n">
        <x:v>7</x:v>
      </x:c>
      <x:c r="D395" s="20" t="str">
        <x:v>0</x:v>
      </x:c>
      <x:c r="E395" s="20" t="str"/>
      <x:c r="F395" s="20" t="str">
        <x:f>IF(E395="",D395,E395)</x:f>
        <x:v>0</x:v>
      </x:c>
      <x:c r="G395" s="13" t="str">
        <x:v>Blending adversarial training and representation-conditional purification via aggregation improves adversarial robustness</x:v>
      </x:c>
      <x:c r="H395" s="13" t="n">
        <x:v>13</x:v>
      </x:c>
      <x:c r="I395" s="22" t="n">
        <x:v>0.029857397504456328</x:v>
      </x:c>
      <x:c r="J395" s="13" t="n">
        <x:v>2</x:v>
      </x:c>
      <x:c r="K395" s="19" t="str">
        <x:v>What limitations of adversarial training as a defense for image classifiers have been established, particularly regarding accuracy, computational cost, and generalization to unseen attacks?</x:v>
      </x:c>
      <x:c r="L395" s="19" t="str">
        <x:v>adversarial training: Attacks and defenses. InInternational Conference on Learning Representations, 2018.
Florian Tramèr, Nicholas Carlini, Wieland Brendel, and Aleksander Madry. On adaptive attacks to adversarial
example defenses. InAdvances in Neural Information Processing Systems, 2020.
Pascal Vincent, H. Larochelle, Yoshua Bengio, and Pierre-Antoine Manzagol. Extracting and composing robust
features with denoising autoencoders. InInternational Conference on Machine Learning, 2008.
Zekai Wang, Tianyu Pang, Chao Du, Min Lin, Weiwei Liu, and Shuicheng Yan. Better diffusion models further
improve adversarial training, 2023.
Han Xiao, Kashif Rasul, and Roland Vollgraf. Fashion-MNIST: a novel image dataset for benchmarking machine
learning algorithms, 2017.
Xinchen Yan, Jimei Yang, Kihyuk Sohn, and Honglak Lee. Attribute2Image: Conditional image generation from</x:v>
      </x:c>
      <x:c r="M395" s="19" t="str">
        <x:v>该段为无关内容、泛泛提及或参考文献片段，不能作为回答证据。</x:v>
      </x:c>
      <x:c r="N395" s="13" t="str">
        <x:v>http://arxiv.org/abs/2306.06081v6</x:v>
      </x:c>
    </x:row>
    <x:row r="396" ht="58" customHeight="1">
      <x:c r="A396" s="13" t="str">
        <x:v>csq014-c008</x:v>
      </x:c>
      <x:c r="B396" s="13" t="str">
        <x:v>csq014</x:v>
      </x:c>
      <x:c r="C396" s="21" t="n">
        <x:v>8</x:v>
      </x:c>
      <x:c r="D396" s="20" t="str">
        <x:v>2</x:v>
      </x:c>
      <x:c r="E396" s="20" t="str"/>
      <x:c r="F396" s="20" t="str">
        <x:f>IF(E396="",D396,E396)</x:f>
        <x:v>2</x:v>
      </x:c>
      <x:c r="G396" s="13" t="str">
        <x:v>Defending Against Physically Realizable Attacks on Image Classification</x:v>
      </x:c>
      <x:c r="H396" s="13" t="n">
        <x:v>0</x:v>
      </x:c>
      <x:c r="I396" s="22" t="n">
        <x:v>0.029211087420042643</x:v>
      </x:c>
      <x:c r="J396" s="13" t="n">
        <x:v>2</x:v>
      </x:c>
      <x:c r="K396" s="19" t="str">
        <x:v>What limitations of adversarial training as a defense for image classifiers have been established, particularly regarding accuracy, computational cost, and generalization to unseen attacks?</x:v>
      </x:c>
      <x:c r="L396" s="19" t="str">
        <x:v>places a small adversarially crafted rectangle in an image, and develop two ap-
proaches for efﬁciently computing the resulting adversarial examples. Finally, we
demonstrate that adversarial training using our new attack yields image classiﬁca-
tion models that exhibit high robustness against the physically realizable attacks
we study, offering the ﬁrst effective generic defense against such attacks. 1
1 I NTRODUCTION
State-of-the-art effectiveness of deep neural networks has made it the technique of choice in a va-
riety of ﬁelds, including computer vision (He et al., 2016), natural language processing (Sutskever
et al., 2014), and speech recognition (Hinton et al., 2012). However, there have been a myriad of
demonstrations showing that deep neural networks can be easily fooled by carefully perturbing pix-</x:v>
      </x:c>
      <x:c r="M396" s="19" t="str">
        <x:v>该段包含可直接回答问题的方法、指标、比较或研究发现。</x:v>
      </x:c>
      <x:c r="N396" s="13" t="str">
        <x:v>http://arxiv.org/abs/1909.09552v2</x:v>
      </x:c>
    </x:row>
    <x:row r="397" ht="58" customHeight="1">
      <x:c r="A397" s="13" t="str">
        <x:v>csq014-c009</x:v>
      </x:c>
      <x:c r="B397" s="13" t="str">
        <x:v>csq014</x:v>
      </x:c>
      <x:c r="C397" s="21" t="n">
        <x:v>9</x:v>
      </x:c>
      <x:c r="D397" s="20" t="str">
        <x:v>1</x:v>
      </x:c>
      <x:c r="E397" s="20" t="str"/>
      <x:c r="F397" s="20" t="str">
        <x:f>IF(E397="",D397,E397)</x:f>
        <x:v>1</x:v>
      </x:c>
      <x:c r="G397" s="13" t="str">
        <x:v>Robust Classification via a Single Diffusion Model</x:v>
      </x:c>
      <x:c r="H397" s="13" t="n">
        <x:v>1</x:v>
      </x:c>
      <x:c r="I397" s="22" t="n">
        <x:v>0.02877846790890269</x:v>
      </x:c>
      <x:c r="J397" s="13" t="n">
        <x:v>2</x:v>
      </x:c>
      <x:c r="K397" s="19" t="str">
        <x:v>What limitations of adversarial training as a defense for image classifiers have been established, particularly regarding accuracy, computational cost, and generalization to unseen attacks?</x:v>
      </x:c>
      <x:c r="L397" s="19" t="str">
        <x:v>Robust Classification via a Single Diffusion Model
example cannot make the diffusion model output an image
of a different class, but the perturbation is not completely
removed. Therefore, the poor robustness of diffusion-based
purification is largely due to the vulnerability of downstream
classifiers. On the other hand, although adversarial training
methods using data generated by diffusion models achieve
excellent performance, they are usually not generalizable
across different threats (Tramèr &amp; Boneh, 2019; Nie et al.,
2022). In summary, these methods leverage diffusion mod-
els to improve adversarial robustness of discriminative clas-
sifiers, but discriminative learning cannot capture the under-
lying structure of data distribution, making it hard to control
the predictions of inputs outside the training distribution
(Schott et al., 2019). As a generative approach, diffusion</x:v>
      </x:c>
      <x:c r="M397" s="19" t="str">
        <x:v>该段提供相关背景或侧面信息，但没有直接回答问题核心。</x:v>
      </x:c>
      <x:c r="N397" s="13" t="str">
        <x:v>http://arxiv.org/abs/2305.15241v2</x:v>
      </x:c>
    </x:row>
    <x:row r="398" ht="58" customHeight="1">
      <x:c r="A398" s="13" t="str">
        <x:v>csq014-c010</x:v>
      </x:c>
      <x:c r="B398" s="13" t="str">
        <x:v>csq014</x:v>
      </x:c>
      <x:c r="C398" s="21" t="n">
        <x:v>10</x:v>
      </x:c>
      <x:c r="D398" s="20" t="str">
        <x:v>2</x:v>
      </x:c>
      <x:c r="E398" s="20" t="str"/>
      <x:c r="F398" s="20" t="str">
        <x:f>IF(E398="",D398,E398)</x:f>
        <x:v>2</x:v>
      </x:c>
      <x:c r="G398" s="13" t="str">
        <x:v>Efficient and Effective Augmentation Strategy for Adversarial Training</x:v>
      </x:c>
      <x:c r="H398" s="13" t="n">
        <x:v>0</x:v>
      </x:c>
      <x:c r="I398" s="22" t="n">
        <x:v>0.02819138376017471</x:v>
      </x:c>
      <x:c r="J398" s="13" t="n">
        <x:v>2</x:v>
      </x:c>
      <x:c r="K398" s="19" t="str">
        <x:v>What limitations of adversarial training as a defense for image classifiers have been established, particularly regarding accuracy, computational cost, and generalization to unseen attacks?</x:v>
      </x:c>
      <x:c r="L398" s="19" t="str">
        <x:v>better robustness-accuracy trade-off when compared to existing methods on the
RobustBench Leaderboard on ResNet-18 and WideResNet-34-10. The code for im-
plementing DAJAT is available here:https://github.com/val-iisc/DAJAT.
1 Introduction
Deep Neural Network (DNN) based image classifiers are vulnerable to crafted imperceptible perturba-
tions known as Adversarial Attacks [45] that can flip the predictions of the model to unrelated classes
leading to disastrous implications. Adversarial Training [17, 31, 57] has been the most successful
defense strategy, where a model is explicitly trained to be robust in the presence of such attacks. While
early defenses focused on designing suitable loss functions for training, subsequent works [33, 38]
showed that with careful hyperparameter tuning, even the two most popular methods PGD-AT [31]</x:v>
      </x:c>
      <x:c r="M398" s="19" t="str">
        <x:v>该段包含可直接回答问题的方法、指标、比较或研究发现。</x:v>
      </x:c>
      <x:c r="N398" s="13" t="str">
        <x:v>http://arxiv.org/abs/2210.15318v1</x:v>
      </x:c>
    </x:row>
    <x:row r="399" ht="58" customHeight="1">
      <x:c r="A399" s="13" t="str">
        <x:v>csq014-c011</x:v>
      </x:c>
      <x:c r="B399" s="13" t="str">
        <x:v>csq014</x:v>
      </x:c>
      <x:c r="C399" s="21" t="n">
        <x:v>11</x:v>
      </x:c>
      <x:c r="D399" s="20" t="str">
        <x:v>2</x:v>
      </x:c>
      <x:c r="E399" s="20" t="str"/>
      <x:c r="F399" s="20" t="str">
        <x:f>IF(E399="",D399,E399)</x:f>
        <x:v>2</x:v>
      </x:c>
      <x:c r="G399" s="13" t="str">
        <x:v>Efficient and Effective Augmentation Strategy for Adversarial Training</x:v>
      </x:c>
      <x:c r="H399" s="13" t="n">
        <x:v>8</x:v>
      </x:c>
      <x:c r="I399" s="22" t="n">
        <x:v>0.0273972602739726</x:v>
      </x:c>
      <x:c r="J399" s="13" t="n">
        <x:v>2</x:v>
      </x:c>
      <x:c r="K399" s="19" t="str">
        <x:v>What limitations of adversarial training as a defense for image classifiers have been established, particularly regarding accuracy, computational cost, and generalization to unseen attacks?</x:v>
      </x:c>
      <x:c r="L399" s="19" t="str">
        <x:v>w.r.t. both clean and robust accuracy, including the ones that use additional data, showing that
data augmentations can be effectively used to overcome the large sample complexity of adversarial
training. The use of diverse augmentations in DAJAT also improves the generalization of the model
to Common Corruptions by 4% and 8% on CIFAR-10-C and CIFAR-100-C datasets [21] respectively
as shown in Table-4. Further, we find that the performance gains obtained using DAJAT are higher on
larger capacity models (Ref:Table-16).
Computational Efficiency: As shown in Appendix-F.6, the use of ACAT strategy in the proposed
DAJAT defense enables us to achieve similar computational complexity as TRADES-AWP defense,
while obtaining gains in performance. Using DAJAT, we achieve 10% reduction in FLOPs (training)</x:v>
      </x:c>
      <x:c r="M399" s="19" t="str">
        <x:v>该段包含可直接回答问题的方法、指标、比较或研究发现。</x:v>
      </x:c>
      <x:c r="N399" s="13" t="str">
        <x:v>http://arxiv.org/abs/2210.15318v1</x:v>
      </x:c>
    </x:row>
    <x:row r="400" ht="58" customHeight="1">
      <x:c r="A400" s="13" t="str">
        <x:v>csq014-c012</x:v>
      </x:c>
      <x:c r="B400" s="13" t="str">
        <x:v>csq014</x:v>
      </x:c>
      <x:c r="C400" s="21" t="n">
        <x:v>12</x:v>
      </x:c>
      <x:c r="D400" s="20" t="str">
        <x:v>2</x:v>
      </x:c>
      <x:c r="E400" s="20" t="str"/>
      <x:c r="F400" s="20" t="str">
        <x:f>IF(E400="",D400,E400)</x:f>
        <x:v>2</x:v>
      </x:c>
      <x:c r="G400" s="13" t="str">
        <x:v>Adversarial Robustness on In- and Out-Distribution Improves Explainability</x:v>
      </x:c>
      <x:c r="H400" s="13" t="n">
        <x:v>3</x:v>
      </x:c>
      <x:c r="I400" s="22" t="n">
        <x:v>0.016129032258064516</x:v>
      </x:c>
      <x:c r="J400" s="13" t="n">
        <x:v>1</x:v>
      </x:c>
      <x:c r="K400" s="19" t="str">
        <x:v>What limitations of adversarial training as a defense for image classifiers have been established, particularly regarding accuracy, computational cost, and generalization to unseen attacks?</x:v>
      </x:c>
      <x:c r="L400" s="19" t="str">
        <x:v>The main problem of AT is that robust classiﬁers suﬀer from a signiﬁcant
drop in accuracy compared to normal training [65]. This trade-oﬀ [58,61] can be
mitigated e.g. via training 50% on clean samples and 50% on adversarial samples
at the price of reduced robustness [61] or via semi-supervised learning [66,47,10].</x:v>
      </x:c>
      <x:c r="M400" s="19" t="str">
        <x:v>该段包含可直接回答问题的方法、指标、比较或研究发现。</x:v>
      </x:c>
      <x:c r="N400" s="13" t="str">
        <x:v>http://arxiv.org/abs/2003.09461v2</x:v>
      </x:c>
    </x:row>
    <x:row r="401" ht="58" customHeight="1">
      <x:c r="A401" s="13" t="str">
        <x:v>csq014-c013</x:v>
      </x:c>
      <x:c r="B401" s="13" t="str">
        <x:v>csq014</x:v>
      </x:c>
      <x:c r="C401" s="21" t="n">
        <x:v>13</x:v>
      </x:c>
      <x:c r="D401" s="20" t="str">
        <x:v>2</x:v>
      </x:c>
      <x:c r="E401" s="20" t="str"/>
      <x:c r="F401" s="20" t="str">
        <x:f>IF(E401="",D401,E401)</x:f>
        <x:v>2</x:v>
      </x:c>
      <x:c r="G401" s="13" t="str">
        <x:v>TrajSyn: Privacy-Preserving Dataset Distillation from Federated Model Trajectories for Server-Side Adversarial Training</x:v>
      </x:c>
      <x:c r="H401" s="13" t="n">
        <x:v>3</x:v>
      </x:c>
      <x:c r="I401" s="22" t="n">
        <x:v>0.016129032258064516</x:v>
      </x:c>
      <x:c r="J401" s="13" t="n">
        <x:v>1</x:v>
      </x:c>
      <x:c r="K401" s="19" t="str">
        <x:v>What limitations of adversarial training as a defense for image classifiers have been established, particularly regarding accuracy, computational cost, and generalization to unseen attacks?</x:v>
      </x:c>
      <x:c r="L401" s="19" t="str">
        <x:v>theseλiterations, the resultingx adv is used at the end of each
epoch to perform a round of adversarial updates. Each iteration
of Equation 1 requires both a forward pass of the model and
a backward pass to compute gradients with respect to the
inputx. Consequently, generating a single adversarial example
incurs computational costλtimes that of training for an epoch.
Over the full training process, adversarial training introduces
an overhead of approximatelyλ×num epochs, which rapidly
becomes prohibitive for resource-constrained client devices in
FL.
Although the central server in an FL system typically has
substantial computational resources, often a GPU-equipped
cluster capable of performing compute-intensive adversarial
training, FL’s strict privacy constraints prevent the server from
accessing any client inputsx, which are precisely the quan-</x:v>
      </x:c>
      <x:c r="M401" s="19" t="str">
        <x:v>该段包含可直接回答问题的方法、指标、比较或研究发现。</x:v>
      </x:c>
      <x:c r="N401" s="13" t="str">
        <x:v>http://arxiv.org/abs/2512.15123v1</x:v>
      </x:c>
    </x:row>
    <x:row r="402" ht="58" customHeight="1">
      <x:c r="A402" s="13" t="str">
        <x:v>csq014-c014</x:v>
      </x:c>
      <x:c r="B402" s="13" t="str">
        <x:v>csq014</x:v>
      </x:c>
      <x:c r="C402" s="21" t="n">
        <x:v>14</x:v>
      </x:c>
      <x:c r="D402" s="20" t="str">
        <x:v>1</x:v>
      </x:c>
      <x:c r="E402" s="20" t="str"/>
      <x:c r="F402" s="20" t="str">
        <x:f>IF(E402="",D402,E402)</x:f>
        <x:v>1</x:v>
      </x:c>
      <x:c r="G402" s="13" t="str">
        <x:v>Robust Classification via a Single Diffusion Model</x:v>
      </x:c>
      <x:c r="H402" s="13" t="n">
        <x:v>6</x:v>
      </x:c>
      <x:c r="I402" s="22" t="n">
        <x:v>0.015873015873015872</x:v>
      </x:c>
      <x:c r="J402" s="13" t="n">
        <x:v>1</x:v>
      </x:c>
      <x:c r="K402" s="19" t="str">
        <x:v>What limitations of adversarial training as a defense for image classifiers have been established, particularly regarding accuracy, computational cost, and generalization to unseen attacks?</x:v>
      </x:c>
      <x:c r="L402" s="19" t="str">
        <x:v>iterative updates during these attacks are consistently conducted
by AutoAttack.
LM steps (N) Attack Clean Acc Robust Acc
5 BPDA 89.85 75.67
5 Lagrange 89.85 77.54
1 Exact Gradient 90.71 69.53
1 BPDA 90.71 69.92
the two settings. Notably, RDC outperforms the previous
state-of-the-art model AT-EDM (Wang et al., 2023b) by
+4.77% under the ℓ∞ norm.
4.3. Defense against unseen threats
Adversarial training methods often suffer from poor gener-
alization across different threat models, while DiffPure re-
quires adjusting purification noise scales for different threat
models, which limits their applicability in real-world sce-
narios where the threat models are unknown. In contrast,
our proposed methods are agnostic to specific threat mod-
els. To demonstrates the strong generalization ability of our
methods across different threat models, we evaluate the gen-</x:v>
      </x:c>
      <x:c r="M402" s="19" t="str">
        <x:v>该段提供相关背景或侧面信息，但没有直接回答问题核心。</x:v>
      </x:c>
      <x:c r="N402" s="13" t="str">
        <x:v>http://arxiv.org/abs/2305.15241v2</x:v>
      </x:c>
    </x:row>
    <x:row r="403" ht="58" customHeight="1">
      <x:c r="A403" s="13" t="str">
        <x:v>csq014-c015</x:v>
      </x:c>
      <x:c r="B403" s="13" t="str">
        <x:v>csq014</x:v>
      </x:c>
      <x:c r="C403" s="21" t="n">
        <x:v>15</x:v>
      </x:c>
      <x:c r="D403" s="20" t="str">
        <x:v>2</x:v>
      </x:c>
      <x:c r="E403" s="20" t="str"/>
      <x:c r="F403" s="20" t="str">
        <x:f>IF(E403="",D403,E403)</x:f>
        <x:v>2</x:v>
      </x:c>
      <x:c r="G403" s="13" t="str">
        <x:v>Localized Adversarial Training for Increased Accuracy and Robustness in Image Classification</x:v>
      </x:c>
      <x:c r="H403" s="13" t="n">
        <x:v>3</x:v>
      </x:c>
      <x:c r="I403" s="22" t="n">
        <x:v>0.015873015873015872</x:v>
      </x:c>
      <x:c r="J403" s="13" t="n">
        <x:v>1</x:v>
      </x:c>
      <x:c r="K403" s="19" t="str">
        <x:v>What limitations of adversarial training as a defense for image classifiers have been established, particularly regarding accuracy, computational cost, and generalization to unseen attacks?</x:v>
      </x:c>
      <x:c r="L403" s="19" t="str">
        <x:v>allowed to change.
5.1 Experiment Results
Evaluating each of the three models on each of the three inputs
types yields a total of 9 results per model. /T_he experiment con-
/f_irms the trade-oﬀ between accuracy and robustness for standard
adversarial training: while the MNIST model trained with the stan-
dard a/t_tack suﬀered at least 99% less loss than the naturally trained
model, it suﬀered 39.9% more loss on natural inputs. Similarly,
while the CIFAR-10 standard adversarial model suﬀered 95.7% less
loss on adversarial images, it suﬀered 88.9% more loss on natural
images.
For both datasets, the ”background” models outperformed the
natural models, by 4.35% on natural MNIST inputs and over 99%
on adversarial MNIST inputs. /T_he ”background” CIFAR-10 model
also had improved performance in both categories, by 1.63% on
natural inputs and 15.98% on adversarial inputs. Figure 2 describes</x:v>
      </x:c>
      <x:c r="M403" s="19" t="str">
        <x:v>该段包含可直接回答问题的方法、指标、比较或研究发现。</x:v>
      </x:c>
      <x:c r="N403" s="13" t="str">
        <x:v>http://arxiv.org/abs/1909.04779v1</x:v>
      </x:c>
    </x:row>
    <x:row r="404" ht="58" customHeight="1">
      <x:c r="A404" s="13" t="str">
        <x:v>csq014-c016</x:v>
      </x:c>
      <x:c r="B404" s="13" t="str">
        <x:v>csq014</x:v>
      </x:c>
      <x:c r="C404" s="21" t="n">
        <x:v>16</x:v>
      </x:c>
      <x:c r="D404" s="20" t="str">
        <x:v>2</x:v>
      </x:c>
      <x:c r="E404" s="20" t="str"/>
      <x:c r="F404" s="20" t="str">
        <x:f>IF(E404="",D404,E404)</x:f>
        <x:v>2</x:v>
      </x:c>
      <x:c r="G404" s="13" t="str">
        <x:v>TrajSyn: Privacy-Preserving Dataset Distillation from Federated Model Trajectories for Server-Side Adversarial Training</x:v>
      </x:c>
      <x:c r="H404" s="13" t="n">
        <x:v>2</x:v>
      </x:c>
      <x:c r="I404" s="22" t="n">
        <x:v>0.015873015873015872</x:v>
      </x:c>
      <x:c r="J404" s="13" t="n">
        <x:v>1</x:v>
      </x:c>
      <x:c r="K404" s="19" t="str">
        <x:v>What limitations of adversarial training as a defense for image classifiers have been established, particularly regarding accuracy, computational cost, and generalization to unseen attacks?</x:v>
      </x:c>
      <x:c r="L404" s="19" t="str">
        <x:v>perturbation.
In the adversarial training process, Equation 1 is applied
repeatedly forλsteps to generatex adv. Afterλsteps, the
finalx adv is then used after each epoch to complete a
round of adversarial training. Each generation ofx adv us-
ing Equation 1 involves a forward model pass followed by
gradient computation (with respect to the inputx), which
induces a computational overhead equivalent to one epoch.
This training process, therefore, adds an additional overhead of</x:v>
      </x:c>
      <x:c r="M404" s="19" t="str">
        <x:v>该段包含可直接回答问题的方法、指标、比较或研究发现。</x:v>
      </x:c>
      <x:c r="N404" s="13" t="str">
        <x:v>http://arxiv.org/abs/2512.15123v1</x:v>
      </x:c>
    </x:row>
    <x:row r="405" ht="58" customHeight="1">
      <x:c r="A405" s="13" t="str">
        <x:v>csq014-c017</x:v>
      </x:c>
      <x:c r="B405" s="13" t="str">
        <x:v>csq014</x:v>
      </x:c>
      <x:c r="C405" s="21" t="n">
        <x:v>17</x:v>
      </x:c>
      <x:c r="D405" s="20" t="str">
        <x:v>2</x:v>
      </x:c>
      <x:c r="E405" s="20" t="str"/>
      <x:c r="F405" s="20" t="str">
        <x:f>IF(E405="",D405,E405)</x:f>
        <x:v>2</x:v>
      </x:c>
      <x:c r="G405" s="13" t="str">
        <x:v>Adversarial Robustness Limits via Scaling-Law and Human-Alignment Studies</x:v>
      </x:c>
      <x:c r="H405" s="13" t="n">
        <x:v>14</x:v>
      </x:c>
      <x:c r="I405" s="22" t="n">
        <x:v>0.015625</x:v>
      </x:c>
      <x:c r="J405" s="13" t="n">
        <x:v>1</x:v>
      </x:c>
      <x:c r="K405" s="19" t="str">
        <x:v>What limitations of adversarial training as a defense for image classifiers have been established, particularly regarding accuracy, computational cost, and generalization to unseen attacks?</x:v>
      </x:c>
      <x:c r="L405" s="19" t="str">
        <x:v>Adversarial Robustness Limits
B. Counting the FLOPs of Adversarial Training
We use the PyTorch (Paszke et al., 2019) flop counter to find the FLOPs consumed by adversarial training. We find that our
adversarial training loop requires 27× the FLOPs required to complete 1 forward pass, whereas regular training is typically
estimated to require about 3× the forward pass FLOPs. The added cost of adversarial training is primarily due to the 10
PGD iterations used to adversarially perturb images at training time. The following explains this in detail.
B.1. Why is adversarial training 9× as expensive per iteration?
We clarify why an adversarial training iteration, using 10 PGD steps and the TRADES loss, requires ∼9× the FLOPs of a
regular training iteration. First, we note that a typical training iteration uses 1 forward pass and 1 backward pass, which is</x:v>
      </x:c>
      <x:c r="M405" s="19" t="str">
        <x:v>该段包含可直接回答问题的方法、指标、比较或研究发现。</x:v>
      </x:c>
      <x:c r="N405" s="13" t="str">
        <x:v>http://arxiv.org/abs/2404.09349v2</x:v>
      </x:c>
    </x:row>
    <x:row r="406" ht="58" customHeight="1">
      <x:c r="A406" s="13" t="str">
        <x:v>csq014-c018</x:v>
      </x:c>
      <x:c r="B406" s="13" t="str">
        <x:v>csq014</x:v>
      </x:c>
      <x:c r="C406" s="21" t="n">
        <x:v>18</x:v>
      </x:c>
      <x:c r="D406" s="20" t="str">
        <x:v>2</x:v>
      </x:c>
      <x:c r="E406" s="20" t="str"/>
      <x:c r="F406" s="20" t="str">
        <x:f>IF(E406="",D406,E406)</x:f>
        <x:v>2</x:v>
      </x:c>
      <x:c r="G406" s="13" t="str">
        <x:v>Adversarial Robustness Limits via Scaling-Law and Human-Alignment Studies</x:v>
      </x:c>
      <x:c r="H406" s="13" t="n">
        <x:v>24</x:v>
      </x:c>
      <x:c r="I406" s="22" t="n">
        <x:v>0.015625</x:v>
      </x:c>
      <x:c r="J406" s="13" t="n">
        <x:v>1</x:v>
      </x:c>
      <x:c r="K406" s="19" t="str">
        <x:v>What limitations of adversarial training as a defense for image classifiers have been established, particularly regarding accuracy, computational cost, and generalization to unseen attacks?</x:v>
      </x:c>
      <x:c r="L406" s="19" t="str">
        <x:v>Adversarial Robustness Limits
Figure 19. Clean versions of adversarial images from Figure 9. We categorized 727 of the 2629 adversarial images as invalid (27.87%
of images) based on analysis of our human and GPT-4 evaluations. Here we provide the original clean versions of the adversarial images
from Figure 9 with the same categorization and numbering. The ground truth classes are: 1:cat, 2:bird, 3:deer, 4:horse, 5:deer, 6:cat,
7:dog, 8:bird, 9:bird, 10:cat, 11:airplane, 12:deer, 13:cat, 14:horse, 15:airplane. The NN predicted the following classes on the adversarial
versions of these images: 1:bird, 2:deer, 3:bird, 4:dog, 5:dog, 6:deer, 7:frog, 8:frog, 9:airplane, 10:deer, 11:ship, 12:cat, 13:dog, 14:cat,
15:ship.
Figure 20. Invalid training data. While weaker than benchmark attacks, training attacks like 10-step PGD can produce adversarial data</x:v>
      </x:c>
      <x:c r="M406" s="19" t="str">
        <x:v>该段包含可直接回答问题的方法、指标、比较或研究发现。</x:v>
      </x:c>
      <x:c r="N406" s="13" t="str">
        <x:v>http://arxiv.org/abs/2404.09349v2</x:v>
      </x:c>
    </x:row>
    <x:row r="407" ht="58" customHeight="1">
      <x:c r="A407" s="13" t="str">
        <x:v>csq014-c019</x:v>
      </x:c>
      <x:c r="B407" s="13" t="str">
        <x:v>csq014</x:v>
      </x:c>
      <x:c r="C407" s="21" t="n">
        <x:v>19</x:v>
      </x:c>
      <x:c r="D407" s="20" t="str">
        <x:v>0</x:v>
      </x:c>
      <x:c r="E407" s="20" t="str"/>
      <x:c r="F407" s="20" t="str">
        <x:f>IF(E407="",D407,E407)</x:f>
        <x:v>0</x:v>
      </x:c>
      <x:c r="G407" s="13" t="str">
        <x:v>Blending adversarial training and representation-conditional purification via aggregation improves adversarial robustness</x:v>
      </x:c>
      <x:c r="H407" s="13" t="n">
        <x:v>11</x:v>
      </x:c>
      <x:c r="I407" s="22" t="n">
        <x:v>0.015625</x:v>
      </x:c>
      <x:c r="J407" s="13" t="n">
        <x:v>1</x:v>
      </x:c>
      <x:c r="K407" s="19" t="str">
        <x:v>What limitations of adversarial training as a defense for image classifiers have been established, particularly regarding accuracy, computational cost, and generalization to unseen attacks?</x:v>
      </x:c>
      <x:c r="L407" s="19" t="str">
        <x:v>Xiaojun Jia, Yong Zhang, Baoyuan Wu, Ke Ma, Jue Wang, and Xiaochun Cao. LAS-AT: Adversarial training with
learnable attack strategy. InProceedings of the IEEE/CVF Conference on Computer Vision and Pattern Recognition,
2022.
Diederik P. Kingma and Max Welling. Auto-encoding variational Bayes. InInternational Conference on Learning
Representations, 2014.
Alex Krizhevsky. Learning multiple layers of features from tiny images, 2009.
Alexey Kurakin, Ian J. Goodfellow, and Samy Bengio. Adversarial examples in the physical world.Artificial Intelligence
Safety and Security, 2018.
Cassidy Laidlaw, Sahil Singla, and Soheil Feizi. Perceptual adversarial robustness: Defense against unseen threat
models. InInternational Conference on Learning Representations, 2021.
12</x:v>
      </x:c>
      <x:c r="M407" s="19" t="str">
        <x:v>该段为无关内容、泛泛提及或参考文献片段，不能作为回答证据。</x:v>
      </x:c>
      <x:c r="N407" s="13" t="str">
        <x:v>http://arxiv.org/abs/2306.06081v6</x:v>
      </x:c>
    </x:row>
    <x:row r="408" ht="58" customHeight="1">
      <x:c r="A408" s="13" t="str">
        <x:v>csq014-c020</x:v>
      </x:c>
      <x:c r="B408" s="13" t="str">
        <x:v>csq014</x:v>
      </x:c>
      <x:c r="C408" s="21" t="n">
        <x:v>20</x:v>
      </x:c>
      <x:c r="D408" s="20" t="str">
        <x:v>2</x:v>
      </x:c>
      <x:c r="E408" s="20" t="str"/>
      <x:c r="F408" s="20" t="str">
        <x:f>IF(E408="",D408,E408)</x:f>
        <x:v>2</x:v>
      </x:c>
      <x:c r="G408" s="13" t="str">
        <x:v>PIAT: Parameter Interpolation based Adversarial Training for Image Classification</x:v>
      </x:c>
      <x:c r="H408" s="13" t="n">
        <x:v>2</x:v>
      </x:c>
      <x:c r="I408" s="22" t="n">
        <x:v>0.015384615384615385</x:v>
      </x:c>
      <x:c r="J408" s="13" t="n">
        <x:v>1</x:v>
      </x:c>
      <x:c r="K408" s="19" t="str">
        <x:v>What limitations of adversarial training as a defense for image classifiers have been established, particularly regarding accuracy, computational cost, and generalization to unseen attacks?</x:v>
      </x:c>
      <x:c r="L408" s="19" t="str">
        <x:v>TRADES [29] is another typical AT proposed to achieve
a better balance between accuracy on clean examples and
robustness on adversarial examples:
min
θ
∑
i
{CE (fθ(xi),yi)
+β· max
x′
i∈S(xi,ϵ)
KL(fθ(xi)||fθ(x′
i))},
(3)
whereCE (·,·) is the cross entropy loss that maximize the ac-
curacy of clean examples.KL(·||·) is the Kullback-Leibler
divergence that measures the distance of output between
clean and adversarial examples andβ controls the tradeoff
between accuracy and robustness.
Since the inception of TRADES, subsequent efforts have
been devoted to achieve better performance. MART [ 24]
explicitly differentiates the misclassiﬁed and correctly clas-
siﬁed examples during the training. STAT [ 15] takes both
advrsarial examples and collaborative examples into account
for regularizing the loss landscape. FreeAT [21] uses each
epoch of PGD adversarial examples and updates the model</x:v>
      </x:c>
      <x:c r="M408" s="19" t="str">
        <x:v>该段包含可直接回答问题的方法、指标、比较或研究发现。</x:v>
      </x:c>
      <x:c r="N408" s="13" t="str">
        <x:v>http://arxiv.org/abs/2303.13955v1</x:v>
      </x:c>
    </x:row>
    <x:row r="409" ht="58" customHeight="1">
      <x:c r="A409" s="13" t="str">
        <x:v>csq014-c021</x:v>
      </x:c>
      <x:c r="B409" s="13" t="str">
        <x:v>csq014</x:v>
      </x:c>
      <x:c r="C409" s="21" t="n">
        <x:v>21</x:v>
      </x:c>
      <x:c r="D409" s="20" t="str">
        <x:v>2</x:v>
      </x:c>
      <x:c r="E409" s="20" t="str"/>
      <x:c r="F409" s="20" t="str">
        <x:f>IF(E409="",D409,E409)</x:f>
        <x:v>2</x:v>
      </x:c>
      <x:c r="G409" s="13" t="str">
        <x:v>Defending Against Physically Realizable Attacks on Image Classification</x:v>
      </x:c>
      <x:c r="H409" s="13" t="n">
        <x:v>0</x:v>
      </x:c>
      <x:c r="I409" s="22" t="n">
        <x:v>0.015384615384615385</x:v>
      </x:c>
      <x:c r="J409" s="13" t="n">
        <x:v>1</x:v>
      </x:c>
      <x:c r="K409" s="19" t="str">
        <x:v>What limitations of adversarial training as a defense for image classifiers have been established, particularly regarding accuracy, computational cost, and generalization to unseen attacks?</x:v>
      </x:c>
      <x:c r="L409" s="19" t="str">
        <x:v>Published as a conference paper at ICLR 2020
DEFENDING AGAINST PHYSICALLY REALIZABLE AT-
TACKS ON IMAGE CLASSIFICATION
Tong Wu, Liang Tong &amp; Yevgeniy Vorobeychik
Department of Computer Science and Engineering
Washington University in St. Louis
{tongwu, liangtong, yvorobeychik }@wustl.edu
ABSTRACT
We study the problem of defending deep neural network approaches for image
classiﬁcation from physically realizable attacks. First, we demonstrate that the
two most scalable and effective methods for learning robust models, adversarial
training with PGD attacks and randomized smoothing, exhibit limited effective-
ness against three of the highest proﬁle physical attacks. Next, we propose a new
abstract adversarial model, rectangular occlusion attacks, in which an adversary
places a small adversarially crafted rectangle in an image, and develop two ap-</x:v>
      </x:c>
      <x:c r="M409" s="19" t="str">
        <x:v>该段包含可直接回答问题的方法、指标、比较或研究发现。</x:v>
      </x:c>
      <x:c r="N409" s="13" t="str">
        <x:v>http://arxiv.org/abs/1909.09552v2</x:v>
      </x:c>
    </x:row>
    <x:row r="410" ht="58" customHeight="1">
      <x:c r="A410" s="13" t="str">
        <x:v>csq014-c022</x:v>
      </x:c>
      <x:c r="B410" s="13" t="str">
        <x:v>csq014</x:v>
      </x:c>
      <x:c r="C410" s="21" t="n">
        <x:v>22</x:v>
      </x:c>
      <x:c r="D410" s="20" t="str">
        <x:v>0</x:v>
      </x:c>
      <x:c r="E410" s="20" t="str"/>
      <x:c r="F410" s="20" t="str">
        <x:f>IF(E410="",D410,E410)</x:f>
        <x:v>0</x:v>
      </x:c>
      <x:c r="G410" s="13" t="str">
        <x:v>Adversarial Robustness on In- and Out-Distribution Improves Explainability</x:v>
      </x:c>
      <x:c r="H410" s="13" t="n">
        <x:v>16</x:v>
      </x:c>
      <x:c r="I410" s="22" t="n">
        <x:v>0.015384615384615385</x:v>
      </x:c>
      <x:c r="J410" s="13" t="n">
        <x:v>1</x:v>
      </x:c>
      <x:c r="K410" s="19" t="str">
        <x:v>What limitations of adversarial training as a defense for image classifiers have been established, particularly regarding accuracy, computational cost, and generalization to unseen attacks?</x:v>
      </x:c>
      <x:c r="L410" s="19" t="str">
        <x:v>generalization requires more data. In: NeurIPS (2018)
59. Schott, L., Rauber, J., Bethge, M., Brendel, W.: Towards the ﬁrst adversarially
robust neural network model on mnist. In: ICLR (2019)
60. Sehwag, V., Bhagoji, A.N., Song, L., Sitawarin, C., Cullina, D., Chiang, M., Mit-
tal, P.: Better the devil you know: An analysis of evasion attacks using out-of-
distribution adversarial examples. preprint, arXiv:1905.01726 (2019)
61. Stutz, D., Hein, M., Schiele, B.: Disentangling adversarial robustness and general-
ization. In: CVPR (2019)
62. Szegedy, C., Zaremba, W., Sutskever, I., Bruna, J., Erhan, D., Goodfellow, I., Fer-
gus, R.: Intriguing properties of neural networks. In: ICLR. pp. 2503–2511 (2014)
63. Torralba, A., Fergus, R., Freeman, W.T.: 80 million tiny images: A large data
set for nonparametric object and scene recognition. IEEE transactions on pattern</x:v>
      </x:c>
      <x:c r="M410" s="19" t="str">
        <x:v>该段为无关内容、泛泛提及或参考文献片段，不能作为回答证据。</x:v>
      </x:c>
      <x:c r="N410" s="13" t="str">
        <x:v>http://arxiv.org/abs/2003.09461v2</x:v>
      </x:c>
    </x:row>
    <x:row r="411" ht="58" customHeight="1">
      <x:c r="A411" s="13" t="str">
        <x:v>csq014-c023</x:v>
      </x:c>
      <x:c r="B411" s="13" t="str">
        <x:v>csq014</x:v>
      </x:c>
      <x:c r="C411" s="21" t="n">
        <x:v>23</x:v>
      </x:c>
      <x:c r="D411" s="20" t="str">
        <x:v>2</x:v>
      </x:c>
      <x:c r="E411" s="20" t="str"/>
      <x:c r="F411" s="20" t="str">
        <x:f>IF(E411="",D411,E411)</x:f>
        <x:v>2</x:v>
      </x:c>
      <x:c r="G411" s="13" t="str">
        <x:v>TrajSyn: Privacy-Preserving Dataset Distillation from Federated Model Trajectories for Server-Side Adversarial Training</x:v>
      </x:c>
      <x:c r="H411" s="13" t="n">
        <x:v>5</x:v>
      </x:c>
      <x:c r="I411" s="22" t="n">
        <x:v>0.015384615384615385</x:v>
      </x:c>
      <x:c r="J411" s="13" t="n">
        <x:v>1</x:v>
      </x:c>
      <x:c r="K411" s="19" t="str">
        <x:v>What limitations of adversarial training as a defense for image classifiers have been established, particularly regarding accuracy, computational cost, and generalization to unseen attacks?</x:v>
      </x:c>
      <x:c r="L411" s="19" t="str">
        <x:v>ronments. The corresponding average accuracies are 62.07%
and 61.48% for ConvNet and AlexNet, respectively, showing
only marginal improvements over FedDist despite the doubled
computational cost.
The comparison with FAT highlights a different trade-off
between robustness and efficiency. FAT achieves the highest
adversarial accuracy among all methods (58.96% on ConvNet
and 58.26% on AlexNet) but requires substantially more
computation. The per-step runtime increases by approximately
63% on ConvNet (10.07 ms to 16.45 ms) and by 55% on
AlexNet (9.76 ms to 15.12 ms), as also depicted in Fig. 2.
FAT’s average accuracies are 64.71% for ConvNet and 63.55%
for AlexNet, higher than both FedDist and FedDistFed. This
indicates that FAT achieves a slightly better overall balance
between clean and adversarial accuracy, but at a much higher
computational cost. On low-resource devices, this overhead</x:v>
      </x:c>
      <x:c r="M411" s="19" t="str">
        <x:v>该段包含可直接回答问题的方法、指标、比较或研究发现。</x:v>
      </x:c>
      <x:c r="N411" s="13" t="str">
        <x:v>http://arxiv.org/abs/2512.15123v1</x:v>
      </x:c>
    </x:row>
    <x:row r="412" ht="58" customHeight="1">
      <x:c r="A412" s="13" t="str">
        <x:v>csq014-c024</x:v>
      </x:c>
      <x:c r="B412" s="13" t="str">
        <x:v>csq014</x:v>
      </x:c>
      <x:c r="C412" s="21" t="n">
        <x:v>24</x:v>
      </x:c>
      <x:c r="D412" s="20" t="str">
        <x:v>2</x:v>
      </x:c>
      <x:c r="E412" s="20" t="str"/>
      <x:c r="F412" s="20" t="str">
        <x:f>IF(E412="",D412,E412)</x:f>
        <x:v>2</x:v>
      </x:c>
      <x:c r="G412" s="13" t="str">
        <x:v>Adversarial Robustness Limits via Scaling-Law and Human-Alignment Studies</x:v>
      </x:c>
      <x:c r="H412" s="13" t="n">
        <x:v>0</x:v>
      </x:c>
      <x:c r="I412" s="22" t="n">
        <x:v>0.015151515151515152</x:v>
      </x:c>
      <x:c r="J412" s="13" t="n">
        <x:v>1</x:v>
      </x:c>
      <x:c r="K412" s="19" t="str">
        <x:v>What limitations of adversarial training as a defense for image classifiers have been established, particularly regarding accuracy, computational cost, and generalization to unseen attacks?</x:v>
      </x:c>
      <x:c r="L412" s="19" t="str">
        <x:v>Adversarial Robustness Limits via Scaling-Law and Human-Alignment Studies
Brian R. Bartoldson 1 James Diffenderfer 1 Konstantinos Parasyris 1 Bhavya Kailkhura 1
Abstract
This paper revisits the simple, long-studied, yet
still unsolved problem of making image classifiers
robust to imperceptible perturbations. Taking CI-
FAR10 as an example, SOTA clean accuracy is
about 100%, but SOTA robustness to ℓ∞-norm
bounded perturbations barely exceeds 70%. To
understand this gap, we analyze how model size,
dataset size, and synthetic data quality affect ro-
bustness by developing the first scaling laws for
adversarial training. Our scaling laws reveal in-
efficiencies in prior art and provide actionable
feedback to advance the field. For instance, we
discovered that SOTA methods diverge notably
from compute-optimal setups, using excess com-
pute for their level of robustness. Leveraging</x:v>
      </x:c>
      <x:c r="M412" s="19" t="str">
        <x:v>该段包含可直接回答问题的方法、指标、比较或研究发现。</x:v>
      </x:c>
      <x:c r="N412" s="13" t="str">
        <x:v>http://arxiv.org/abs/2404.09349v2</x:v>
      </x:c>
    </x:row>
    <x:row r="413" ht="58" customHeight="1">
      <x:c r="A413" s="13" t="str">
        <x:v>csq014-c025</x:v>
      </x:c>
      <x:c r="B413" s="13" t="str">
        <x:v>csq014</x:v>
      </x:c>
      <x:c r="C413" s="21" t="n">
        <x:v>25</x:v>
      </x:c>
      <x:c r="D413" s="20" t="str">
        <x:v>2</x:v>
      </x:c>
      <x:c r="E413" s="20" t="str"/>
      <x:c r="F413" s="20" t="str">
        <x:f>IF(E413="",D413,E413)</x:f>
        <x:v>2</x:v>
      </x:c>
      <x:c r="G413" s="13" t="str">
        <x:v>Adversarial Robustness Limits via Scaling-Law and Human-Alignment Studies</x:v>
      </x:c>
      <x:c r="H413" s="13" t="n">
        <x:v>0</x:v>
      </x:c>
      <x:c r="I413" s="22" t="n">
        <x:v>0.015151515151515152</x:v>
      </x:c>
      <x:c r="J413" s="13" t="n">
        <x:v>1</x:v>
      </x:c>
      <x:c r="K413" s="19" t="str">
        <x:v>What limitations of adversarial training as a defense for image classifiers have been established, particularly regarding accuracy, computational cost, and generalization to unseen attacks?</x:v>
      </x:c>
      <x:c r="L413" s="19" t="str">
        <x:v>of invalid images not consistent with their original
labels. Having characterized limiting roadblocks,
we outline promising paths for future research.
1. Introduction
Neural networks match human performance on several tasks
requiring processing of vision and text data (Achiam et al.,
1Lawrence Livermore National Laboratory. Correspondence to:
Brian and Bhavya &lt;bartoldson@llnl.gov, kailkhura1@llnl.gov&gt;.
Proceedings of the 41 st International Conference on Machine
Learning, Vienna, Austria. PMLR 235, 2024. Copyright 2024 by
the author(s).
2023; Gemini Team, 2023). However, model performances
typically falter when data is adversarially perturbed by at-
tacks humans are robust to (Szegedy et al., 2013), calling
into question model trustworthiness. Progress on this prob-
lem has been made through adversarial training (Goodfel-
low et al., 2014; Madry et al., 2017), but even on the “toy”</x:v>
      </x:c>
      <x:c r="M413" s="19" t="str">
        <x:v>该段包含可直接回答问题的方法、指标、比较或研究发现。</x:v>
      </x:c>
      <x:c r="N413" s="13" t="str">
        <x:v>http://arxiv.org/abs/2404.09349v2</x:v>
      </x:c>
    </x:row>
    <x:row r="414" ht="58" customHeight="1">
      <x:c r="A414" s="13" t="str">
        <x:v>csq014-c026</x:v>
      </x:c>
      <x:c r="B414" s="13" t="str">
        <x:v>csq014</x:v>
      </x:c>
      <x:c r="C414" s="21" t="n">
        <x:v>26</x:v>
      </x:c>
      <x:c r="D414" s="20" t="str">
        <x:v>2</x:v>
      </x:c>
      <x:c r="E414" s="20" t="str"/>
      <x:c r="F414" s="20" t="str">
        <x:f>IF(E414="",D414,E414)</x:f>
        <x:v>2</x:v>
      </x:c>
      <x:c r="G414" s="13" t="str">
        <x:v>Adversarial Robustness Limits via Scaling-Law and Human-Alignment Studies</x:v>
      </x:c>
      <x:c r="H414" s="13" t="n">
        <x:v>13</x:v>
      </x:c>
      <x:c r="I414" s="22" t="n">
        <x:v>0.015151515151515152</x:v>
      </x:c>
      <x:c r="J414" s="13" t="n">
        <x:v>1</x:v>
      </x:c>
      <x:c r="K414" s="19" t="str">
        <x:v>What limitations of adversarial training as a defense for image classifiers have been established, particularly regarding accuracy, computational cost, and generalization to unseen attacks?</x:v>
      </x:c>
      <x:c r="L414" s="19" t="str">
        <x:v>allowing robustness to be maximized given a budget; and (b) the optimal return on investment, i.e., the best robust
loss/accuracy that can be achieved for a given compute budget (Equation 4 and Figure 6 for (a), and Figure 1 for (b)).
• We also derive the tradeoff between model size and training compute overhead, showing that there are vast opportunities
to reduce model size (improve inference speed) while actually decreasing training compute overhead (Equation 6 and
Figure 7).
• We carry out a small-scale human study to gain a deeper understanding of the performance bottleneck of current
adversarial training methodologies (Section 4).
• Additionally, we are the first to perform a single-epoch (i.e., seeing each image only once), synthetic-data-only
adversarial training run that outperforms the prior state-of-the-art, which relied on using non-synthetic data (Figure 6).</x:v>
      </x:c>
      <x:c r="M414" s="19" t="str">
        <x:v>该段包含可直接回答问题的方法、指标、比较或研究发现。</x:v>
      </x:c>
      <x:c r="N414" s="13" t="str">
        <x:v>http://arxiv.org/abs/2404.09349v2</x:v>
      </x:c>
    </x:row>
    <x:row r="415" ht="58" customHeight="1">
      <x:c r="A415" s="13" t="str">
        <x:v>csq014-c027</x:v>
      </x:c>
      <x:c r="B415" s="13" t="str">
        <x:v>csq014</x:v>
      </x:c>
      <x:c r="C415" s="21" t="n">
        <x:v>27</x:v>
      </x:c>
      <x:c r="D415" s="20" t="str">
        <x:v>2</x:v>
      </x:c>
      <x:c r="E415" s="20" t="str"/>
      <x:c r="F415" s="20" t="str">
        <x:f>IF(E415="",D415,E415)</x:f>
        <x:v>2</x:v>
      </x:c>
      <x:c r="G415" s="13" t="str">
        <x:v>Efficient and Effective Augmentation Strategy for Adversarial Training</x:v>
      </x:c>
      <x:c r="H415" s="13" t="n">
        <x:v>3</x:v>
      </x:c>
      <x:c r="I415" s="22" t="n">
        <x:v>0.015151515151515152</x:v>
      </x:c>
      <x:c r="J415" s="13" t="n">
        <x:v>1</x:v>
      </x:c>
      <x:c r="K415" s="19" t="str">
        <x:v>What limitations of adversarial training as a defense for image classifiers have been established, particularly regarding accuracy, computational cost, and generalization to unseen attacks?</x:v>
      </x:c>
      <x:c r="L415" s="19" t="str">
        <x:v>We analyse the trade-off between the factors described in Conjecture-1 for adversarial training when
compared to standard ERM training. In addition to the goal of improving accuracy on clean samples,
adversarial training aims to achieve local smoothness of the loss landscape as well. Hence, the
complexity of Adversarial Training is higher than that of standard ERM training, making it important
to use larger model capacities to obtain gains using data augmentations (based on Conjecture-1 (iii)).
This justifies the gains obtained by Rebuffi et al. [ 37] on the WRN-70-16 architecture by using
CutMix based augmentations (2.9% higher robust accuracy and 1.23% higher clean accuracy). The
same method does not obtain significant gains on smaller architectures such as ResNet-18 where a
1.76% boost in robust accuracy is accompanied by a 2.55% drop in clean accuracy.</x:v>
      </x:c>
      <x:c r="M415" s="19" t="str">
        <x:v>该段包含可直接回答问题的方法、指标、比较或研究发现。</x:v>
      </x:c>
      <x:c r="N415" s="13" t="str">
        <x:v>http://arxiv.org/abs/2210.15318v1</x:v>
      </x:c>
    </x:row>
    <x:row r="416" ht="58" customHeight="1">
      <x:c r="A416" s="13" t="str">
        <x:v>csq014-c028</x:v>
      </x:c>
      <x:c r="B416" s="13" t="str">
        <x:v>csq014</x:v>
      </x:c>
      <x:c r="C416" s="21" t="n">
        <x:v>28</x:v>
      </x:c>
      <x:c r="D416" s="20" t="str">
        <x:v>2</x:v>
      </x:c>
      <x:c r="E416" s="20" t="str"/>
      <x:c r="F416" s="20" t="str">
        <x:f>IF(E416="",D416,E416)</x:f>
        <x:v>2</x:v>
      </x:c>
      <x:c r="G416" s="13" t="str">
        <x:v>Adversarial Robustness Limits via Scaling-Law and Human-Alignment Studies</x:v>
      </x:c>
      <x:c r="H416" s="13" t="n">
        <x:v>7</x:v>
      </x:c>
      <x:c r="I416" s="22" t="n">
        <x:v>0.014925373134328358</x:v>
      </x:c>
      <x:c r="J416" s="13" t="n">
        <x:v>1</x:v>
      </x:c>
      <x:c r="K416" s="19" t="str">
        <x:v>What limitations of adversarial training as a defense for image classifiers have been established, particularly regarding accuracy, computational cost, and generalization to unseen attacks?</x:v>
      </x:c>
      <x:c r="L416" s="19" t="str">
        <x:v>Adversarial Robustness Limits
Figure 6. Training settings estimated to be compute-efficient by
our scaling laws are state-of-the-art, validating our scaling law
fits. We find N ∗ for the DG-20 dataset for Approaches 1–3 and
train models using values of N in between at least two approaches’
predicted values for N ∗ (see the “compute-efficient region”). The
trained models are more efficient and robust than the prior SOTA.
E′ + A
N ∗α + B′
D∗β = E′ + A
(ωN N ∗)α + B′
(ωDD∗)β ,
where ωD =
1 − (ω−α
N − 1) AN ∗−α
B′D∗−β
− 1
β
(6)
and E′ and B′ assume a particular dataset quality. Given
new data and model sizes, the “compute overhead” is the
increase in training FLOPs as a percentage of the training
FLOPs needed for the optimal model and dataset sizes.
As can be seen in Figure 7, there exists a substantial region
where the model size can be reduced with minimal com-</x:v>
      </x:c>
      <x:c r="M416" s="19" t="str">
        <x:v>该段包含可直接回答问题的方法、指标、比较或研究发现。</x:v>
      </x:c>
      <x:c r="N416" s="13" t="str">
        <x:v>http://arxiv.org/abs/2404.09349v2</x:v>
      </x:c>
    </x:row>
    <x:row r="417" ht="58" customHeight="1">
      <x:c r="A417" s="13" t="str">
        <x:v>csq014-c029</x:v>
      </x:c>
      <x:c r="B417" s="13" t="str">
        <x:v>csq014</x:v>
      </x:c>
      <x:c r="C417" s="21" t="n">
        <x:v>29</x:v>
      </x:c>
      <x:c r="D417" s="20" t="str">
        <x:v>2</x:v>
      </x:c>
      <x:c r="E417" s="20" t="str"/>
      <x:c r="F417" s="20" t="str">
        <x:f>IF(E417="",D417,E417)</x:f>
        <x:v>2</x:v>
      </x:c>
      <x:c r="G417" s="13" t="str">
        <x:v>Defending Against Physically Realizable Attacks on Image Classification</x:v>
      </x:c>
      <x:c r="H417" s="13" t="n">
        <x:v>11</x:v>
      </x:c>
      <x:c r="I417" s="22" t="n">
        <x:v>0.014925373134328358</x:v>
      </x:c>
      <x:c r="J417" s="13" t="n">
        <x:v>1</x:v>
      </x:c>
      <x:c r="K417" s="19" t="str">
        <x:v>What limitations of adversarial training as a defense for image classifiers have been established, particularly regarding accuracy, computational cost, and generalization to unseen attacks?</x:v>
      </x:c>
      <x:c r="L417" s="19" t="str">
        <x:v>Clean Model 98.94% 44.04% 1.70% 0% 0%
CAdv. Training:ϵ = 4 97.45% 94.68% 85.74% 46.60% 5.11%
CAdv. Training:ϵ = 8 96.17% 93.19% 88.94% 69.36% 9.57%
CAdv. Training:ϵ = 16 90.64% 88.08% 83.83% 73.62% 35.96%
CAdv. Training:ϵ = 32 80.85% 76.17% 74.04% 63.82% 43.62%
We begin with our results on the face recognition dataset. Tables 1 and 2 present results for (curricu-
lum) adversarial training for varying ϵ of thel∞ attacks, separately for training and evaluation. As
we can see, curriculum adversarial training with ϵ = 16 is generally the most robust, and remains
reasonably effective for relatively large perturbations. However, we do observe a clear tradeoff
between accuracy on non-adversarial data and robustness, as one would expect.
12</x:v>
      </x:c>
      <x:c r="M417" s="19" t="str">
        <x:v>该段包含可直接回答问题的方法、指标、比较或研究发现。</x:v>
      </x:c>
      <x:c r="N417" s="13" t="str">
        <x:v>http://arxiv.org/abs/1909.09552v2</x:v>
      </x:c>
    </x:row>
    <x:row r="418" ht="58" customHeight="1">
      <x:c r="A418" s="13" t="str">
        <x:v>csq014-c030</x:v>
      </x:c>
      <x:c r="B418" s="13" t="str">
        <x:v>csq014</x:v>
      </x:c>
      <x:c r="C418" s="21" t="n">
        <x:v>30</x:v>
      </x:c>
      <x:c r="D418" s="20" t="str">
        <x:v>1</x:v>
      </x:c>
      <x:c r="E418" s="20" t="str"/>
      <x:c r="F418" s="20" t="str">
        <x:f>IF(E418="",D418,E418)</x:f>
        <x:v>1</x:v>
      </x:c>
      <x:c r="G418" s="13" t="str">
        <x:v>Certified Defenses against Adversarial Examples</x:v>
      </x:c>
      <x:c r="H418" s="13" t="n">
        <x:v>0</x:v>
      </x:c>
      <x:c r="I418" s="22" t="n">
        <x:v>0.014925373134328358</x:v>
      </x:c>
      <x:c r="J418" s="13" t="n">
        <x:v>1</x:v>
      </x:c>
      <x:c r="K418" s="19" t="str">
        <x:v>What limitations of adversarial training as a defense for image classifiers have been established, particularly regarding accuracy, computational cost, and generalization to unseen attacks?</x:v>
      </x:c>
      <x:c r="L418" s="19" t="str">
        <x:v>worst-case loss with the loss from a given heuristic attack strategy, such as the Fast Gradient Sign
Method (Goodfellow et al., 2015) or more powerful iterative methods (Carlini &amp; Wagner, 2017a;
Madry et al., 2017). Adversarial training minimizes the loss with respect to these heuristics. How-
ever, this essentially minimizes a lower bound on the worst-case loss, which is problematic since
points where the bound is loose have disproportionately lower objective values, which could lure
and mislead an optimizer. Indeed, while adversarial training often provides robustness against a
speciﬁc attack, it often fails to generalize to new attacks, as described above. Another approach is to
compute the worst-case perturbation exactly using discrete optimization (Katz et al., 2017a; Carlini
1
arXiv:1801.09344v2  [cs.LG]  31 Oct 2020</x:v>
      </x:c>
      <x:c r="M418" s="19" t="str">
        <x:v>该段提供相关背景或侧面信息，但没有直接回答问题核心。</x:v>
      </x:c>
      <x:c r="N418" s="13" t="str">
        <x:v>http://arxiv.org/abs/1801.09344v2</x:v>
      </x:c>
    </x:row>
    <x:row r="419" ht="58" customHeight="1">
      <x:c r="A419" s="13" t="str">
        <x:v>csq015-c001</x:v>
      </x:c>
      <x:c r="B419" s="13" t="str">
        <x:v>csq015</x:v>
      </x:c>
      <x:c r="C419" s="21" t="n">
        <x:v>1</x:v>
      </x:c>
      <x:c r="D419" s="20" t="str">
        <x:v>2</x:v>
      </x:c>
      <x:c r="E419" s="20" t="str"/>
      <x:c r="F419" s="20" t="str">
        <x:f>IF(E419="",D419,E419)</x:f>
        <x:v>2</x:v>
      </x:c>
      <x:c r="G419" s="13" t="str">
        <x:v>Window Based BFT Blockchain Consensus</x:v>
      </x:c>
      <x:c r="H419" s="13" t="n">
        <x:v>8</x:v>
      </x:c>
      <x:c r="I419" s="22" t="n">
        <x:v>0.06116852775797894</x:v>
      </x:c>
      <x:c r="J419" s="13" t="n">
        <x:v>4</x:v>
      </x:c>
      <x:c r="K419" s="19" t="str">
        <x:v>What are the main approaches for reducing communication and latency costs in Byzantine fault-tolerant consensus protocols?</x:v>
      </x:c>
      <x:c r="L419" s="19" t="str">
        <x:v>O(τn +fn). For constant τ, the communication complexity
is O(fn +n).
VII. C ONCLUSIONS
In this paper we proposed Musch, a BFT-based consensus
protocol, in an effort to avoid excessive messages and improve
the scalability of blockchain algorithms. Through the use of
windows, the algorithm adapts to the actual number of faulty
nodes f, and in this way it avoids unnecessary messages.
This improvement does not sacriﬁce on the latency, since our
algorithm still uses a small number of communication rounds.
For future work, it would be interesting to investigate whether
we can decrease the message complexity further, i.e. to O(n)
under f faults, by introducing an intelligent scheme to detect
faulty nodes and foil attempts to increase message complexity.
REFERENCES
[1] S. Nakamoto, “Bitcoin: A peer-to-peer electronic cash system.”
[Online]. Available: http://bitcoin.org/bitcoin.pdf</x:v>
      </x:c>
      <x:c r="M419" s="19" t="str">
        <x:v>该段包含可直接回答问题的方法、指标、比较或研究发现。</x:v>
      </x:c>
      <x:c r="N419" s="13" t="str">
        <x:v>http://arxiv.org/abs/1906.04381v1</x:v>
      </x:c>
    </x:row>
    <x:row r="420" ht="58" customHeight="1">
      <x:c r="A420" s="13" t="str">
        <x:v>csq015-c002</x:v>
      </x:c>
      <x:c r="B420" s="13" t="str">
        <x:v>csq015</x:v>
      </x:c>
      <x:c r="C420" s="21" t="n">
        <x:v>2</x:v>
      </x:c>
      <x:c r="D420" s="20" t="str">
        <x:v>2</x:v>
      </x:c>
      <x:c r="E420" s="20" t="str"/>
      <x:c r="F420" s="20" t="str">
        <x:f>IF(E420="",D420,E420)</x:f>
        <x:v>2</x:v>
      </x:c>
      <x:c r="G420" s="13" t="str">
        <x:v>Dumbo-NG: Fast Asynchronous BFT Consensus with Throughput-Oblivious Latency</x:v>
      </x:c>
      <x:c r="H420" s="13" t="n">
        <x:v>1</x:v>
      </x:c>
      <x:c r="I420" s="22" t="n">
        <x:v>0.048131080389144903</x:v>
      </x:c>
      <x:c r="J420" s="13" t="n">
        <x:v>3</x:v>
      </x:c>
      <x:c r="K420" s="19" t="str">
        <x:v>What are the main approaches for reducing communication and latency costs in Byzantine fault-tolerant consensus protocols?</x:v>
      </x:c>
      <x:c r="L420" s="19" t="str">
        <x:v>depends on network prorogation delay more than bandwidth), as
it only exchanges a few rounds of short messages. HBBFT then
focused on optimizing the bandwidth-intensive part—transaction
broadcasts. It adapted the techniques of using erasure code and
Merkle tree from verifiable information dispersal [23] to reduce the
communication cost of Bracha’s RBC [18], and realized amortized
O(𝑛) communication complexity for sufficiently large input batch.
As such, HBBFT can significantly increase throughput via batching
more transactions, but its𝑛 concurrent ABBAs incurred suboptimal
expectedO( log𝑛) rounds. A recent workDumbo [47] concentrated
on the latency-critical part consisting of𝑛 ABBAs, and used a single
asynchronous multi-valued validated Byzantine agreement (MVBA)
to replace the slow 𝑛 ABBAs. Here MVBA is another variant of</x:v>
      </x:c>
      <x:c r="M420" s="19" t="str">
        <x:v>该段包含可直接回答问题的方法、指标、比较或研究发现。</x:v>
      </x:c>
      <x:c r="N420" s="13" t="str">
        <x:v>http://arxiv.org/abs/2209.00750v3</x:v>
      </x:c>
    </x:row>
    <x:row r="421" ht="58" customHeight="1">
      <x:c r="A421" s="13" t="str">
        <x:v>csq015-c003</x:v>
      </x:c>
      <x:c r="B421" s="13" t="str">
        <x:v>csq015</x:v>
      </x:c>
      <x:c r="C421" s="21" t="n">
        <x:v>3</x:v>
      </x:c>
      <x:c r="D421" s="20" t="str">
        <x:v>2</x:v>
      </x:c>
      <x:c r="E421" s="20" t="str"/>
      <x:c r="F421" s="20" t="str">
        <x:f>IF(E421="",D421,E421)</x:f>
        <x:v>2</x:v>
      </x:c>
      <x:c r="G421" s="13" t="str">
        <x:v>Probabilistic Byzantine Fault Tolerance (Extended Version)</x:v>
      </x:c>
      <x:c r="H421" s="13" t="n">
        <x:v>14</x:v>
      </x:c>
      <x:c r="I421" s="22" t="n">
        <x:v>0.0467592121191551</x:v>
      </x:c>
      <x:c r="J421" s="13" t="n">
        <x:v>3</x:v>
      </x:c>
      <x:c r="K421" s="19" t="str">
        <x:v>What are the main approaches for reducing communication and latency costs in Byzantine fault-tolerant consensus protocols?</x:v>
      </x:c>
      <x:c r="L421" s="19" t="str">
        <x:v>There are several approaches to enhance the scalability of BFT consensus protocols. For instance,
protocols like HotStuff [58] modify the message exchange pattern from all-to-all to leader-to-all-to-
leader, resulting in a linear message complexity. Alternatively, to improve the message complexity
and balance the load on the system, some protocols [33, 47] utilize a tree-based message exchange
pattern, while other protocols (e.g., [ 11, 22, 32, 60]) employ a gossip layer for communication.
Similarly, there are some works that use expander graphs (and related techniques) to make Byzantine
agreement more scalable (e.g., [29]). Other works like RedBelly [14] improve different aspects of
the protocol, such as how ordered transactions are disseminated and verified, to achieve better
scalability in practical deployments without reducing the message complexity of the base protocol.</x:v>
      </x:c>
      <x:c r="M421" s="19" t="str">
        <x:v>该段包含可直接回答问题的方法、指标、比较或研究发现。</x:v>
      </x:c>
      <x:c r="N421" s="13" t="str">
        <x:v>http://arxiv.org/abs/2405.04606v3</x:v>
      </x:c>
    </x:row>
    <x:row r="422" ht="58" customHeight="1">
      <x:c r="A422" s="13" t="str">
        <x:v>csq015-c004</x:v>
      </x:c>
      <x:c r="B422" s="13" t="str">
        <x:v>csq015</x:v>
      </x:c>
      <x:c r="C422" s="21" t="n">
        <x:v>4</x:v>
      </x:c>
      <x:c r="D422" s="20" t="str">
        <x:v>2</x:v>
      </x:c>
      <x:c r="E422" s="20" t="str"/>
      <x:c r="F422" s="20" t="str">
        <x:f>IF(E422="",D422,E422)</x:f>
        <x:v>2</x:v>
      </x:c>
      <x:c r="G422" s="13" t="str">
        <x:v>Window Based BFT Blockchain Consensus</x:v>
      </x:c>
      <x:c r="H422" s="13" t="n">
        <x:v>0</x:v>
      </x:c>
      <x:c r="I422" s="22" t="n">
        <x:v>0.04666516279419505</x:v>
      </x:c>
      <x:c r="J422" s="13" t="n">
        <x:v>3</x:v>
      </x:c>
      <x:c r="K422" s="19" t="str">
        <x:v>What are the main approaches for reducing communication and latency costs in Byzantine fault-tolerant consensus protocols?</x:v>
      </x:c>
      <x:c r="L422" s="19" t="str">
        <x:v>increasing windows of nodes to which complains are reported,
instead of broadcasting to all the nodes. To our knowledge,
this is the ﬁrst BFT-based blockchain protocol which efﬁciently
addresses simultaneously the issues of communication complexity
and latency under the presence of failures.
I. I NTRODUCTION
Consensus is used to agree on a new block to be appended
to the chain by the nodes in the network. A blockchain is
compromised of two main components:a cryptographic engine
and a consensus engine. The main performance and scalability
bottleneck of a blockchain also lies in these components.
Here we only focus on improving consensus component of
blockchains. As already mentioned, PoW-based protocols are
highly scalable. In Bitcoin [1], which is one of the most
successful implementation of blockchain technology, typically
the number of nodes (replicas) are usually large in the range</x:v>
      </x:c>
      <x:c r="M422" s="19" t="str">
        <x:v>该段包含可直接回答问题的方法、指标、比较或研究发现。</x:v>
      </x:c>
      <x:c r="N422" s="13" t="str">
        <x:v>http://arxiv.org/abs/1906.04381v1</x:v>
      </x:c>
    </x:row>
    <x:row r="423" ht="58" customHeight="1">
      <x:c r="A423" s="13" t="str">
        <x:v>csq015-c005</x:v>
      </x:c>
      <x:c r="B423" s="13" t="str">
        <x:v>csq015</x:v>
      </x:c>
      <x:c r="C423" s="21" t="n">
        <x:v>5</x:v>
      </x:c>
      <x:c r="D423" s="20" t="str">
        <x:v>2</x:v>
      </x:c>
      <x:c r="E423" s="20" t="str"/>
      <x:c r="F423" s="20" t="str">
        <x:f>IF(E423="",D423,E423)</x:f>
        <x:v>2</x:v>
      </x:c>
      <x:c r="G423" s="13" t="str">
        <x:v>Probabilistic Byzantine Fault Tolerance (Extended Version)</x:v>
      </x:c>
      <x:c r="H423" s="13" t="n">
        <x:v>14</x:v>
      </x:c>
      <x:c r="I423" s="22" t="n">
        <x:v>0.04599076949620428</x:v>
      </x:c>
      <x:c r="J423" s="13" t="n">
        <x:v>3</x:v>
      </x:c>
      <x:c r="K423" s="19" t="str">
        <x:v>What are the main approaches for reducing communication and latency costs in Byzantine fault-tolerant consensus protocols?</x:v>
      </x:c>
      <x:c r="L423" s="19" t="str">
        <x:v>bottom-right figure depicts the probability of terminating in a view after GST when the leader is correct.
a high probability of agreement and termination exchanging only 18-25% of the messages required
by PBFT.
6 RELATED WORK
Scalable BFT consensus protocols. PBFT [12] is considered the baseline “practical” BFT protocol. It
is optimal in terms of resilience (𝑓 &lt;𝑛/3) and best-case latency (three communication steps) but
employs an all-to-all message exchange pattern, which results in a quadratic message complexity,
making it very costly in large deployments. With the advent of large-scale systems like blockchains
and decentralized payment systems, the scalability of Byzantine consensus protocols has become a
hot topic, with numerous contributions from both academia and industry.
There are several approaches to enhance the scalability of BFT consensus protocols. For instance,</x:v>
      </x:c>
      <x:c r="M423" s="19" t="str">
        <x:v>该段包含可直接回答问题的方法、指标、比较或研究发现。</x:v>
      </x:c>
      <x:c r="N423" s="13" t="str">
        <x:v>http://arxiv.org/abs/2405.04606v3</x:v>
      </x:c>
    </x:row>
    <x:row r="424" ht="58" customHeight="1">
      <x:c r="A424" s="13" t="str">
        <x:v>csq015-c006</x:v>
      </x:c>
      <x:c r="B424" s="13" t="str">
        <x:v>csq015</x:v>
      </x:c>
      <x:c r="C424" s="21" t="n">
        <x:v>6</x:v>
      </x:c>
      <x:c r="D424" s="20" t="str">
        <x:v>2</x:v>
      </x:c>
      <x:c r="E424" s="20" t="str"/>
      <x:c r="F424" s="20" t="str">
        <x:f>IF(E424="",D424,E424)</x:f>
        <x:v>2</x:v>
      </x:c>
      <x:c r="G424" s="13" t="str">
        <x:v>Window Based BFT Blockchain Consensus</x:v>
      </x:c>
      <x:c r="H424" s="13" t="n">
        <x:v>0</x:v>
      </x:c>
      <x:c r="I424" s="22" t="n">
        <x:v>0.04416139532809703</x:v>
      </x:c>
      <x:c r="J424" s="13" t="n">
        <x:v>3</x:v>
      </x:c>
      <x:c r="K424" s="19" t="str">
        <x:v>What are the main approaches for reducing communication and latency costs in Byzantine fault-tolerant consensus protocols?</x:v>
      </x:c>
      <x:c r="L424" s="19" t="str">
        <x:v>(BFT) are the two main classes of consensus protocols that are
used in the blockchain consensus layer. PoW is highly scalable but
very slow with performance of about 7 transactions/second. BFT-
based protocols are highly efﬁcient for small networks, but their
scalability is limited to only tens of nodes. One of the main reasons
for the BFT limitation is the quadratic O(n2) communication
complexity of BFT-based protocols for n nodes, which requires
n × n broadcasting. In this paper, we present the Musch protocol
which is BFT-based and provides communication complexity
O(f n + n) for f failures and n nodes, where f &lt; n/ 3, without
compromising the latency. Hence, the performance adjusts to f
such that for constant f the communication complexity is linear.
Musch achieves this by introducing the notion of exponentially
increasing windows of nodes to which complains are reported,</x:v>
      </x:c>
      <x:c r="M424" s="19" t="str">
        <x:v>该段包含可直接回答问题的方法、指标、比较或研究发现。</x:v>
      </x:c>
      <x:c r="N424" s="13" t="str">
        <x:v>http://arxiv.org/abs/1906.04381v1</x:v>
      </x:c>
    </x:row>
    <x:row r="425" ht="58" customHeight="1">
      <x:c r="A425" s="13" t="str">
        <x:v>csq015-c007</x:v>
      </x:c>
      <x:c r="B425" s="13" t="str">
        <x:v>csq015</x:v>
      </x:c>
      <x:c r="C425" s="21" t="n">
        <x:v>7</x:v>
      </x:c>
      <x:c r="D425" s="20" t="str">
        <x:v>2</x:v>
      </x:c>
      <x:c r="E425" s="20" t="str"/>
      <x:c r="F425" s="20" t="str">
        <x:f>IF(E425="",D425,E425)</x:f>
        <x:v>2</x:v>
      </x:c>
      <x:c r="G425" s="13" t="str">
        <x:v>Probabilistic Byzantine Fault Tolerance (Extended Version)</x:v>
      </x:c>
      <x:c r="H425" s="13" t="n">
        <x:v>0</x:v>
      </x:c>
      <x:c r="I425" s="22" t="n">
        <x:v>0.044136460554371</x:v>
      </x:c>
      <x:c r="J425" s="13" t="n">
        <x:v>3</x:v>
      </x:c>
      <x:c r="K425" s="19" t="str">
        <x:v>What are the main approaches for reducing communication and latency costs in Byzantine fault-tolerant consensus protocols?</x:v>
      </x:c>
      <x:c r="L425" s="19" t="str">
        <x:v>that adversaries can create. Following this approach typically results in either an increase in the message
complexity (e.g., PBFT) or an increase in the number of communication steps (e.g., HotStuff). In practice,
however, adversaries are not as powerful as the ones assumed by these protocols. Furthermore, it might suffice
to ensure safety and liveness properties with high probability. To accommodate more realistic and optimistic
adversaries and improve the scalability of BFT consensus, we propose ProBFT (Probabilistic Byzantine Fault
Tolerance). ProBFT is a leader-based probabilistic consensus protocol with a message complexity of𝑂(𝑛√𝑛)
and an optimal number of communication steps that tolerates Byzantine faults in permissioned partially
synchronous systems. It is built on top of well-known primitives, such as probabilistic Byzantine quorums</x:v>
      </x:c>
      <x:c r="M425" s="19" t="str">
        <x:v>该段包含可直接回答问题的方法、指标、比较或研究发现。</x:v>
      </x:c>
      <x:c r="N425" s="13" t="str">
        <x:v>http://arxiv.org/abs/2405.04606v3</x:v>
      </x:c>
    </x:row>
    <x:row r="426" ht="58" customHeight="1">
      <x:c r="A426" s="13" t="str">
        <x:v>csq015-c008</x:v>
      </x:c>
      <x:c r="B426" s="13" t="str">
        <x:v>csq015</x:v>
      </x:c>
      <x:c r="C426" s="21" t="n">
        <x:v>8</x:v>
      </x:c>
      <x:c r="D426" s="20" t="str">
        <x:v>2</x:v>
      </x:c>
      <x:c r="E426" s="20" t="str"/>
      <x:c r="F426" s="20" t="str">
        <x:f>IF(E426="",D426,E426)</x:f>
        <x:v>2</x:v>
      </x:c>
      <x:c r="G426" s="13" t="str">
        <x:v>Probabilistic Byzantine Fault Tolerance (Extended Version)</x:v>
      </x:c>
      <x:c r="H426" s="13" t="n">
        <x:v>15</x:v>
      </x:c>
      <x:c r="I426" s="22" t="n">
        <x:v>0.04402951248992748</x:v>
      </x:c>
      <x:c r="J426" s="13" t="n">
        <x:v>3</x:v>
      </x:c>
      <x:c r="K426" s="19" t="str">
        <x:v>What are the main approaches for reducing communication and latency costs in Byzantine fault-tolerant consensus protocols?</x:v>
      </x:c>
      <x:c r="L426" s="19" t="str">
        <x:v>with high probability in permissioned partially synchronous systems. This protocol’s message
complexity is𝑂(𝑛√𝑛) in a system with𝑛 replicas, and it has an optimal number of communication
steps. ProBFT introduces a novel paradigm for designing scalable Byzantine-resilient protocols
for less pessimistic contexts. We believe the same techniques used in ProBFT can be employed in</x:v>
      </x:c>
      <x:c r="M426" s="19" t="str">
        <x:v>该段包含可直接回答问题的方法、指标、比较或研究发现。</x:v>
      </x:c>
      <x:c r="N426" s="13" t="str">
        <x:v>http://arxiv.org/abs/2405.04606v3</x:v>
      </x:c>
    </x:row>
    <x:row r="427" ht="58" customHeight="1">
      <x:c r="A427" s="13" t="str">
        <x:v>csq015-c009</x:v>
      </x:c>
      <x:c r="B427" s="13" t="str">
        <x:v>csq015</x:v>
      </x:c>
      <x:c r="C427" s="21" t="n">
        <x:v>9</x:v>
      </x:c>
      <x:c r="D427" s="20" t="str">
        <x:v>2</x:v>
      </x:c>
      <x:c r="E427" s="20" t="str"/>
      <x:c r="F427" s="20" t="str">
        <x:f>IF(E427="",D427,E427)</x:f>
        <x:v>2</x:v>
      </x:c>
      <x:c r="G427" s="13" t="str">
        <x:v>Probabilistic Byzantine Fault Tolerance (Extended Version)</x:v>
      </x:c>
      <x:c r="H427" s="13" t="n">
        <x:v>15</x:v>
      </x:c>
      <x:c r="I427" s="22" t="n">
        <x:v>0.043590401799357026</x:v>
      </x:c>
      <x:c r="J427" s="13" t="n">
        <x:v>3</x:v>
      </x:c>
      <x:c r="K427" s="19" t="str">
        <x:v>What are the main approaches for reducing communication and latency costs in Byzantine fault-tolerant consensus protocols?</x:v>
      </x:c>
      <x:c r="L427" s="19" t="str">
        <x:v>requires strong cryptographic primitives, which can negatively affect the performance of the
protocol. Further works like Cachin et al. [9] leveraged threshold signatures to devise a protocol
with constant expected time and message complexity of𝑂(𝑛2). More recently, Mostéfaoui et al. [42]
proposed a similar protocol that is signature-free. HoneyBadgerBFT [40] is a practical randomized
consensus protocol that has at least an𝑂(𝑛3) message complexity. Follow-up works (e.g., [17, 21, 35])
improved different aspects of practical randomized protocols, including their message complexity,
but never below𝑂(𝑛2). The same can be said about DAG-based protocols (e.g., [28, 54]) that use
local rules to commit blocks (i.e., decide consensus values) and resort to a kind of randomized
consensus only when such rules are not enough.</x:v>
      </x:c>
      <x:c r="M427" s="19" t="str">
        <x:v>该段包含可直接回答问题的方法、指标、比较或研究发现。</x:v>
      </x:c>
      <x:c r="N427" s="13" t="str">
        <x:v>http://arxiv.org/abs/2405.04606v3</x:v>
      </x:c>
    </x:row>
    <x:row r="428" ht="58" customHeight="1">
      <x:c r="A428" s="13" t="str">
        <x:v>csq015-c010</x:v>
      </x:c>
      <x:c r="B428" s="13" t="str">
        <x:v>csq015</x:v>
      </x:c>
      <x:c r="C428" s="21" t="n">
        <x:v>10</x:v>
      </x:c>
      <x:c r="D428" s="20" t="str">
        <x:v>2</x:v>
      </x:c>
      <x:c r="E428" s="20" t="str"/>
      <x:c r="F428" s="20" t="str">
        <x:f>IF(E428="",D428,E428)</x:f>
        <x:v>2</x:v>
      </x:c>
      <x:c r="G428" s="13" t="str">
        <x:v>Scalable Byzantine Fault Tolerance via Partial Decentralization</x:v>
      </x:c>
      <x:c r="H428" s="13" t="n">
        <x:v>1</x:v>
      </x:c>
      <x:c r="I428" s="22" t="n">
        <x:v>0.04130672926447575</x:v>
      </x:c>
      <x:c r="J428" s="13" t="n">
        <x:v>3</x:v>
      </x:c>
      <x:c r="K428" s="19" t="str">
        <x:v>What are the main approaches for reducing communication and latency costs in Byzantine fault-tolerant consensus protocols?</x:v>
      </x:c>
      <x:c r="L428" s="19" t="str">
        <x:v>Balaji Arun and Binoy Ravindran
techniques include: (1) using a hardware-assisted trusted subsystem
to increase fault-tolerance and decrease quorum sizes; (2) linear
communication for scalability; and (3) using threshold cryptography
for optimal linear communication.
BFT protocols require 3𝑓+ 1 replicas and three communication
steps among two-thirds of replicas to reach agreement. In contrast,
Hybrid consensus protocols [14, 55] use trusted subsystems to re-
quire only 2𝑓+ 1 replicas and two communication steps among
majority replicas to reach agreement. We show that such efficiency
combined with the reduction in the number of messages exchanged
per commit via linear communication patterns is key in leveraging
the benefits of the DQBFT paradigm at scale (see Figures 2 and 3).
With this insight, we adopt and linearize the common-case com-</x:v>
      </x:c>
      <x:c r="M428" s="19" t="str">
        <x:v>该段包含可直接回答问题的方法、指标、比较或研究发现。</x:v>
      </x:c>
      <x:c r="N428" s="13" t="str">
        <x:v>http://arxiv.org/abs/2202.13408v1</x:v>
      </x:c>
    </x:row>
    <x:row r="429" ht="58" customHeight="1">
      <x:c r="A429" s="13" t="str">
        <x:v>csq015-c011</x:v>
      </x:c>
      <x:c r="B429" s="13" t="str">
        <x:v>csq015</x:v>
      </x:c>
      <x:c r="C429" s="21" t="n">
        <x:v>11</x:v>
      </x:c>
      <x:c r="D429" s="20" t="str">
        <x:v>2</x:v>
      </x:c>
      <x:c r="E429" s="20" t="str"/>
      <x:c r="F429" s="20" t="str">
        <x:f>IF(E429="",D429,E429)</x:f>
        <x:v>2</x:v>
      </x:c>
      <x:c r="G429" s="13" t="str">
        <x:v>BigBFT: A Multileader Byzantine Fault Tolerance Protocol for High Throughput</x:v>
      </x:c>
      <x:c r="H429" s="13" t="n">
        <x:v>0</x:v>
      </x:c>
      <x:c r="I429" s="22" t="n">
        <x:v>0.03057889822595705</x:v>
      </x:c>
      <x:c r="J429" s="13" t="n">
        <x:v>2</x:v>
      </x:c>
      <x:c r="K429" s="19" t="str">
        <x:v>What are the main approaches for reducing communication and latency costs in Byzantine fault-tolerant consensus protocols?</x:v>
      </x:c>
      <x:c r="L429" s="19" t="str">
        <x:v>BigBFT: A Multileader Byzantine Fault Tolerance
Protocol for High Throughput
Salem Alqahtani
Computer Science Department
University at Buffalo,SUNY
salemmoh@buffalo.edu
Murat Demirbas
Computer Science Department
University at Buffalo,SUNY
demirbas@buffalo.edu
Abstract—This paper describes BigBFT, a multi-leader Byzan-
tine fault tolerance protocol that achieves high throughput and
scalable consensus in blockchain systems. BigBFT achieves this
by (1) enabling every node to be a leader that can propose
and order the blocks in parallel, (2) piggybacking votes within
rounds, (3) pipelining blocks across rounds, and (4) using only
two communication steps to order blocks in the common case.
BigBFT has an amortized communication cost of O(n) over n
requests. We evaluate BigBFT’s performance both analytically,
using back-of-the-envelope load formulas to construct a cost</x:v>
      </x:c>
      <x:c r="M429" s="19" t="str">
        <x:v>该段包含可直接回答问题的方法、指标、比较或研究发现。</x:v>
      </x:c>
      <x:c r="N429" s="13" t="str">
        <x:v>http://arxiv.org/abs/2109.12664v2</x:v>
      </x:c>
    </x:row>
    <x:row r="430" ht="58" customHeight="1">
      <x:c r="A430" s="13" t="str">
        <x:v>csq015-c012</x:v>
      </x:c>
      <x:c r="B430" s="13" t="str">
        <x:v>csq015</x:v>
      </x:c>
      <x:c r="C430" s="21" t="n">
        <x:v>12</x:v>
      </x:c>
      <x:c r="D430" s="20" t="str">
        <x:v>2</x:v>
      </x:c>
      <x:c r="E430" s="20" t="str"/>
      <x:c r="F430" s="20" t="str">
        <x:f>IF(E430="",D430,E430)</x:f>
        <x:v>2</x:v>
      </x:c>
      <x:c r="G430" s="13" t="str">
        <x:v>Window Based BFT Blockchain Consensus</x:v>
      </x:c>
      <x:c r="H430" s="13" t="n">
        <x:v>1</x:v>
      </x:c>
      <x:c r="I430" s="22" t="n">
        <x:v>0.030330882352941176</x:v>
      </x:c>
      <x:c r="J430" s="13" t="n">
        <x:v>2</x:v>
      </x:c>
      <x:c r="K430" s="19" t="str">
        <x:v>What are the main approaches for reducing communication and latency costs in Byzantine fault-tolerant consensus protocols?</x:v>
      </x:c>
      <x:c r="L430" s="19" t="str">
        <x:v>PBFT FastBFT Aliph Musch
Total Replicasn 3f ′ + 1 2f ′ + 1 3f ′ + 1 3f ′ + 1
Critical Path 4 3 + log(f ′ + 1) 3f ′ + 2 4
Communication
Complexity O(n2) O(n2) O(n2) O(fn +n)
TABLE I: Characteristics of state of Art BFT protocols. The
actual faulty nodes is f, while f′ is an upper bound, f≤f′.
protocols such as PBFT [9], FastBFT [10], and Aliph [8].
We compared the communication complexity measured as
number of total exchanged messages during an epoch. Our
algorithm’s performance depends solely onfn, while the other
algorithms have quadratic communication complexity. Hence,
our algorithm has an advantage when f is asymptotically
smaller thann, resulting in less than quadratic communication
complexity. When f is a constant our algorithm is optimal.
Additionally, we also compared the critical path length, as
the number of one-way message latency it takes for a client</x:v>
      </x:c>
      <x:c r="M430" s="19" t="str">
        <x:v>该段包含可直接回答问题的方法、指标、比较或研究发现。</x:v>
      </x:c>
      <x:c r="N430" s="13" t="str">
        <x:v>http://arxiv.org/abs/1906.04381v1</x:v>
      </x:c>
    </x:row>
    <x:row r="431" ht="58" customHeight="1">
      <x:c r="A431" s="13" t="str">
        <x:v>csq015-c013</x:v>
      </x:c>
      <x:c r="B431" s="13" t="str">
        <x:v>csq015</x:v>
      </x:c>
      <x:c r="C431" s="21" t="n">
        <x:v>13</x:v>
      </x:c>
      <x:c r="D431" s="20" t="str">
        <x:v>2</x:v>
      </x:c>
      <x:c r="E431" s="20" t="str"/>
      <x:c r="F431" s="20" t="str">
        <x:f>IF(E431="",D431,E431)</x:f>
        <x:v>2</x:v>
      </x:c>
      <x:c r="G431" s="13" t="str">
        <x:v>Ocior: Ultra-Fast Asynchronous Leaderless Consensus with Two-Round Finality, Linear Overhead, and Adaptive Security</x:v>
      </x:c>
      <x:c r="H431" s="13" t="n">
        <x:v>2</x:v>
      </x:c>
      <x:c r="I431" s="22" t="n">
        <x:v>0.02877846790890269</x:v>
      </x:c>
      <x:c r="J431" s="13" t="n">
        <x:v>2</x:v>
      </x:c>
      <x:c r="K431" s="19" t="str">
        <x:v>What are the main approaches for reducing communication and latency costs in Byzantine fault-tolerant consensus protocols?</x:v>
      </x:c>
      <x:c r="L431" s="19" t="str">
        <x:v>2 ⌋for a total ofn= 3t+τ+ 1nodes, where
τ≥0. In particular, whenτ= 0, Hydrangea achieves a good-case latency of three rounds when the number of Byzantine nodes is greater
than0. When the number of Byzantine nodes is at most⌊ τ
2 ⌋, it achieves a good-case latency of two rounds.
To support efficient consensus and fast attestation,Ociorintroduces a novelnon-interactive threshold
signature(TS) scheme calledOciorBLSts. Unlike traditionalTSschemes that requireO(n 2)effort for
signature aggregation (orO(nlog 2 n)with optimizations [10]),OciorBLStsreduces aggregation toO(n)
in the best case while ensuringadaptive security. Its design is based on a new idea of non-interactive
Layered Threshold Signatures(LTS), where the final signature is composed throughLlayers of partial
signatures, for a predefined parameterL. At each layerℓ, a partial signature is generated from a set of</x:v>
      </x:c>
      <x:c r="M431" s="19" t="str">
        <x:v>该段包含可直接回答问题的方法、指标、比较或研究发现。</x:v>
      </x:c>
      <x:c r="N431" s="13" t="str">
        <x:v>http://arxiv.org/abs/2509.01118v2</x:v>
      </x:c>
    </x:row>
    <x:row r="432" ht="58" customHeight="1">
      <x:c r="A432" s="13" t="str">
        <x:v>csq015-c014</x:v>
      </x:c>
      <x:c r="B432" s="13" t="str">
        <x:v>csq015</x:v>
      </x:c>
      <x:c r="C432" s="21" t="n">
        <x:v>14</x:v>
      </x:c>
      <x:c r="D432" s="20" t="str">
        <x:v>2</x:v>
      </x:c>
      <x:c r="E432" s="20" t="str"/>
      <x:c r="F432" s="20" t="str">
        <x:f>IF(E432="",D432,E432)</x:f>
        <x:v>2</x:v>
      </x:c>
      <x:c r="G432" s="13" t="str">
        <x:v>Probabilistic Byzantine Fault Tolerance (Extended Version)</x:v>
      </x:c>
      <x:c r="H432" s="13" t="n">
        <x:v>13</x:v>
      </x:c>
      <x:c r="I432" s="22" t="n">
        <x:v>0.02761904761904762</x:v>
      </x:c>
      <x:c r="J432" s="13" t="n">
        <x:v>2</x:v>
      </x:c>
      <x:c r="K432" s="19" t="str">
        <x:v>What are the main approaches for reducing communication and latency costs in Byzantine fault-tolerant consensus protocols?</x:v>
      </x:c>
      <x:c r="L432" s="19" t="str">
        <x:v>Byzantine replicas. Similarly, the bottom-right sub-figure shows that the probability of deciding
increases as we have fewer Byzantine replicas.
Number of exchanged messages. Figure 1b shows the number of exchanged messages in PBFT,
ProBFT (for different values of𝑜), and HotStuff. In the figure, it is possible to see that ProBFT
exchanges significantly fewer messages than PBFT despite having the same good-case optimal
latency. Taking together with the results of Figure 5, we can see that ProBFT with𝑜 = 1.7 ensures</x:v>
      </x:c>
      <x:c r="M432" s="19" t="str">
        <x:v>该段包含可直接回答问题的方法、指标、比较或研究发现。</x:v>
      </x:c>
      <x:c r="N432" s="13" t="str">
        <x:v>http://arxiv.org/abs/2405.04606v3</x:v>
      </x:c>
    </x:row>
    <x:row r="433" ht="58" customHeight="1">
      <x:c r="A433" s="13" t="str">
        <x:v>csq015-c015</x:v>
      </x:c>
      <x:c r="B433" s="13" t="str">
        <x:v>csq015</x:v>
      </x:c>
      <x:c r="C433" s="21" t="n">
        <x:v>15</x:v>
      </x:c>
      <x:c r="D433" s="20" t="str">
        <x:v>2</x:v>
      </x:c>
      <x:c r="E433" s="20" t="str"/>
      <x:c r="F433" s="20" t="str">
        <x:f>IF(E433="",D433,E433)</x:f>
        <x:v>2</x:v>
      </x:c>
      <x:c r="G433" s="13" t="str">
        <x:v>Efficient and Secure Sleepy Model for BFT Consensus</x:v>
      </x:c>
      <x:c r="H433" s="13" t="n">
        <x:v>16</x:v>
      </x:c>
      <x:c r="I433" s="22" t="n">
        <x:v>0.02758751902587519</x:v>
      </x:c>
      <x:c r="J433" s="13" t="n">
        <x:v>2</x:v>
      </x:c>
      <x:c r="K433" s="19" t="str">
        <x:v>What are the main approaches for reducing communication and latency costs in Byzantine fault-tolerant consensus protocols?</x:v>
      </x:c>
      <x:c r="L433" s="19" t="str">
        <x:v>tency across varying participation levels, only showing limitations in extreme
instability scenarios.
We acknowledge that PVSS inherently adds communication overhead due to
the distribution of shares and commitments. While our computational bench-
marks demonstrate feasibility, optimizing communication complexity, particu-
larly at larger network scales, remains an important consideration. Future work
includes investigating techniques to reduce overall message costs.
Acknowledgment
This project is fully supported by the CloudTech-RMIT Green Bitcoin Joint
Research Program.
References
1. Basu, S., Tomescu, A., Abraham, I., Malkhi, D., Reiter, M.K., Sirer, E.G.: Efficient
verifiable secret sharing with share recovery in BFT protocols. In: Proceedings of
the 2019 ACM SIGSAC Conference on Computer and Communications Security
(CCS). pp. 2387–2402 (2019)</x:v>
      </x:c>
      <x:c r="M433" s="19" t="str">
        <x:v>该段包含可直接回答问题的方法、指标、比较或研究发现。</x:v>
      </x:c>
      <x:c r="N433" s="13" t="str">
        <x:v>http://arxiv.org/abs/2509.03145v1</x:v>
      </x:c>
    </x:row>
    <x:row r="434" ht="58" customHeight="1">
      <x:c r="A434" s="13" t="str">
        <x:v>csq015-c016</x:v>
      </x:c>
      <x:c r="B434" s="13" t="str">
        <x:v>csq015</x:v>
      </x:c>
      <x:c r="C434" s="21" t="n">
        <x:v>16</x:v>
      </x:c>
      <x:c r="D434" s="20" t="str">
        <x:v>2</x:v>
      </x:c>
      <x:c r="E434" s="20" t="str"/>
      <x:c r="F434" s="20" t="str">
        <x:f>IF(E434="",D434,E434)</x:f>
        <x:v>2</x:v>
      </x:c>
      <x:c r="G434" s="13" t="str">
        <x:v>BigBFT: A Multileader Byzantine Fault Tolerance Protocol for High Throughput</x:v>
      </x:c>
      <x:c r="H434" s="13" t="n">
        <x:v>8</x:v>
      </x:c>
      <x:c r="I434" s="22" t="n">
        <x:v>0.027402402402402402</x:v>
      </x:c>
      <x:c r="J434" s="13" t="n">
        <x:v>2</x:v>
      </x:c>
      <x:c r="K434" s="19" t="str">
        <x:v>What are the main approaches for reducing communication and latency costs in Byzantine fault-tolerant consensus protocols?</x:v>
      </x:c>
      <x:c r="L434" s="19" t="str">
        <x:v>PBFT [2] HotStuff [4] Mir-BFT [12] Streamlet [5] Tendermint [3] BigBFT(This paper)
Critical path 5 10 5 4 5 4
Normal Message Complexity O(N 2) O(N ) O(N 2) O(N 3) O(N 2) O(N )
Multiple View Change O(N 4) O(N 2) O(N 4) O(N 4) O(N 3) O(N )
Responsive Yes Yes Yes No No Yes
Table I: Characteristics of BFT consensus protocols
when there is a leader cascading failure, the Streamlet message
complexity is O(N 4).
HotStuff all have linear message complexity. The worse case
communication cost in these protocols is O(N 2) considering
worst-case consecutive view-changes.
BigBFT has communication message complexity O(N ).
BigBFT has a linear communication complexity in vote phase
in the best case scenarios. In the worst case scenario when
there is a leader cascading failure, the BigBFT message
complexity does not change because overlapping between
propose-vote phases and coordination phase.</x:v>
      </x:c>
      <x:c r="M434" s="19" t="str">
        <x:v>该段包含可直接回答问题的方法、指标、比较或研究发现。</x:v>
      </x:c>
      <x:c r="N434" s="13" t="str">
        <x:v>http://arxiv.org/abs/2109.12664v2</x:v>
      </x:c>
    </x:row>
    <x:row r="435" ht="58" customHeight="1">
      <x:c r="A435" s="13" t="str">
        <x:v>csq015-c017</x:v>
      </x:c>
      <x:c r="B435" s="13" t="str">
        <x:v>csq015</x:v>
      </x:c>
      <x:c r="C435" s="21" t="n">
        <x:v>17</x:v>
      </x:c>
      <x:c r="D435" s="20" t="str">
        <x:v>2</x:v>
      </x:c>
      <x:c r="E435" s="20" t="str"/>
      <x:c r="F435" s="20" t="str">
        <x:f>IF(E435="",D435,E435)</x:f>
        <x:v>2</x:v>
      </x:c>
      <x:c r="G435" s="13" t="str">
        <x:v>BigBFT: A Multileader Byzantine Fault Tolerance Protocol for High Throughput</x:v>
      </x:c>
      <x:c r="H435" s="13" t="n">
        <x:v>3</x:v>
      </x:c>
      <x:c r="I435" s="22" t="n">
        <x:v>0.01639344262295082</x:v>
      </x:c>
      <x:c r="J435" s="13" t="n">
        <x:v>1</x:v>
      </x:c>
      <x:c r="K435" s="19" t="str">
        <x:v>What are the main approaches for reducing communication and latency costs in Byzantine fault-tolerant consensus protocols?</x:v>
      </x:c>
      <x:c r="L435" s="19" t="str">
        <x:v>[7], [11], [29], we assume standard digital signatures and
public-key infrastructure (PKI) that identify all leader and
client processes. The BigBFT’s message exchange patterns
combined with some cryptographic primitives to create digital
signatures. BigBFT uses a signature aggregation scheme [30]
that reduces the message complexity [31] and enables leaders
to convert a set of signatures into a single signature; however,
this can only happen when the set contains threshold value
which is N−F in BigBFT.
The scheme allows leaders to receive N − F partial
signatures σi = signi(Bj) from every leader i for ev-
ery block Bj, and combine them into a single signature
σ =AggSign(signi(Bj) i∈N and j∈Bj ). The leader then ag-
gregate all σ in a single signature AggQC .
BigBFT uses message digest to detect corrupted mes-
sages. Both clients and leaders must be able to verify each</x:v>
      </x:c>
      <x:c r="M435" s="19" t="str">
        <x:v>该段包含可直接回答问题的方法、指标、比较或研究发现。</x:v>
      </x:c>
      <x:c r="N435" s="13" t="str">
        <x:v>http://arxiv.org/abs/2109.12664v2</x:v>
      </x:c>
    </x:row>
    <x:row r="436" ht="58" customHeight="1">
      <x:c r="A436" s="13" t="str">
        <x:v>csq015-c018</x:v>
      </x:c>
      <x:c r="B436" s="13" t="str">
        <x:v>csq015</x:v>
      </x:c>
      <x:c r="C436" s="21" t="n">
        <x:v>18</x:v>
      </x:c>
      <x:c r="D436" s="20" t="str">
        <x:v>2</x:v>
      </x:c>
      <x:c r="E436" s="20" t="str"/>
      <x:c r="F436" s="20" t="str">
        <x:f>IF(E436="",D436,E436)</x:f>
        <x:v>2</x:v>
      </x:c>
      <x:c r="G436" s="13" t="str">
        <x:v>Ocior: Ultra-Fast Asynchronous Leaderless Consensus with Two-Round Finality, Linear Overhead, and Adaptive Security</x:v>
      </x:c>
      <x:c r="H436" s="13" t="n">
        <x:v>2</x:v>
      </x:c>
      <x:c r="I436" s="22" t="n">
        <x:v>0.01639344262295082</x:v>
      </x:c>
      <x:c r="J436" s="13" t="n">
        <x:v>1</x:v>
      </x:c>
      <x:c r="K436" s="19" t="str">
        <x:v>What are the main approaches for reducing communication and latency costs in Byzantine fault-tolerant consensus protocols?</x:v>
      </x:c>
      <x:c r="L436" s="19" t="str">
        <x:v>for more flexible and expressive consensus policies.
Finally, Table I comparesOciorwith other consensus protocols. Along this line of research, some
works attempt to reduce round complexity, but only under synchronous or partially synchronous settings
(e.g., [3], [5], [11]–[13]). In particular, the authors of [5] proved that no consensus protocol can achieve
atwo-round latencywhen the number of Byzantine nodes exceeds
 τ+2
2
, for a total ofn= 3t+τ+ 1
nodes, whereτ≥0. In contrast, we show thatOciorbreaks this barrier by achievingtwo-round latency
even in theasynchronoussetting, when the number of Byzantine nodes is up tot=
 n−1−τ
3
, for any
τ≥0.</x:v>
      </x:c>
      <x:c r="M436" s="19" t="str">
        <x:v>该段包含可直接回答问题的方法、指标、比较或研究发现。</x:v>
      </x:c>
      <x:c r="N436" s="13" t="str">
        <x:v>http://arxiv.org/abs/2509.01118v2</x:v>
      </x:c>
    </x:row>
    <x:row r="437" ht="58" customHeight="1">
      <x:c r="A437" s="13" t="str">
        <x:v>csq015-c019</x:v>
      </x:c>
      <x:c r="B437" s="13" t="str">
        <x:v>csq015</x:v>
      </x:c>
      <x:c r="C437" s="21" t="n">
        <x:v>19</x:v>
      </x:c>
      <x:c r="D437" s="20" t="str">
        <x:v>2</x:v>
      </x:c>
      <x:c r="E437" s="20" t="str"/>
      <x:c r="F437" s="20" t="str">
        <x:f>IF(E437="",D437,E437)</x:f>
        <x:v>2</x:v>
      </x:c>
      <x:c r="G437" s="13" t="str">
        <x:v>Ocior: Ultra-Fast Asynchronous Leaderless Consensus with Two-Round Finality, Linear Overhead, and Adaptive Security</x:v>
      </x:c>
      <x:c r="H437" s="13" t="n">
        <x:v>1</x:v>
      </x:c>
      <x:c r="I437" s="22" t="n">
        <x:v>0.016129032258064516</x:v>
      </x:c>
      <x:c r="J437" s="13" t="n">
        <x:v>1</x:v>
      </x:c>
      <x:c r="K437" s="19" t="str">
        <x:v>What are the main approaches for reducing communication and latency costs in Byzantine fault-tolerant consensus protocols?</x:v>
      </x:c>
      <x:c r="L437" s="19" t="str">
        <x:v>Ociorachieves the following asymptotically optimal guarantees:
•Optimal resilience: It tolerates up totByzantine nodes controlled by anadaptiveadversary, for
n≥3t+ 1.
•Optimal communication complexity: The total expected communication per transaction isO(n).
•Optimal (or near-optimal) computation complexity: The total computation per transaction isO(n)
in the best case, orO(nlog 2 n)in the worst case, measured in cryptographic operations (signing,
verification, hashing, and arithmetic on signature-sized values).
•Optimal round complexity: A legitimatetwo-partytransaction can be finalized intwoasynchronous
rounds (good-case latency) for anyn≥3t+ 1, where each round is a singleone-waycommunication.
Here, thegood caserefers to transactions proposed by any honest node. Atwo-party transaction</x:v>
      </x:c>
      <x:c r="M437" s="19" t="str">
        <x:v>该段包含可直接回答问题的方法、指标、比较或研究发现。</x:v>
      </x:c>
      <x:c r="N437" s="13" t="str">
        <x:v>http://arxiv.org/abs/2509.01118v2</x:v>
      </x:c>
    </x:row>
    <x:row r="438" ht="58" customHeight="1">
      <x:c r="A438" s="13" t="str">
        <x:v>csq015-c020</x:v>
      </x:c>
      <x:c r="B438" s="13" t="str">
        <x:v>csq015</x:v>
      </x:c>
      <x:c r="C438" s="21" t="n">
        <x:v>20</x:v>
      </x:c>
      <x:c r="D438" s="20" t="str">
        <x:v>2</x:v>
      </x:c>
      <x:c r="E438" s="20" t="str"/>
      <x:c r="F438" s="20" t="str">
        <x:f>IF(E438="",D438,E438)</x:f>
        <x:v>2</x:v>
      </x:c>
      <x:c r="G438" s="13" t="str">
        <x:v>Efficient and Secure Sleepy Model for BFT Consensus</x:v>
      </x:c>
      <x:c r="H438" s="13" t="n">
        <x:v>3</x:v>
      </x:c>
      <x:c r="I438" s="22" t="n">
        <x:v>0.016129032258064516</x:v>
      </x:c>
      <x:c r="J438" s="13" t="n">
        <x:v>1</x:v>
      </x:c>
      <x:c r="K438" s="19" t="str">
        <x:v>What are the main approaches for reducing communication and latency costs in Byzantine fault-tolerant consensus protocols?</x:v>
      </x:c>
      <x:c r="L438" s="19" t="str">
        <x:v>can increase latency, while dynamically adjusting the quorum size increases the
complexity of maintaining safety and liveness.
Security Optimizations in BFT ProtocolsThough designed to with-
stand arbitrary faults, BFT protocols struggle to maintain security as networks
scale and adversaries grow more sophisticated. Researchers have continuously
sought to enhance the security of BFT systems. Algorand [7] introduced a ver-
ifiable random function (VRF) to randomly select a user committee to run the
consensus in each round. ByzCoin [18] proposed the use of collective signing
to reduce communication complexity and maintain safety. SBFT [15] further
utilized threshold signatures based on the BLS signature scheme [4].
Secret sharing [3] [25] schemes have been increasingly integrated into BFT
protocols to enhance their security [2] [6]. FastBFT [19] leverages trusted execu-</x:v>
      </x:c>
      <x:c r="M438" s="19" t="str">
        <x:v>该段包含可直接回答问题的方法、指标、比较或研究发现。</x:v>
      </x:c>
      <x:c r="N438" s="13" t="str">
        <x:v>http://arxiv.org/abs/2509.03145v1</x:v>
      </x:c>
    </x:row>
    <x:row r="439" ht="58" customHeight="1">
      <x:c r="A439" s="13" t="str">
        <x:v>csq015-c021</x:v>
      </x:c>
      <x:c r="B439" s="13" t="str">
        <x:v>csq015</x:v>
      </x:c>
      <x:c r="C439" s="21" t="n">
        <x:v>21</x:v>
      </x:c>
      <x:c r="D439" s="20" t="str">
        <x:v>1</x:v>
      </x:c>
      <x:c r="E439" s="20" t="str"/>
      <x:c r="F439" s="20" t="str">
        <x:f>IF(E439="",D439,E439)</x:f>
        <x:v>1</x:v>
      </x:c>
      <x:c r="G439" s="13" t="str">
        <x:v>Window Based BFT Blockchain Consensus</x:v>
      </x:c>
      <x:c r="H439" s="13" t="n">
        <x:v>1</x:v>
      </x:c>
      <x:c r="I439" s="22" t="n">
        <x:v>0.015873015873015872</x:v>
      </x:c>
      <x:c r="J439" s="13" t="n">
        <x:v>1</x:v>
      </x:c>
      <x:c r="K439" s="19" t="str">
        <x:v>What are the main approaches for reducing communication and latency costs in Byzantine fault-tolerant consensus protocols?</x:v>
      </x:c>
      <x:c r="L439" s="19" t="str">
        <x:v>adversarial coordinated attacks by various malicious replicas.
However, replicas will not be able to break collision resistant
hashes, encryption, or signatures. We assume that all messages
sent by replicas and the primary are signed. For example if
primaryp proposes a block of transactions⟨B⟩p to the replica
i, we assume that it has been signed by primary p. Any
unsigned message will be discarded. To avoid repetition of
message and signatures, Musch also uses signature aggregation
[13] to use a single collective signature instead of appending
all replica signatures, to keep signature size constant. As
the primary p receives message Mi with their respective
signatures σi from each replica i, the primary then uses these
received signatures to generate an aggregated signature σ.
The aggregated signature can be veriﬁed by replicas given</x:v>
      </x:c>
      <x:c r="M439" s="19" t="str">
        <x:v>该段提供相关背景或侧面信息，但没有直接回答问题核心。</x:v>
      </x:c>
      <x:c r="N439" s="13" t="str">
        <x:v>http://arxiv.org/abs/1906.04381v1</x:v>
      </x:c>
    </x:row>
    <x:row r="440" ht="58" customHeight="1">
      <x:c r="A440" s="13" t="str">
        <x:v>csq015-c022</x:v>
      </x:c>
      <x:c r="B440" s="13" t="str">
        <x:v>csq015</x:v>
      </x:c>
      <x:c r="C440" s="21" t="n">
        <x:v>22</x:v>
      </x:c>
      <x:c r="D440" s="20" t="str">
        <x:v>2</x:v>
      </x:c>
      <x:c r="E440" s="20" t="str"/>
      <x:c r="F440" s="20" t="str">
        <x:f>IF(E440="",D440,E440)</x:f>
        <x:v>2</x:v>
      </x:c>
      <x:c r="G440" s="13" t="str">
        <x:v>Ocior: Ultra-Fast Asynchronous Leaderless Consensus with Two-Round Finality, Linear Overhead, and Adaptive Security</x:v>
      </x:c>
      <x:c r="H440" s="13" t="n">
        <x:v>13</x:v>
      </x:c>
      <x:c r="I440" s="22" t="n">
        <x:v>0.015625</x:v>
      </x:c>
      <x:c r="J440" s="13" t="n">
        <x:v>1</x:v>
      </x:c>
      <x:c r="K440" s="19" t="str">
        <x:v>What are the main approaches for reducing communication and latency costs in Byzantine fault-tolerant consensus protocols?</x:v>
      </x:c>
      <x:c r="L440" s="19" t="str">
        <x:v>LTSenables significantly faster aggregation. The total computation per message for signature aggregation
isO(n)in good cases completed viaLTS, and up toO(nlog 2 n)in worst-case scenarios completed via
theTSscheme.
D.OciorBLStswith Multiple ParallelLTSSchemes
One approach to increase the probability of success for theLTSsignature is to allow each node
to sign multipleLTSpartial signatures, each generated using a secret key share derived from a
different instantiation ofLTS.DKG(1 κ, n, k, L,{nℓ, kℓ, uℓ}L
ℓ=1)→(pkl, pkl 1, . . . , pkln, skl1, . . . , skln),</x:v>
      </x:c>
      <x:c r="M440" s="19" t="str">
        <x:v>该段包含可直接回答问题的方法、指标、比较或研究发现。</x:v>
      </x:c>
      <x:c r="N440" s="13" t="str">
        <x:v>http://arxiv.org/abs/2509.01118v2</x:v>
      </x:c>
    </x:row>
    <x:row r="441" ht="58" customHeight="1">
      <x:c r="A441" s="13" t="str">
        <x:v>csq015-c023</x:v>
      </x:c>
      <x:c r="B441" s="13" t="str">
        <x:v>csq015</x:v>
      </x:c>
      <x:c r="C441" s="21" t="n">
        <x:v>23</x:v>
      </x:c>
      <x:c r="D441" s="20" t="str">
        <x:v>2</x:v>
      </x:c>
      <x:c r="E441" s="20" t="str"/>
      <x:c r="F441" s="20" t="str">
        <x:f>IF(E441="",D441,E441)</x:f>
        <x:v>2</x:v>
      </x:c>
      <x:c r="G441" s="13" t="str">
        <x:v>Shoal: Improving DAG-BFT Latency And Robustness</x:v>
      </x:c>
      <x:c r="H441" s="13" t="n">
        <x:v>7</x:v>
      </x:c>
      <x:c r="I441" s="22" t="n">
        <x:v>0.015625</x:v>
      </x:c>
      <x:c r="J441" s="13" t="n">
        <x:v>1</x:v>
      </x:c>
      <x:c r="K441" s="19" t="str">
        <x:v>What are the main approaches for reducing communication and latency costs in Byzantine fault-tolerant consensus protocols?</x:v>
      </x:c>
      <x:c r="L441" s="19" t="str">
        <x:v>significantly improves latency, according to our evaluation.
Having fewer cases where timeouts can occur also inherently
simplifies the potential state space and thus, the implemen-
tation of the protocol. In Section 6, we refer to even-rounds
as anchor rounds and to odd-rounds as vote rounds.
Vanilla bullshark w/o vote Timeout. In the full Bull-
shark 2𝑓+ 1 votes are required to order anchors. Without
timeouts in odd rounds, a Byzantine adversary can prevent
the fast pass from making progress even during synchrony.
As long as Byzantine validators deliberately not link to the
anchor, and even 1 of their vertices get delivered among the
first 2𝑓+ 1 to an honest validator in an odd round, then the
honest validator will not be able to order the anchor.
However, we discovered that we can completely eliminate
timeouts in odd rounds in the partially synchronous variant</x:v>
      </x:c>
      <x:c r="M441" s="19" t="str">
        <x:v>该段包含可直接回答问题的方法、指标、比较或研究发现。</x:v>
      </x:c>
      <x:c r="N441" s="13" t="str">
        <x:v>http://arxiv.org/abs/2306.03058v2</x:v>
      </x:c>
    </x:row>
    <x:row r="442" ht="58" customHeight="1">
      <x:c r="A442" s="13" t="str">
        <x:v>csq015-c024</x:v>
      </x:c>
      <x:c r="B442" s="13" t="str">
        <x:v>csq015</x:v>
      </x:c>
      <x:c r="C442" s="21" t="n">
        <x:v>24</x:v>
      </x:c>
      <x:c r="D442" s="20" t="str">
        <x:v>2</x:v>
      </x:c>
      <x:c r="E442" s="20" t="str"/>
      <x:c r="F442" s="20" t="str">
        <x:f>IF(E442="",D442,E442)</x:f>
        <x:v>2</x:v>
      </x:c>
      <x:c r="G442" s="13" t="str">
        <x:v>Window Based BFT Blockchain Consensus</x:v>
      </x:c>
      <x:c r="H442" s="13" t="n">
        <x:v>0</x:v>
      </x:c>
      <x:c r="I442" s="22" t="n">
        <x:v>0.015384615384615385</x:v>
      </x:c>
      <x:c r="J442" s="13" t="n">
        <x:v>1</x:v>
      </x:c>
      <x:c r="K442" s="19" t="str">
        <x:v>What are the main approaches for reducing communication and latency costs in Byzantine fault-tolerant consensus protocols?</x:v>
      </x:c>
      <x:c r="L442" s="19" t="str">
        <x:v>it sends the complaint. The last window size is no more than
2f which guarantees to have a correct node within the last
window. This givesO(fn +n) communication complexity. In
this way, Musch avoids n×n broadcasts while guaranteeing
consistency.
Table I compares Musch with other state of art BFT-based
arXiv:1906.04381v1  [cs.DC]  11 Jun 2019</x:v>
      </x:c>
      <x:c r="M442" s="19" t="str">
        <x:v>该段包含可直接回答问题的方法、指标、比较或研究发现。</x:v>
      </x:c>
      <x:c r="N442" s="13" t="str">
        <x:v>http://arxiv.org/abs/1906.04381v1</x:v>
      </x:c>
    </x:row>
    <x:row r="443" ht="58" customHeight="1">
      <x:c r="A443" s="13" t="str">
        <x:v>csq015-c025</x:v>
      </x:c>
      <x:c r="B443" s="13" t="str">
        <x:v>csq015</x:v>
      </x:c>
      <x:c r="C443" s="21" t="n">
        <x:v>25</x:v>
      </x:c>
      <x:c r="D443" s="20" t="str">
        <x:v>2</x:v>
      </x:c>
      <x:c r="E443" s="20" t="str"/>
      <x:c r="F443" s="20" t="str">
        <x:f>IF(E443="",D443,E443)</x:f>
        <x:v>2</x:v>
      </x:c>
      <x:c r="G443" s="13" t="str">
        <x:v>BigBFT: A Multileader Byzantine Fault Tolerance Protocol for High Throughput</x:v>
      </x:c>
      <x:c r="H443" s="13" t="n">
        <x:v>4</x:v>
      </x:c>
      <x:c r="I443" s="22" t="n">
        <x:v>0.015384615384615385</x:v>
      </x:c>
      <x:c r="J443" s="13" t="n">
        <x:v>1</x:v>
      </x:c>
      <x:c r="K443" s="19" t="str">
        <x:v>What are the main approaches for reducing communication and latency costs in Byzantine fault-tolerant consensus protocols?</x:v>
      </x:c>
      <x:c r="L443" s="19" t="str">
        <x:v>instead of sending vote messages N−F times, we combine
Algorithm 2: BigBFT protocol
for each r← 0, 1, 2... do
⊿ Prepare phase of Li
li
⟨
waits for Bj
⟩
from client Then
if Bj ==valid then
msg =Propose (prepare,AggQC r−1,B j)
broadcast(msg,d (Bj),r )
⊿ L i receives prepare Msgs
if receives N-F prepare msgs then
// Same block cannot be assign to more
than one leader
while r =true do
if Bj.Li ==Bj.Li + 1 then
r← False
if AggQC r−1 ==true then
((N−F )Bj∈r− 1)← committed
⊿ Send Vote Phase of Li
if Li received (N-F Bj wherej∈N ) in r then
{σ} =⋃N−F
j=1 σj =Sign i(Bj)
broadcast V ote(vote,{σ} , r)
⊿ L i receives Vote Msgs
QC(Bj)←⋃N−F
i=1 σi
AggQC r←⋃N−F
i=1 QCi
all vote messages in a single vote set {votes} and send it to
all leaders. Each vote message represents a partial signature
that signed by replica i for a block. Because we have N−F
blocks, we need to combined N−F signatures{σ} in one</x:v>
      </x:c>
      <x:c r="M443" s="19" t="str">
        <x:v>该段包含可直接回答问题的方法、指标、比较或研究发现。</x:v>
      </x:c>
      <x:c r="N443" s="13" t="str">
        <x:v>http://arxiv.org/abs/2109.12664v2</x:v>
      </x:c>
    </x:row>
    <x:row r="444" ht="58" customHeight="1">
      <x:c r="A444" s="13" t="str">
        <x:v>csq015-c026</x:v>
      </x:c>
      <x:c r="B444" s="13" t="str">
        <x:v>csq015</x:v>
      </x:c>
      <x:c r="C444" s="21" t="n">
        <x:v>26</x:v>
      </x:c>
      <x:c r="D444" s="20" t="str">
        <x:v>1</x:v>
      </x:c>
      <x:c r="E444" s="20" t="str"/>
      <x:c r="F444" s="20" t="str">
        <x:f>IF(E444="",D444,E444)</x:f>
        <x:v>1</x:v>
      </x:c>
      <x:c r="G444" s="13" t="str">
        <x:v>Probabilistic Byzantine Fault Tolerance (Extended Version)</x:v>
      </x:c>
      <x:c r="H444" s="13" t="n">
        <x:v>16</x:v>
      </x:c>
      <x:c r="I444" s="22" t="n">
        <x:v>0.015384615384615385</x:v>
      </x:c>
      <x:c r="J444" s="13" t="n">
        <x:v>1</x:v>
      </x:c>
      <x:c r="K444" s="19" t="str">
        <x:v>What are the main approaches for reducing communication and latency costs in Byzantine fault-tolerant consensus protocols?</x:v>
      </x:c>
      <x:c r="L444" s="19" t="str">
        <x:v>Probabilistic Byzantine Fault Tolerance (Extended Version) 17
other types of quorum-based protocols. As future work, we are particularly interested in leveraging
ProBFT for constructing a scalable state machine replication protocol and a streamlined blockchain
consensus, eliminating the need for a view-change sub-protocol.
ACKNOWLEDGMENTS
This work was partially supported by the Deutsche Forschungsgemeinschaft (DFG, German Re-
search Foundation) – 446811880 (BFT2Chain), and by FCT through the SMaRtChain project (2022.
08431.PTDC) and the LASIGE Research Unit (UIDB/00408/2020 and UIDP/00408/2020).
REFERENCES
[1] Ittai Abraham, Kartik Nayak, Ling Ren, and Zhuolun Xiang. 2021. Good-case Latency of Byzantine Broadcast: a
Complete Categorization. In Proceedings of the 2021 ACM Symposium on Principles of Distributed Computing (PODC
’21).</x:v>
      </x:c>
      <x:c r="M444" s="19" t="str">
        <x:v>该段提供相关背景或侧面信息，但没有直接回答问题核心。</x:v>
      </x:c>
      <x:c r="N444" s="13" t="str">
        <x:v>http://arxiv.org/abs/2405.04606v3</x:v>
      </x:c>
    </x:row>
    <x:row r="445" ht="58" customHeight="1">
      <x:c r="A445" s="13" t="str">
        <x:v>csq015-c027</x:v>
      </x:c>
      <x:c r="B445" s="13" t="str">
        <x:v>csq015</x:v>
      </x:c>
      <x:c r="C445" s="21" t="n">
        <x:v>27</x:v>
      </x:c>
      <x:c r="D445" s="20" t="str">
        <x:v>2</x:v>
      </x:c>
      <x:c r="E445" s="20" t="str"/>
      <x:c r="F445" s="20" t="str">
        <x:f>IF(E445="",D445,E445)</x:f>
        <x:v>2</x:v>
      </x:c>
      <x:c r="G445" s="13" t="str">
        <x:v>Efficient and Secure Sleepy Model for BFT Consensus</x:v>
      </x:c>
      <x:c r="H445" s="13" t="n">
        <x:v>0</x:v>
      </x:c>
      <x:c r="I445" s="22" t="n">
        <x:v>0.015384615384615385</x:v>
      </x:c>
      <x:c r="J445" s="13" t="n">
        <x:v>1</x:v>
      </x:c>
      <x:c r="K445" s="19" t="str">
        <x:v>What are the main approaches for reducing communication and latency costs in Byzantine fault-tolerant consensus protocols?</x:v>
      </x:c>
      <x:c r="L445" s="19" t="str">
        <x:v>tocol integrating a pre-commit mechanism with publicly verifiable secret
sharing (PVSS) into message transmission. By binding users’ identities
to their messages through PVSS, our approach reduces communication
rounds. Compared to other state-of-the-art methods, our protocol typi-
cally requires only four network delays (4∆) in common scenarios while
being resilient to up to 1/2 adversarial participants. This integration en-
hances the efficiency and security of the protocol without compromising
integrity. Theoretical analysis demonstrates the robustness of the proto-
col against Byzantine attacks. Experimental evaluations show that, com-
pared to traditional BFT protocols, our protocol significantly prevents
fork occurrences and improves chain stability. Furthermore, compared to
longest-chain protocol, our protocol maintains stability and lower latency</x:v>
      </x:c>
      <x:c r="M445" s="19" t="str">
        <x:v>该段包含可直接回答问题的方法、指标、比较或研究发现。</x:v>
      </x:c>
      <x:c r="N445" s="13" t="str">
        <x:v>http://arxiv.org/abs/2509.03145v1</x:v>
      </x:c>
    </x:row>
    <x:row r="446" ht="58" customHeight="1">
      <x:c r="A446" s="13" t="str">
        <x:v>csq015-c028</x:v>
      </x:c>
      <x:c r="B446" s="13" t="str">
        <x:v>csq015</x:v>
      </x:c>
      <x:c r="C446" s="21" t="n">
        <x:v>28</x:v>
      </x:c>
      <x:c r="D446" s="20" t="str">
        <x:v>2</x:v>
      </x:c>
      <x:c r="E446" s="20" t="str"/>
      <x:c r="F446" s="20" t="str">
        <x:f>IF(E446="",D446,E446)</x:f>
        <x:v>2</x:v>
      </x:c>
      <x:c r="G446" s="13" t="str">
        <x:v>BigBFT: A Multileader Byzantine Fault Tolerance Protocol for High Throughput</x:v>
      </x:c>
      <x:c r="H446" s="13" t="n">
        <x:v>9</x:v>
      </x:c>
      <x:c r="I446" s="22" t="n">
        <x:v>0.015151515151515152</x:v>
      </x:c>
      <x:c r="J446" s="13" t="n">
        <x:v>1</x:v>
      </x:c>
      <x:c r="K446" s="19" t="str">
        <x:v>What are the main approaches for reducing communication and latency costs in Byzantine fault-tolerant consensus protocols?</x:v>
      </x:c>
      <x:c r="L446" s="19" t="str">
        <x:v>arXiv preprint arXiv:2106.08114 , 2021.
[29] I. Abraham, G. Gueta, and D. Malkhi, “Hot-stuff the linear, optimal-
resilience, one-message bft devil,” CoRR, abs/1803.05069 , 2018.
[30] D. Boneh, C. Gentry, B. Lynn, and H. Shacham, “Aggregate and
veriﬁably encrypted signatures from bilinear maps,” in International
conference on the theory and applications of cryptographic techniques .
Springer, 2003, pp. 416–432.
[31] C. Berger and H. P. Reiser, “Scaling byzantine consensus: A broad
analysis,” in Proceedings of the 2nd Workshop on Scalable and Resilient
Infrastructures for Distributed Ledgers , 2018, pp. 13–18.
[32] L. Lamport, Specifying systems . Addison-Wesley Boston, 2002, vol.
388.
[33] S. Alqahtani, “Paxibft,” https://github.com/salemmohammed/PaxiBFT,
2019.
[34] A. Ailijiang, A. Charapko, and M. Demirbas, “Paxi framework,” https:
//github.com/ailidani/paxi, 2018.</x:v>
      </x:c>
      <x:c r="M446" s="19" t="str">
        <x:v>该段包含可直接回答问题的方法、指标、比较或研究发现。</x:v>
      </x:c>
      <x:c r="N446" s="13" t="str">
        <x:v>http://arxiv.org/abs/2109.12664v2</x:v>
      </x:c>
    </x:row>
    <x:row r="447" ht="58" customHeight="1">
      <x:c r="A447" s="13" t="str">
        <x:v>csq015-c029</x:v>
      </x:c>
      <x:c r="B447" s="13" t="str">
        <x:v>csq015</x:v>
      </x:c>
      <x:c r="C447" s="21" t="n">
        <x:v>29</x:v>
      </x:c>
      <x:c r="D447" s="20" t="str">
        <x:v>0</x:v>
      </x:c>
      <x:c r="E447" s="20" t="str"/>
      <x:c r="F447" s="20" t="str">
        <x:f>IF(E447="",D447,E447)</x:f>
        <x:v>0</x:v>
      </x:c>
      <x:c r="G447" s="13" t="str">
        <x:v>Probabilistic Byzantine Fault Tolerance (Extended Version)</x:v>
      </x:c>
      <x:c r="H447" s="13" t="n">
        <x:v>1</x:v>
      </x:c>
      <x:c r="I447" s="22" t="n">
        <x:v>0.015151515151515152</x:v>
      </x:c>
      <x:c r="J447" s="13" t="n">
        <x:v>1</x:v>
      </x:c>
      <x:c r="K447" s="19" t="str">
        <x:v>What are the main approaches for reducing communication and latency costs in Byzantine fault-tolerant consensus protocols?</x:v>
      </x:c>
      <x:c r="L447" s="19" t="str">
        <x:v>approach this conflict by opting for low latency and applying message-exchange patterns with
quadratic message complexity. However, this can be prohibitively expensive, especially for BFT
systems with a large number of replicas. Other protocols (e.g., HotStuff) aim at reducing message
complexity at the cost of adding extra communication steps. Unfortunately, this approach leads to
increased end-to-end response times.
In practice, however, implementing punishment mechanisms, like those used in existing Proof-
of-Stake blockchains (e.g., [7, 11]), can make it costly for Byzantine participants to deviate from its
specification, knowing that their actions may lead to detection and subsequent punishment. Besides,
adversaries are not as powerful as the ones assumed by protocols following the pessimistic approach.</x:v>
      </x:c>
      <x:c r="M447" s="19" t="str">
        <x:v>该段为无关内容、泛泛提及或参考文献片段，不能作为回答证据。</x:v>
      </x:c>
      <x:c r="N447" s="13" t="str">
        <x:v>http://arxiv.org/abs/2405.04606v3</x:v>
      </x:c>
    </x:row>
    <x:row r="448" ht="58" customHeight="1">
      <x:c r="A448" s="13" t="str">
        <x:v>csq015-c030</x:v>
      </x:c>
      <x:c r="B448" s="13" t="str">
        <x:v>csq015</x:v>
      </x:c>
      <x:c r="C448" s="21" t="n">
        <x:v>30</x:v>
      </x:c>
      <x:c r="D448" s="20" t="str">
        <x:v>0</x:v>
      </x:c>
      <x:c r="E448" s="20" t="str"/>
      <x:c r="F448" s="20" t="str">
        <x:f>IF(E448="",D448,E448)</x:f>
        <x:v>0</x:v>
      </x:c>
      <x:c r="G448" s="13" t="str">
        <x:v>Fast and Interactive Byzantine Fault-tolerant Web Services via Session-Based Consensus Decoupling</x:v>
      </x:c>
      <x:c r="H448" s="13" t="n">
        <x:v>5</x:v>
      </x:c>
      <x:c r="I448" s="22" t="n">
        <x:v>0.014925373134328358</x:v>
      </x:c>
      <x:c r="J448" s="13" t="n">
        <x:v>1</x:v>
      </x:c>
      <x:c r="K448" s="19" t="str">
        <x:v>What are the main approaches for reducing communication and latency costs in Byzantine fault-tolerant consensus protocols?</x:v>
      </x:c>
      <x:c r="L448" s="19" t="str">
        <x:v>[14] L. T. Thibault, T. Sarry, and A. S. Hafid, “Blockchain Scaling Using
Rollups: A Comprehensive Survey,” IEEE Access , vol. 10, pp. 93 039–
93 054, 2022.
[15] S. Calzavara, H. Jonker, B. Krumnow, and A. Rabitti, “Measuring Web
Session Security at Scale,” Computers &amp; Security , vol. 111, p. 102472,
Dec. 2021.
[16] E. Buchman, J. Kwon, and Z. Milosevic, “The latest gossip on BFT
consensus,” Nov. 2019, arXiv:1807.04938 [cs].
[17] E. Buchman, R. Guerraoui, J. Komatovic, Z. Milosevic, D.-A. Seredin-
schi, and J. Widder, “Revisiting Tendermint: Design Tradeoffs, Account-
ability, and Practical Use,” in 2022 52nd Annu. IEEE/IFIP Int. Conf.
Dependable Syst. Netw. – Suppl. V ol. (DSN-S) , Jun. 2022, pp. 11–14.</x:v>
      </x:c>
      <x:c r="M448" s="19" t="str">
        <x:v>该段为无关内容、泛泛提及或参考文献片段，不能作为回答证据。</x:v>
      </x:c>
      <x:c r="N448" s="13" t="str">
        <x:v>http://arxiv.org/abs/2507.08281v1</x:v>
      </x:c>
    </x:row>
    <x:row r="449" ht="58" customHeight="1">
      <x:c r="A449" s="13" t="str">
        <x:v>csq016-c001</x:v>
      </x:c>
      <x:c r="B449" s="13" t="str">
        <x:v>csq016</x:v>
      </x:c>
      <x:c r="C449" s="21" t="n">
        <x:v>1</x:v>
      </x:c>
      <x:c r="D449" s="20" t="str">
        <x:v>2</x:v>
      </x:c>
      <x:c r="E449" s="20" t="str"/>
      <x:c r="F449" s="20" t="str">
        <x:f>IF(E449="",D449,E449)</x:f>
        <x:v>2</x:v>
      </x:c>
      <x:c r="G449" s="13" t="str">
        <x:v>HotSwap: Enabling Live Dependency Sharing in Serverless Computing</x:v>
      </x:c>
      <x:c r="H449" s="13" t="n">
        <x:v>0</x:v>
      </x:c>
      <x:c r="I449" s="22" t="n">
        <x:v>0.08041393337698204</x:v>
      </x:c>
      <x:c r="J449" s="13" t="n">
        <x:v>5</x:v>
      </x:c>
      <x:c r="K449" s="19" t="str">
        <x:v>How do research systems mitigate cold starts in serverless computing, and how do prewarming, snapshotting, and prediction-based approaches compare?</x:v>
      </x:c>
      <x:c r="L449" s="19" t="str">
        <x:v>of the cold start problem, it has been extensively studied by
systems researchers [5]–[7].
A naive solution to avoid the cold start is to always
keep the function instance alive, ensuring that cold starts
never occur. Researchers have further developed approaches to
intelligently adjust the keep-alive duration based on invocation
patterns [8], [9] or by predicting invocation arrivals and pre-
loading functions in advance [8], [10]. However, most user
request arrivals are hard to predict [11], [12].
Keeping idle functions alive wastes resources, prompting
research into accelerating cold starts instead. A common
approach is to pre-warm functions using checkpoint images or
caches [13]–[16], which bypass parts of the initialization pro-
cess. While effective, these methods increase memory usage,
straining limited cache resources. Recent work refines this by</x:v>
      </x:c>
      <x:c r="M449" s="19" t="str">
        <x:v>该段包含可直接回答问题的方法、指标、比较或研究发现。</x:v>
      </x:c>
      <x:c r="N449" s="13" t="str">
        <x:v>http://arxiv.org/abs/2409.09202v3</x:v>
      </x:c>
    </x:row>
    <x:row r="450" ht="58" customHeight="1">
      <x:c r="A450" s="13" t="str">
        <x:v>csq016-c002</x:v>
      </x:c>
      <x:c r="B450" s="13" t="str">
        <x:v>csq016</x:v>
      </x:c>
      <x:c r="C450" s="21" t="n">
        <x:v>2</x:v>
      </x:c>
      <x:c r="D450" s="20" t="str">
        <x:v>2</x:v>
      </x:c>
      <x:c r="E450" s="20" t="str"/>
      <x:c r="F450" s="20" t="str">
        <x:f>IF(E450="",D450,E450)</x:f>
        <x:v>2</x:v>
      </x:c>
      <x:c r="G450" s="13" t="str">
        <x:v>HotSwap: Enabling Live Dependency Sharing in Serverless Computing</x:v>
      </x:c>
      <x:c r="H450" s="13" t="n">
        <x:v>0</x:v>
      </x:c>
      <x:c r="I450" s="22" t="n">
        <x:v>0.07429095016776976</x:v>
      </x:c>
      <x:c r="J450" s="13" t="n">
        <x:v>5</x:v>
      </x:c>
      <x:c r="K450" s="19" t="str">
        <x:v>How do research systems mitigate cold starts in serverless computing, and how do prewarming, snapshotting, and prediction-based approaches compare?</x:v>
      </x:c>
      <x:c r="L450" s="19" t="str">
        <x:v>straining limited cache resources. Recent work refines this by
pre-fetching hot pages [17] and generating function seeds [18],
but further optimization is needed to reduce overhead and
improve performance.
Experiments from a recent state-of-the-art work show that
these methods improve the cold-start tail latency by 89% and
require only 29MB of memory per machine to pre-warm a
serverless function [18]. These methods optimize cold starts by
analyzing function-specific initialization bottlenecks. However,
they are not lightweight, often requiring deep analysis or
specialized OS and hardware support [18], such as RDMA.
Nevertheless, according to Azure Function traces [11], 50%
of functions experience fewer than 1.4 cold starts per day,
assuming a keep-alive time of 15 minutes. Therefore, main-
taining pre-initialized images or recording hot pages in RAM</x:v>
      </x:c>
      <x:c r="M450" s="19" t="str">
        <x:v>该段包含可直接回答问题的方法、指标、比较或研究发现。</x:v>
      </x:c>
      <x:c r="N450" s="13" t="str">
        <x:v>http://arxiv.org/abs/2409.09202v3</x:v>
      </x:c>
    </x:row>
    <x:row r="451" ht="58" customHeight="1">
      <x:c r="A451" s="13" t="str">
        <x:v>csq016-c003</x:v>
      </x:c>
      <x:c r="B451" s="13" t="str">
        <x:v>csq016</x:v>
      </x:c>
      <x:c r="C451" s="21" t="n">
        <x:v>3</x:v>
      </x:c>
      <x:c r="D451" s="20" t="str">
        <x:v>2</x:v>
      </x:c>
      <x:c r="E451" s="20" t="str"/>
      <x:c r="F451" s="20" t="str">
        <x:f>IF(E451="",D451,E451)</x:f>
        <x:v>2</x:v>
      </x:c>
      <x:c r="G451" s="13" t="str">
        <x:v>HotSwap: Enabling Live Dependency Sharing in Serverless Computing</x:v>
      </x:c>
      <x:c r="H451" s="13" t="n">
        <x:v>9</x:v>
      </x:c>
      <x:c r="I451" s="22" t="n">
        <x:v>0.06400409626216078</x:v>
      </x:c>
      <x:c r="J451" s="13" t="n">
        <x:v>4</x:v>
      </x:c>
      <x:c r="K451" s="19" t="str">
        <x:v>How do research systems mitigate cold starts in serverless computing, and how do prewarming, snapshotting, and prediction-based approaches compare?</x:v>
      </x:c>
      <x:c r="L451" s="19" t="str">
        <x:v>cold starts for skewed workloads at a reasonable cost.
V. R ELATED WORK
Pre-Warm. One straightforward way to optimize cold starts is
to prevent them from happening. Prior research has explored
various approaches such as adjusting keep-alive policies, lever-
aging application-level composition [28], mining invocation
patterns [9], and applying machine learning models [29]–[31],
in order to predict function usage and proactively pre-warm
containers [8], [10], [11]. However, these strategies often lead
to resource inefficiency due to inaccurate predictions, espe-
cially in dynamic production environments. HotSwap takes
a different approach by directly reducing cold-start overhead
instead of relying on speculative pre-warming.
Function-Specific Optimization. A common method for re-
ducing cold-start latency is leveraging Checkpoint/Restore</x:v>
      </x:c>
      <x:c r="M451" s="19" t="str">
        <x:v>该段包含可直接回答问题的方法、指标、比较或研究发现。</x:v>
      </x:c>
      <x:c r="N451" s="13" t="str">
        <x:v>http://arxiv.org/abs/2409.09202v3</x:v>
      </x:c>
    </x:row>
    <x:row r="452" ht="58" customHeight="1">
      <x:c r="A452" s="13" t="str">
        <x:v>csq016-c004</x:v>
      </x:c>
      <x:c r="B452" s="13" t="str">
        <x:v>csq016</x:v>
      </x:c>
      <x:c r="C452" s="21" t="n">
        <x:v>4</x:v>
      </x:c>
      <x:c r="D452" s="20" t="str">
        <x:v>2</x:v>
      </x:c>
      <x:c r="E452" s="20" t="str"/>
      <x:c r="F452" s="20" t="str">
        <x:f>IF(E452="",D452,E452)</x:f>
        <x:v>2</x:v>
      </x:c>
      <x:c r="G452" s="13" t="str">
        <x:v>Mitigating Cold Starts in Serverless Platforms: A Pool-Based Approach</x:v>
      </x:c>
      <x:c r="H452" s="13" t="n">
        <x:v>3</x:v>
      </x:c>
      <x:c r="I452" s="22" t="n">
        <x:v>0.04617537313432836</x:v>
      </x:c>
      <x:c r="J452" s="13" t="n">
        <x:v>3</x:v>
      </x:c>
      <x:c r="K452" s="19" t="str">
        <x:v>How do research systems mitigate cold starts in serverless computing, and how do prewarming, snapshotting, and prediction-based approaches compare?</x:v>
      </x:c>
      <x:c r="L452" s="19" t="str">
        <x:v>need to bring in excessive resources for the pool when leveraging
statistical multiplexing.
4 RELATED WORK
The advent of serverless platforms has been less than five years,
and since most details of serverless platforms originated from the
industry, there is limited research in the realm. A prewarming mech-
anism in OpenWhisk is described in [11]. However, the prewarming
step only allocates the container runtime (e.g., a container with
NodeJS), but not the function itself - which fits well stateless work-
loads, where functions do not have long application initialization
overhead. McGrath et al. [ 9] also proposed a similar solution in
Microsoft Azure with global cold queues that have pre-allocated
empty containers ready to be initialized as any function, and a warm
stack per function that reuses previous containers. This approach</x:v>
      </x:c>
      <x:c r="M452" s="19" t="str">
        <x:v>该段包含可直接回答问题的方法、指标、比较或研究发现。</x:v>
      </x:c>
      <x:c r="N452" s="13" t="str">
        <x:v>http://arxiv.org/abs/1903.12221v1</x:v>
      </x:c>
    </x:row>
    <x:row r="453" ht="58" customHeight="1">
      <x:c r="A453" s="13" t="str">
        <x:v>csq016-c005</x:v>
      </x:c>
      <x:c r="B453" s="13" t="str">
        <x:v>csq016</x:v>
      </x:c>
      <x:c r="C453" s="21" t="n">
        <x:v>5</x:v>
      </x:c>
      <x:c r="D453" s="20" t="str">
        <x:v>2</x:v>
      </x:c>
      <x:c r="E453" s="20" t="str"/>
      <x:c r="F453" s="20" t="str">
        <x:f>IF(E453="",D453,E453)</x:f>
        <x:v>2</x:v>
      </x:c>
      <x:c r="G453" s="13" t="str">
        <x:v>Performance Evaluation of Snapshot Methods to Warm the Serverless Cold Start</x:v>
      </x:c>
      <x:c r="H453" s="13" t="n">
        <x:v>0</x:v>
      </x:c>
      <x:c r="I453" s="22" t="n">
        <x:v>0.0452122777796662</x:v>
      </x:c>
      <x:c r="J453" s="13" t="n">
        <x:v>3</x:v>
      </x:c>
      <x:c r="K453" s="19" t="str">
        <x:v>How do research systems mitigate cold starts in serverless computing, and how do prewarming, snapshotting, and prediction-based approaches compare?</x:v>
      </x:c>
      <x:c r="L453" s="19" t="str">
        <x:v>por eficiência, traz à tona o problema de cold-start, que se configura
como um atraso na execução de aplicações serverless. Dentre as
soluções propostas para lidar com o cold-start, se destacam as base-
adas no método de snapshot. Apesar da exploração desse método,
existe uma carência de trabalhos que avaliam os trade-offs de cada
proposta. Nessa direção, este trabalho compara duas estratégias de
mitigação do cold-start: Prebaking e SEUSS. Avaliamos o desempe-
nho das estratégias experimentalmente com funções de diferentes
níveis de complexidade: NoOp, uma função que convertemarkdown
para HTML, e uma que carrega 41 MB de dependências. Resultados
preliminares indicam que Prebaking apresentou desempenho 33% e
25% superior para inicializar NoOp e Markdown, respectivamente e
processou a primeira requisição de Markdown com um tempo 69%
inferior ao SEUSS.
ACM Reference Format:</x:v>
      </x:c>
      <x:c r="M453" s="19" t="str">
        <x:v>该段包含可直接回答问题的方法、指标、比较或研究发现。</x:v>
      </x:c>
      <x:c r="N453" s="13" t="str">
        <x:v>http://arxiv.org/abs/2105.13894v1</x:v>
      </x:c>
    </x:row>
    <x:row r="454" ht="58" customHeight="1">
      <x:c r="A454" s="13" t="str">
        <x:v>csq016-c006</x:v>
      </x:c>
      <x:c r="B454" s="13" t="str">
        <x:v>csq016</x:v>
      </x:c>
      <x:c r="C454" s="21" t="n">
        <x:v>6</x:v>
      </x:c>
      <x:c r="D454" s="20" t="str">
        <x:v>2</x:v>
      </x:c>
      <x:c r="E454" s="20" t="str"/>
      <x:c r="F454" s="20" t="str">
        <x:f>IF(E454="",D454,E454)</x:f>
        <x:v>2</x:v>
      </x:c>
      <x:c r="G454" s="13" t="str">
        <x:v>Performance Evaluation of Snapshot Methods to Warm the Serverless Cold Start</x:v>
      </x:c>
      <x:c r="H454" s="13" t="n">
        <x:v>0</x:v>
      </x:c>
      <x:c r="I454" s="22" t="n">
        <x:v>0.044988213864780885</x:v>
      </x:c>
      <x:c r="J454" s="13" t="n">
        <x:v>3</x:v>
      </x:c>
      <x:c r="K454" s="19" t="str">
        <x:v>How do research systems mitigate cold starts in serverless computing, and how do prewarming, snapshotting, and prediction-based approaches compare?</x:v>
      </x:c>
      <x:c r="L454" s="19" t="str">
        <x:v>componentes parece ser a etapa mais longa de inicialização [1, 5].
Porém, Prebaking [22] mostrou que quanto mais complexa a aplica-
ção, mais ocold-start das etapas 2 e 3 contribuem significativamente
no atraso da execução das funções. Algumas soluções foram propos-
tas para lidarem com as etapas 2 e 3 [4, 16]. Dentre estas soluções se
destacam as que se baseiam em métodos de snapshot [5, 7, 22, 23],
pois tendem a não realizar grandes mudanças arquitetônicas nas
plataformas já existentes, e não aumentar a complexidade de ope-
ração.
Diversos trabalhos já foram publicados demonstrando a eficácia
do método de snapshot para acelerar o cold-start. Em particular,
apesar de se basearem no mesmo método, a técnica dePrebaking e o
método SEUSS utilizam estratégias distintas para alcançar o mesmo
objetivo. Cada estratégia possui suas vantagens e desvantagens</x:v>
      </x:c>
      <x:c r="M454" s="19" t="str">
        <x:v>该段包含可直接回答问题的方法、指标、比较或研究发现。</x:v>
      </x:c>
      <x:c r="N454" s="13" t="str">
        <x:v>http://arxiv.org/abs/2105.13894v1</x:v>
      </x:c>
    </x:row>
    <x:row r="455" ht="58" customHeight="1">
      <x:c r="A455" s="13" t="str">
        <x:v>csq016-c007</x:v>
      </x:c>
      <x:c r="B455" s="13" t="str">
        <x:v>csq016</x:v>
      </x:c>
      <x:c r="C455" s="21" t="n">
        <x:v>7</x:v>
      </x:c>
      <x:c r="D455" s="20" t="str">
        <x:v>0</x:v>
      </x:c>
      <x:c r="E455" s="20" t="str"/>
      <x:c r="F455" s="20" t="str">
        <x:f>IF(E455="",D455,E455)</x:f>
        <x:v>0</x:v>
      </x:c>
      <x:c r="G455" s="13" t="str">
        <x:v>Mitigating Cold Starts in Serverless Platforms: A Pool-Based Approach</x:v>
      </x:c>
      <x:c r="H455" s="13" t="n">
        <x:v>4</x:v>
      </x:c>
      <x:c r="I455" s="22" t="n">
        <x:v>0.04369138959931799</x:v>
      </x:c>
      <x:c r="J455" s="13" t="n">
        <x:v>3</x:v>
      </x:c>
      <x:c r="K455" s="19" t="str">
        <x:v>How do research systems mitigate cold starts in serverless computing, and how do prewarming, snapshotting, and prediction-based approaches compare?</x:v>
      </x:c>
      <x:c r="L455" s="19" t="str">
        <x:v>appserviceteam/2018/02/07/understanding-serverless-cold-start
[13] Steven P. Vanderwiel and David J. Lilja. 2000. Data Prefetch Mechanisms. ACM
Comput. Surv. 32, 2 (June 2000), 174–199. https://doi.org/10.1145/358923.358939
[14] Michael Wilson. [n. d.]. A Historical View of Network Traffic Models. ([n. d.]).
https://www.cse.wustl.edu/~jain/cse567-06/ftp/traffic_models2
5</x:v>
      </x:c>
      <x:c r="M455" s="19" t="str">
        <x:v>该段为无关内容、泛泛提及或参考文献片段，不能作为回答证据。</x:v>
      </x:c>
      <x:c r="N455" s="13" t="str">
        <x:v>http://arxiv.org/abs/1903.12221v1</x:v>
      </x:c>
    </x:row>
    <x:row r="456" ht="58" customHeight="1">
      <x:c r="A456" s="13" t="str">
        <x:v>csq016-c008</x:v>
      </x:c>
      <x:c r="B456" s="13" t="str">
        <x:v>csq016</x:v>
      </x:c>
      <x:c r="C456" s="21" t="n">
        <x:v>8</x:v>
      </x:c>
      <x:c r="D456" s="20" t="str">
        <x:v>2</x:v>
      </x:c>
      <x:c r="E456" s="20" t="str"/>
      <x:c r="F456" s="20" t="str">
        <x:f>IF(E456="",D456,E456)</x:f>
        <x:v>2</x:v>
      </x:c>
      <x:c r="G456" s="13" t="str">
        <x:v>Taming Cold Starts: Proactive Serverless Scheduling with Model Predictive Control</x:v>
      </x:c>
      <x:c r="H456" s="13" t="n">
        <x:v>0</x:v>
      </x:c>
      <x:c r="I456" s="22" t="n">
        <x:v>0.04352014437615842</x:v>
      </x:c>
      <x:c r="J456" s="13" t="n">
        <x:v>3</x:v>
      </x:c>
      <x:c r="K456" s="19" t="str">
        <x:v>How do research systems mitigate cold starts in serverless computing, and how do prewarming, snapshotting, and prediction-based approaches compare?</x:v>
      </x:c>
      <x:c r="L456" s="19" t="str">
        <x:v>Taming Cold Starts: Proactive Serverless
Scheduling with Model Predictive Control
Chanh Nguyen ∗, Monowar Bhuyan ∗, Erik Elmroth ∗†
∗Department of Computing Science, Ume ˚a University, SE-90187, Sweden
†Elastisys AB, Ume ˚a, Sweden
Email:{chanh, monowar, elmroth}@cs.umu.se
Abstract—Serverless computing has transformed cloud appli-
cation deployment by introducing a fine-grained, event-driven
execution model that abstracts away infrastructure management.
Its on-demand nature makes it especially appealing for latency-
sensitive and bursty workloads. However, the cold start problem,
i.e., where the platform incurs significant delay when provisioning
new containers, remains the Achilles’ heel of such platforms.
This paper presents a predictive serverless scheduling frame-
work based on Model Predictive Control to proactively mitigate</x:v>
      </x:c>
      <x:c r="M456" s="19" t="str">
        <x:v>该段包含可直接回答问题的方法、指标、比较或研究发现。</x:v>
      </x:c>
      <x:c r="N456" s="13" t="str">
        <x:v>http://arxiv.org/abs/2508.07640v2</x:v>
      </x:c>
    </x:row>
    <x:row r="457" ht="58" customHeight="1">
      <x:c r="A457" s="13" t="str">
        <x:v>csq016-c009</x:v>
      </x:c>
      <x:c r="B457" s="13" t="str">
        <x:v>csq016</x:v>
      </x:c>
      <x:c r="C457" s="21" t="n">
        <x:v>9</x:v>
      </x:c>
      <x:c r="D457" s="20" t="str">
        <x:v>0</x:v>
      </x:c>
      <x:c r="E457" s="20" t="str"/>
      <x:c r="F457" s="20" t="str">
        <x:f>IF(E457="",D457,E457)</x:f>
        <x:v>0</x:v>
      </x:c>
      <x:c r="G457" s="13" t="str">
        <x:v>Performance Evaluation of Snapshot Methods to Warm the Serverless Cold Start</x:v>
      </x:c>
      <x:c r="H457" s="13" t="n">
        <x:v>6</x:v>
      </x:c>
      <x:c r="I457" s="22" t="n">
        <x:v>0.04347103642878291</x:v>
      </x:c>
      <x:c r="J457" s="13" t="n">
        <x:v>3</x:v>
      </x:c>
      <x:c r="K457" s="19" t="str">
        <x:v>How do research systems mitigate cold starts in serverless computing, and how do prewarming, snapshotting, and prediction-based approaches compare?</x:v>
      </x:c>
      <x:c r="L457" s="19" t="str">
        <x:v>[22] Paulo Silva, Daniel Fireman, and Thiago Emmanuel Pereira. 2020. Prebaking Func-
tions to Warm the Serverless Cold Start. In Proceedings of the 21st International
Middleware Conference. 1–13.
[23] Kai-Ting Amy Wang, Rayson Ho, and Peng Wu. 2019. Replayable execution
optimized for page sharing for a managed runtime environment. In Proceedings
of the Fourteenth EuroSys Conference 2019 . 1–16.
[24] Liang Wang, Mengyuan Li, Yinqian Zhang, Thomas Ristenpart, and Michael Swift.
2018. Peeking behind the curtains of serverless platforms. In 2018 {USENIX}
Annual Technical Conference ( {USENIX} {ATC} 18). 133–146.</x:v>
      </x:c>
      <x:c r="M457" s="19" t="str">
        <x:v>该段为无关内容、泛泛提及或参考文献片段，不能作为回答证据。</x:v>
      </x:c>
      <x:c r="N457" s="13" t="str">
        <x:v>http://arxiv.org/abs/2105.13894v1</x:v>
      </x:c>
    </x:row>
    <x:row r="458" ht="58" customHeight="1">
      <x:c r="A458" s="13" t="str">
        <x:v>csq016-c010</x:v>
      </x:c>
      <x:c r="B458" s="13" t="str">
        <x:v>csq016</x:v>
      </x:c>
      <x:c r="C458" s="21" t="n">
        <x:v>10</x:v>
      </x:c>
      <x:c r="D458" s="20" t="str">
        <x:v>2</x:v>
      </x:c>
      <x:c r="E458" s="20" t="str"/>
      <x:c r="F458" s="20" t="str">
        <x:f>IF(E458="",D458,E458)</x:f>
        <x:v>2</x:v>
      </x:c>
      <x:c r="G458" s="13" t="str">
        <x:v>A Time Series Forecasting Approach to Minimize Cold Start Time in Cloud-Serverless Platform</x:v>
      </x:c>
      <x:c r="H458" s="13" t="n">
        <x:v>5</x:v>
      </x:c>
      <x:c r="I458" s="22" t="n">
        <x:v>0.04334289891168986</x:v>
      </x:c>
      <x:c r="J458" s="13" t="n">
        <x:v>3</x:v>
      </x:c>
      <x:c r="K458" s="19" t="str">
        <x:v>How do research systems mitigate cold starts in serverless computing, and how do prewarming, snapshotting, and prediction-based approaches compare?</x:v>
      </x:c>
      <x:c r="L458" s="19" t="str">
        <x:v>start whereas PBA was able to subdue the effect of cold start
in a graceful manner. PBA also consumed 18% less resources
than HP A.
There still remain many aspects of cold start in serverless
computing that need to be better understood and reﬁned.
Future predictions is one of the ways to tackle this problem,
but a signiﬁcant amount of research is required to better
understand the core of the problem and if there are any
innovative solutions to it. Though cold starts have been in
the lime light lately in the world of serverless, they are lit tle
known outside the spheres of cloud computing. Nevertheless ,
research in this ﬁeld is going on strong, and hopefully, In th e
coming years, the problem of cold start would perish.
REFERENCES
[1] I. Baldini, P . Castro, K. Chang, P . Cheng, S. Fink, V . Isha kian,
N. Mitchell, V . Muthusamy, R. Rabbah, A. Slominski et al., “Serverless</x:v>
      </x:c>
      <x:c r="M458" s="19" t="str">
        <x:v>该段包含可直接回答问题的方法、指标、比较或研究发现。</x:v>
      </x:c>
      <x:c r="N458" s="13" t="str">
        <x:v>http://arxiv.org/abs/2206.15176v1</x:v>
      </x:c>
    </x:row>
    <x:row r="459" ht="58" customHeight="1">
      <x:c r="A459" s="13" t="str">
        <x:v>csq016-c011</x:v>
      </x:c>
      <x:c r="B459" s="13" t="str">
        <x:v>csq016</x:v>
      </x:c>
      <x:c r="C459" s="21" t="n">
        <x:v>11</x:v>
      </x:c>
      <x:c r="D459" s="20" t="str">
        <x:v>2</x:v>
      </x:c>
      <x:c r="E459" s="20" t="str"/>
      <x:c r="F459" s="20" t="str">
        <x:f>IF(E459="",D459,E459)</x:f>
        <x:v>2</x:v>
      </x:c>
      <x:c r="G459" s="13" t="str">
        <x:v>Mitigating Cold Starts in Serverless Platforms: A Pool-Based Approach</x:v>
      </x:c>
      <x:c r="H459" s="13" t="n">
        <x:v>4</x:v>
      </x:c>
      <x:c r="I459" s="22" t="n">
        <x:v>0.03047794966520434</x:v>
      </x:c>
      <x:c r="J459" s="13" t="n">
        <x:v>2</x:v>
      </x:c>
      <x:c r="K459" s="19" t="str">
        <x:v>How do research systems mitigate cold starts in serverless computing, and how do prewarming, snapshotting, and prediction-based approaches compare?</x:v>
      </x:c>
      <x:c r="L459" s="19" t="str">
        <x:v>models could be useful to obtain theoretical insights of the
cold start problem.
6 CONCLUSION
Mitigating the cold start problem is crucial for future serverless
platforms. With a basic implementation and initial simulations, our
solution using a pool of warm function instances suggests that the
P99 cold start delay can be reduced by up to 85% with one pod in
the pool. Further research and experiments should be conducted in
order to analyze the overall trade-offs of our approach.
REFERENCES
[1] 2014. AWS Lambda. (Nov 2014). https://aws.amazon.com/lambda/
[2] 2016. OpenWhisk. (2016). https://openwhisk.apache.org
[3] 2018. AWS Firecracker. (Dec 2018). https://firecracker-microvm.github.io
[4] 2018. Google Cloud Functions. (Jul 2018). https://cloud.google.com/functions/
[5] 2018. Knative. (2018). https://cloud.google.com/knative</x:v>
      </x:c>
      <x:c r="M459" s="19" t="str">
        <x:v>该段包含可直接回答问题的方法、指标、比较或研究发现。</x:v>
      </x:c>
      <x:c r="N459" s="13" t="str">
        <x:v>http://arxiv.org/abs/1903.12221v1</x:v>
      </x:c>
    </x:row>
    <x:row r="460" ht="58" customHeight="1">
      <x:c r="A460" s="13" t="str">
        <x:v>csq016-c012</x:v>
      </x:c>
      <x:c r="B460" s="13" t="str">
        <x:v>csq016</x:v>
      </x:c>
      <x:c r="C460" s="21" t="n">
        <x:v>12</x:v>
      </x:c>
      <x:c r="D460" s="20" t="str">
        <x:v>2</x:v>
      </x:c>
      <x:c r="E460" s="20" t="str"/>
      <x:c r="F460" s="20" t="str">
        <x:f>IF(E460="",D460,E460)</x:f>
        <x:v>2</x:v>
      </x:c>
      <x:c r="G460" s="13" t="str">
        <x:v>Taming Cold Starts: Proactive Serverless Scheduling with Model Predictive Control</x:v>
      </x:c>
      <x:c r="H460" s="13" t="n">
        <x:v>5</x:v>
      </x:c>
      <x:c r="I460" s="22" t="n">
        <x:v>0.02976190476190476</x:v>
      </x:c>
      <x:c r="J460" s="13" t="n">
        <x:v>2</x:v>
      </x:c>
      <x:c r="K460" s="19" t="str">
        <x:v>How do research systems mitigate cold starts in serverless computing, and how do prewarming, snapshotting, and prediction-based approaches compare?</x:v>
      </x:c>
      <x:c r="L460" s="19" t="str">
        <x:v>•OpenWhisk Default Policy.By default, OpenWhisk
triggers a cold start when no warm container is available
to handle an invocation. It keeps function containers in a
warm state for up to 10 minutes after their most recent
use.
•IceBreaker[15] reduces cold starts and keep-alive costs
through proactive prewarming and predictive function
placement. It employs Fourier-based forecasting to es-
timate future invocations. Its key innovation lies in lever-
aging server heterogeneity: functions are initially placed
on low-end servers for extended warm retention and later
migrated to high-end servers as invocation likelihood
increases. Since our evaluation assumes a single-server
setup, we adapt IceBreaker to a homogeneous environ-
ment by disabling server-type–specific placements.
Evaluation Metrics.We evaluate the proposed approach and
the baselines using the following metric:</x:v>
      </x:c>
      <x:c r="M460" s="19" t="str">
        <x:v>该段包含可直接回答问题的方法、指标、比较或研究发现。</x:v>
      </x:c>
      <x:c r="N460" s="13" t="str">
        <x:v>http://arxiv.org/abs/2508.07640v2</x:v>
      </x:c>
    </x:row>
    <x:row r="461" ht="58" customHeight="1">
      <x:c r="A461" s="13" t="str">
        <x:v>csq016-c013</x:v>
      </x:c>
      <x:c r="B461" s="13" t="str">
        <x:v>csq016</x:v>
      </x:c>
      <x:c r="C461" s="21" t="n">
        <x:v>13</x:v>
      </x:c>
      <x:c r="D461" s="20" t="str">
        <x:v>2</x:v>
      </x:c>
      <x:c r="E461" s="20" t="str"/>
      <x:c r="F461" s="20" t="str">
        <x:f>IF(E461="",D461,E461)</x:f>
        <x:v>2</x:v>
      </x:c>
      <x:c r="G461" s="13" t="str">
        <x:v>Benchmarking, Analysis, and Optimization of Serverless Function Snapshots</x:v>
      </x:c>
      <x:c r="H461" s="13" t="n">
        <x:v>1</x:v>
      </x:c>
      <x:c r="I461" s="22" t="n">
        <x:v>0.029726775956284153</x:v>
      </x:c>
      <x:c r="J461" s="13" t="n">
        <x:v>2</x:v>
      </x:c>
      <x:c r="K461" s="19" t="str">
        <x:v>How do research systems mitigate cold starts in serverless computing, and how do prewarming, snapshotting, and prediction-based approaches compare?</x:v>
      </x:c>
      <x:c r="L461" s="19" t="str">
        <x:v>embraced snapshotting as a promising solution. With this approach,
once a function instance is fully booted, its complete state is cap-
tured and stored on disk. When a new invocation for that function
arrives, the orchestrator can rapidly load a new function instance
from the corresponding snapshot. Once loaded, the instance can
immediately start processing the incoming invocation, thus elimi-
nating the high latency of a cold boot.
To facilitate deeper understanding and experimentation with
serverless computing, this work introduces vHive, an open-source
framework for serverless experimentation, which enables systems
researchers to innovate across the entire serverless stack.1 Existing
open-source systems and frameworks are ill-suited for researchers,
being either incomplete, focusing only on one of the components,
such as a hypervisor [28], or rely on insufficiently secure container</x:v>
      </x:c>
      <x:c r="M461" s="19" t="str">
        <x:v>该段包含可直接回答问题的方法、指标、比较或研究发现。</x:v>
      </x:c>
      <x:c r="N461" s="13" t="str">
        <x:v>http://arxiv.org/abs/2101.09355v3</x:v>
      </x:c>
    </x:row>
    <x:row r="462" ht="58" customHeight="1">
      <x:c r="A462" s="13" t="str">
        <x:v>csq016-c014</x:v>
      </x:c>
      <x:c r="B462" s="13" t="str">
        <x:v>csq016</x:v>
      </x:c>
      <x:c r="C462" s="21" t="n">
        <x:v>14</x:v>
      </x:c>
      <x:c r="D462" s="20" t="str">
        <x:v>2</x:v>
      </x:c>
      <x:c r="E462" s="20" t="str"/>
      <x:c r="F462" s="20" t="str">
        <x:f>IF(E462="",D462,E462)</x:f>
        <x:v>2</x:v>
      </x:c>
      <x:c r="G462" s="13" t="str">
        <x:v>Taming Cold Starts: Proactive Serverless Scheduling with Model Predictive Control</x:v>
      </x:c>
      <x:c r="H462" s="13" t="n">
        <x:v>1</x:v>
      </x:c>
      <x:c r="I462" s="22" t="n">
        <x:v>0.02964426877470356</x:v>
      </x:c>
      <x:c r="J462" s="13" t="n">
        <x:v>2</x:v>
      </x:c>
      <x:c r="K462" s="19" t="str">
        <x:v>How do research systems mitigate cold starts in serverless computing, and how do prewarming, snapshotting, and prediction-based approaches compare?</x:v>
      </x:c>
      <x:c r="L462" s="19" t="str">
        <x:v>balancing latency and resource efficiency.
Our contributions are as follows:
•Predictive shaping for cold start mitigation.We show
that short deferrals of request dispatch when guided
by predictive logic can significantly reduce cold starts
without degrading responsiveness (Section V).
•An MPC-based serverless scheduler.We formulate cold
start mitigation as a constrained optimization problem
and design an MPC controller that jointly manages provi-
sioning, reclamation, and dispatch under forecasted load
(Section III).
•Practical deployment in Apache OpenWhisk.We im-
plement our controller as a middleware layer that shapes
and routes invocation traffic in real time, requiring no
changes to the OpenWhisk core (Sections IV and V).
•Comprehensive evaluation on real and synthetic
traces.We benchmark our system using production and
synthetic workloads, demonstrating consistent improve-</x:v>
      </x:c>
      <x:c r="M462" s="19" t="str">
        <x:v>该段包含可直接回答问题的方法、指标、比较或研究发现。</x:v>
      </x:c>
      <x:c r="N462" s="13" t="str">
        <x:v>http://arxiv.org/abs/2508.07640v2</x:v>
      </x:c>
    </x:row>
    <x:row r="463" ht="58" customHeight="1">
      <x:c r="A463" s="13" t="str">
        <x:v>csq016-c015</x:v>
      </x:c>
      <x:c r="B463" s="13" t="str">
        <x:v>csq016</x:v>
      </x:c>
      <x:c r="C463" s="21" t="n">
        <x:v>15</x:v>
      </x:c>
      <x:c r="D463" s="20" t="str">
        <x:v>2</x:v>
      </x:c>
      <x:c r="E463" s="20" t="str"/>
      <x:c r="F463" s="20" t="str">
        <x:f>IF(E463="",D463,E463)</x:f>
        <x:v>2</x:v>
      </x:c>
      <x:c r="G463" s="13" t="str">
        <x:v>Performance Evaluation of Snapshot Methods to Warm the Serverless Cold Start</x:v>
      </x:c>
      <x:c r="H463" s="13" t="n">
        <x:v>6</x:v>
      </x:c>
      <x:c r="I463" s="22" t="n">
        <x:v>0.029236022193768675</x:v>
      </x:c>
      <x:c r="J463" s="13" t="n">
        <x:v>2</x:v>
      </x:c>
      <x:c r="K463" s="19" t="str">
        <x:v>How do research systems mitigate cold starts in serverless computing, and how do prewarming, snapshotting, and prediction-based approaches compare?</x:v>
      </x:c>
      <x:c r="L463" s="19" t="str">
        <x:v>Avaliação de desempenho de métodos de snapshot para aquecer o cold-start de funções como serviço
função Markdown. Quando analisamos possíveis penalidades adici-
onais para processar as requisições dos clientes, o método SEUSS
levou cerca de 9,6% a mais de tempo para processar a primeira
requisição da função Markdown, enquanto que a técnica de Preba-
king reduziu o tempo de processamento da primeira requisição em
cerca de 34%. Esse resultado evidenciou a importância da adoção
de mecanismos de warmup para lidar com o impacto do cold-start
no tempo serviço da primeira requisição.
Durante os experimentos com o SEUSS, diversas execuções não
foram bem sucedidas, e para viabilizar nossas análises foi necessário
realizar a reexecução dos casos falhos. Contudo, para a função Big,
todas as execuções falharam. Assim, inviabilizando a comparação de</x:v>
      </x:c>
      <x:c r="M463" s="19" t="str">
        <x:v>该段包含可直接回答问题的方法、指标、比较或研究发现。</x:v>
      </x:c>
      <x:c r="N463" s="13" t="str">
        <x:v>http://arxiv.org/abs/2105.13894v1</x:v>
      </x:c>
    </x:row>
    <x:row r="464" ht="58" customHeight="1">
      <x:c r="A464" s="13" t="str">
        <x:v>csq016-c016</x:v>
      </x:c>
      <x:c r="B464" s="13" t="str">
        <x:v>csq016</x:v>
      </x:c>
      <x:c r="C464" s="21" t="n">
        <x:v>16</x:v>
      </x:c>
      <x:c r="D464" s="20" t="str">
        <x:v>2</x:v>
      </x:c>
      <x:c r="E464" s="20" t="str"/>
      <x:c r="F464" s="20" t="str">
        <x:f>IF(E464="",D464,E464)</x:f>
        <x:v>2</x:v>
      </x:c>
      <x:c r="G464" s="13" t="str">
        <x:v>Performance Evaluation of Snapshot Methods to Warm the Serverless Cold Start</x:v>
      </x:c>
      <x:c r="H464" s="13" t="n">
        <x:v>1</x:v>
      </x:c>
      <x:c r="I464" s="22" t="n">
        <x:v>0.029138513513513514</x:v>
      </x:c>
      <x:c r="J464" s="13" t="n">
        <x:v>2</x:v>
      </x:c>
      <x:c r="K464" s="19" t="str">
        <x:v>How do research systems mitigate cold starts in serverless computing, and how do prewarming, snapshotting, and prediction-based approaches compare?</x:v>
      </x:c>
      <x:c r="L464" s="19" t="str">
        <x:v>ção de uma aplicação, a técnica de salvar e restaurar o estado de
um programa pode ser utilizada para evitar a execução de etapas
de inicialização. Com isso, as plataformas serverless podem criar
snapshots das aplicações já em um estado pronto para processar
requisições, e restaurar esses snapshots sempre que for necessário
criar uma nova instância da aplicação.
2.1 Prebaking
Uma das soluções propostas, que emprega o método de snapshot
para reduzir o efeito do cold-start, é a técnica de Prebaking [22]. A
técnica define que antes da efetiva implantação na plataforma, a
aplicação deve ser executada de maneira offline para a geração do
seu snapshot. E antes desse processo, a plataforma deve forçar a
realização de diversos passos de inicialização, incluindo: carregar e
compilar o código da aplicação junto com suas dependências. Os</x:v>
      </x:c>
      <x:c r="M464" s="19" t="str">
        <x:v>该段包含可直接回答问题的方法、指标、比较或研究发现。</x:v>
      </x:c>
      <x:c r="N464" s="13" t="str">
        <x:v>http://arxiv.org/abs/2105.13894v1</x:v>
      </x:c>
    </x:row>
    <x:row r="465" ht="58" customHeight="1">
      <x:c r="A465" s="13" t="str">
        <x:v>csq016-c017</x:v>
      </x:c>
      <x:c r="B465" s="13" t="str">
        <x:v>csq016</x:v>
      </x:c>
      <x:c r="C465" s="21" t="n">
        <x:v>17</x:v>
      </x:c>
      <x:c r="D465" s="20" t="str">
        <x:v>0</x:v>
      </x:c>
      <x:c r="E465" s="20" t="str"/>
      <x:c r="F465" s="20" t="str">
        <x:f>IF(E465="",D465,E465)</x:f>
        <x:v>0</x:v>
      </x:c>
      <x:c r="G465" s="13" t="str">
        <x:v>Taming Cold Starts: Proactive Serverless Scheduling with Model Predictive Control</x:v>
      </x:c>
      <x:c r="H465" s="13" t="n">
        <x:v>7</x:v>
      </x:c>
      <x:c r="I465" s="22" t="n">
        <x:v>0.028991596638655463</x:v>
      </x:c>
      <x:c r="J465" s="13" t="n">
        <x:v>2</x:v>
      </x:c>
      <x:c r="K465" s="19" t="str">
        <x:v>How do research systems mitigate cold starts in serverless computing, and how do prewarming, snapshotting, and prediction-based approaches compare?</x:v>
      </x:c>
      <x:c r="L465" s="19" t="str">
        <x:v>not so cold in edge clouds: A cost-effective online approach,”IEEE
Transactions on Mobile Computing, vol. 23, no. 9, pp. 8789–8802, 2024.
[9] A. Bauer, M. Gonthier, H. Pan, R. Chard, D. Grzenda, M. Straesser, J. G.
Pauloski, A. Kamatar, M. Baughman, N. Hudson,et al., “An empirical
investigation of container building strategies and warm times to reduce
cold starts in scientific computing serverless functions,” in2024 IEEE
20th International Conference on e-Science (e-Science), pp. 1–10, IEEE,
2024.
[10] M. Shahrad, R. Fonseca, I. Goiri, G. Chaudhry, P. Batum, J. Cooke,
E. Laureano, C. Tresness, M. Russinovich, and R. Bianchini, “Serverless
in the wild: Characterizing and optimizing the serverless workload at
a large cloud provider,” in2020 USENIX annual technical conference
(USENIX ATC 20), pp. 205–218, 2020.
[11] A. C. Zhou, R. Huang, Z. Ke, Y . Li, Y . Wang, and R. Mao, “Tackling</x:v>
      </x:c>
      <x:c r="M465" s="19" t="str">
        <x:v>该段为无关内容、泛泛提及或参考文献片段，不能作为回答证据。</x:v>
      </x:c>
      <x:c r="N465" s="13" t="str">
        <x:v>http://arxiv.org/abs/2508.07640v2</x:v>
      </x:c>
    </x:row>
    <x:row r="466" ht="58" customHeight="1">
      <x:c r="A466" s="13" t="str">
        <x:v>csq016-c018</x:v>
      </x:c>
      <x:c r="B466" s="13" t="str">
        <x:v>csq016</x:v>
      </x:c>
      <x:c r="C466" s="21" t="n">
        <x:v>18</x:v>
      </x:c>
      <x:c r="D466" s="20" t="str">
        <x:v>2</x:v>
      </x:c>
      <x:c r="E466" s="20" t="str"/>
      <x:c r="F466" s="20" t="str">
        <x:f>IF(E466="",D466,E466)</x:f>
        <x:v>2</x:v>
      </x:c>
      <x:c r="G466" s="13" t="str">
        <x:v>Performance Evaluation of Snapshot Methods to Warm the Serverless Cold Start</x:v>
      </x:c>
      <x:c r="H466" s="13" t="n">
        <x:v>1</x:v>
      </x:c>
      <x:c r="I466" s="22" t="n">
        <x:v>0.0288981288981289</x:v>
      </x:c>
      <x:c r="J466" s="13" t="n">
        <x:v>2</x:v>
      </x:c>
      <x:c r="K466" s="19" t="str">
        <x:v>How do research systems mitigate cold starts in serverless computing, and how do prewarming, snapshotting, and prediction-based approaches compare?</x:v>
      </x:c>
      <x:c r="L466" s="19" t="str">
        <x:v>NoOp e Markdown. Para a função NoOp o tempo de inicialização
mediano do SEUSS ficou entre 12 ms e 14 ms, enquantoPrebaking foi
de 8 ms, apresentando uma diferença percentual de 33% e 45%. Para
Markdown, uma função um pouco mais complexa, o tempo de inicia-
lização mediano do SEUSS ficou entre 12 ms e 13 ms, representando
uma diferença entre 25% e 30% em relação à Prebaking.
Além disso, foi possível observar a importância da análise do
impacto do cold-start no tempo de processamento da primeira re-
quisição. Essa análise permite mensurar possíveis penalidades no
processamento das requisições, assim como medir a eficácia de me-
canismos de warmup para reduzir este efeito. O tempo de serviço
da primeira requisição processada pela função Markdown com o
método SEUSS apresentou uma penalidade de 6 ms, um percentual
de 9,6%. Por outro lado, a mesma função com a técnica dePrebaking,</x:v>
      </x:c>
      <x:c r="M466" s="19" t="str">
        <x:v>该段包含可直接回答问题的方法、指标、比较或研究发现。</x:v>
      </x:c>
      <x:c r="N466" s="13" t="str">
        <x:v>http://arxiv.org/abs/2105.13894v1</x:v>
      </x:c>
    </x:row>
    <x:row r="467" ht="58" customHeight="1">
      <x:c r="A467" s="13" t="str">
        <x:v>csq016-c019</x:v>
      </x:c>
      <x:c r="B467" s="13" t="str">
        <x:v>csq016</x:v>
      </x:c>
      <x:c r="C467" s="21" t="n">
        <x:v>19</x:v>
      </x:c>
      <x:c r="D467" s="20" t="str">
        <x:v>2</x:v>
      </x:c>
      <x:c r="E467" s="20" t="str"/>
      <x:c r="F467" s="20" t="str">
        <x:f>IF(E467="",D467,E467)</x:f>
        <x:v>2</x:v>
      </x:c>
      <x:c r="G467" s="13" t="str">
        <x:v>Taming Serverless Cold Starts Through OS Co-Design</x:v>
      </x:c>
      <x:c r="H467" s="13" t="n">
        <x:v>0</x:v>
      </x:c>
      <x:c r="I467" s="22" t="n">
        <x:v>0.027799227799227798</x:v>
      </x:c>
      <x:c r="J467" s="13" t="n">
        <x:v>2</x:v>
      </x:c>
      <x:c r="K467" s="19" t="str">
        <x:v>How do research systems mitigate cold starts in serverless computing, and how do prewarming, snapshotting, and prediction-based approaches compare?</x:v>
      </x:c>
      <x:c r="L467" s="19" t="str">
        <x:v>Taming Serverless Cold Starts Through OS Co-Design
Ben Holmes, Baltasar Dinis, Lana Honcharuk, Joshua Fried, Adam Belay
MIT CSAIL
Abstract
Serverless computing promises fine-grained elasticity and
operational simplicity, fueling widespread interest from both
industry and academia. Yet this promise is undercut by the
cold start problem, where invoking a function after a period
of inactivity triggers costly initialization before any work can
begin. Even with today’s high-speed storage, the prevailing
view is that achieving sub-millisecond cold starts requires
keeping state resident in memory.
This paper challenges that assumption. Our analysis of
existing snapshot/restore mechanisms shows that OS-level
limitations, not storage speed, are the real barrier to ultra-
fast restores from disk. These limitations force current sys-
tems to either restore state piecemeal in a costly manner or</x:v>
      </x:c>
      <x:c r="M467" s="19" t="str">
        <x:v>该段包含可直接回答问题的方法、指标、比较或研究发现。</x:v>
      </x:c>
      <x:c r="N467" s="13" t="str">
        <x:v>http://arxiv.org/abs/2509.14292v1</x:v>
      </x:c>
    </x:row>
    <x:row r="468" ht="58" customHeight="1">
      <x:c r="A468" s="13" t="str">
        <x:v>csq016-c020</x:v>
      </x:c>
      <x:c r="B468" s="13" t="str">
        <x:v>csq016</x:v>
      </x:c>
      <x:c r="C468" s="21" t="n">
        <x:v>20</x:v>
      </x:c>
      <x:c r="D468" s="20" t="str">
        <x:v>2</x:v>
      </x:c>
      <x:c r="E468" s="20" t="str"/>
      <x:c r="F468" s="20" t="str">
        <x:f>IF(E468="",D468,E468)</x:f>
        <x:v>2</x:v>
      </x:c>
      <x:c r="G468" s="13" t="str">
        <x:v>HotSwap: Enabling Live Dependency Sharing in Serverless Computing</x:v>
      </x:c>
      <x:c r="H468" s="13" t="n">
        <x:v>9</x:v>
      </x:c>
      <x:c r="I468" s="22" t="n">
        <x:v>0.016129032258064516</x:v>
      </x:c>
      <x:c r="J468" s="13" t="n">
        <x:v>1</x:v>
      </x:c>
      <x:c r="K468" s="19" t="str">
        <x:v>How do research systems mitigate cold starts in serverless computing, and how do prewarming, snapshotting, and prediction-based approaches compare?</x:v>
      </x:c>
      <x:c r="L468" s="19" t="str">
        <x:v>Function-Specific Optimization. A common method for re-
ducing cold-start latency is leveraging Checkpoint/Restore
(C/R) techniques such as CRIU [27]. Prebaking [13], [14]
applies CRIU to checkpoint entire serverless functions, signifi-
cantly speeding up start-up across runtimes. Catalyzer [15] im-
proves sandbox restoration by efficiently resuming serverless
functions across sandboxes. MITOSIS [18] extends this ap-
proach by introducing remote sandbox forking using RDMA.
Further extending this idea, Ustiugov et al. [17] propose a
“hot page record-and-prefetch” technique to accelerate sand-
box restoration and function execution. SEUSS [16] takes a
unikernel-based approach, restoring function snapshots while
avoiding resource-heavy initialization. Fasslight [32] optimizes
code loading latency by loading only essential code. Although</x:v>
      </x:c>
      <x:c r="M468" s="19" t="str">
        <x:v>该段包含可直接回答问题的方法、指标、比较或研究发现。</x:v>
      </x:c>
      <x:c r="N468" s="13" t="str">
        <x:v>http://arxiv.org/abs/2409.09202v3</x:v>
      </x:c>
    </x:row>
    <x:row r="469" ht="58" customHeight="1">
      <x:c r="A469" s="13" t="str">
        <x:v>csq016-c021</x:v>
      </x:c>
      <x:c r="B469" s="13" t="str">
        <x:v>csq016</x:v>
      </x:c>
      <x:c r="C469" s="21" t="n">
        <x:v>21</x:v>
      </x:c>
      <x:c r="D469" s="20" t="str">
        <x:v>0</x:v>
      </x:c>
      <x:c r="E469" s="20" t="str"/>
      <x:c r="F469" s="20" t="str">
        <x:f>IF(E469="",D469,E469)</x:f>
        <x:v>0</x:v>
      </x:c>
      <x:c r="G469" s="13" t="str">
        <x:v>HotSwap: Enabling Live Dependency Sharing in Serverless Computing</x:v>
      </x:c>
      <x:c r="H469" s="13" t="n">
        <x:v>10</x:v>
      </x:c>
      <x:c r="I469" s="22" t="n">
        <x:v>0.016129032258064516</x:v>
      </x:c>
      <x:c r="J469" s="13" t="n">
        <x:v>1</x:v>
      </x:c>
      <x:c r="K469" s="19" t="str">
        <x:v>How do research systems mitigate cold starts in serverless computing, and how do prewarming, snapshotting, and prediction-based approaches compare?</x:v>
      </x:c>
      <x:c r="L469" s="19" t="str">
        <x:v>the curtains of serverless platforms,” in 2018 USENIX annual technical
conference (USENIX ATC 18) , pp. 133–146, 2018.
[13] P. Silva, D. Fireman, and T. E. Pereira, “Prebaking functions to warm
the serverless cold start,” in Proceedings of the 21st International
Middleware Conference, pp. 1–13, 2020.
[14] D. Fireman, P. Silva, T. E. Pereira, L. Mafra, and D. Valadares,
“Prebaking runtime environments to improve the faas cold start latency,”
Future Generation Computer Systems , vol. 155, pp. 287–299, 2024.
[15] D. Du, T. Yu, Y . Xia, B. Zang, G. Yan, C. Qin, Q. Wu, and
H. Chen, “Catalyzer: Sub-millisecond startup for serverless computing
with initialization-less booting,” in Proceedings of the Twenty-Fifth
International Conference on Architectural Support for Programming
Languages and Operating Systems , pp. 467–481, 2020.</x:v>
      </x:c>
      <x:c r="M469" s="19" t="str">
        <x:v>该段为无关内容、泛泛提及或参考文献片段，不能作为回答证据。</x:v>
      </x:c>
      <x:c r="N469" s="13" t="str">
        <x:v>http://arxiv.org/abs/2409.09202v3</x:v>
      </x:c>
    </x:row>
    <x:row r="470" ht="58" customHeight="1">
      <x:c r="A470" s="13" t="str">
        <x:v>csq016-c022</x:v>
      </x:c>
      <x:c r="B470" s="13" t="str">
        <x:v>csq016</x:v>
      </x:c>
      <x:c r="C470" s="21" t="n">
        <x:v>22</x:v>
      </x:c>
      <x:c r="D470" s="20" t="str">
        <x:v>2</x:v>
      </x:c>
      <x:c r="E470" s="20" t="str"/>
      <x:c r="F470" s="20" t="str">
        <x:f>IF(E470="",D470,E470)</x:f>
        <x:v>2</x:v>
      </x:c>
      <x:c r="G470" s="13" t="str">
        <x:v>Taming Serverless Cold Starts Through OS Co-Design</x:v>
      </x:c>
      <x:c r="H470" s="13" t="n">
        <x:v>0</x:v>
      </x:c>
      <x:c r="I470" s="22" t="n">
        <x:v>0.015873015873015872</x:v>
      </x:c>
      <x:c r="J470" s="13" t="n">
        <x:v>1</x:v>
      </x:c>
      <x:c r="K470" s="19" t="str">
        <x:v>How do research systems mitigate cold starts in serverless computing, and how do prewarming, snapshotting, and prediction-based approaches compare?</x:v>
      </x:c>
      <x:c r="L470" s="19" t="str">
        <x:v>require at least one copy of each function to remain alive
in memory. This model, however, fundamentally assumes
a warm instance is available somewhere on the cluster. For
the many functions in the long tail of an invocation distribu-
tion, or during a cold start after a period of inactivity, this
assumption often does not hold, leaving no fast path for the
initial request.
On the other hand,cold-stateapproaches don’t rely on
warm state present [8, 21, 35, 38]. These approaches often
serialize initialized function state to persistent storage and
reload it on demand, offering a natural fit for serverless
platforms where functions may be invoked rarely but must
start quickly. In principle, these snapshot/restore approaches
can achieve both elasticity and memory efficiency. In prac-
tice, however, restore latencies remain far higher than warm
starts, preventing widespread adoption.</x:v>
      </x:c>
      <x:c r="M470" s="19" t="str">
        <x:v>该段包含可直接回答问题的方法、指标、比较或研究发现。</x:v>
      </x:c>
      <x:c r="N470" s="13" t="str">
        <x:v>http://arxiv.org/abs/2509.14292v1</x:v>
      </x:c>
    </x:row>
    <x:row r="471" ht="58" customHeight="1">
      <x:c r="A471" s="13" t="str">
        <x:v>csq016-c023</x:v>
      </x:c>
      <x:c r="B471" s="13" t="str">
        <x:v>csq016</x:v>
      </x:c>
      <x:c r="C471" s="21" t="n">
        <x:v>23</x:v>
      </x:c>
      <x:c r="D471" s="20" t="str">
        <x:v>0</x:v>
      </x:c>
      <x:c r="E471" s="20" t="str"/>
      <x:c r="F471" s="20" t="str">
        <x:f>IF(E471="",D471,E471)</x:f>
        <x:v>0</x:v>
      </x:c>
      <x:c r="G471" s="13" t="str">
        <x:v>HotSwap: Enabling Live Dependency Sharing in Serverless Computing</x:v>
      </x:c>
      <x:c r="H471" s="13" t="n">
        <x:v>10</x:v>
      </x:c>
      <x:c r="I471" s="22" t="n">
        <x:v>0.015625</x:v>
      </x:c>
      <x:c r="J471" s="13" t="n">
        <x:v>1</x:v>
      </x:c>
      <x:c r="K471" s="19" t="str">
        <x:v>How do research systems mitigate cold starts in serverless computing, and how do prewarming, snapshotting, and prediction-based approaches compare?</x:v>
      </x:c>
      <x:c r="L471" s="19" t="str">
        <x:v>[33] P. O. F. Dos Santos, H. J. de Moura Costa, V . R. Leithardt, and
P. J. S. Ferreira, “An alternative to faas cold start latency of low
request frequency applications,” in 2023 3rd International Conference on
Electrical, Computer , Communications and Mechatronics Engineering
(ICECCME), pp. 1–6, IEEE, 2023.
[34] Z. Li, Q. Chen, and M. Guo, “Pagurus: Eliminating cold startup in
serverless computing with inter-action container sharing,” arXiv preprint
arXiv:2108.11240, 2021.
[35] K. Suo, J. Son, D. Cheng, W. Chen, and S. Baidya, “Tackling cold start
of serverless applications by efficient and adaptive container runtime
reusing,” in 2021 IEEE International Conference on Cluster Computing
(CLUSTER), pp. 433–443, IEEE, 2021.
[36] V . Dukic, R. Bruno, A. Singla, and G. Alonso, “Photons: Lambdas on a
diet,” in Proceedings of the 11th ACM Symposium on Cloud Computing ,
pp. 45–59, 2020.</x:v>
      </x:c>
      <x:c r="M471" s="19" t="str">
        <x:v>该段为无关内容、泛泛提及或参考文献片段，不能作为回答证据。</x:v>
      </x:c>
      <x:c r="N471" s="13" t="str">
        <x:v>http://arxiv.org/abs/2409.09202v3</x:v>
      </x:c>
    </x:row>
    <x:row r="472" ht="58" customHeight="1">
      <x:c r="A472" s="13" t="str">
        <x:v>csq016-c024</x:v>
      </x:c>
      <x:c r="B472" s="13" t="str">
        <x:v>csq016</x:v>
      </x:c>
      <x:c r="C472" s="21" t="n">
        <x:v>24</x:v>
      </x:c>
      <x:c r="D472" s="20" t="str">
        <x:v>2</x:v>
      </x:c>
      <x:c r="E472" s="20" t="str"/>
      <x:c r="F472" s="20" t="str">
        <x:f>IF(E472="",D472,E472)</x:f>
        <x:v>2</x:v>
      </x:c>
      <x:c r="G472" s="13" t="str">
        <x:v>Taming Cold Starts: Proactive Serverless Scheduling with Model Predictive Control</x:v>
      </x:c>
      <x:c r="H472" s="13" t="n">
        <x:v>0</x:v>
      </x:c>
      <x:c r="I472" s="22" t="n">
        <x:v>0.015625</x:v>
      </x:c>
      <x:c r="J472" s="13" t="n">
        <x:v>1</x:v>
      </x:c>
      <x:c r="K472" s="19" t="str">
        <x:v>How do research systems mitigate cold starts in serverless computing, and how do prewarming, snapshotting, and prediction-based approaches compare?</x:v>
      </x:c>
      <x:c r="L472" s="19" t="str">
        <x:v>work based on Model Predictive Control to proactively mitigate
cold starts, thereby improving end-to-end response time. By
forecasting future invocations, the controller jointly optimizes
container prewarming and request dispatching, improving la-
tency while minimizing resource overhead.
We implement our approach on Apache OpenWhisk, deployed
on a Kubernetes-based testbed. Experimental results using real-
world function traces and synthetic workloads demonstrate that
our method significantly outperforms state-of-the-art baselines,
achieving up to 85% lower tail latency and a 34% reduction in
resource usage.
Index Terms—Serverless, Cloud Computing, Orchestration,
Cold Start, Function-as-a-service, Model Predictive Control,
Prediction, Request Shaping
I. INTRODUCTION
Background.Serverless computing [1], [2] is a cloud ex-
ecution model that providesFunction-as-a-Service (FaaS)</x:v>
      </x:c>
      <x:c r="M472" s="19" t="str">
        <x:v>该段包含可直接回答问题的方法、指标、比较或研究发现。</x:v>
      </x:c>
      <x:c r="N472" s="13" t="str">
        <x:v>http://arxiv.org/abs/2508.07640v2</x:v>
      </x:c>
    </x:row>
    <x:row r="473" ht="58" customHeight="1">
      <x:c r="A473" s="13" t="str">
        <x:v>csq016-c025</x:v>
      </x:c>
      <x:c r="B473" s="13" t="str">
        <x:v>csq016</x:v>
      </x:c>
      <x:c r="C473" s="21" t="n">
        <x:v>25</x:v>
      </x:c>
      <x:c r="D473" s="20" t="str">
        <x:v>2</x:v>
      </x:c>
      <x:c r="E473" s="20" t="str"/>
      <x:c r="F473" s="20" t="str">
        <x:f>IF(E473="",D473,E473)</x:f>
        <x:v>2</x:v>
      </x:c>
      <x:c r="G473" s="13" t="str">
        <x:v>Hydra: Virtualized Multi-Language Runtime for High-Density Serverless Platforms</x:v>
      </x:c>
      <x:c r="H473" s="13" t="n">
        <x:v>2</x:v>
      </x:c>
      <x:c r="I473" s="22" t="n">
        <x:v>0.015384615384615385</x:v>
      </x:c>
      <x:c r="J473" s="13" t="n">
        <x:v>1</x:v>
      </x:c>
      <x:c r="K473" s="19" t="str">
        <x:v>How do research systems mitigate cold starts in serverless computing, and how do prewarming, snapshotting, and prediction-based approaches compare?</x:v>
      </x:c>
      <x:c r="L473" s="19" t="str">
        <x:v>functions will benefit from runtime reuse as the vast majority of
functions have very sparse invocations (see Figure 2). Finally, it
creates additional memory pressure to keep workers in memory
after an invocation finishes (see Figure 3).
Snapshotting and forking have also received much attention as
a promising technique to reduce the memory footprint and startup
latency of serverless functions. Restoring from a previous snap-
shot significantly reduces the startup time and memory footprint
compared to a cold start [ 31, 36, 76] but still requires a separate
virtualization stack for each concurrent invocation and imposes
storage/network overhead to manage snapshots [ 25]. Similarly,
runtime forking [24, 60] also reduces both memory footprint via
copy-on-write and startup time by simply forking instead of launch-
ing a completely new virtualization stack. However, state-of-the-art</x:v>
      </x:c>
      <x:c r="M473" s="19" t="str">
        <x:v>该段包含可直接回答问题的方法、指标、比较或研究发现。</x:v>
      </x:c>
      <x:c r="N473" s="13" t="str">
        <x:v>http://arxiv.org/abs/2212.10131v3</x:v>
      </x:c>
    </x:row>
    <x:row r="474" ht="58" customHeight="1">
      <x:c r="A474" s="13" t="str">
        <x:v>csq016-c026</x:v>
      </x:c>
      <x:c r="B474" s="13" t="str">
        <x:v>csq016</x:v>
      </x:c>
      <x:c r="C474" s="21" t="n">
        <x:v>26</x:v>
      </x:c>
      <x:c r="D474" s="20" t="str">
        <x:v>0</x:v>
      </x:c>
      <x:c r="E474" s="20" t="str"/>
      <x:c r="F474" s="20" t="str">
        <x:f>IF(E474="",D474,E474)</x:f>
        <x:v>0</x:v>
      </x:c>
      <x:c r="G474" s="13" t="str">
        <x:v>HotSwap: Enabling Live Dependency Sharing in Serverless Computing</x:v>
      </x:c>
      <x:c r="H474" s="13" t="n">
        <x:v>10</x:v>
      </x:c>
      <x:c r="I474" s="22" t="n">
        <x:v>0.015384615384615385</x:v>
      </x:c>
      <x:c r="J474" s="13" t="n">
        <x:v>1</x:v>
      </x:c>
      <x:c r="K474" s="19" t="str">
        <x:v>How do research systems mitigate cold starts in serverless computing, and how do prewarming, snapshotting, and prediction-based approaches compare?</x:v>
      </x:c>
      <x:c r="L474" s="19" t="str">
        <x:v>factors in function as a service,” in 2018 IEEE/ACM International Con-
ference on Utility and Cloud Computing Companion (UCC Companion) ,
pp. 181–188, IEEE, 2018.
[7] A. Ebrahimi, M. Ghobaei-Arani, and H. Saboohi, “Cold start latency
mitigation mechanisms in serverless computing: taxonomy, review, and
future directions,” Journal of systems architecture , p. 103115, 2024.
[8] A. Fuerst and P. Sharma, “Faascache: keeping serverless computing
alive with greedy-dual caching,” in Proceedings of the 26th ACM
International Conference on Architectural Support for Programming
Languages and Operating Systems , pp. 386–400, 2021.
[9] J. Shen, T. Yang, Y . Su, Y . Zhou, and M. R. Lyu, “Defuse: A
dependency-guided function scheduler to mitigate cold starts on faas
platforms,” in 2021 IEEE 41st International Conference on Distributed
Computing Systems (ICDCS) , pp. 194–204, IEEE, 2021.</x:v>
      </x:c>
      <x:c r="M474" s="19" t="str">
        <x:v>该段为无关内容、泛泛提及或参考文献片段，不能作为回答证据。</x:v>
      </x:c>
      <x:c r="N474" s="13" t="str">
        <x:v>http://arxiv.org/abs/2409.09202v3</x:v>
      </x:c>
    </x:row>
    <x:row r="475" ht="58" customHeight="1">
      <x:c r="A475" s="13" t="str">
        <x:v>csq016-c027</x:v>
      </x:c>
      <x:c r="B475" s="13" t="str">
        <x:v>csq016</x:v>
      </x:c>
      <x:c r="C475" s="21" t="n">
        <x:v>27</x:v>
      </x:c>
      <x:c r="D475" s="20" t="str">
        <x:v>2</x:v>
      </x:c>
      <x:c r="E475" s="20" t="str"/>
      <x:c r="F475" s="20" t="str">
        <x:f>IF(E475="",D475,E475)</x:f>
        <x:v>2</x:v>
      </x:c>
      <x:c r="G475" s="13" t="str">
        <x:v>Taming Cold Starts: Proactive Serverless Scheduling with Model Predictive Control</x:v>
      </x:c>
      <x:c r="H475" s="13" t="n">
        <x:v>2</x:v>
      </x:c>
      <x:c r="I475" s="22" t="n">
        <x:v>0.015384615384615385</x:v>
      </x:c>
      <x:c r="J475" s="13" t="n">
        <x:v>1</x:v>
      </x:c>
      <x:c r="K475" s="19" t="str">
        <x:v>How do research systems mitigate cold starts in serverless computing, and how do prewarming, snapshotting, and prediction-based approaches compare?</x:v>
      </x:c>
      <x:c r="L475" s="19" t="str">
        <x:v>performance for bursty workloads, as requests arriving before
scaling completes may still experience full cold start latency.
Another notable work is IceBreaker by Roy et al. [15], a
serverless scheduling framework that reduces cold start latency
and keep-alive costs by leveraging heterogeneous servers for
function prewarming. IceBreaker employs a function invoca-
tion predictor to capture time-varying patterns and a utility-
based placement strategy. Despite its predictive prewarming,
IceBreaker does not coordinate prewarming completion with
request dispatch, nor does it shape incoming requests to wait
for warm containers. Consequently, requests arriving before
a prewarmed container is truly ready still incur the full cold
start latency.
In this paper, we address these limitations by proposing
a solution that leverages Model Predictive Control (MPC) to</x:v>
      </x:c>
      <x:c r="M475" s="19" t="str">
        <x:v>该段包含可直接回答问题的方法、指标、比较或研究发现。</x:v>
      </x:c>
      <x:c r="N475" s="13" t="str">
        <x:v>http://arxiv.org/abs/2508.07640v2</x:v>
      </x:c>
    </x:row>
    <x:row r="476" ht="58" customHeight="1">
      <x:c r="A476" s="13" t="str">
        <x:v>csq016-c028</x:v>
      </x:c>
      <x:c r="B476" s="13" t="str">
        <x:v>csq016</x:v>
      </x:c>
      <x:c r="C476" s="21" t="n">
        <x:v>28</x:v>
      </x:c>
      <x:c r="D476" s="20" t="str">
        <x:v>0</x:v>
      </x:c>
      <x:c r="E476" s="20" t="str"/>
      <x:c r="F476" s="20" t="str">
        <x:f>IF(E476="",D476,E476)</x:f>
        <x:v>0</x:v>
      </x:c>
      <x:c r="G476" s="13" t="str">
        <x:v>HotSwap: Enabling Live Dependency Sharing in Serverless Computing</x:v>
      </x:c>
      <x:c r="H476" s="13" t="n">
        <x:v>10</x:v>
      </x:c>
      <x:c r="I476" s="22" t="n">
        <x:v>0.015151515151515152</x:v>
      </x:c>
      <x:c r="J476" s="13" t="n">
        <x:v>1</x:v>
      </x:c>
      <x:c r="K476" s="19" t="str">
        <x:v>How do research systems mitigate cold starts in serverless computing, and how do prewarming, snapshotting, and prediction-based approaches compare?</x:v>
      </x:c>
      <x:c r="L476" s="19" t="str">
        <x:v>[30] A. Kumari, B. Sahoo, and R. K. Behera, “Mitigating cold-start delay
using warm-start containers in serverless platform,” in 2022 IEEE 19th
India Council International Conference (INDICON) , pp. 1–6, IEEE,
2022.
[31] S. Agarwal, M. A. Rodriguez, and R. Buyya, “On-demand cold start
frequency reduction with off-policy reinforcement learning in serverless
computing,” in International Conference on Computing, Intelligence and
Data Analytics , pp. 1–24, Springer, 2024.
[32] X. Liu, J. Wen, Z. Chen, D. Li, J. Chen, Y . Liu, H. Wang, and X. Jin,
“Faaslight: General application-level cold-start latency optimization for
function-as-a-service in serverless computing,” ACM Transactions on
Software Engineering and Methodology , vol. 32, no. 5, pp. 1–29, 2023.
[33] P. O. F. Dos Santos, H. J. de Moura Costa, V . R. Leithardt, and</x:v>
      </x:c>
      <x:c r="M476" s="19" t="str">
        <x:v>该段为无关内容、泛泛提及或参考文献片段，不能作为回答证据。</x:v>
      </x:c>
      <x:c r="N476" s="13" t="str">
        <x:v>http://arxiv.org/abs/2409.09202v3</x:v>
      </x:c>
    </x:row>
    <x:row r="477" ht="58" customHeight="1">
      <x:c r="A477" s="13" t="str">
        <x:v>csq016-c029</x:v>
      </x:c>
      <x:c r="B477" s="13" t="str">
        <x:v>csq016</x:v>
      </x:c>
      <x:c r="C477" s="21" t="n">
        <x:v>29</x:v>
      </x:c>
      <x:c r="D477" s="20" t="str">
        <x:v>2</x:v>
      </x:c>
      <x:c r="E477" s="20" t="str"/>
      <x:c r="F477" s="20" t="str">
        <x:f>IF(E477="",D477,E477)</x:f>
        <x:v>2</x:v>
      </x:c>
      <x:c r="G477" s="13" t="str">
        <x:v>Taming Cold Starts: Proactive Serverless Scheduling with Model Predictive Control</x:v>
      </x:c>
      <x:c r="H477" s="13" t="n">
        <x:v>3</x:v>
      </x:c>
      <x:c r="I477" s="22" t="n">
        <x:v>0.015151515151515152</x:v>
      </x:c>
      <x:c r="J477" s="13" t="n">
        <x:v>1</x:v>
      </x:c>
      <x:c r="K477" s="19" t="str">
        <x:v>How do research systems mitigate cold starts in serverless computing, and how do prewarming, snapshotting, and prediction-based approaches compare?</x:v>
      </x:c>
      <x:c r="L477" s="19" t="str">
        <x:v>ρ1, ρ2 Weights for provisioning smoothness
1) Cold delay penalty:Let ColdDelay k denote the latency
penalty at time stepkincurred when the number of available
warm containers is insufficient to serve all incoming requests.
We defineL cold as the initialization latency of a cold
container, andL warm as the execution time in a warm container.
Letλ k represent the number of incoming requests at time step
k, and letw k denote the number of warm containers available
at that time. The cold delay penalty at time stepkis computed
as:
ColdDelayk =α·max (0, λ k −µ·w k)·(L cold +L warm)(3)
whereµ= 1
Lwarm
is the service rate per warm container, and
α≥0is a tunable cost weight that determines the importance
of cold start penalties. Settingα= 0disables cold start
awareness in the controller, while higher values encourage
more aggressive prewarming to avoid latency.</x:v>
      </x:c>
      <x:c r="M477" s="19" t="str">
        <x:v>该段包含可直接回答问题的方法、指标、比较或研究发现。</x:v>
      </x:c>
      <x:c r="N477" s="13" t="str">
        <x:v>http://arxiv.org/abs/2508.07640v2</x:v>
      </x:c>
    </x:row>
    <x:row r="478" ht="58" customHeight="1">
      <x:c r="A478" s="13" t="str">
        <x:v>csq016-c030</x:v>
      </x:c>
      <x:c r="B478" s="13" t="str">
        <x:v>csq016</x:v>
      </x:c>
      <x:c r="C478" s="21" t="n">
        <x:v>30</x:v>
      </x:c>
      <x:c r="D478" s="20" t="str">
        <x:v>2</x:v>
      </x:c>
      <x:c r="E478" s="20" t="str"/>
      <x:c r="F478" s="20" t="str">
        <x:f>IF(E478="",D478,E478)</x:f>
        <x:v>2</x:v>
      </x:c>
      <x:c r="G478" s="13" t="str">
        <x:v>Benchmarking, Analysis, and Optimization of Serverless Function Snapshots</x:v>
      </x:c>
      <x:c r="H478" s="13" t="n">
        <x:v>2</x:v>
      </x:c>
      <x:c r="I478" s="22" t="n">
        <x:v>0.015151515151515152</x:v>
      </x:c>
      <x:c r="J478" s="13" t="n">
        <x:v>1</x:v>
      </x:c>
      <x:c r="K478" s="19" t="str">
        <x:v>How do research systems mitigate cold starts in serverless computing, and how do prewarming, snapshotting, and prediction-based approaches compare?</x:v>
      </x:c>
      <x:c r="L478" s="19" t="str">
        <x:v>current state of a VM, including the state of the virtual machine
monitor (VMM) and the guest-physical memory contents, and store
it as files on disk. Using snapshots, the host orchestrator (e.g., Con-
tainerd [21]) can capture the state of a function instance that has
been fully booted and is ready to receive and execute a function
invocation. When a request for a function without a running in-
stance but with an existing snapshot arrives, the orchestrator can
quickly create a new function instance from the corresponding
snapshot. Once loading finishes, this instance is ready to process
the incoming request, thus eliminating the high cold-boot latency.
Snapshots are attractive because they require no main memory
during the periods of a function’s inactivity and reduce cold-start
delays. The snapshots of function instances can be stored in local</x:v>
      </x:c>
      <x:c r="M478" s="19" t="str">
        <x:v>该段包含可直接回答问题的方法、指标、比较或研究发现。</x:v>
      </x:c>
      <x:c r="N478" s="13" t="str">
        <x:v>http://arxiv.org/abs/2101.09355v3</x:v>
      </x:c>
    </x:row>
    <x:row r="479" ht="58" customHeight="1">
      <x:c r="A479" s="13" t="str">
        <x:v>csq017-c001</x:v>
      </x:c>
      <x:c r="B479" s="13" t="str">
        <x:v>csq017</x:v>
      </x:c>
      <x:c r="C479" s="21" t="n">
        <x:v>1</x:v>
      </x:c>
      <x:c r="D479" s="20" t="str">
        <x:v>2</x:v>
      </x:c>
      <x:c r="E479" s="20" t="str"/>
      <x:c r="F479" s="20" t="str">
        <x:f>IF(E479="",D479,E479)</x:f>
        <x:v>2</x:v>
      </x:c>
      <x:c r="G479" s="13" t="str">
        <x:v>Large-scale Machine Learning Cluster Scheduling via Multi-agent Graph Reinforcement Learning</x:v>
      </x:c>
      <x:c r="H479" s="13" t="n">
        <x:v>7</x:v>
      </x:c>
      <x:c r="I479" s="22" t="n">
        <x:v>0.07933066404774496</x:v>
      </x:c>
      <x:c r="J479" s="13" t="n">
        <x:v>5</x:v>
      </x:c>
      <x:c r="K479" s="19" t="str">
        <x:v>Which workloads, metrics, and experimental methodologies are used to evaluate datacenter cluster schedulers?</x:v>
      </x:c>
      <x:c r="L479" s="19" t="str">
        <x:v>job is determined upon its arrival). We use the average job
completion time (JCT) as the performance metric, and show
the evaluation results on the testing dataset.
Simulator. We conduct trace-driven simulation to evaluate
our framework with representative scheduling schemes under
different conﬁgurations. The evaluation is run on a server
with one Intel E5-1660 CPU, two GTX 1080Ti GPUs, 48GB
RAM, and one MCX413A-GCAT 50GbE NIC. We simulate
the data center topology and server architecture of a large-scale
cluster, DL workloads will arrive at each scheduler following
certain pattern for ofﬂine training. For worker computation
time, we ﬁrst calculate the ideal time as the time of training
with one worker on the whole dataset (proﬁled in advance)
divided by the number of assigned workers, because in data-
parallel each worker is trained on a partition of dataset. Then</x:v>
      </x:c>
      <x:c r="M479" s="19" t="str">
        <x:v>该段包含可直接回答问题的方法、指标、比较或研究发现。</x:v>
      </x:c>
      <x:c r="N479" s="13" t="str">
        <x:v>http://arxiv.org/abs/2112.13354v1</x:v>
      </x:c>
    </x:row>
    <x:row r="480" ht="58" customHeight="1">
      <x:c r="A480" s="13" t="str">
        <x:v>csq017-c002</x:v>
      </x:c>
      <x:c r="B480" s="13" t="str">
        <x:v>csq017</x:v>
      </x:c>
      <x:c r="C480" s="21" t="n">
        <x:v>2</x:v>
      </x:c>
      <x:c r="D480" s="20" t="str">
        <x:v>2</x:v>
      </x:c>
      <x:c r="E480" s="20" t="str"/>
      <x:c r="F480" s="20" t="str">
        <x:f>IF(E480="",D480,E480)</x:f>
        <x:v>2</x:v>
      </x:c>
      <x:c r="G480" s="13" t="str">
        <x:v>A Reference Architecture for Datacenter Scheduling: Extended Technical Report</x:v>
      </x:c>
      <x:c r="H480" s="13" t="n">
        <x:v>10</x:v>
      </x:c>
      <x:c r="I480" s="22" t="n">
        <x:v>0.06256805303507278</x:v>
      </x:c>
      <x:c r="J480" s="13" t="n">
        <x:v>4</x:v>
      </x:c>
      <x:c r="K480" s="19" t="str">
        <x:v>Which workloads, metrics, and experimental methodologies are used to evaluate datacenter cluster schedulers?</x:v>
      </x:c>
      <x:c r="L480" s="19" t="str">
        <x:v>experiments use as input relevant traces collected from rea l-
world environments, and shared by the community through
the Grid Workloads Archive [23]. The experiments use a
diverse set of metrics to quantify the performance of schedu ler
workload-management and operation.
2) Simulation and Real-W orld Experiments: For simula-
tions, we extend the community-driven, open-source OpenDC
simulation platform [53]. The simulated setup is typical of
event-driven simulation of (federated) clusters, and has b een
implemented similarly by instruments such as CloudSim,
GroudSim, etc. We prototype the reference architecture, ma k-
ing conﬁgurable the stages T1-2 and R4-5. These stages are
constructed based on policies used by real-world scheduler s.
For real-world experiments, we run only the abstract parts
of the architecture (the algorithms) on a real-world machin e,</x:v>
      </x:c>
      <x:c r="M480" s="19" t="str">
        <x:v>该段包含可直接回答问题的方法、指标、比较或研究发现。</x:v>
      </x:c>
      <x:c r="N480" s="13" t="str">
        <x:v>http://arxiv.org/abs/1808.04224v1</x:v>
      </x:c>
    </x:row>
    <x:row r="481" ht="58" customHeight="1">
      <x:c r="A481" s="13" t="str">
        <x:v>csq017-c003</x:v>
      </x:c>
      <x:c r="B481" s="13" t="str">
        <x:v>csq017</x:v>
      </x:c>
      <x:c r="C481" s="21" t="n">
        <x:v>3</x:v>
      </x:c>
      <x:c r="D481" s="20" t="str">
        <x:v>1</x:v>
      </x:c>
      <x:c r="E481" s="20" t="str"/>
      <x:c r="F481" s="20" t="str">
        <x:f>IF(E481="",D481,E481)</x:f>
        <x:v>1</x:v>
      </x:c>
      <x:c r="G481" s="13" t="str">
        <x:v>A Reference Architecture for Datacenter Scheduling: Extended Technical Report</x:v>
      </x:c>
      <x:c r="H481" s="13" t="n">
        <x:v>14</x:v>
      </x:c>
      <x:c r="I481" s="22" t="n">
        <x:v>0.05976811179017061</x:v>
      </x:c>
      <x:c r="J481" s="13" t="n">
        <x:v>4</x:v>
      </x:c>
      <x:c r="K481" s="19" t="str">
        <x:v>Which workloads, metrics, and experimental methodologies are used to evaluate datacenter cluster schedulers?</x:v>
      </x:c>
      <x:c r="L481" s="19" t="str">
        <x:v>efﬁcient management of datacenter workloads and resources
is increasingly critical. The main component responsible f or
this is the scheduler, which allocates user workloads to re-
sources. Although many scheduling systems already exist,
their complex nature and diverse approaches makes it difﬁcu lt
to comprehend and compare them. To address this problem,
we propose a reference architecture for datacenter schedul ing.
Our reference architecture focuses on a conceptual
workﬂow-based model, whose tasks and ﬂows embody the
processes for scheduling in datacenters. We validate this m odel
by mapping to it fourteen existing schedulers, traditional
and recent, sourced both from academia and industry. We
further give evidence of how the reference architecture can
be used in practice, through static and dynamic analysis.
Trace-based simulations indicate that the underspeciﬁcat ion</x:v>
      </x:c>
      <x:c r="M481" s="19" t="str">
        <x:v>该段提供相关背景或侧面信息，但没有直接回答问题核心。</x:v>
      </x:c>
      <x:c r="N481" s="13" t="str">
        <x:v>http://arxiv.org/abs/1808.04224v1</x:v>
      </x:c>
    </x:row>
    <x:row r="482" ht="58" customHeight="1">
      <x:c r="A482" s="13" t="str">
        <x:v>csq017-c004</x:v>
      </x:c>
      <x:c r="B482" s="13" t="str">
        <x:v>csq017</x:v>
      </x:c>
      <x:c r="C482" s="21" t="n">
        <x:v>4</x:v>
      </x:c>
      <x:c r="D482" s="20" t="str">
        <x:v>2</x:v>
      </x:c>
      <x:c r="E482" s="20" t="str"/>
      <x:c r="F482" s="20" t="str">
        <x:f>IF(E482="",D482,E482)</x:f>
        <x:v>2</x:v>
      </x:c>
      <x:c r="G482" s="13" t="str">
        <x:v>A Reference Architecture for Datacenter Scheduling: Extended Technical Report</x:v>
      </x:c>
      <x:c r="H482" s="13" t="n">
        <x:v>10</x:v>
      </x:c>
      <x:c r="I482" s="22" t="n">
        <x:v>0.04713064713064713</x:v>
      </x:c>
      <x:c r="J482" s="13" t="n">
        <x:v>3</x:v>
      </x:c>
      <x:c r="K482" s="19" t="str">
        <x:v>Which workloads, metrics, and experimental methodologies are used to evaluate datacenter cluster schedulers?</x:v>
      </x:c>
      <x:c r="L482" s="19" t="str">
        <x:v>TABLE IX: Experiment conﬁgurations.
Sec. Experiment focus Workload Metrics
§V -B Underspeciﬁcation All (§V -A.4) TRT, JMS, NJSL, JWT
§V -C Time complexity All (§V -A.4) TC
Both workloads have been collected independently from this
study, and feature in previous work of the community. Table X
summarizes the characteristics of both workloads: Askalon has
more complex workﬂows, Chronos includes a large job-burst
at start.
5) Datacenter topology: We consider in this work a dat-
acenter with 32 common-off-the-shelf resources (machines ).
Half (16) of these machines contain each an Intel i7 (v6)
processor, with 4 cores, at a clock rate of 4.1GHz. The other
half contain each an Intel i5 (v6) processor, with 2 cores, at
a clock rate of 3.5GHz.
For real-world experiments, the scheduler runs on the Intel
i7 processor, and Java 8 (1.8.0
162, Oracle engine).</x:v>
      </x:c>
      <x:c r="M482" s="19" t="str">
        <x:v>该段包含可直接回答问题的方法、指标、比较或研究发现。</x:v>
      </x:c>
      <x:c r="N482" s="13" t="str">
        <x:v>http://arxiv.org/abs/1808.04224v1</x:v>
      </x:c>
    </x:row>
    <x:row r="483" ht="58" customHeight="1">
      <x:c r="A483" s="13" t="str">
        <x:v>csq017-c005</x:v>
      </x:c>
      <x:c r="B483" s="13" t="str">
        <x:v>csq017</x:v>
      </x:c>
      <x:c r="C483" s="21" t="n">
        <x:v>5</x:v>
      </x:c>
      <x:c r="D483" s="20" t="str">
        <x:v>2</x:v>
      </x:c>
      <x:c r="E483" s="20" t="str"/>
      <x:c r="F483" s="20" t="str">
        <x:f>IF(E483="",D483,E483)</x:f>
        <x:v>2</x:v>
      </x:c>
      <x:c r="G483" s="13" t="str">
        <x:v>GPU Cluster Scheduling for Network-Sensitive Deep Learning</x:v>
      </x:c>
      <x:c r="H483" s="13" t="n">
        <x:v>11</x:v>
      </x:c>
      <x:c r="I483" s="22" t="n">
        <x:v>0.045717072759937125</x:v>
      </x:c>
      <x:c r="J483" s="13" t="n">
        <x:v>3</x:v>
      </x:c>
      <x:c r="K483" s="19" t="str">
        <x:v>Which workloads, metrics, and experimental methodologies are used to evaluate datacenter cluster schedulers?</x:v>
      </x:c>
      <x:c r="L483" s="19" t="str">
        <x:v>of the tail. Dally also outperforms Gandiva in average and
median JCT by 83% and 88% respectively and tail JCT by 76-
92%. Note that our Poisson experiments represent peak usage
scenarios to evaluate our scheme under network congestion.
VII. RELATED WORK
A. DL Cluster Scheduling
A plethora of DL cluster schedulers have been developed
recently with varying objectives such as JCT performance,
fairness, and SLO compliance. They utilize strategies like
consolidation, migration, packing, resource reallocation, etc.
In terms of performance, network agnostic approaches like
[51], [56] focus on packing multiple DNN models onto
a single GPU, boosting parallelism and decreasing overall
Gandiva Tiresias Dally-manual Dally
Average 17371514 4329941 4960727 2831880
Median 22722917 4212795 2787855 2595529
P95 71362014 15059080 39298828 16469069
P99 208939883 15390860 39817762 16681241</x:v>
      </x:c>
      <x:c r="M483" s="19" t="str">
        <x:v>该段包含可直接回答问题的方法、指标、比较或研究发现。</x:v>
      </x:c>
      <x:c r="N483" s="13" t="str">
        <x:v>http://arxiv.org/abs/2401.16492v2</x:v>
      </x:c>
    </x:row>
    <x:row r="484" ht="58" customHeight="1">
      <x:c r="A484" s="13" t="str">
        <x:v>csq017-c006</x:v>
      </x:c>
      <x:c r="B484" s="13" t="str">
        <x:v>csq017</x:v>
      </x:c>
      <x:c r="C484" s="21" t="n">
        <x:v>6</x:v>
      </x:c>
      <x:c r="D484" s="20" t="str">
        <x:v>1</x:v>
      </x:c>
      <x:c r="E484" s="20" t="str"/>
      <x:c r="F484" s="20" t="str">
        <x:f>IF(E484="",D484,E484)</x:f>
        <x:v>1</x:v>
      </x:c>
      <x:c r="G484" s="13" t="str">
        <x:v>A Reference Architecture for Datacenter Scheduling: Extended Technical Report</x:v>
      </x:c>
      <x:c r="H484" s="13" t="n">
        <x:v>0</x:v>
      </x:c>
      <x:c r="I484" s="22" t="n">
        <x:v>0.04417657980219064</x:v>
      </x:c>
      <x:c r="J484" s="13" t="n">
        <x:v>3</x:v>
      </x:c>
      <x:c r="K484" s="19" t="str">
        <x:v>Which workloads, metrics, and experimental methodologies are used to evaluate datacenter cluster schedulers?</x:v>
      </x:c>
      <x:c r="L484" s="19" t="str">
        <x:v>OS
App
Host
Hypervisor
Physical Machine
(space-shared)
Virtual Machine
(time-shared)
Cluster 1 Cluster 2
Batch Work
ows Batch Bags of Tasks
VMs / Containers App Managers
VM/Container
App
VM / Container
App
Hadoop
Fig. 1: Generic system model for datacenter operation. In th is
work, we create a reference architecture for the “Scheduler ”.
at work in real deployments. The model and associated tools,
such as community-curated experimental platforms, could h elp
analyze and compare schedulers in detail, and thus counter t he
problem that many new schedulers and policies (algorithms)
appear each year, but few are well-understood or adopted in
practice [19]. By summarizing patterns and best-practices , the
model could help standardize scheduler construction.
The lack of a reference architecture, or a community-wide
underlying conceptual model, can be costly. Conceptually,</x:v>
      </x:c>
      <x:c r="M484" s="19" t="str">
        <x:v>该段提供相关背景或侧面信息，但没有直接回答问题核心。</x:v>
      </x:c>
      <x:c r="N484" s="13" t="str">
        <x:v>http://arxiv.org/abs/1808.04224v1</x:v>
      </x:c>
    </x:row>
    <x:row r="485" ht="58" customHeight="1">
      <x:c r="A485" s="13" t="str">
        <x:v>csq017-c007</x:v>
      </x:c>
      <x:c r="B485" s="13" t="str">
        <x:v>csq017</x:v>
      </x:c>
      <x:c r="C485" s="21" t="n">
        <x:v>7</x:v>
      </x:c>
      <x:c r="D485" s="20" t="str">
        <x:v>2</x:v>
      </x:c>
      <x:c r="E485" s="20" t="str"/>
      <x:c r="F485" s="20" t="str">
        <x:f>IF(E485="",D485,E485)</x:f>
        <x:v>2</x:v>
      </x:c>
      <x:c r="G485" s="13" t="str">
        <x:v>Shockwave: Fair and Efficient Cluster Scheduling for Dynamic Adaptation in Machine Learning</x:v>
      </x:c>
      <x:c r="H485" s="13" t="n">
        <x:v>10</x:v>
      </x:c>
      <x:c r="I485" s="22" t="n">
        <x:v>0.044063886647841874</x:v>
      </x:c>
      <x:c r="J485" s="13" t="n">
        <x:v>3</x:v>
      </x:c>
      <x:c r="K485" s="19" t="str">
        <x:v>Which workloads, metrics, and experimental methodologies are used to evaluate datacenter cluster schedulers?</x:v>
      </x:c>
      <x:c r="L485" s="19" t="str">
        <x:v>our physical cluster implementation and the simulator use the
same scheduling code base and solver engine. We begin by
validating our simulator’s ﬁdelity.
Simulation Fidelity
We evaluate the simulation ﬁdelity by comparing our sim-
ulator’s results with the 32 GPU physical cluster results (Ta-
ble 3). We run all policies supported by our system under
different workloads, and the average difference is reported
in Table 3. Overall, the performance difference between a
simulated and physical cluster run is around 5%.
[Simulation - 64-256 GPUs, 220-900 Jobs] Efﬁciency. As
shown in Figure 9, Shockwave scales to large cluster settings
and preserves the improvement in makespan over baseline
algorithms. Shockwave achieves 1.26-1.35, 1.3-1.34, 1.35-
1.37, and 1.21-1.3 speedup in makespan when compared
with Themis, Gavel, AlloX, and Gandiva-Fair respectively.</x:v>
      </x:c>
      <x:c r="M485" s="19" t="str">
        <x:v>该段包含可直接回答问题的方法、指标、比较或研究发现。</x:v>
      </x:c>
      <x:c r="N485" s="13" t="str">
        <x:v>http://arxiv.org/abs/2210.00093v1</x:v>
      </x:c>
    </x:row>
    <x:row r="486" ht="58" customHeight="1">
      <x:c r="A486" s="13" t="str">
        <x:v>csq017-c008</x:v>
      </x:c>
      <x:c r="B486" s="13" t="str">
        <x:v>csq017</x:v>
      </x:c>
      <x:c r="C486" s="21" t="n">
        <x:v>8</x:v>
      </x:c>
      <x:c r="D486" s="20" t="str">
        <x:v>0</x:v>
      </x:c>
      <x:c r="E486" s="20" t="str"/>
      <x:c r="F486" s="20" t="str">
        <x:f>IF(E486="",D486,E486)</x:f>
        <x:v>0</x:v>
      </x:c>
      <x:c r="G486" s="13" t="str">
        <x:v>A Reference Architecture for Datacenter Scheduling: Extended Technical Report</x:v>
      </x:c>
      <x:c r="H486" s="13" t="n">
        <x:v>15</x:v>
      </x:c>
      <x:c r="I486" s="22" t="n">
        <x:v>0.04367224367224367</x:v>
      </x:c>
      <x:c r="J486" s="13" t="n">
        <x:v>3</x:v>
      </x:c>
      <x:c r="K486" s="19" t="str">
        <x:v>Which workloads, metrics, and experimental methodologies are used to evaluate datacenter cluster schedulers?</x:v>
      </x:c>
      <x:c r="L486" s="19" t="str">
        <x:v>scheduler,” Grid resource management: state of the art and future trends ,
pp. 15–23, 2004.
[22] T. Hoeﬂer and R. Belli, “Scientiﬁc benchmarking of para llel computing
systems: twelve ways to tell the masses when reporting perfo rmance
results,” in SC, 2015, pp. 73:1–73:12.
[23] A. Iosup, H. Li, M. Jan, S. Anoep, C. Dumitrescu, L. Wolte rs, and
D. H. J. Epema, “The Grid Workloads Archive,” Future Generation
Comp. Syst. , vol. 24, no. 7, pp. 672–686, 2008.
[24] V . V an Beek, J. Donkervliet, T. Hegeman, S. Hugtenburg, and A. Iosup,
“Self-expressive management of business-critical worklo ads in virtual-
ized datacenters,” Computer, vol. 48, no. 7, pp. 46–54, 2015.
[25] I. Altintas, C. Berkley, E. Jaeger, M. Jones, B. Ludasch er, and S. Mock,
“Kepler: an extensible system for design and execution of sc ientiﬁc
workﬂows,” in SSDBM, 2004, pp. 423–424.</x:v>
      </x:c>
      <x:c r="M486" s="19" t="str">
        <x:v>该段为无关内容、泛泛提及或参考文献片段，不能作为回答证据。</x:v>
      </x:c>
      <x:c r="N486" s="13" t="str">
        <x:v>http://arxiv.org/abs/1808.04224v1</x:v>
      </x:c>
    </x:row>
    <x:row r="487" ht="58" customHeight="1">
      <x:c r="A487" s="13" t="str">
        <x:v>csq017-c009</x:v>
      </x:c>
      <x:c r="B487" s="13" t="str">
        <x:v>csq017</x:v>
      </x:c>
      <x:c r="C487" s="21" t="n">
        <x:v>9</x:v>
      </x:c>
      <x:c r="D487" s="20" t="str">
        <x:v>2</x:v>
      </x:c>
      <x:c r="E487" s="20" t="str"/>
      <x:c r="F487" s="20" t="str">
        <x:f>IF(E487="",D487,E487)</x:f>
        <x:v>2</x:v>
      </x:c>
      <x:c r="G487" s="13" t="str">
        <x:v>Shockwave: Fair and Efficient Cluster Scheduling for Dynamic Adaptation in Machine Learning</x:v>
      </x:c>
      <x:c r="H487" s="13" t="n">
        <x:v>10</x:v>
      </x:c>
      <x:c r="I487" s="22" t="n">
        <x:v>0.041998361998362</x:v>
      </x:c>
      <x:c r="J487" s="13" t="n">
        <x:v>3</x:v>
      </x:c>
      <x:c r="K487" s="19" t="str">
        <x:v>Which workloads, metrics, and experimental methodologies are used to evaluate datacenter cluster schedulers?</x:v>
      </x:c>
      <x:c r="L487" s="19" t="str">
        <x:v>estimate of the FTF deadline. Figure 2 shows an example
where Shockwave produces an accurate prediction of the FTF
deadline and enables the job to ﬁnish on time.
Makespan (s) Average JCT (s) Unfair Fraction (%)
4.97% 4.62% 3.83%
Table 3: Fidelity of Shockwave’s simulator – difference be-
tween simulator and physical cluster.
8.5 Scaling to Large Clusters
We next use simulation to compare Shockwave’s and baseline
algorithms’ efﬁciency and fairness in larger-scale cluster set-
tings. We scale both the cluster size and the number of jobs
and study 64 GPUs with over 220 jobs, 128 GPUs with over
460 jobs, and 256 GPUs with over 900 jobs. We preserve
the contention factor as roughly three to maintain a constant
level of resource contention regardless of scale. Note that
our physical cluster implementation and the simulator use the
same scheduling code base and solver engine. We begin by</x:v>
      </x:c>
      <x:c r="M487" s="19" t="str">
        <x:v>该段包含可直接回答问题的方法、指标、比较或研究发现。</x:v>
      </x:c>
      <x:c r="N487" s="13" t="str">
        <x:v>http://arxiv.org/abs/2210.00093v1</x:v>
      </x:c>
    </x:row>
    <x:row r="488" ht="58" customHeight="1">
      <x:c r="A488" s="13" t="str">
        <x:v>csq017-c010</x:v>
      </x:c>
      <x:c r="B488" s="13" t="str">
        <x:v>csq017</x:v>
      </x:c>
      <x:c r="C488" s="21" t="n">
        <x:v>10</x:v>
      </x:c>
      <x:c r="D488" s="20" t="str">
        <x:v>2</x:v>
      </x:c>
      <x:c r="E488" s="20" t="str"/>
      <x:c r="F488" s="20" t="str">
        <x:f>IF(E488="",D488,E488)</x:f>
        <x:v>2</x:v>
      </x:c>
      <x:c r="G488" s="13" t="str">
        <x:v>A Reference Architecture for Datacenter Scheduling: Extended Technical Report</x:v>
      </x:c>
      <x:c r="H488" s="13" t="n">
        <x:v>10</x:v>
      </x:c>
      <x:c r="I488" s="22" t="n">
        <x:v>0.03131881575727918</x:v>
      </x:c>
      <x:c r="J488" s="13" t="n">
        <x:v>2</x:v>
      </x:c>
      <x:c r="K488" s="19" t="str">
        <x:v>Which workloads, metrics, and experimental methodologies are used to evaluate datacenter cluster schedulers?</x:v>
      </x:c>
      <x:c r="L488" s="19" t="str">
        <x:v>of samples due to the large input workloads (see W orkloads),
are processed statistically and veriﬁed independently.
4) W orkloads: We experiment here only with workloads
of workﬂows, which are the most complex type of workload
supported by the general model. Experimenting with other
models, e.g., bags of tasks, while useful, would not have use d
the full features of workﬂow-capable schedulers.
We use two traces collected from real-world datacenter-
like environments by the community, Askalon [23] and
Chronos [54]. Askalon is an engineering workload from a
grid cluster that uses workﬂows to simulate chemical pro-
cesses. Chronos is an industrial workload from a private
cloud that uses workﬂows to process data collected from an
IoT production-environment monitoring industrial equipm ent.
TABLE IX: Experiment conﬁgurations.
Sec. Experiment focus Workload Metrics</x:v>
      </x:c>
      <x:c r="M488" s="19" t="str">
        <x:v>该段包含可直接回答问题的方法、指标、比较或研究发现。</x:v>
      </x:c>
      <x:c r="N488" s="13" t="str">
        <x:v>http://arxiv.org/abs/1808.04224v1</x:v>
      </x:c>
    </x:row>
    <x:row r="489" ht="58" customHeight="1">
      <x:c r="A489" s="13" t="str">
        <x:v>csq017-c011</x:v>
      </x:c>
      <x:c r="B489" s="13" t="str">
        <x:v>csq017</x:v>
      </x:c>
      <x:c r="C489" s="21" t="n">
        <x:v>11</x:v>
      </x:c>
      <x:c r="D489" s="20" t="str">
        <x:v>2</x:v>
      </x:c>
      <x:c r="E489" s="20" t="str"/>
      <x:c r="F489" s="20" t="str">
        <x:f>IF(E489="",D489,E489)</x:f>
        <x:v>2</x:v>
      </x:c>
      <x:c r="G489" s="13" t="str">
        <x:v>MRSch: Multi-Resource Scheduling for HPC</x:v>
      </x:c>
      <x:c r="H489" s="13" t="n">
        <x:v>5</x:v>
      </x:c>
      <x:c r="I489" s="22" t="n">
        <x:v>0.03125763125763126</x:v>
      </x:c>
      <x:c r="J489" s="13" t="n">
        <x:v>2</x:v>
      </x:c>
      <x:c r="K489" s="19" t="str">
        <x:v>Which workloads, metrics, and experimental methodologies are used to evaluate datacenter cluster schedulers?</x:v>
      </x:c>
      <x:c r="L489" s="19" t="str">
        <x:v>nodes from S4 by half to represent workloads with less CPU
resource contention.
We split the five-month log into three parts: the first three
and a half months of the workload for agent training , a
subsequent two weeks of the workload for model validation ,
and the remaining data for inference/testing.
B. Evaluation Metrics
The quality of the scheduling method must be evaluated by
multiple metrics, including both system-level and user-level
metrics. Four well-established metrics are used to evaluate
MRSch, where the first two are system-level metrics and the
last two are user-level metrics.
1) Node utilization: the ratio of the used node-hours during
useful job execution to the elapsed node-hours.
2) Burst buffer utilization: the ratio of the used burst buffer
hours to the elapsed burst buffer hours.
3) Average job wait time : the average interval between job</x:v>
      </x:c>
      <x:c r="M489" s="19" t="str">
        <x:v>该段包含可直接回答问题的方法、指标、比较或研究发现。</x:v>
      </x:c>
      <x:c r="N489" s="13" t="str">
        <x:v>http://arxiv.org/abs/2403.16298v2</x:v>
      </x:c>
    </x:row>
    <x:row r="490" ht="58" customHeight="1">
      <x:c r="A490" s="13" t="str">
        <x:v>csq017-c012</x:v>
      </x:c>
      <x:c r="B490" s="13" t="str">
        <x:v>csq017</x:v>
      </x:c>
      <x:c r="C490" s="21" t="n">
        <x:v>12</x:v>
      </x:c>
      <x:c r="D490" s="20" t="str">
        <x:v>1</x:v>
      </x:c>
      <x:c r="E490" s="20" t="str"/>
      <x:c r="F490" s="20" t="str">
        <x:f>IF(E490="",D490,E490)</x:f>
        <x:v>1</x:v>
      </x:c>
      <x:c r="G490" s="13" t="str">
        <x:v>Shockwave: Fair and Efficient Cluster Scheduling for Dynamic Adaptation in Machine Learning</x:v>
      </x:c>
      <x:c r="H490" s="13" t="n">
        <x:v>8</x:v>
      </x:c>
      <x:c r="I490" s="22" t="n">
        <x:v>0.030330882352941176</x:v>
      </x:c>
      <x:c r="J490" s="13" t="n">
        <x:v>2</x:v>
      </x:c>
      <x:c r="K490" s="19" t="str">
        <x:v>Which workloads, metrics, and experimental methodologies are used to evaluate datacenter cluster schedulers?</x:v>
      </x:c>
      <x:c r="L490" s="19" t="str">
        <x:v>batch size scaling. Scaling requests are sent to the sched-
uler with gRPC. The schedule solver is implemented with
Gurobi [34]. Shockwave uses Linux NFS to store model check-
points. Our checkpointing overhead is less than 3%.
8 Evaluation
We next evaluateShockwave using ML job traces derived from
real-world clusters and compare Shockwave to state-of-the-art
deep learning schedulers.
8.1 Experiment Setup
Testbed. We conduct experiments using a 32-GPU, 8-node
cluster on TACC [9]. Each node has 4 NVIDIA Quadro RTX
5000 GPUs (16GB GRAM), 2 Intel Xeon E5-2620 v4 “Broad-
well” CPUs, and 128GB DDR4 RAM. The network band-
width is 200 GB/s inter-switch and 100 GB/s inter-node.
Workload. Shockwave ’s evaluation uses two separate work-
loads to reinforce its practical applicability. These traces in-
clude diversity in job sizes, model types, and arrival patterns.</x:v>
      </x:c>
      <x:c r="M490" s="19" t="str">
        <x:v>该段提供相关背景或侧面信息，但没有直接回答问题核心。</x:v>
      </x:c>
      <x:c r="N490" s="13" t="str">
        <x:v>http://arxiv.org/abs/2210.00093v1</x:v>
      </x:c>
    </x:row>
    <x:row r="491" ht="58" customHeight="1">
      <x:c r="A491" s="13" t="str">
        <x:v>csq017-c013</x:v>
      </x:c>
      <x:c r="B491" s="13" t="str">
        <x:v>csq017</x:v>
      </x:c>
      <x:c r="C491" s="21" t="n">
        <x:v>13</x:v>
      </x:c>
      <x:c r="D491" s="20" t="str">
        <x:v>2</x:v>
      </x:c>
      <x:c r="E491" s="20" t="str"/>
      <x:c r="F491" s="20" t="str">
        <x:f>IF(E491="",D491,E491)</x:f>
        <x:v>2</x:v>
      </x:c>
      <x:c r="G491" s="13" t="str">
        <x:v>GPU Cluster Scheduling for Network-Sensitive Deep Learning</x:v>
      </x:c>
      <x:c r="H491" s="13" t="n">
        <x:v>8</x:v>
      </x:c>
      <x:c r="I491" s="22" t="n">
        <x:v>0.02919863597612958</x:v>
      </x:c>
      <x:c r="J491" s="13" t="n">
        <x:v>2</x:v>
      </x:c>
      <x:c r="K491" s="19" t="str">
        <x:v>Which workloads, metrics, and experimental methodologies are used to evaluate datacenter cluster schedulers?</x:v>
      </x:c>
      <x:c r="L491" s="19" t="str">
        <x:v>algorithm, and other relevant details. Additionally, the user
needs to specify the number of machines per rack and the
total number of racks in the cluster.
V. EXPERIMENTAL METHODOLOGY
This section details the workloads, setup, baselines and
metrics used in our evaluation.
A. Workloads
In our experiment, we employ real-world production traces
obtained from SenseTime. We randomly select 500 DL/DDL
jobs for batch and about 400 DL/DDL jobs for Poisson
workloads from the trace, 2 which utilize the models specified
in Table I. The table encompasses a diverse range of network
latency, providing ample coverage for testing a DDL cluster
executing various network-sensitive DNN models. The cluster
trace furnishes the compute requirements for individual jobs,
including the time per iteration, the necessary number of
iterations, and the quantity of GPUs demanded. We assume</x:v>
      </x:c>
      <x:c r="M491" s="19" t="str">
        <x:v>该段包含可直接回答问题的方法、指标、比较或研究发现。</x:v>
      </x:c>
      <x:c r="N491" s="13" t="str">
        <x:v>http://arxiv.org/abs/2401.16492v2</x:v>
      </x:c>
    </x:row>
    <x:row r="492" ht="58" customHeight="1">
      <x:c r="A492" s="13" t="str">
        <x:v>csq017-c014</x:v>
      </x:c>
      <x:c r="B492" s="13" t="str">
        <x:v>csq017</x:v>
      </x:c>
      <x:c r="C492" s="21" t="n">
        <x:v>14</x:v>
      </x:c>
      <x:c r="D492" s="20" t="str">
        <x:v>2</x:v>
      </x:c>
      <x:c r="E492" s="20" t="str"/>
      <x:c r="F492" s="20" t="str">
        <x:f>IF(E492="",D492,E492)</x:f>
        <x:v>2</x:v>
      </x:c>
      <x:c r="G492" s="13" t="str">
        <x:v>Shockwave: Fair and Efficient Cluster Scheduling for Dynamic Adaptation in Machine Learning</x:v>
      </x:c>
      <x:c r="H492" s="13" t="n">
        <x:v>20</x:v>
      </x:c>
      <x:c r="I492" s="22" t="n">
        <x:v>0.02871794871794872</x:v>
      </x:c>
      <x:c r="J492" s="13" t="n">
        <x:v>2</x:v>
      </x:c>
      <x:c r="K492" s="19" t="str">
        <x:v>Which workloads, metrics, and experimental methodologies are used to evaluate datacenter cluster schedulers?</x:v>
      </x:c>
      <x:c r="L492" s="19" t="str">
        <x:v>and compare policies on a smaller 14-GPU physical cluster.
Shockwave’s win in efﬁciency decreases as there is more
resource slack and less contention in the cluster. Shockwave’s
improvement in makespan over Gavel, AlloX, and Themis
decreases (from 35% for contention factor 3) to 19% (8%)
when the contention factor is lowered to 2 (1.5) (cf. Figure 16).
A similar trend for cluster utilization is found. Shockwave’s
improvement in cluster utilization drops to 19% (5%). Al-
though the ﬁnish time fairness of all policies improves as the
contention factor decreases, Shockwave still performs better
than the baselines. Shockwave keeps the fraction of unfairly
scheduled jobs (i.e., the fraction of jobs with FTF𝜌&gt;1) low
when varying the contention factor. The average fraction of
unfairly scheduled jobs for Shockwave is 8.67% when vary-
ing the contention factors, outperforming the baselines by</x:v>
      </x:c>
      <x:c r="M492" s="19" t="str">
        <x:v>该段包含可直接回答问题的方法、指标、比较或研究发现。</x:v>
      </x:c>
      <x:c r="N492" s="13" t="str">
        <x:v>http://arxiv.org/abs/2210.00093v1</x:v>
      </x:c>
    </x:row>
    <x:row r="493" ht="58" customHeight="1">
      <x:c r="A493" s="13" t="str">
        <x:v>csq017-c015</x:v>
      </x:c>
      <x:c r="B493" s="13" t="str">
        <x:v>csq017</x:v>
      </x:c>
      <x:c r="C493" s="21" t="n">
        <x:v>15</x:v>
      </x:c>
      <x:c r="D493" s="20" t="str">
        <x:v>2</x:v>
      </x:c>
      <x:c r="E493" s="20" t="str"/>
      <x:c r="F493" s="20" t="str">
        <x:f>IF(E493="",D493,E493)</x:f>
        <x:v>2</x:v>
      </x:c>
      <x:c r="G493" s="13" t="str">
        <x:v>A Reference Architecture for Datacenter Scheduling: Extended Technical Report</x:v>
      </x:c>
      <x:c r="H493" s="13" t="n">
        <x:v>0</x:v>
      </x:c>
      <x:c r="I493" s="22" t="n">
        <x:v>0.027777777777777776</x:v>
      </x:c>
      <x:c r="J493" s="13" t="n">
        <x:v>2</x:v>
      </x:c>
      <x:c r="K493" s="19" t="str">
        <x:v>Which workloads, metrics, and experimental methodologies are used to evaluate datacenter cluster schedulers?</x:v>
      </x:c>
      <x:c r="L493" s="19" t="str">
        <x:v>arXiv:1808.04224v1  [cs.DC]  13 Aug 2018
A Reference Architecture for Datacenter
Scheduling: Design, V alidation, and Experiments
[Technical Report on the SC18 homonym article]
Georgios Andreadis ∗, Laurens V ersluis‡, Fabian Mastenbroek ∗, and Alexandru Iosup ∗‡
∗Delft University of Technology, ‡Vrije Universiteit Amsterdam, the Netherlands
{G.Andreadis, L.V ersluis, F.Mastenbroek, A.Iosup}@atlarge-research.com
Abstract—Datacenters act as cloud-infrastructure to stakehold-
ers across industry, government, and academia. To meet grow ing
demand yet operate efﬁciently, datacenter operators emplo y
increasingly more sophisticated scheduling systems, mech anisms,
and policies. Although many scheduling techniques already
exist, relatively little research has gone into the abstrac tion
of the scheduling process itself, hampering design, tuning , and</x:v>
      </x:c>
      <x:c r="M493" s="19" t="str">
        <x:v>该段包含可直接回答问题的方法、指标、比较或研究发现。</x:v>
      </x:c>
      <x:c r="N493" s="13" t="str">
        <x:v>http://arxiv.org/abs/1808.04224v1</x:v>
      </x:c>
    </x:row>
    <x:row r="494" ht="58" customHeight="1">
      <x:c r="A494" s="13" t="str">
        <x:v>csq017-c016</x:v>
      </x:c>
      <x:c r="B494" s="13" t="str">
        <x:v>csq017</x:v>
      </x:c>
      <x:c r="C494" s="21" t="n">
        <x:v>16</x:v>
      </x:c>
      <x:c r="D494" s="20" t="str">
        <x:v>0</x:v>
      </x:c>
      <x:c r="E494" s="20" t="str"/>
      <x:c r="F494" s="20" t="str">
        <x:f>IF(E494="",D494,E494)</x:f>
        <x:v>0</x:v>
      </x:c>
      <x:c r="G494" s="13" t="str">
        <x:v>BoPF: Mitigating the Burstiness-Fairness Tradeoff in Multi-Resource Clusters</x:v>
      </x:c>
      <x:c r="H494" s="13" t="n">
        <x:v>13</x:v>
      </x:c>
      <x:c r="I494" s="22" t="n">
        <x:v>0.027222222222222224</x:v>
      </x:c>
      <x:c r="J494" s="13" t="n">
        <x:v>2</x:v>
      </x:c>
      <x:c r="K494" s="19" t="str">
        <x:v>Which workloads, metrics, and experimental methodologies are used to evaluate datacenter cluster schedulers?</x:v>
      </x:c>
      <x:c r="L494" s="19" t="str">
        <x:v>Choosy: Max-min fair sharing for datacenter jobs
with constraints. In EuroSys, 2013.
[43] A. Goder, A. Spiridonov, and Y . Wang. Bistro:
Scheduling data-parallel jobs against live produc-
tion systems. In 2015{USENIX} Annual Technical
Conference ({USENIX}{ATC} 15), pages 459–471,
2015.
[44] R. Grandl, G. Ananthanarayanan, S. Kandula,
S. Rao, and A. Akella. Multi-resource packing for
cluster schedulers. In SIGCOMM, 2014.
[45] R. Grandl, M. Chowdhury, A. Akella, and G. Anan-
thanarayanan. Altruistic scheduling in multi-
resource clusters. In OSDI, 2016.
[46] R. Grandl, S. Kandula, S. Rao, A. Akella, and
J. Kulkarni. Graphene: Packing and dependency-
aware scheduling for data-parallel clusters. InOSDI,
2016.
[47] M. P. Grosvenor, M. Schwarzkopf, I. Gog, R. N.
Watson, A. W. Moore, S. Hand, and J. Crowcroft.
Queues don’t matter when you can JUMP them! In
NSDI, 2015.
14</x:v>
      </x:c>
      <x:c r="M494" s="19" t="str">
        <x:v>该段为无关内容、泛泛提及或参考文献片段，不能作为回答证据。</x:v>
      </x:c>
      <x:c r="N494" s="13" t="str">
        <x:v>http://arxiv.org/abs/1912.03523v1</x:v>
      </x:c>
    </x:row>
    <x:row r="495" ht="58" customHeight="1">
      <x:c r="A495" s="13" t="str">
        <x:v>csq017-c017</x:v>
      </x:c>
      <x:c r="B495" s="13" t="str">
        <x:v>csq017</x:v>
      </x:c>
      <x:c r="C495" s="21" t="n">
        <x:v>17</x:v>
      </x:c>
      <x:c r="D495" s="20" t="str">
        <x:v>2</x:v>
      </x:c>
      <x:c r="E495" s="20" t="str"/>
      <x:c r="F495" s="20" t="str">
        <x:f>IF(E495="",D495,E495)</x:f>
        <x:v>2</x:v>
      </x:c>
      <x:c r="G495" s="13" t="str">
        <x:v>A HPC Co-Scheduler with Reinforcement Learning</x:v>
      </x:c>
      <x:c r="H495" s="13" t="n">
        <x:v>12</x:v>
      </x:c>
      <x:c r="I495" s="22" t="n">
        <x:v>0.027212143650499815</x:v>
      </x:c>
      <x:c r="J495" s="13" t="n">
        <x:v>2</x:v>
      </x:c>
      <x:c r="K495" s="19" t="str">
        <x:v>Which workloads, metrics, and experimental methodologies are used to evaluate datacenter cluster schedulers?</x:v>
      </x:c>
      <x:c r="L495" s="19" t="str">
        <x:v>A HPC Co-Scheduler with Reinforcement Learning 13
and Synthetic are two very scalable, CPU intensive workloads, which do not de-
pend on I/O and network as Montage and Statistics do. The Static strategy has
the highest standard deviations overall because its workload experiences more
performance degradation when compared to both Slurm and ASA X , which this
is due to its static capacity allocation.
0
1
2
3
4
5
6
7
8
Slurm Static ASAxSlurm Static ASAxSlurm Static ASAx
64 128 256
Time (h)
Cluster Size (# Cores)
Total Queue Makespan
(a) Total workload queue makespan per strategy and cluster size
0.0
0.2
0.4
0.6
0.8
1.0
1.2
Slurm StaticASAxSlurm StaticASAxSlurm StaticASAx
64 128 256
Time (h)
Cluster Size (# Cores)
Average Workflow Runtime
Montage BLAST Statistics Synthetic
(b) Average total runtime per strategy and cluster size</x:v>
      </x:c>
      <x:c r="M495" s="19" t="str">
        <x:v>该段包含可直接回答问题的方法、指标、比较或研究发现。</x:v>
      </x:c>
      <x:c r="N495" s="13" t="str">
        <x:v>http://arxiv.org/abs/2401.09706v1</x:v>
      </x:c>
    </x:row>
    <x:row r="496" ht="58" customHeight="1">
      <x:c r="A496" s="13" t="str">
        <x:v>csq017-c018</x:v>
      </x:c>
      <x:c r="B496" s="13" t="str">
        <x:v>csq017</x:v>
      </x:c>
      <x:c r="C496" s="21" t="n">
        <x:v>18</x:v>
      </x:c>
      <x:c r="D496" s="20" t="str">
        <x:v>2</x:v>
      </x:c>
      <x:c r="E496" s="20" t="str"/>
      <x:c r="F496" s="20" t="str">
        <x:f>IF(E496="",D496,E496)</x:f>
        <x:v>2</x:v>
      </x:c>
      <x:c r="G496" s="13" t="str">
        <x:v>A Real-Time Digital Twin for Adaptive Scheduling</x:v>
      </x:c>
      <x:c r="H496" s="13" t="n">
        <x:v>3</x:v>
      </x:c>
      <x:c r="I496" s="22" t="n">
        <x:v>0.016129032258064516</x:v>
      </x:c>
      <x:c r="J496" s="13" t="n">
        <x:v>1</x:v>
      </x:c>
      <x:c r="K496" s="19" t="str">
        <x:v>Which workloads, metrics, and experimental methodologies are used to evaluate datacenter cluster schedulers?</x:v>
      </x:c>
      <x:c r="L496" s="19" t="str">
        <x:v>the chart providesa holistic viewof its effectiveness, with a larger
area corresponding to better overall performance.
We compare SchedTwin with three baselines: (i)First-Come First-
Serve with backfilling(FCFS)[ 18], (ii)Utility-based with backfill-
ing(WFP) (a utility-based policy used at ALCF [1], andShort-Job-
First(SJF). In SchedTwin, the scheduling score, 𝑆𝑐𝑜𝑟𝑒(𝑝) , is defined
as a weighted sum of key performance metrics:
0.25maxWT(𝑝)+0.25maxSD(𝑝)+0.25avgWT(𝑝)+0.25avgSD(𝑝).
Here, maxWT(𝑝) and avgWT(𝑝) represent the maximum and av-
erage wait time respectively, while maxSD(𝑝) and avgSD(𝑝) rep-
resent the maximum and average slowdown achieved by policy 𝑝
across all jobs waiting in the queue.
4.2 Results
Figure 3 presents the radar chart comparing different scheduling
methods on the synthetic workload. In this Kiviat plot, a larger</x:v>
      </x:c>
      <x:c r="M496" s="19" t="str">
        <x:v>该段包含可直接回答问题的方法、指标、比较或研究发现。</x:v>
      </x:c>
      <x:c r="N496" s="13" t="str">
        <x:v>http://arxiv.org/abs/2512.18894v1</x:v>
      </x:c>
    </x:row>
    <x:row r="497" ht="58" customHeight="1">
      <x:c r="A497" s="13" t="str">
        <x:v>csq017-c019</x:v>
      </x:c>
      <x:c r="B497" s="13" t="str">
        <x:v>csq017</x:v>
      </x:c>
      <x:c r="C497" s="21" t="n">
        <x:v>19</x:v>
      </x:c>
      <x:c r="D497" s="20" t="str">
        <x:v>2</x:v>
      </x:c>
      <x:c r="E497" s="20" t="str"/>
      <x:c r="F497" s="20" t="str">
        <x:f>IF(E497="",D497,E497)</x:f>
        <x:v>2</x:v>
      </x:c>
      <x:c r="G497" s="13" t="str">
        <x:v>A Reference Architecture for Datacenter Scheduling: Extended Technical Report</x:v>
      </x:c>
      <x:c r="H497" s="13" t="n">
        <x:v>10</x:v>
      </x:c>
      <x:c r="I497" s="22" t="n">
        <x:v>0.015873015873015872</x:v>
      </x:c>
      <x:c r="J497" s="13" t="n">
        <x:v>1</x:v>
      </x:c>
      <x:c r="K497" s="19" t="str">
        <x:v>Which workloads, metrics, and experimental methodologies are used to evaluate datacenter cluster schedulers?</x:v>
      </x:c>
      <x:c r="L497" s="19" t="str">
        <x:v>and operation of real-world scheduling approaches. This gi ves
evidence of the usefulness of the reference architecture ( R2).
To achieve our goal, we conduct an experimental evaluation
of scheduling approaches, using dynamic analysis , that is,
analysis based on relevant input traces considered by the
scheduling system at runtime. We conduct simulation experi -
ments to evaluate running long-term workloads and real-wor ld
experiments to evaluate only the algorithmic (policy) part of
the scheduler.
A. Experiment Setup
1) Overview: Table IX summarizes the experimental setup.
Experiments use an implementation of the reference archite c-
ture, in simulation for the experiment in Section V -B, and in a
real-world environment for the experiment in Section V -C. The
experiments use as input relevant traces collected from rea l-
world environments, and shared by the community through</x:v>
      </x:c>
      <x:c r="M497" s="19" t="str">
        <x:v>该段包含可直接回答问题的方法、指标、比较或研究发现。</x:v>
      </x:c>
      <x:c r="N497" s="13" t="str">
        <x:v>http://arxiv.org/abs/1808.04224v1</x:v>
      </x:c>
    </x:row>
    <x:row r="498" ht="58" customHeight="1">
      <x:c r="A498" s="13" t="str">
        <x:v>csq017-c020</x:v>
      </x:c>
      <x:c r="B498" s="13" t="str">
        <x:v>csq017</x:v>
      </x:c>
      <x:c r="C498" s="21" t="n">
        <x:v>20</x:v>
      </x:c>
      <x:c r="D498" s="20" t="str">
        <x:v>2</x:v>
      </x:c>
      <x:c r="E498" s="20" t="str"/>
      <x:c r="F498" s="20" t="str">
        <x:f>IF(E498="",D498,E498)</x:f>
        <x:v>2</x:v>
      </x:c>
      <x:c r="G498" s="13" t="str">
        <x:v>GPU Cluster Scheduling for Network-Sensitive Deep Learning</x:v>
      </x:c>
      <x:c r="H498" s="13" t="n">
        <x:v>1</x:v>
      </x:c>
      <x:c r="I498" s="22" t="n">
        <x:v>0.015625</x:v>
      </x:c>
      <x:c r="J498" s="13" t="n">
        <x:v>1</x:v>
      </x:c>
      <x:c r="K498" s="19" t="str">
        <x:v>Which workloads, metrics, and experimental methodologies are used to evaluate datacenter cluster schedulers?</x:v>
      </x:c>
      <x:c r="L498" s="19" t="str">
        <x:v>hand-tuned and remain fixed for a given system. However, we
introduce a novel “auto-tuner” that dynamically evolves with
the system to tune these delay timers for high-efficacy delay
scheduling. With the help of these techniques, Dally is able to
outperform state-of-the-art schedulers in terms of makespan,
job completion time (JCT), and communication latency.
Additionally, for an accurate evaluation of Dally, we have
developed a simulation platform – ArtISt-sim. The use of
simulation is motivated by the fact that development of novel
DL cluster schedulers is currently impeded by the exorbi-
tant costs associated with the large-scale experimental setups
needed. A single GPU for DL costs thousands of dollars, and
replicating a real-world DL data center necessitates a sub-
stantial number of these GPUs for extended periods. ArtISt-
sim has been developed by extending a prior work [22]</x:v>
      </x:c>
      <x:c r="M498" s="19" t="str">
        <x:v>该段包含可直接回答问题的方法、指标、比较或研究发现。</x:v>
      </x:c>
      <x:c r="N498" s="13" t="str">
        <x:v>http://arxiv.org/abs/2401.16492v2</x:v>
      </x:c>
    </x:row>
    <x:row r="499" ht="58" customHeight="1">
      <x:c r="A499" s="13" t="str">
        <x:v>csq017-c021</x:v>
      </x:c>
      <x:c r="B499" s="13" t="str">
        <x:v>csq017</x:v>
      </x:c>
      <x:c r="C499" s="21" t="n">
        <x:v>21</x:v>
      </x:c>
      <x:c r="D499" s="20" t="str">
        <x:v>2</x:v>
      </x:c>
      <x:c r="E499" s="20" t="str"/>
      <x:c r="F499" s="20" t="str">
        <x:f>IF(E499="",D499,E499)</x:f>
        <x:v>2</x:v>
      </x:c>
      <x:c r="G499" s="13" t="str">
        <x:v>GPU Cluster Scheduling for Network-Sensitive Deep Learning</x:v>
      </x:c>
      <x:c r="H499" s="13" t="n">
        <x:v>8</x:v>
      </x:c>
      <x:c r="I499" s="22" t="n">
        <x:v>0.015384615384615385</x:v>
      </x:c>
      <x:c r="J499" s="13" t="n">
        <x:v>1</x:v>
      </x:c>
      <x:c r="K499" s="19" t="str">
        <x:v>Which workloads, metrics, and experimental methodologies are used to evaluate datacenter cluster schedulers?</x:v>
      </x:c>
      <x:c r="L499" s="19" t="str">
        <x:v>principles of the Tiresias and Gandiva schedulers as outlined
in their respective publications.
3) System Workloads:We employ the cluster job traces
made available by SenseTime [53] through the work presented
in [51]. These traces are more recent than those utilized in [11]
and [54], and also provide a more realistic representation of
a real-world DL cluster with multiple jobs being submitted
over an extended period. This trace encompasses individual
job arrivals alongside pertinent metadata information.
4) Implementation:We have implemented ArtISt-sim in
about 2000 lines of Java. ArtISt-sim requires the network
configuration parameters for intra-machine, intra-rack, and
inter-rack interconnects. These parameters encompass the net-
work topology, bandwidth, latency, collective communication
algorithm, and other relevant details. Additionally, the user</x:v>
      </x:c>
      <x:c r="M499" s="19" t="str">
        <x:v>该段包含可直接回答问题的方法、指标、比较或研究发现。</x:v>
      </x:c>
      <x:c r="N499" s="13" t="str">
        <x:v>http://arxiv.org/abs/2401.16492v2</x:v>
      </x:c>
    </x:row>
    <x:row r="500" ht="58" customHeight="1">
      <x:c r="A500" s="13" t="str">
        <x:v>csq017-c022</x:v>
      </x:c>
      <x:c r="B500" s="13" t="str">
        <x:v>csq017</x:v>
      </x:c>
      <x:c r="C500" s="21" t="n">
        <x:v>22</x:v>
      </x:c>
      <x:c r="D500" s="20" t="str">
        <x:v>2</x:v>
      </x:c>
      <x:c r="E500" s="20" t="str"/>
      <x:c r="F500" s="20" t="str">
        <x:f>IF(E500="",D500,E500)</x:f>
        <x:v>2</x:v>
      </x:c>
      <x:c r="G500" s="13" t="str">
        <x:v>A Reference Architecture for Datacenter Scheduling: Extended Technical Report</x:v>
      </x:c>
      <x:c r="H500" s="13" t="n">
        <x:v>10</x:v>
      </x:c>
      <x:c r="I500" s="22" t="n">
        <x:v>0.015151515151515152</x:v>
      </x:c>
      <x:c r="J500" s="13" t="n">
        <x:v>1</x:v>
      </x:c>
      <x:c r="K500" s="19" t="str">
        <x:v>Which workloads, metrics, and experimental methodologies are used to evaluate datacenter cluster schedulers?</x:v>
      </x:c>
      <x:c r="L500" s="19" t="str">
        <x:v>of the architecture (the algorithms) on a real-world machin e,
conﬁgured as described in Section V -A.5. We subject the
algorithms to the incoming load also used during simulation s,
but for the real-world experiments the scheduler does not
follow through with the enforcement of the policy-decision s.
This allows the real-world experiments to complete without
consuming real datacenter resources, yet to reveal the dyna mic
behavior of the algorithms under realistic load (in contras t to
static, worst-case analysis).
3) One experiment: All setups are repeated 32 times,
preceded by 4 (discarded) warm-up iterations, to reduce the
inﬂuence of the underlying platform and cold caches on the
measurements. Results, which include hundreds to thousand s
of samples due to the large input workloads (see W orkloads),
are processed statistically and veriﬁed independently.</x:v>
      </x:c>
      <x:c r="M500" s="19" t="str">
        <x:v>该段包含可直接回答问题的方法、指标、比较或研究发现。</x:v>
      </x:c>
      <x:c r="N500" s="13" t="str">
        <x:v>http://arxiv.org/abs/1808.04224v1</x:v>
      </x:c>
    </x:row>
    <x:row r="501" ht="58" customHeight="1">
      <x:c r="A501" s="13" t="str">
        <x:v>csq017-c023</x:v>
      </x:c>
      <x:c r="B501" s="13" t="str">
        <x:v>csq017</x:v>
      </x:c>
      <x:c r="C501" s="21" t="n">
        <x:v>23</x:v>
      </x:c>
      <x:c r="D501" s="20" t="str">
        <x:v>2</x:v>
      </x:c>
      <x:c r="E501" s="20" t="str"/>
      <x:c r="F501" s="20" t="str">
        <x:f>IF(E501="",D501,E501)</x:f>
        <x:v>2</x:v>
      </x:c>
      <x:c r="G501" s="13" t="str">
        <x:v>A HPC Co-Scheduler with Reinforcement Learning</x:v>
      </x:c>
      <x:c r="H501" s="13" t="n">
        <x:v>0</x:v>
      </x:c>
      <x:c r="I501" s="22" t="n">
        <x:v>0.015151515151515152</x:v>
      </x:c>
      <x:c r="J501" s="13" t="n">
        <x:v>1</x:v>
      </x:c>
      <x:c r="K501" s="19" t="str">
        <x:v>Which workloads, metrics, and experimental methodologies are used to evaluate datacenter cluster schedulers?</x:v>
      </x:c>
      <x:c r="L501" s="19" t="str">
        <x:v>jobs slowdowns. We integrate our algorithm in an HPC resource manager
that combines Slurm and Mesos for job scheduling and co-allocation, re-
spectively. Our experimental evaluation performed in a dedicated cluster
executing a mix of four real different scientific workflows demonstrates
improvements on cluster utilization of up to 51% even in high load sce-
narios, with 55% average queue makespan reductions under low loads.
Keywords: Datacenters, co-scheduling, high performance computing, adaptive
reinforcement learning
⋆ Research performed while working at Ume ˚ a University
arXiv:2401.09706v1  [cs.DC]  18 Jan 2024</x:v>
      </x:c>
      <x:c r="M501" s="19" t="str">
        <x:v>该段包含可直接回答问题的方法、指标、比较或研究发现。</x:v>
      </x:c>
      <x:c r="N501" s="13" t="str">
        <x:v>http://arxiv.org/abs/2401.09706v1</x:v>
      </x:c>
    </x:row>
    <x:row r="502" ht="58" customHeight="1">
      <x:c r="A502" s="13" t="str">
        <x:v>csq017-c024</x:v>
      </x:c>
      <x:c r="B502" s="13" t="str">
        <x:v>csq017</x:v>
      </x:c>
      <x:c r="C502" s="21" t="n">
        <x:v>24</x:v>
      </x:c>
      <x:c r="D502" s="20" t="str">
        <x:v>2</x:v>
      </x:c>
      <x:c r="E502" s="20" t="str"/>
      <x:c r="F502" s="20" t="str">
        <x:f>IF(E502="",D502,E502)</x:f>
        <x:v>2</x:v>
      </x:c>
      <x:c r="G502" s="13" t="str">
        <x:v>A Real-Time Digital Twin for Adaptive Scheduling</x:v>
      </x:c>
      <x:c r="H502" s="13" t="n">
        <x:v>3</x:v>
      </x:c>
      <x:c r="I502" s="22" t="n">
        <x:v>0.015151515151515152</x:v>
      </x:c>
      <x:c r="J502" s="13" t="n">
        <x:v>1</x:v>
      </x:c>
      <x:c r="K502" s="19" t="str">
        <x:v>Which workloads, metrics, and experimental methodologies are used to evaluate datacenter cluster schedulers?</x:v>
      </x:c>
      <x:c r="L502" s="19" t="str">
        <x:v>ability. Specifically, the workload comprises 150 jobs in four phases:
(1) a warm-up of 25 small jobs, each requesting 2–4 nodes with
walltimes of 60–180 seconds; (2) a burst of 35 large, long jobs, each
requesting 16–20 nodes with walltimes of 500–700 seconds; (3) a
steady phase of 40 jobs, each requesting 6–8 nodes with walltimes
of 200–300 seconds; and (4) a short-job tail of 50 jobs, each request-
ing 2–4 nodes with walltimes of 60–180 seconds. Job arrival rate is
5 seconds per job.
We evaluate scheduling using both user-level and system-level
metrics:job wait time,job slowdown, andsystem utilization. To visu-
alize overall scheduling performance, we use a Kiviat (radar) chart,
reporting average and maximum values for wait time and slow-
down alongside system utilization. The area enclosed by a policy on
the chart providesa holistic viewof its effectiveness, with a larger</x:v>
      </x:c>
      <x:c r="M502" s="19" t="str">
        <x:v>该段包含可直接回答问题的方法、指标、比较或研究发现。</x:v>
      </x:c>
      <x:c r="N502" s="13" t="str">
        <x:v>http://arxiv.org/abs/2512.18894v1</x:v>
      </x:c>
    </x:row>
    <x:row r="503" ht="58" customHeight="1">
      <x:c r="A503" s="13" t="str">
        <x:v>csq017-c025</x:v>
      </x:c>
      <x:c r="B503" s="13" t="str">
        <x:v>csq017</x:v>
      </x:c>
      <x:c r="C503" s="21" t="n">
        <x:v>25</x:v>
      </x:c>
      <x:c r="D503" s="20" t="str">
        <x:v>2</x:v>
      </x:c>
      <x:c r="E503" s="20" t="str"/>
      <x:c r="F503" s="20" t="str">
        <x:f>IF(E503="",D503,E503)</x:f>
        <x:v>2</x:v>
      </x:c>
      <x:c r="G503" s="13" t="str">
        <x:v>A Reference Architecture for Datacenter Scheduling: Extended Technical Report</x:v>
      </x:c>
      <x:c r="H503" s="13" t="n">
        <x:v>1</x:v>
      </x:c>
      <x:c r="I503" s="22" t="n">
        <x:v>0.014925373134328358</x:v>
      </x:c>
      <x:c r="J503" s="13" t="n">
        <x:v>1</x:v>
      </x:c>
      <x:c r="K503" s="19" t="str">
        <x:v>Which workloads, metrics, and experimental methodologies are used to evaluate datacenter cluster schedulers?</x:v>
      </x:c>
      <x:c r="L503" s="19" t="str">
        <x:v>are the most underspeciﬁed, etc. We further use dynamic
analysis to understand the effect of underspeciﬁcation on the
performance and operation of datacenter schedulers at run-
time. To this end, we conduct simulation-based and real-wor ld
experiments, using as input representative traces collect ed
from real-world environments [23].
Overall, the main contribution of this work is three-fold:
1) We design a reference architecture for datacenter sched-
ulers (Section III).
2) We show how state-of-the-art schedulers can be mapped
to the reference architecture, and conduct a static analysi s
of scheduler speciﬁcations (Section IV).
3) Through dynamic analysis, we assess the impact of
underspeciﬁcation on the performance and operation of
datacenter schedulers (Section V).
II. G ENERIC MODEL OF DATACENTER OPERATION
We use in this work a generic model of datacenter schedul-</x:v>
      </x:c>
      <x:c r="M503" s="19" t="str">
        <x:v>该段包含可直接回答问题的方法、指标、比较或研究发现。</x:v>
      </x:c>
      <x:c r="N503" s="13" t="str">
        <x:v>http://arxiv.org/abs/1808.04224v1</x:v>
      </x:c>
    </x:row>
    <x:row r="504" ht="58" customHeight="1">
      <x:c r="A504" s="13" t="str">
        <x:v>csq017-c026</x:v>
      </x:c>
      <x:c r="B504" s="13" t="str">
        <x:v>csq017</x:v>
      </x:c>
      <x:c r="C504" s="21" t="n">
        <x:v>26</x:v>
      </x:c>
      <x:c r="D504" s="20" t="str">
        <x:v>2</x:v>
      </x:c>
      <x:c r="E504" s="20" t="str"/>
      <x:c r="F504" s="20" t="str">
        <x:f>IF(E504="",D504,E504)</x:f>
        <x:v>2</x:v>
      </x:c>
      <x:c r="G504" s="13" t="str">
        <x:v>Hugo: A Cluster Scheduler that Efficiently Learns to Select Complementary Data-Parallel Jobs</x:v>
      </x:c>
      <x:c r="H504" s="13" t="n">
        <x:v>4</x:v>
      </x:c>
      <x:c r="I504" s="22" t="n">
        <x:v>0.014925373134328358</x:v>
      </x:c>
      <x:c r="J504" s="13" t="n">
        <x:v>1</x:v>
      </x:c>
      <x:c r="K504" s="19" t="str">
        <x:v>Which workloads, metrics, and experimental methodologies are used to evaluate datacenter cluster schedulers?</x:v>
      </x:c>
      <x:c r="L504" s="19" t="str">
        <x:v>1 Resource usage metrics of historic job runs are used to group jobs. For
instance, two groups could distinguish CPU- and I/O-intensive jobs. The
groups can be computed oﬄine and can be updated periodically. Clustering
methods can be used to establish a number of distinct groups automatically.
Grouping provides an abstraction for the scheduling algorithm which then
operates on job group level.
2 Each incoming job is assigned to the job group it matches best. For this,
either a proﬁling run on samples of the input or available historic monitoring
data is used to match the job to one group.
3 Using the groups, Hugo forms and continuously updates a preference matrix
that quantiﬁes the co-location goodness for pairs of job groups. The mea-
sure of co-location goodness is based on metrics that capture the combined
resource utilization and the interference of co-located jobs.</x:v>
      </x:c>
      <x:c r="M504" s="19" t="str">
        <x:v>该段包含可直接回答问题的方法、指标、比较或研究发现。</x:v>
      </x:c>
      <x:c r="N504" s="13" t="str">
        <x:v>http://arxiv.org/abs/2102.07199v1</x:v>
      </x:c>
    </x:row>
    <x:row r="505" ht="58" customHeight="1">
      <x:c r="A505" s="13" t="str">
        <x:v>csq017-c027</x:v>
      </x:c>
      <x:c r="B505" s="13" t="str">
        <x:v>csq017</x:v>
      </x:c>
      <x:c r="C505" s="21" t="n">
        <x:v>27</x:v>
      </x:c>
      <x:c r="D505" s="20" t="str">
        <x:v>0</x:v>
      </x:c>
      <x:c r="E505" s="20" t="str"/>
      <x:c r="F505" s="20" t="str">
        <x:f>IF(E505="",D505,E505)</x:f>
        <x:v>0</x:v>
      </x:c>
      <x:c r="G505" s="13" t="str">
        <x:v>Hugo: A Cluster Scheduler that Efficiently Learns to Select Complementary Data-Parallel Jobs</x:v>
      </x:c>
      <x:c r="H505" s="13" t="n">
        <x:v>12</x:v>
      </x:c>
      <x:c r="I505" s="22" t="n">
        <x:v>0.014705882352941176</x:v>
      </x:c>
      <x:c r="J505" s="13" t="n">
        <x:v>1</x:v>
      </x:c>
      <x:c r="K505" s="19" t="str">
        <x:v>Which workloads, metrics, and experimental methodologies are used to evaluate datacenter cluster schedulers?</x:v>
      </x:c>
      <x:c r="L505" s="19" t="str">
        <x:v>So-Foreign Language for Data Processing. SIGMOD ’08, ACM (June 2008)
18. Ousterhout, K., Rasti, R., Ratnasamy, S., Shenker, S., Chun, B.G.: Making Sense
of Performance in Data Analytics Frameworks. NSDI 15, USENIX Association
(March 2015)
19. Rasley, J., Karanasos, K., Kandula, S., Fonseca, R., Vojnovic, M., Rao, S.: Eﬃcient
Queue Management for Cluster Scheduling. EuroSys ’16, ACM (April 2016)
20. Reiss, C., Tumanov, A., Ganger, G.R., Katz, R.H., Kozuch, M.A.: Heterogene-
ity and Dynamicity of Clouds at Scale: Google Trace Analysis. SoCC ’12, ACM
(October 2012)
21. Renner, T., Thamsen, L., Kao, O.: Network-Aware Resource Management for Scal-
able Data Analytics Frameworks. Big Data 2015, IEEE (October 2015)
22. Thamsen, L., Rabier, B., Schmidt, F., Renner, T., Kao, O.: Scheduling Recur-
ring Distributed Dataﬂow Jobs Based on Resource Utilization and Interference.</x:v>
      </x:c>
      <x:c r="M505" s="19" t="str">
        <x:v>该段为无关内容、泛泛提及或参考文献片段，不能作为回答证据。</x:v>
      </x:c>
      <x:c r="N505" s="13" t="str">
        <x:v>http://arxiv.org/abs/2102.07199v1</x:v>
      </x:c>
    </x:row>
    <x:row r="506" ht="58" customHeight="1">
      <x:c r="A506" s="13" t="str">
        <x:v>csq017-c028</x:v>
      </x:c>
      <x:c r="B506" s="13" t="str">
        <x:v>csq017</x:v>
      </x:c>
      <x:c r="C506" s="21" t="n">
        <x:v>28</x:v>
      </x:c>
      <x:c r="D506" s="20" t="str">
        <x:v>2</x:v>
      </x:c>
      <x:c r="E506" s="20" t="str"/>
      <x:c r="F506" s="20" t="str">
        <x:f>IF(E506="",D506,E506)</x:f>
        <x:v>2</x:v>
      </x:c>
      <x:c r="G506" s="13" t="str">
        <x:v>Shockwave: Fair and Efficient Cluster Scheduling for Dynamic Adaptation in Machine Learning</x:v>
      </x:c>
      <x:c r="H506" s="13" t="n">
        <x:v>11</x:v>
      </x:c>
      <x:c r="I506" s="22" t="n">
        <x:v>0.014705882352941176</x:v>
      </x:c>
      <x:c r="J506" s="13" t="n">
        <x:v>1</x:v>
      </x:c>
      <x:c r="K506" s="19" t="str">
        <x:v>Which workloads, metrics, and experimental methodologies are used to evaluate datacenter cluster schedulers?</x:v>
      </x:c>
      <x:c r="L506" s="19" t="str">
        <x:v>0 15000 30000 45000
Makespan (s)
256 GPUs128 GPUs64 GPUs
1.0
1.0
1.0
0.91
0.95
0.93
1.26
1.35
1.3
1.3
1.34
1.3
1.37
1.36
1.35
1.39
1.4
1.44
1.22
1.3
1.21
0 7500 15000 22500
Average JCT (s)
256 GPUs128 GPUs64 GPUs
1.0
1.0
1.0
1.95
2.12
2.05
1.05
1.06
1.09
0.99
1.02
1.05
0.97
0.97
1.01
0.97
1.0
1.17
1.16
1.19
1.22
0 2 4 6 8 10 12
Worst FTF (ρ)
256 GPUs128 GPUs64 GPUs
1.0
1.0
1.0
6.92
7.99
4.94
3.21
2.53
1.77
2.85
2.79
1.78
3.64
3.39
2.13
4.3
4.37
4.64
1.52
1.31
1.08
0 20 40 60 80
Unfair Job Fraction (%) 256 GPUs128 GPUs64 GPUs
1.0
1.0
1.0
21.56
26.69
18.75
6.28
7.77
3.88
4.81
6.92
3.25
7.53
9.92
5.12
6.66
9.38
6.13
9.5
11.28
3.61
Shockwave OSSP Themis Gavel AlloX MST Gandiva-Fair
Figure 9: [Simulation] Evaluating Shockwave’s scheduling
efﬁciency and fairness in differently sized large clusters.
0 15000 30000
Makespan (s)
(S,D)=
0.0,1.0
(S,D)=
0.3,0.7
(S,D)=
0.6,0.4
(S,D)=
1.0,0.0
1.0
1.0</x:v>
      </x:c>
      <x:c r="M506" s="19" t="str">
        <x:v>该段包含可直接回答问题的方法、指标、比较或研究发现。</x:v>
      </x:c>
      <x:c r="N506" s="13" t="str">
        <x:v>http://arxiv.org/abs/2210.00093v1</x:v>
      </x:c>
    </x:row>
    <x:row r="507" ht="58" customHeight="1">
      <x:c r="A507" s="13" t="str">
        <x:v>csq017-c029</x:v>
      </x:c>
      <x:c r="B507" s="13" t="str">
        <x:v>csq017</x:v>
      </x:c>
      <x:c r="C507" s="21" t="n">
        <x:v>29</x:v>
      </x:c>
      <x:c r="D507" s="20" t="str">
        <x:v>2</x:v>
      </x:c>
      <x:c r="E507" s="20" t="str"/>
      <x:c r="F507" s="20" t="str">
        <x:f>IF(E507="",D507,E507)</x:f>
        <x:v>2</x:v>
      </x:c>
      <x:c r="G507" s="13" t="str">
        <x:v>A Reference Architecture for Datacenter Scheduling: Extended Technical Report</x:v>
      </x:c>
      <x:c r="H507" s="13" t="n">
        <x:v>10</x:v>
      </x:c>
      <x:c r="I507" s="22" t="n">
        <x:v>0.014492753623188406</x:v>
      </x:c>
      <x:c r="J507" s="13" t="n">
        <x:v>1</x:v>
      </x:c>
      <x:c r="K507" s="19" t="str">
        <x:v>Which workloads, metrics, and experimental methodologies are used to evaluate datacenter cluster schedulers?</x:v>
      </x:c>
      <x:c r="L507" s="19" t="str">
        <x:v>and others policies, although it requires their presence. T o
highlight the importance of speciﬁcation, in this experiment we
simulate a Borg-like scheduler , equipped with different policies
likely to be used in practice .
Figures 7a and 8a depict the TRT distribution measured
for Borg, when equipped with different sorting and allocati on
policies.
TABLE X: Workload characteristics.
Workload Env. Application domain Workﬂows Tasks
Askalon Grid Engineering, chemistry 757 45,786
Chronos Cloud Industrial, IoT 1,024 3,072</x:v>
      </x:c>
      <x:c r="M507" s="19" t="str">
        <x:v>该段包含可直接回答问题的方法、指标、比较或研究发现。</x:v>
      </x:c>
      <x:c r="N507" s="13" t="str">
        <x:v>http://arxiv.org/abs/1808.04224v1</x:v>
      </x:c>
    </x:row>
    <x:row r="508" ht="58" customHeight="1">
      <x:c r="A508" s="13" t="str">
        <x:v>csq017-c030</x:v>
      </x:c>
      <x:c r="B508" s="13" t="str">
        <x:v>csq017</x:v>
      </x:c>
      <x:c r="C508" s="21" t="n">
        <x:v>30</x:v>
      </x:c>
      <x:c r="D508" s="20" t="str">
        <x:v>1</x:v>
      </x:c>
      <x:c r="E508" s="20" t="str"/>
      <x:c r="F508" s="20" t="str">
        <x:f>IF(E508="",D508,E508)</x:f>
        <x:v>1</x:v>
      </x:c>
      <x:c r="G508" s="13" t="str">
        <x:v>A Reference Architecture for Datacenter Scheduling: Extended Technical Report</x:v>
      </x:c>
      <x:c r="H508" s="13" t="n">
        <x:v>15</x:v>
      </x:c>
      <x:c r="I508" s="22" t="n">
        <x:v>0.014492753623188406</x:v>
      </x:c>
      <x:c r="J508" s="13" t="n">
        <x:v>1</x:v>
      </x:c>
      <x:c r="K508" s="19" t="str">
        <x:v>Which workloads, metrics, and experimental methodologies are used to evaluate datacenter cluster schedulers?</x:v>
      </x:c>
      <x:c r="L508" s="19" t="str">
        <x:v>edge, and serverless) can be reconciled with the architectu re.
We also aim to further explore the design space of scheduling
with this model, through trace-based simulation and real-w orld
experiments, including with a real-world full-featured sc hed-
uler (e.g., based on Kubernetes and Condor). Furthermore, w e
foresee our reference architecture to contribute to the des ign
of taxonomies for scheduling systems, enabling further und er-
standing and design studies. From an engineering perspecti ve,
we see signiﬁcant potential for the development, tuning, an d
analysis of schedulers with this model. For reproducibilit y
considerations, we will release both open-source code and
open-access data, see details in Appendix A.
Long-term, we envision and are currently developing the
tools supporting a global competition for scheduling in dat a-</x:v>
      </x:c>
      <x:c r="M508" s="19" t="str">
        <x:v>该段提供相关背景或侧面信息，但没有直接回答问题核心。</x:v>
      </x:c>
      <x:c r="N508" s="13" t="str">
        <x:v>http://arxiv.org/abs/1808.04224v1</x:v>
      </x:c>
    </x:row>
    <x:row r="509" ht="58" customHeight="1">
      <x:c r="A509" s="13" t="str">
        <x:v>csq018-c001</x:v>
      </x:c>
      <x:c r="B509" s="13" t="str">
        <x:v>csq018</x:v>
      </x:c>
      <x:c r="C509" s="21" t="n">
        <x:v>1</x:v>
      </x:c>
      <x:c r="D509" s="20" t="str">
        <x:v>2</x:v>
      </x:c>
      <x:c r="E509" s="20" t="str"/>
      <x:c r="F509" s="20" t="str">
        <x:f>IF(E509="",D509,E509)</x:f>
        <x:v>2</x:v>
      </x:c>
      <x:c r="G509" s="13" t="str">
        <x:v>The Programmable Data Plane: Abstractions, Architectures, Algorithms, and Applications</x:v>
      </x:c>
      <x:c r="H509" s="13" t="n">
        <x:v>4</x:v>
      </x:c>
      <x:c r="I509" s="22" t="n">
        <x:v>0.061515937019969276</x:v>
      </x:c>
      <x:c r="J509" s="13" t="n">
        <x:v>4</x:v>
      </x:c>
      <x:c r="K509" s="19" t="str">
        <x:v>How have programmable data planes and in-network computing evolved, and which classes of distributed applications have benefited from them?</x:v>
      </x:c>
      <x:c r="L509" s="19" t="str">
        <x:v>network protocols in operation; and
• new applications that can be realized entirely in the data plane leveraging programmability ,
including monitoring and telemetry, massive-scale data processing and machine learning, or
even complete key-value stores implemented fully inside the network devices, with zero or
minimal intervention from the control plane.
3 Architectures
While data plane programmability initially was mostly targeted at switches (especially in data
center settings), today a wider range of devices and functions allow for low-level programmabil-
ity. Programmable data plane hardware or software is not only used for packet switching, but
increasingly for general network processing and middlebox functionality (e.g., in firewalls or load
balancers) as well [49, 122, 131]. Additionally, programmable network interface cards (often referred</x:v>
      </x:c>
      <x:c r="M509" s="19" t="str">
        <x:v>该段包含可直接回答问题的方法、指标、比较或研究发现。</x:v>
      </x:c>
      <x:c r="N509" s="13" t="str">
        <x:v>http://arxiv.org/abs/2110.00631v1</x:v>
      </x:c>
    </x:row>
    <x:row r="510" ht="58" customHeight="1">
      <x:c r="A510" s="13" t="str">
        <x:v>csq018-c002</x:v>
      </x:c>
      <x:c r="B510" s="13" t="str">
        <x:v>csq018</x:v>
      </x:c>
      <x:c r="C510" s="21" t="n">
        <x:v>2</x:v>
      </x:c>
      <x:c r="D510" s="20" t="str">
        <x:v>0</x:v>
      </x:c>
      <x:c r="E510" s="20" t="str"/>
      <x:c r="F510" s="20" t="str">
        <x:f>IF(E510="",D510,E510)</x:f>
        <x:v>0</x:v>
      </x:c>
      <x:c r="G510" s="13" t="str">
        <x:v>SwitchAgg:A Further Step Towards In-Network Computation</x:v>
      </x:c>
      <x:c r="H510" s="13" t="n">
        <x:v>10</x:v>
      </x:c>
      <x:c r="I510" s="22" t="n">
        <x:v>0.054831191269547434</x:v>
      </x:c>
      <x:c r="J510" s="13" t="n">
        <x:v>4</x:v>
      </x:c>
      <x:c r="K510" s="19" t="str">
        <x:v>How have programmable data planes and in-network computing evolved, and which classes of distributed applications have benefited from them?</x:v>
      </x:c>
      <x:c r="L510" s="19" t="str">
        <x:v>processors[J]. ACM SIGCOMM Computer Communication Review, 2014, 44(3): 87-
95.  
[18] Chole S, Fingerhut A, Ma S, et al. drmt: Disaggregated programmable 
switching[C]//Proceedings of the Conference of the ACM Special Interest Group on 
Data Communication. ACM, 2017: 1-14.  
[19] Jin X, Li X, Zhang H, et al. Netcache: Balancing key-value stores with fast in-
network caching[C]//Proceedings of the 26th Symposium on Operating Systems 
Principles. ACM, 2017: 121-136. 
[20] Liu M, Luo L, Nelson J, et al. Incbricks: Toward in-network computation with an in-
network cache[J]. ACM SIGOPS Operating Systems Review, 2017, 51(2): 795-809. 
[21] Jepsen T, Moshref M, Carzaniga A, et al. Life in the fast lane: A line-rate linear 
road[C]//Proceedings of the Symposium on SDN Research. ACM, 2018: 10.  
[22] M. Ghasemi, T. Benson, and J. Rexford. Dapper: Data Plane Performance Diagnosis</x:v>
      </x:c>
      <x:c r="M510" s="19" t="str">
        <x:v>该段为无关内容、泛泛提及或参考文献片段，不能作为回答证据。</x:v>
      </x:c>
      <x:c r="N510" s="13" t="str">
        <x:v>http://arxiv.org/abs/1904.04024v1</x:v>
      </x:c>
    </x:row>
    <x:row r="511" ht="58" customHeight="1">
      <x:c r="A511" s="13" t="str">
        <x:v>csq018-c003</x:v>
      </x:c>
      <x:c r="B511" s="13" t="str">
        <x:v>csq018</x:v>
      </x:c>
      <x:c r="C511" s="21" t="n">
        <x:v>3</x:v>
      </x:c>
      <x:c r="D511" s="20" t="str">
        <x:v>2</x:v>
      </x:c>
      <x:c r="E511" s="20" t="str"/>
      <x:c r="F511" s="20" t="str">
        <x:f>IF(E511="",D511,E511)</x:f>
        <x:v>2</x:v>
      </x:c>
      <x:c r="G511" s="13" t="str">
        <x:v>A Roadmap for Enabling a Future-Proof In-Network Computing Data Plane Ecosystem</x:v>
      </x:c>
      <x:c r="H511" s="13" t="n">
        <x:v>0</x:v>
      </x:c>
      <x:c r="I511" s="22" t="n">
        <x:v>0.04918032786885246</x:v>
      </x:c>
      <x:c r="J511" s="13" t="n">
        <x:v>3</x:v>
      </x:c>
      <x:c r="K511" s="19" t="str">
        <x:v>How have programmable data planes and in-network computing evolved, and which classes of distributed applications have benefited from them?</x:v>
      </x:c>
      <x:c r="L511" s="19" t="str">
        <x:v>A Roadmap for Enabling a Future-Proof In-Network Computing
Data Plane Ecosystem
Daehyeok Kim★, Nikita Lazarev†, Tommy Tracy§, Farzana Siddique§, Hun Namkung★
James C. Hoe★, Vyas Sekar★, Kevin Skadron§, Zhiru Zhang†, Srinivasan Seshan★
★Carnegie Mellon University,†Cornell University,§University of Virginia
Abstract
As the vision of in-network computing becomes more ma-
ture, we see two parallel evolutionary trends. First, we see
the evolution of richer, more demanding applications that
require capabilities beyond programmable switching ASICs.
Second, we see the evolution of diverse data plane tech-
nologies with many other future capabilities on the horizon.
While some point solutions exist to tackle the intersection of
these trends, we see several ecosystem-level disconnects to-
day; e.g., the need to refactor applications for new data planes,</x:v>
      </x:c>
      <x:c r="M511" s="19" t="str">
        <x:v>该段包含可直接回答问题的方法、指标、比较或研究发现。</x:v>
      </x:c>
      <x:c r="N511" s="13" t="str">
        <x:v>http://arxiv.org/abs/2111.04563v1</x:v>
      </x:c>
    </x:row>
    <x:row r="512" ht="58" customHeight="1">
      <x:c r="A512" s="13" t="str">
        <x:v>csq018-c004</x:v>
      </x:c>
      <x:c r="B512" s="13" t="str">
        <x:v>csq018</x:v>
      </x:c>
      <x:c r="C512" s="21" t="n">
        <x:v>4</x:v>
      </x:c>
      <x:c r="D512" s="20" t="str">
        <x:v>2</x:v>
      </x:c>
      <x:c r="E512" s="20" t="str"/>
      <x:c r="F512" s="20" t="str">
        <x:f>IF(E512="",D512,E512)</x:f>
        <x:v>2</x:v>
      </x:c>
      <x:c r="G512" s="13" t="str">
        <x:v>The Programmable Data Plane: Abstractions, Architectures, Algorithms, and Applications</x:v>
      </x:c>
      <x:c r="H512" s="13" t="n">
        <x:v>19</x:v>
      </x:c>
      <x:c r="I512" s="22" t="n">
        <x:v>0.04610294966520434</x:v>
      </x:c>
      <x:c r="J512" s="13" t="n">
        <x:v>3</x:v>
      </x:c>
      <x:c r="K512" s="19" t="str">
        <x:v>How have programmable data planes and in-network computing evolved, and which classes of distributed applications have benefited from them?</x:v>
      </x:c>
      <x:c r="L512" s="19" t="str">
        <x:v>packet processing primitives exposed by programmable data plane devices.
Below, we highlight some of the well known examples for data plane offloading from the literature,
including virtual switching, in-network computation, telemetry, distributed consensus, resilient
and efficient forwarding, and load balancing.</x:v>
      </x:c>
      <x:c r="M512" s="19" t="str">
        <x:v>该段包含可直接回答问题的方法、指标、比较或研究发现。</x:v>
      </x:c>
      <x:c r="N512" s="13" t="str">
        <x:v>http://arxiv.org/abs/2110.00631v1</x:v>
      </x:c>
    </x:row>
    <x:row r="513" ht="58" customHeight="1">
      <x:c r="A513" s="13" t="str">
        <x:v>csq018-c005</x:v>
      </x:c>
      <x:c r="B513" s="13" t="str">
        <x:v>csq018</x:v>
      </x:c>
      <x:c r="C513" s="21" t="n">
        <x:v>5</x:v>
      </x:c>
      <x:c r="D513" s="20" t="str">
        <x:v>2</x:v>
      </x:c>
      <x:c r="E513" s="20" t="str"/>
      <x:c r="F513" s="20" t="str">
        <x:f>IF(E513="",D513,E513)</x:f>
        <x:v>2</x:v>
      </x:c>
      <x:c r="G513" s="13" t="str">
        <x:v>A Roadmap for Enabling a Future-Proof In-Network Computing Data Plane Ecosystem</x:v>
      </x:c>
      <x:c r="H513" s="13" t="n">
        <x:v>1</x:v>
      </x:c>
      <x:c r="I513" s="22" t="n">
        <x:v>0.045799361928394185</x:v>
      </x:c>
      <x:c r="J513" s="13" t="n">
        <x:v>3</x:v>
      </x:c>
      <x:c r="K513" s="19" t="str">
        <x:v>How have programmable data planes and in-network computing evolved, and which classes of distributed applications have benefited from them?</x:v>
      </x:c>
      <x:c r="L513" s="19" t="str">
        <x:v>questions using our case study to shed light on a poten-
tial roadmap for creating a more thriving and future-proof
data plane ecosystem. Although our exploration is admit-
tedly preliminary, we hope that by drawing attention to this
ecosystem-level view of in-network computing, our work
opens up the discussion and new research opportunities and
directions for the community; e.g., programming language
support for general applications, runtime resource and state
management, and making the architecture fault tolerant.
2 Background and Motivation
2.1 Evolving Application Demands
Many recent works have shown the promise of in-network
computing for various applications [ 31, 44, 47, 48, 58, 60]
by leveraging programmable switching ASICs [1, 2, 8, 17].
The key benefit of running applications on programmable
switches is that they are located at the vantage point in the</x:v>
      </x:c>
      <x:c r="M513" s="19" t="str">
        <x:v>该段包含可直接回答问题的方法、指标、比较或研究发现。</x:v>
      </x:c>
      <x:c r="N513" s="13" t="str">
        <x:v>http://arxiv.org/abs/2111.04563v1</x:v>
      </x:c>
    </x:row>
    <x:row r="514" ht="58" customHeight="1">
      <x:c r="A514" s="13" t="str">
        <x:v>csq018-c006</x:v>
      </x:c>
      <x:c r="B514" s="13" t="str">
        <x:v>csq018</x:v>
      </x:c>
      <x:c r="C514" s="21" t="n">
        <x:v>6</x:v>
      </x:c>
      <x:c r="D514" s="20" t="str">
        <x:v>2</x:v>
      </x:c>
      <x:c r="E514" s="20" t="str"/>
      <x:c r="F514" s="20" t="str">
        <x:f>IF(E514="",D514,E514)</x:f>
        <x:v>2</x:v>
      </x:c>
      <x:c r="G514" s="13" t="str">
        <x:v>INSIGHT: A Survey of In-Network Systems for Intelligent, High-Efficiency AI and Topology Optimization</x:v>
      </x:c>
      <x:c r="H514" s="13" t="n">
        <x:v>13</x:v>
      </x:c>
      <x:c r="I514" s="22" t="n">
        <x:v>0.045504271360285405</x:v>
      </x:c>
      <x:c r="J514" s="13" t="n">
        <x:v>3</x:v>
      </x:c>
      <x:c r="K514" s="19" t="str">
        <x:v>How have programmable data planes and in-network computing evolved, and which classes of distributed applications have benefited from them?</x:v>
      </x:c>
      <x:c r="L514" s="19" t="str">
        <x:v>14 Aleksandr Algazinov 1, Joydeep Chandra2, Matt Laing3
onto programmable data planes, techniques for addressing resource constraints
through efficient algorithm design and model compression, and advancements in
distributed learning and in-network aggregation were discussed. Frameworks like
Planter and Quark are playing a crucial role in simplifying the development pro-
cess. The applications of optimized in-network computation for AI are vast and
include intelligent network monitoring, enhanced security through in-network
intrusion detection, optimized traffic management, and the usage of Edge AI
for real-time decision-making. While challenges remain, ongoing research and
development in areas like runtime programmability, support for larger models,
standardized benchmarks, and new use cases ensure that in-network AI plays</x:v>
      </x:c>
      <x:c r="M514" s="19" t="str">
        <x:v>该段包含可直接回答问题的方法、指标、比较或研究发现。</x:v>
      </x:c>
      <x:c r="N514" s="13" t="str">
        <x:v>http://arxiv.org/abs/2505.24269v2</x:v>
      </x:c>
    </x:row>
    <x:row r="515" ht="58" customHeight="1">
      <x:c r="A515" s="13" t="str">
        <x:v>csq018-c007</x:v>
      </x:c>
      <x:c r="B515" s="13" t="str">
        <x:v>csq018</x:v>
      </x:c>
      <x:c r="C515" s="21" t="n">
        <x:v>7</x:v>
      </x:c>
      <x:c r="D515" s="20" t="str">
        <x:v>2</x:v>
      </x:c>
      <x:c r="E515" s="20" t="str"/>
      <x:c r="F515" s="20" t="str">
        <x:f>IF(E515="",D515,E515)</x:f>
        <x:v>2</x:v>
      </x:c>
      <x:c r="G515" s="13" t="str">
        <x:v>The Programmable Data Plane: Abstractions, Architectures, Algorithms, and Applications</x:v>
      </x:c>
      <x:c r="H515" s="13" t="n">
        <x:v>25</x:v>
      </x:c>
      <x:c r="I515" s="22" t="n">
        <x:v>0.045169436298468556</x:v>
      </x:c>
      <x:c r="J515" s="13" t="n">
        <x:v>3</x:v>
      </x:c>
      <x:c r="K515" s="19" t="str">
        <x:v>How have programmable data planes and in-network computing evolved, and which classes of distributed applications have benefited from them?</x:v>
      </x:c>
      <x:c r="L515" s="19" t="str">
        <x:v>While so far the greatest benefits appear for applications that mainly revolve around networking
tasks, we see an increasing number of applications from other (albeit network-related) domains
to benefit from data plane programmability. More generalized in-network computation is still in
its infancy and we expect to see more research in the direction of offloading applications from
various domains to programmable data plane devices. Many of those applications mostly reside at
the edge of the network and in the end hosts. This is aligned with a general trend in the research
community where programmable data plane technology is increasingly employed at the host-
network boundary [3]. In particular, accelerators placed at end hosts, such as SmartNICs, are a
promising platform for this direction.
7 Taxonomies for Programmable Switches</x:v>
      </x:c>
      <x:c r="M515" s="19" t="str">
        <x:v>该段包含可直接回答问题的方法、指标、比较或研究发现。</x:v>
      </x:c>
      <x:c r="N515" s="13" t="str">
        <x:v>http://arxiv.org/abs/2110.00631v1</x:v>
      </x:c>
    </x:row>
    <x:row r="516" ht="58" customHeight="1">
      <x:c r="A516" s="13" t="str">
        <x:v>csq018-c008</x:v>
      </x:c>
      <x:c r="B516" s="13" t="str">
        <x:v>csq018</x:v>
      </x:c>
      <x:c r="C516" s="21" t="n">
        <x:v>8</x:v>
      </x:c>
      <x:c r="D516" s="20" t="str">
        <x:v>2</x:v>
      </x:c>
      <x:c r="E516" s="20" t="str"/>
      <x:c r="F516" s="20" t="str">
        <x:f>IF(E516="",D516,E516)</x:f>
        <x:v>2</x:v>
      </x:c>
      <x:c r="G516" s="13" t="str">
        <x:v>A Roadmap for Enabling a Future-Proof In-Network Computing Data Plane Ecosystem</x:v>
      </x:c>
      <x:c r="H516" s="13" t="n">
        <x:v>0</x:v>
      </x:c>
      <x:c r="I516" s="22" t="n">
        <x:v>0.04352014437615842</x:v>
      </x:c>
      <x:c r="J516" s="13" t="n">
        <x:v>3</x:v>
      </x:c>
      <x:c r="K516" s="19" t="str">
        <x:v>How have programmable data planes and in-network computing evolved, and which classes of distributed applications have benefited from them?</x:v>
      </x:c>
      <x:c r="L516" s="19" t="str">
        <x:v>day; e.g., the need to refactor applications for new data planes,
lack of systematic guidelines to inform the development of
future data plane capabilities, and lack of holistic runtime
frameworks for network operators. In this paper, we use
simple-yet-instructive emerging application-data plane com-
bination to highlight these disconnects. Drawing on these
lessons, we sketch a high-level roadmap and guidelines for
the community to tackle these to create a more thriving
“future-proof” data plane ecosystem.
1 Introduction
Recent advances in programmable switching ASICs [1, 2, 8,
17] have enabled the network data plane to move beyond
its traditional role of packet forwarding. Today, we have
more sophisticated capabilities to process packets to accel-
erate both network- and application-level functions. This
emerging trend toward in-network computing enables new</x:v>
      </x:c>
      <x:c r="M516" s="19" t="str">
        <x:v>该段包含可直接回答问题的方法、指标、比较或研究发现。</x:v>
      </x:c>
      <x:c r="N516" s="13" t="str">
        <x:v>http://arxiv.org/abs/2111.04563v1</x:v>
      </x:c>
    </x:row>
    <x:row r="517" ht="58" customHeight="1">
      <x:c r="A517" s="13" t="str">
        <x:v>csq018-c009</x:v>
      </x:c>
      <x:c r="B517" s="13" t="str">
        <x:v>csq018</x:v>
      </x:c>
      <x:c r="C517" s="21" t="n">
        <x:v>9</x:v>
      </x:c>
      <x:c r="D517" s="20" t="str">
        <x:v>2</x:v>
      </x:c>
      <x:c r="E517" s="20" t="str"/>
      <x:c r="F517" s="20" t="str">
        <x:f>IF(E517="",D517,E517)</x:f>
        <x:v>2</x:v>
      </x:c>
      <x:c r="G517" s="13" t="str">
        <x:v>The Programmable Data Plane: Abstractions, Architectures, Algorithms, and Applications</x:v>
      </x:c>
      <x:c r="H517" s="13" t="n">
        <x:v>26</x:v>
      </x:c>
      <x:c r="I517" s="22" t="n">
        <x:v>0.043423831070889894</x:v>
      </x:c>
      <x:c r="J517" s="13" t="n">
        <x:v>3</x:v>
      </x:c>
      <x:c r="K517" s="19" t="str">
        <x:v>How have programmable data planes and in-network computing evolved, and which classes of distributed applications have benefited from them?</x:v>
      </x:c>
      <x:c r="L517" s="19" t="str">
        <x:v>Scheduling: PPS [184], PIEO [181], Approx. Fair Queueing [179], Universal Sched. [141]
Languages
Defining Policy: DevoFlow [45], Pyretic [63], NetCore [145], Maple [197], PFQ [29]
Defining Low-level Processing: Packet Programs [96], P4 [31], Domino [183], Netdiff [53]
Fig. 7. Taxonomy of works laying the foundations of programmable data plane technology
Applications
Monitoring: OpenSketch [203], Marple [148], Sonata [76], INT [107], *Flow [186]
Switching: OVS [158], OVS Security [193], AccelNet [61], Network Virt. [110]
In-network computation: Camdoop [42], IncBricks [127], NetAI [170], N2Net [182]
Consensus: NetPaxos [48], Switchy Paxos [47], NetChain [93], NetCache [94]
Resiliency: Connectivity in the Data Plane [124], Blink [82], Hedera [10]
Load balancing: CONGA [12], SilkRoad [138], Hula [104], MBalancer [34]</x:v>
      </x:c>
      <x:c r="M517" s="19" t="str">
        <x:v>该段包含可直接回答问题的方法、指标、比较或研究发现。</x:v>
      </x:c>
      <x:c r="N517" s="13" t="str">
        <x:v>http://arxiv.org/abs/2110.00631v1</x:v>
      </x:c>
    </x:row>
    <x:row r="518" ht="58" customHeight="1">
      <x:c r="A518" s="13" t="str">
        <x:v>csq018-c010</x:v>
      </x:c>
      <x:c r="B518" s="13" t="str">
        <x:v>csq018</x:v>
      </x:c>
      <x:c r="C518" s="21" t="n">
        <x:v>10</x:v>
      </x:c>
      <x:c r="D518" s="20" t="str">
        <x:v>0</x:v>
      </x:c>
      <x:c r="E518" s="20" t="str"/>
      <x:c r="F518" s="20" t="str">
        <x:f>IF(E518="",D518,E518)</x:f>
        <x:v>0</x:v>
      </x:c>
      <x:c r="G518" s="13" t="str">
        <x:v>The Programmable Data Plane: Abstractions, Architectures, Algorithms, and Applications</x:v>
      </x:c>
      <x:c r="H518" s="13" t="n">
        <x:v>32</x:v>
      </x:c>
      <x:c r="I518" s="22" t="n">
        <x:v>0.04131767775603392</x:v>
      </x:c>
      <x:c r="J518" s="13" t="n">
        <x:v>3</x:v>
      </x:c>
      <x:c r="K518" s="19" t="str">
        <x:v>How have programmable data planes and in-network computing evolved, and which classes of distributed applications have benefited from them?</x:v>
      </x:c>
      <x:c r="L518" s="19" t="str">
        <x:v>The Programmable Data Plane: Abstractions, Architectures, Algorithms, and Applications 33
[107] Kim, C., Sivaraman, A., Katta, N., et al. In-band network telemetry via programmable dataplanes. In ACM
SIGCOMM ’15 Demos (2015).
[108] Kim, H., Reich, J., Gupta, A., Shahbaz, M., Feamster, N., and Clark, R. Kinetic: Verifiable dynamic network control.
In USENIX NSDI ’15 (2015), USENIX.
[109] Kogan, K., Nikolenko, S., Rottenstreich, O., Culhane, W., and Eugster, P. SAX-PAC (Scalable And eXpressive
PAcket Classification). In ACM SIGCOMM ’14 (2014), ACM.
[110] Koponen, T., et al. Network virtualization in multi-tenant datacenters. In USENIX NSDI ’14.
[111] Kreutz, D., Ramos, F. M., Verissimo, P. E., Rothenberg, C. E., Azodolmolky, S., and Uhlig, S. Software-defined
networking: A comprehensive survey. Proceedings of the IEEE 103 , 1 (2015), 14–76.</x:v>
      </x:c>
      <x:c r="M518" s="19" t="str">
        <x:v>该段为无关内容、泛泛提及或参考文献片段，不能作为回答证据。</x:v>
      </x:c>
      <x:c r="N518" s="13" t="str">
        <x:v>http://arxiv.org/abs/2110.00631v1</x:v>
      </x:c>
    </x:row>
    <x:row r="519" ht="58" customHeight="1">
      <x:c r="A519" s="13" t="str">
        <x:v>csq018-c011</x:v>
      </x:c>
      <x:c r="B519" s="13" t="str">
        <x:v>csq018</x:v>
      </x:c>
      <x:c r="C519" s="21" t="n">
        <x:v>11</x:v>
      </x:c>
      <x:c r="D519" s="20" t="str">
        <x:v>2</x:v>
      </x:c>
      <x:c r="E519" s="20" t="str"/>
      <x:c r="F519" s="20" t="str">
        <x:f>IF(E519="",D519,E519)</x:f>
        <x:v>2</x:v>
      </x:c>
      <x:c r="G519" s="13" t="str">
        <x:v>INSIGHT: A Survey of In-Network Systems for Intelligent, High-Efficiency AI and Topology Optimization</x:v>
      </x:c>
      <x:c r="H519" s="13" t="n">
        <x:v>0</x:v>
      </x:c>
      <x:c r="I519" s="22" t="n">
        <x:v>0.031544957774465976</x:v>
      </x:c>
      <x:c r="J519" s="13" t="n">
        <x:v>2</x:v>
      </x:c>
      <x:c r="K519" s="19" t="str">
        <x:v>How have programmable data planes and in-network computing evolved, and which classes of distributed applications have benefited from them?</x:v>
      </x:c>
      <x:c r="L519" s="19" t="str">
        <x:v>intelligent network monitoring, intrusion detection, traffic management,
and Edge AI. Future research directions, including runtime programma-
bility, standardized benchmarks, and new applications paradigms, are
proposed to advance this rapidly evolving field. This survey underscores
the potential of in-network AI to create intelligent, efficient, and respon-
sive networks capable of meeting the demands of next-generation AI
applications.
Keywords: In-Network Computation, Distributed Learning, Software-Defined
Networking, Programmable Data Planes, Model Compression
1 Introduction
In-network computation, also known as in-network processing, represents how
computational tasks are executed within a network infrastructure. Instead of re-
lying on end devices or dedicated servers, in-network computation involves per-</x:v>
      </x:c>
      <x:c r="M519" s="19" t="str">
        <x:v>该段包含可直接回答问题的方法、指标、比较或研究发现。</x:v>
      </x:c>
      <x:c r="N519" s="13" t="str">
        <x:v>http://arxiv.org/abs/2505.24269v2</x:v>
      </x:c>
    </x:row>
    <x:row r="520" ht="58" customHeight="1">
      <x:c r="A520" s="13" t="str">
        <x:v>csq018-c012</x:v>
      </x:c>
      <x:c r="B520" s="13" t="str">
        <x:v>csq018</x:v>
      </x:c>
      <x:c r="C520" s="21" t="n">
        <x:v>12</x:v>
      </x:c>
      <x:c r="D520" s="20" t="str">
        <x:v>2</x:v>
      </x:c>
      <x:c r="E520" s="20" t="str"/>
      <x:c r="F520" s="20" t="str">
        <x:f>IF(E520="",D520,E520)</x:f>
        <x:v>2</x:v>
      </x:c>
      <x:c r="G520" s="13" t="str">
        <x:v>The Programmable Data Plane: Abstractions, Architectures, Algorithms, and Applications</x:v>
      </x:c>
      <x:c r="H520" s="13" t="n">
        <x:v>22</x:v>
      </x:c>
      <x:c r="I520" s="22" t="n">
        <x:v>0.029857397504456328</x:v>
      </x:c>
      <x:c r="J520" s="13" t="n">
        <x:v>2</x:v>
      </x:c>
      <x:c r="K520" s="19" t="str">
        <x:v>How have programmable data planes and in-network computing evolved, and which classes of distributed applications have benefited from them?</x:v>
      </x:c>
      <x:c r="L520" s="19" t="str">
        <x:v>removed dedicated “network accelerator” middleboxes from the in-network computation stack and
presented a generic programmable data plane hardware architecture for efficient data reduction,
relying on scalable in-network trees and pipelining to reduce latency for big data processing.
Toward the generalization of these approaches, Liu et al. lay the foundations of a in-network
computation framework by presenting a minimal set of abstractions they call IncBricks [ 127]:
an in-network caching fabric with basic computing primitives based on programmable network
devices. The authors in [180] furthermore ask the related general question of how to overcome
the limitations imposed by the usually scarce resources provided on programmable switches, like
limited state storage and limited types of operations, for in-network computation tasks. They</x:v>
      </x:c>
      <x:c r="M520" s="19" t="str">
        <x:v>该段包含可直接回答问题的方法、指标、比较或研究发现。</x:v>
      </x:c>
      <x:c r="N520" s="13" t="str">
        <x:v>http://arxiv.org/abs/2110.00631v1</x:v>
      </x:c>
    </x:row>
    <x:row r="521" ht="58" customHeight="1">
      <x:c r="A521" s="13" t="str">
        <x:v>csq018-c013</x:v>
      </x:c>
      <x:c r="B521" s="13" t="str">
        <x:v>csq018</x:v>
      </x:c>
      <x:c r="C521" s="21" t="n">
        <x:v>13</x:v>
      </x:c>
      <x:c r="D521" s="20" t="str">
        <x:v>2</x:v>
      </x:c>
      <x:c r="E521" s="20" t="str"/>
      <x:c r="F521" s="20" t="str">
        <x:f>IF(E521="",D521,E521)</x:f>
        <x:v>2</x:v>
      </x:c>
      <x:c r="G521" s="13" t="str">
        <x:v>Survey on some optimization possibilities for data plane applications</x:v>
      </x:c>
      <x:c r="H521" s="13" t="n">
        <x:v>0</x:v>
      </x:c>
      <x:c r="I521" s="22" t="n">
        <x:v>0.029418126757516764</x:v>
      </x:c>
      <x:c r="J521" s="13" t="n">
        <x:v>2</x:v>
      </x:c>
      <x:c r="K521" s="19" t="str">
        <x:v>How have programmable data planes and in-network computing evolved, and which classes of distributed applications have benefited from them?</x:v>
      </x:c>
      <x:c r="L521" s="19" t="str">
        <x:v>develop reconfigurable data planes and high -level network programming languages make it 
truly possible to progr am data planes.  Therefore, the programmable data planes and SDNs 
offer great flexibility in network customization, allowing many innovations to be introduced on 
the network. The general focus of research on the data plane is data -plane abstractions, 
languages and compilers, data plane algorithms, and applications. This paper outlines some 
emerging applications on the data plane and offers opportunities for further improvement and 
optimization. 
KEYWORDS 
Data plane, load balancing,  in-network caching, in -network computin g, in -network data 
aggregation, INT. 
1. INTRODUCTION 
Efforts to create fully programmable networks have been going on for a very long time . SDN</x:v>
      </x:c>
      <x:c r="M521" s="19" t="str">
        <x:v>该段包含可直接回答问题的方法、指标、比较或研究发现。</x:v>
      </x:c>
      <x:c r="N521" s="13" t="str">
        <x:v>http://arxiv.org/abs/2201.11516v1</x:v>
      </x:c>
    </x:row>
    <x:row r="522" ht="58" customHeight="1">
      <x:c r="A522" s="13" t="str">
        <x:v>csq018-c014</x:v>
      </x:c>
      <x:c r="B522" s="13" t="str">
        <x:v>csq018</x:v>
      </x:c>
      <x:c r="C522" s="21" t="n">
        <x:v>14</x:v>
      </x:c>
      <x:c r="D522" s="20" t="str">
        <x:v>2</x:v>
      </x:c>
      <x:c r="E522" s="20" t="str"/>
      <x:c r="F522" s="20" t="str">
        <x:f>IF(E522="",D522,E522)</x:f>
        <x:v>2</x:v>
      </x:c>
      <x:c r="G522" s="13" t="str">
        <x:v>A Roadmap for Enabling a Future-Proof In-Network Computing Data Plane Ecosystem</x:v>
      </x:c>
      <x:c r="H522" s="13" t="n">
        <x:v>0</x:v>
      </x:c>
      <x:c r="I522" s="22" t="n">
        <x:v>0.029386529386529386</x:v>
      </x:c>
      <x:c r="J522" s="13" t="n">
        <x:v>2</x:v>
      </x:c>
      <x:c r="K522" s="19" t="str">
        <x:v>How have programmable data planes and in-network computing evolved, and which classes of distributed applications have benefited from them?</x:v>
      </x:c>
      <x:c r="L522" s="19" t="str">
        <x:v>erate both network- and application-level functions. This
emerging trend toward in-network computing enables new
opportunities to improve performance and lower operational
costs of data center infrastructure [57]. Indeed, recent efforts
have shown that various datacenter applications, such as
key-value stores [33, 34], machine learning [58], and network
functions [31, 48] can benefit from in-network computing.
Looking forward, we see that there are increasing demands
from applications that could benefit from in-network comput-
ing but cannot be realized on today’s switches. For example,
while many recent studies have shown the promise of sketch-
based network monitoring on switches [23, 60], we observe
that it is infeasible to maintain sketches for multiple sub-
populations of interest due to limited on-chip compute and
memory resources. Also, applications that require inspec-</x:v>
      </x:c>
      <x:c r="M522" s="19" t="str">
        <x:v>该段包含可直接回答问题的方法、指标、比较或研究发现。</x:v>
      </x:c>
      <x:c r="N522" s="13" t="str">
        <x:v>http://arxiv.org/abs/2111.04563v1</x:v>
      </x:c>
    </x:row>
    <x:row r="523" ht="58" customHeight="1">
      <x:c r="A523" s="13" t="str">
        <x:v>csq018-c015</x:v>
      </x:c>
      <x:c r="B523" s="13" t="str">
        <x:v>csq018</x:v>
      </x:c>
      <x:c r="C523" s="21" t="n">
        <x:v>15</x:v>
      </x:c>
      <x:c r="D523" s="20" t="str">
        <x:v>2</x:v>
      </x:c>
      <x:c r="E523" s="20" t="str"/>
      <x:c r="F523" s="20" t="str">
        <x:f>IF(E523="",D523,E523)</x:f>
        <x:v>2</x:v>
      </x:c>
      <x:c r="G523" s="13" t="str">
        <x:v>The Programmable Data Plane: Abstractions, Architectures, Algorithms, and Applications</x:v>
      </x:c>
      <x:c r="H523" s="13" t="n">
        <x:v>22</x:v>
      </x:c>
      <x:c r="I523" s="22" t="n">
        <x:v>0.028594771241830064</x:v>
      </x:c>
      <x:c r="J523" s="13" t="n">
        <x:v>2</x:v>
      </x:c>
      <x:c r="K523" s="19" t="str">
        <x:v>How have programmable data planes and in-network computing evolved, and which classes of distributed applications have benefited from them?</x:v>
      </x:c>
      <x:c r="L523" s="19" t="str">
        <x:v>The Programmable Data Plane: Abstractions, Architectures, Algorithms, and Applications 23
machines through SR-IOV and offloads of standard tunneling protocols used in this context, such
as VXLAN and NVGRE [71], programmability at the network edge is invaluable for implementing
custom virtualization solutions. While this is already possible in software on platforms like OVS,
having a similar level of programmability on NICs can significantly enhance scalability and lower
cost of virtualization in data centers. AccelNet [ 61] is an early example of employing such an
architecture, which we expect to become standard practice going forward.
6.3 In-network Computation
In-network computation is a promising way to address performance bottlenecks and scalability
limits of massive network-bound data processing in data centers as often performed in machine</x:v>
      </x:c>
      <x:c r="M523" s="19" t="str">
        <x:v>该段包含可直接回答问题的方法、指标、比较或研究发现。</x:v>
      </x:c>
      <x:c r="N523" s="13" t="str">
        <x:v>http://arxiv.org/abs/2110.00631v1</x:v>
      </x:c>
    </x:row>
    <x:row r="524" ht="58" customHeight="1">
      <x:c r="A524" s="13" t="str">
        <x:v>csq018-c016</x:v>
      </x:c>
      <x:c r="B524" s="13" t="str">
        <x:v>csq018</x:v>
      </x:c>
      <x:c r="C524" s="21" t="n">
        <x:v>16</x:v>
      </x:c>
      <x:c r="D524" s="20" t="str">
        <x:v>2</x:v>
      </x:c>
      <x:c r="E524" s="20" t="str"/>
      <x:c r="F524" s="20" t="str">
        <x:f>IF(E524="",D524,E524)</x:f>
        <x:v>2</x:v>
      </x:c>
      <x:c r="G524" s="13" t="str">
        <x:v>INSIGHT: A Survey of In-Network Systems for Intelligent, High-Efficiency AI and Topology Optimization</x:v>
      </x:c>
      <x:c r="H524" s="13" t="n">
        <x:v>0</x:v>
      </x:c>
      <x:c r="I524" s="22" t="n">
        <x:v>0.02819138376017471</x:v>
      </x:c>
      <x:c r="J524" s="13" t="n">
        <x:v>2</x:v>
      </x:c>
      <x:c r="K524" s="19" t="str">
        <x:v>How have programmable data planes and in-network computing evolved, and which classes of distributed applications have benefited from them?</x:v>
      </x:c>
      <x:c r="L524" s="19" t="str">
        <x:v>provides a comprehensive analysis of optimizing in-network computation
for AI, exploring the evolution of programmable network architectures,
such as Software-Defined Networking (SDN) and Programmable Data
Planes (PDPs), and their convergence with AI. It examines methodolo-
gies for mapping AI models onto resource-constrained network devices,
addressingchallengeslikelimitedmemoryandcomputationalcapabilities
through efficient algorithm design and model compression techniques.
The paper also highlights advancements in distributed learning, partic-
ularly in-network aggregation, and the potential of federated learning to
enhance privacy and scalability. Frameworks like Planter and Quark are
discussed for simplifying development, alongside key applications such as
intelligent network monitoring, intrusion detection, traffic management,</x:v>
      </x:c>
      <x:c r="M524" s="19" t="str">
        <x:v>该段包含可直接回答问题的方法、指标、比较或研究发现。</x:v>
      </x:c>
      <x:c r="N524" s="13" t="str">
        <x:v>http://arxiv.org/abs/2505.24269v2</x:v>
      </x:c>
    </x:row>
    <x:row r="525" ht="58" customHeight="1">
      <x:c r="A525" s="13" t="str">
        <x:v>csq018-c017</x:v>
      </x:c>
      <x:c r="B525" s="13" t="str">
        <x:v>csq018</x:v>
      </x:c>
      <x:c r="C525" s="21" t="n">
        <x:v>17</x:v>
      </x:c>
      <x:c r="D525" s="20" t="str">
        <x:v>2</x:v>
      </x:c>
      <x:c r="E525" s="20" t="str"/>
      <x:c r="F525" s="20" t="str">
        <x:f>IF(E525="",D525,E525)</x:f>
        <x:v>2</x:v>
      </x:c>
      <x:c r="G525" s="13" t="str">
        <x:v>The Programmable Data Plane: Abstractions, Architectures, Algorithms, and Applications</x:v>
      </x:c>
      <x:c r="H525" s="13" t="n">
        <x:v>19</x:v>
      </x:c>
      <x:c r="I525" s="22" t="n">
        <x:v>0.016129032258064516</x:v>
      </x:c>
      <x:c r="J525" s="13" t="n">
        <x:v>1</x:v>
      </x:c>
      <x:c r="K525" s="19" t="str">
        <x:v>How have programmable data planes and in-network computing evolved, and which classes of distributed applications have benefited from them?</x:v>
      </x:c>
      <x:c r="L525" s="19" t="str">
        <x:v>dedicated hardware appliances, right into the network data plane. The ability to program network
devices suddenly changes a dumb pipe that only moves data into a complete, sophisticated data
processing pipeline that is able to transform data as it flows. Applications that have been offloaded to
the network in this manner include telemetry, massive-scale data processing, and machine learning,
and even complete key-value stores. Network devices already sit in the data path and as a result
offloading additional functionality here minimizes the need for additional, potentially expensive,
data movement and reduces the end-to-end processing latency. In addition, many applications may
benefit from the new visibility into the network (e.g., queue occupancy levels) or from the energy
savings possible by running conventional compute tasks on low-power programmable NICs [127].</x:v>
      </x:c>
      <x:c r="M525" s="19" t="str">
        <x:v>该段包含可直接回答问题的方法、指标、比较或研究发现。</x:v>
      </x:c>
      <x:c r="N525" s="13" t="str">
        <x:v>http://arxiv.org/abs/2110.00631v1</x:v>
      </x:c>
    </x:row>
    <x:row r="526" ht="58" customHeight="1">
      <x:c r="A526" s="13" t="str">
        <x:v>csq018-c018</x:v>
      </x:c>
      <x:c r="B526" s="13" t="str">
        <x:v>csq018</x:v>
      </x:c>
      <x:c r="C526" s="21" t="n">
        <x:v>18</x:v>
      </x:c>
      <x:c r="D526" s="20" t="str">
        <x:v>0</x:v>
      </x:c>
      <x:c r="E526" s="20" t="str"/>
      <x:c r="F526" s="20" t="str">
        <x:f>IF(E526="",D526,E526)</x:f>
        <x:v>0</x:v>
      </x:c>
      <x:c r="G526" s="13" t="str">
        <x:v>INSIGHT: A Survey of In-Network Systems for Intelligent, High-Efficiency AI and Topology Optimization</x:v>
      </x:c>
      <x:c r="H526" s="13" t="n">
        <x:v>15</x:v>
      </x:c>
      <x:c r="I526" s="22" t="n">
        <x:v>0.016129032258064516</x:v>
      </x:c>
      <x:c r="J526" s="13" t="n">
        <x:v>1</x:v>
      </x:c>
      <x:c r="K526" s="19" t="str">
        <x:v>How have programmable data planes and in-network computing evolved, and which classes of distributed applications have benefited from them?</x:v>
      </x:c>
      <x:c r="L526" s="19" t="str">
        <x:v>arXiv: 2205.08243 [cs.NI]. url: https://arxiv.org/abs/2205.08243.
[26] Thinh Quang Dinh et al. “In-Network Computation for Large-Scale Fed-
erated Learning Over Wireless Edge Networks”. In:IEEE Transactions on
Mobile Computing22.10 (2023), pp. 5918–5932.doi: 10.1109/TMC.2022.
3190260.
[27] JinFangetal.“GOAT:GradientSchedulingwithCollaborativeIn-Network
Aggregation for Distributed Training”. In:2023 IEEE/ACM 31st Interna-
tional Symposium on Quality of Service (IWQoS). 2023, pp. 1–10. doi:
10.1109/IWQoS57198.2023.10188783.
[28] Manel Gherari et al. A Review of the In-Network Computing and Its Role
in the Edge-Cloud Continuum. 2023. arXiv: 2312.00303 [cs.NI] . url:
https://arxiv.org/abs/2312.00303.
[29] Wai-Xi Liu et al. “Programmable Data Plane Intelligence: Advances, Op-
portunities, and Challenges”. In:IEEE Network 37.5 (2023), pp. 122–128.
doi: 10.1109/MNET.124.2200113.</x:v>
      </x:c>
      <x:c r="M526" s="19" t="str">
        <x:v>该段为无关内容、泛泛提及或参考文献片段，不能作为回答证据。</x:v>
      </x:c>
      <x:c r="N526" s="13" t="str">
        <x:v>http://arxiv.org/abs/2505.24269v2</x:v>
      </x:c>
    </x:row>
    <x:row r="527" ht="58" customHeight="1">
      <x:c r="A527" s="13" t="str">
        <x:v>csq018-c019</x:v>
      </x:c>
      <x:c r="B527" s="13" t="str">
        <x:v>csq018</x:v>
      </x:c>
      <x:c r="C527" s="21" t="n">
        <x:v>19</x:v>
      </x:c>
      <x:c r="D527" s="20" t="str">
        <x:v>0</x:v>
      </x:c>
      <x:c r="E527" s="20" t="str"/>
      <x:c r="F527" s="20" t="str">
        <x:f>IF(E527="",D527,E527)</x:f>
        <x:v>0</x:v>
      </x:c>
      <x:c r="G527" s="13" t="str">
        <x:v>An Exhaustive Survey on P4 Programmable Data Plane Switches: Taxonomy, Applications, Challenges, and Future Trends</x:v>
      </x:c>
      <x:c r="H527" s="13" t="n">
        <x:v>55</x:v>
      </x:c>
      <x:c r="I527" s="22" t="n">
        <x:v>0.015873015873015872</x:v>
      </x:c>
      <x:c r="J527" s="13" t="n">
        <x:v>1</x:v>
      </x:c>
      <x:c r="K527" s="19" t="str">
        <x:v>How have programmable data planes and in-network computing evolved, and which classes of distributed applications have benefited from them?</x:v>
      </x:c>
      <x:c r="L527" s="19" t="str">
        <x:v>Kfoury et al.: An Exhaustive Survey on P4 Programmable Data Plane Switches 
56 VOLUME 4, 2016 
networking,” IEEE Access, vol. 7, pp. 47804–47840, 2019. 
[41] P. G. Kannan and M. C. Chan, “On programmable networking 
evolution,” CSI Transactions on ICT, vol. 8, no. 1, pp. 69–76, 2020. 
[42] L. Tan, W. Su, W. Zhang, J. Lv, Z. Zhang, J. Miao, X. Liu, and 
N. Li, “In-band network telemetry: A survey,” Computer Networks,  
p. 107763, 2020. 
[43] X. Zhang, L. Cui, K. Wei, F. P. Tso, Y. Ji, and W. Jia, “A survey 
on stateful data plane in software defined networks,” Computer 
Networks, p. 107597, 2020. 
[44] G. Bianchi, M. Bonola, A. Capone, and C. Cascone, “OpenState:  
programming platform -independent stateful OpenFlow applications  
inside the switch,” ACM SIGCOMM Computer Communication 
Review, vol. 44, no. 2, pp. 44–51, 2014.</x:v>
      </x:c>
      <x:c r="M527" s="19" t="str">
        <x:v>该段为无关内容、泛泛提及或参考文献片段，不能作为回答证据。</x:v>
      </x:c>
      <x:c r="N527" s="13" t="str">
        <x:v>http://arxiv.org/abs/2102.00643v2</x:v>
      </x:c>
    </x:row>
    <x:row r="528" ht="58" customHeight="1">
      <x:c r="A528" s="13" t="str">
        <x:v>csq018-c020</x:v>
      </x:c>
      <x:c r="B528" s="13" t="str">
        <x:v>csq018</x:v>
      </x:c>
      <x:c r="C528" s="21" t="n">
        <x:v>20</x:v>
      </x:c>
      <x:c r="D528" s="20" t="str">
        <x:v>2</x:v>
      </x:c>
      <x:c r="E528" s="20" t="str"/>
      <x:c r="F528" s="20" t="str">
        <x:f>IF(E528="",D528,E528)</x:f>
        <x:v>2</x:v>
      </x:c>
      <x:c r="G528" s="13" t="str">
        <x:v>The Programmable Data Plane: Abstractions, Architectures, Algorithms, and Applications</x:v>
      </x:c>
      <x:c r="H528" s="13" t="n">
        <x:v>19</x:v>
      </x:c>
      <x:c r="I528" s="22" t="n">
        <x:v>0.015873015873015872</x:v>
      </x:c>
      <x:c r="J528" s="13" t="n">
        <x:v>1</x:v>
      </x:c>
      <x:c r="K528" s="19" t="str">
        <x:v>How have programmable data planes and in-network computing evolved, and which classes of distributed applications have benefited from them?</x:v>
      </x:c>
      <x:c r="L528" s="19" t="str">
        <x:v>savings possible by running conventional compute tasks on low-power programmable NICs [127].
One may wonder which types of applications may benefit most from being offloaded into the
programmable data plane [171]. Is there an over-arching scheme that would help identify when to
consider the data plane implementation for a particular use case? Judging from recent examples, we
see that the typical applications are the ones that (1)process massive amounts of network-bound data
or have a strong networking component in some way (e.g., implement request-response patterns),
(2) pose stringent latency and/or throughput requirements , or (3) can be decomposed into a small set of
simple primitives that lend themselves readily to be implemented partially or entirely on top of
packet processing primitives exposed by programmable data plane devices.</x:v>
      </x:c>
      <x:c r="M528" s="19" t="str">
        <x:v>该段包含可直接回答问题的方法、指标、比较或研究发现。</x:v>
      </x:c>
      <x:c r="N528" s="13" t="str">
        <x:v>http://arxiv.org/abs/2110.00631v1</x:v>
      </x:c>
    </x:row>
    <x:row r="529" ht="58" customHeight="1">
      <x:c r="A529" s="13" t="str">
        <x:v>csq018-c021</x:v>
      </x:c>
      <x:c r="B529" s="13" t="str">
        <x:v>csq018</x:v>
      </x:c>
      <x:c r="C529" s="21" t="n">
        <x:v>21</x:v>
      </x:c>
      <x:c r="D529" s="20" t="str">
        <x:v>0</x:v>
      </x:c>
      <x:c r="E529" s="20" t="str"/>
      <x:c r="F529" s="20" t="str">
        <x:f>IF(E529="",D529,E529)</x:f>
        <x:v>0</x:v>
      </x:c>
      <x:c r="G529" s="13" t="str">
        <x:v>An Exhaustive Survey on P4 Programmable Data Plane Switches: Taxonomy, Applications, Challenges, and Future Trends</x:v>
      </x:c>
      <x:c r="H529" s="13" t="n">
        <x:v>55</x:v>
      </x:c>
      <x:c r="I529" s="22" t="n">
        <x:v>0.015625</x:v>
      </x:c>
      <x:c r="J529" s="13" t="n">
        <x:v>1</x:v>
      </x:c>
      <x:c r="K529" s="19" t="str">
        <x:v>How have programmable data planes and in-network computing evolved, and which classes of distributed applications have benefited from them?</x:v>
      </x:c>
      <x:c r="L529" s="19" t="str">
        <x:v>[49] N. McKeown, “Why does the Internet need a programmable forward- 
ing plane.” [Online]. Available: https://tinyurl.com/y6x7qqpm.  
[50] C. Kim, “Evolution of networking, Networking Field Day 21, 2:01,”  
2019. [Online]. Available: https://tinyurl.com/y9fkj7qx. 
[51] A. Shapiro, “P4 -programming data plane use -cases.” in P4 Expert  
Roundtable Series, April 28-29, 2020. [Online]. Available: https: 
//tinyurl.com/y5n4k83h. 
[52] P. Bosshart, G. Gibb, H. -S. Kim, G. Varghese, N. McKeown, M. Iz - 
zard, F. Mujica, and M. Horowitz, “Forwarding metamorphosis: 
fast programmable match -action processing in hardware for SDN,”  
ACM SIGCOMM Computer Communication Review, vol. 43, no. 4, 
pp. 99–110, 2013. 
[53] Nick McKeown, “Creating an End -to-End Programming Model for  
Packet Forwarding.” [Online]. Available: https://www.youtube.com/ 
watch?v=fiBuao6YZl0&amp;t=4216s.</x:v>
      </x:c>
      <x:c r="M529" s="19" t="str">
        <x:v>该段为无关内容、泛泛提及或参考文献片段，不能作为回答证据。</x:v>
      </x:c>
      <x:c r="N529" s="13" t="str">
        <x:v>http://arxiv.org/abs/2102.00643v2</x:v>
      </x:c>
    </x:row>
    <x:row r="530" ht="58" customHeight="1">
      <x:c r="A530" s="13" t="str">
        <x:v>csq018-c022</x:v>
      </x:c>
      <x:c r="B530" s="13" t="str">
        <x:v>csq018</x:v>
      </x:c>
      <x:c r="C530" s="21" t="n">
        <x:v>22</x:v>
      </x:c>
      <x:c r="D530" s="20" t="str">
        <x:v>2</x:v>
      </x:c>
      <x:c r="E530" s="20" t="str"/>
      <x:c r="F530" s="20" t="str">
        <x:f>IF(E530="",D530,E530)</x:f>
        <x:v>2</x:v>
      </x:c>
      <x:c r="G530" s="13" t="str">
        <x:v>The Programmable Data Plane: Abstractions, Architectures, Algorithms, and Applications</x:v>
      </x:c>
      <x:c r="H530" s="13" t="n">
        <x:v>25</x:v>
      </x:c>
      <x:c r="I530" s="22" t="n">
        <x:v>0.015625</x:v>
      </x:c>
      <x:c r="J530" s="13" t="n">
        <x:v>1</x:v>
      </x:c>
      <x:c r="K530" s="19" t="str">
        <x:v>How have programmable data planes and in-network computing evolved, and which classes of distributed applications have benefited from them?</x:v>
      </x:c>
      <x:c r="L530" s="19" t="str">
        <x:v>26 Oliver Michel, Roberto Bifulco, Gábor Rétvári, and Stefan Schmid
While offloading control plane functionality contradicts one of the core concepts of SDN, i.e.,
reducing the complexity of the data plane by having simple forwarding functions, data plane
programmability enables flexibility to the operator in what functions are performed in the network
directly. This is opposed to and much more cost-effective than the traditional approach of making
network devices generally smarter by embedding complex functionality into the data plane by
default, which in turn increases overall complexity. We believe that finding the right balance
between control plane and data plane responsibilities will remain a hot topic for the years to come.
6.6 Load Balancing
Related to resilient routing, programmable data planes provide unprecedented flexibilities and</x:v>
      </x:c>
      <x:c r="M530" s="19" t="str">
        <x:v>该段包含可直接回答问题的方法、指标、比较或研究发现。</x:v>
      </x:c>
      <x:c r="N530" s="13" t="str">
        <x:v>http://arxiv.org/abs/2110.00631v1</x:v>
      </x:c>
    </x:row>
    <x:row r="531" ht="58" customHeight="1">
      <x:c r="A531" s="13" t="str">
        <x:v>csq018-c023</x:v>
      </x:c>
      <x:c r="B531" s="13" t="str">
        <x:v>csq018</x:v>
      </x:c>
      <x:c r="C531" s="21" t="n">
        <x:v>23</x:v>
      </x:c>
      <x:c r="D531" s="20" t="str">
        <x:v>0</x:v>
      </x:c>
      <x:c r="E531" s="20" t="str"/>
      <x:c r="F531" s="20" t="str">
        <x:f>IF(E531="",D531,E531)</x:f>
        <x:v>0</x:v>
      </x:c>
      <x:c r="G531" s="13" t="str">
        <x:v>The Programmable Data Plane: Abstractions, Architectures, Algorithms, and Applications</x:v>
      </x:c>
      <x:c r="H531" s="13" t="n">
        <x:v>33</x:v>
      </x:c>
      <x:c r="I531" s="22" t="n">
        <x:v>0.015625</x:v>
      </x:c>
      <x:c r="J531" s="13" t="n">
        <x:v>1</x:v>
      </x:c>
      <x:c r="K531" s="19" t="str">
        <x:v>How have programmable data planes and in-network computing evolved, and which classes of distributed applications have benefited from them?</x:v>
      </x:c>
      <x:c r="L531" s="19" t="str">
        <x:v>[171] Sapio, A., Abdelaziz, I., Aldilaijan, A., Canini, M., and Kalnis, P. In-network computation is a dumb idea whose
time has come. In Proceedings of the 16th ACM Workshop on Hot Topics in Networks (2017), ACM, pp. 150–156.
[172] Schiff, L., Schmid, S., and Kuznetsov, P. In-band synchronization for distributed sdn control planes.ACM SIGCOMM
Computer Communication Review (CCR) 46 , 1 (2016), 37–43.
[173] Schwartz, B., Jackson, A. W., Strayer, W. T., Zhou, W., Rockwell, R. D., and Partridge, C. Smart packets:
applying active networks to network management. ACM Transactions on Computer Systems (TOCS) 18, 1 (2000), 67–88.
[174] SecuritytWeek. CSA’s cloud adoption, practices and priorities survey report. http://www.securityweek.com/data-
security-concerns-still-challenge, 2015. Accessed: 09-01-2019.</x:v>
      </x:c>
      <x:c r="M531" s="19" t="str">
        <x:v>该段为无关内容、泛泛提及或参考文献片段，不能作为回答证据。</x:v>
      </x:c>
      <x:c r="N531" s="13" t="str">
        <x:v>http://arxiv.org/abs/2110.00631v1</x:v>
      </x:c>
    </x:row>
    <x:row r="532" ht="58" customHeight="1">
      <x:c r="A532" s="13" t="str">
        <x:v>csq018-c024</x:v>
      </x:c>
      <x:c r="B532" s="13" t="str">
        <x:v>csq018</x:v>
      </x:c>
      <x:c r="C532" s="21" t="n">
        <x:v>24</x:v>
      </x:c>
      <x:c r="D532" s="20" t="str">
        <x:v>0</x:v>
      </x:c>
      <x:c r="E532" s="20" t="str"/>
      <x:c r="F532" s="20" t="str">
        <x:f>IF(E532="",D532,E532)</x:f>
        <x:v>0</x:v>
      </x:c>
      <x:c r="G532" s="13" t="str">
        <x:v>Watching Smartly from the Bottom: Intrusion Detection revamped through Programmable Networks and Artificial Intelligence</x:v>
      </x:c>
      <x:c r="H532" s="13" t="n">
        <x:v>6</x:v>
      </x:c>
      <x:c r="I532" s="22" t="n">
        <x:v>0.015384615384615385</x:v>
      </x:c>
      <x:c r="J532" s="13" t="n">
        <x:v>1</x:v>
      </x:c>
      <x:c r="K532" s="19" t="str">
        <x:v>How have programmable data planes and in-network computing evolved, and which classes of distributed applications have benefited from them?</x:v>
      </x:c>
      <x:c r="L532" s="19" t="str">
        <x:v>In-Network Computing, 2018, pp. 33–38.
[7] A. Gupta, R. Harrison, M. Canini, N. Feamster, J. Rexford,
and W. Willinger, “Sonata: Query-driven streaming network
telemetry,” in Proceedings of the 2018 Conference of the ACM
Special Interest Group on Data Communication, 2018, pp. 357–
371.
[8] A. Sapio, M. Canini, C.-Y . Ho, J. Nelson, P. Kalnis, C. Kim,
A. Krishnamurthy, M. Moshref, D. R. Ports, and P. Richt ´arik,
“Scaling distributed machine learning with in-network aggre-
gation,” arXiv preprint arXiv:1903.06701 , 2019.
[9] C. Mustard, F. Ruffy, A. Gakhokidze, I. Beschastnikh, and
A. Fedorova, “Jumpgate: In-network processing as a service
for data analytics,” in 11th USENIX Workshop on Hot Topics
in Cloud Computing (HotCloud 19) , 2019.
[10] A. Sapio, I. Abdelaziz, A. Aldilaijan, M. Canini, and P. Kalnis,
“In-network computation is a dumb idea whose time has come,”</x:v>
      </x:c>
      <x:c r="M532" s="19" t="str">
        <x:v>该段为无关内容、泛泛提及或参考文献片段，不能作为回答证据。</x:v>
      </x:c>
      <x:c r="N532" s="13" t="str">
        <x:v>http://arxiv.org/abs/2106.00239v1</x:v>
      </x:c>
    </x:row>
    <x:row r="533" ht="58" customHeight="1">
      <x:c r="A533" s="13" t="str">
        <x:v>csq018-c025</x:v>
      </x:c>
      <x:c r="B533" s="13" t="str">
        <x:v>csq018</x:v>
      </x:c>
      <x:c r="C533" s="21" t="n">
        <x:v>25</x:v>
      </x:c>
      <x:c r="D533" s="20" t="str">
        <x:v>2</x:v>
      </x:c>
      <x:c r="E533" s="20" t="str"/>
      <x:c r="F533" s="20" t="str">
        <x:f>IF(E533="",D533,E533)</x:f>
        <x:v>2</x:v>
      </x:c>
      <x:c r="G533" s="13" t="str">
        <x:v>A Survey on Data Plane Programming with P4: Fundamentals, Advances, and Applied Research</x:v>
      </x:c>
      <x:c r="H533" s="13" t="n">
        <x:v>45</x:v>
      </x:c>
      <x:c r="I533" s="22" t="n">
        <x:v>0.015384615384615385</x:v>
      </x:c>
      <x:c r="J533" s="13" t="n">
        <x:v>1</x:v>
      </x:c>
      <x:c r="K533" s="19" t="str">
        <x:v>How have programmable data planes and in-network computing evolved, and which classes of distributed applications have benefited from them?</x:v>
      </x:c>
      <x:c r="L533" s="19" t="str">
        <x:v>e.g., forwarding table size.
Molero et al. [187] propose to oﬄoad tasks from the control plane to the
data plane. They show that programmable data planes are able to run typical
control plane operations like failure detection and notiﬁcation, and connectivity
retrieval. Theydiscusstrade-oﬀs, limitationsandfutureresearchopportunities.
8. Applied Research Domains: Classiﬁcation &amp; Overview
In the following sections, we give an overview of applied research conducted
with P4. In this section, we classify P4’s core features that make it attractive
46</x:v>
      </x:c>
      <x:c r="M533" s="19" t="str">
        <x:v>该段包含可直接回答问题的方法、指标、比较或研究发现。</x:v>
      </x:c>
      <x:c r="N533" s="13" t="str">
        <x:v>http://arxiv.org/abs/2101.10632v3</x:v>
      </x:c>
    </x:row>
    <x:row r="534" ht="58" customHeight="1">
      <x:c r="A534" s="13" t="str">
        <x:v>csq018-c026</x:v>
      </x:c>
      <x:c r="B534" s="13" t="str">
        <x:v>csq018</x:v>
      </x:c>
      <x:c r="C534" s="21" t="n">
        <x:v>26</x:v>
      </x:c>
      <x:c r="D534" s="20" t="str">
        <x:v>1</x:v>
      </x:c>
      <x:c r="E534" s="20" t="str"/>
      <x:c r="F534" s="20" t="str">
        <x:f>IF(E534="",D534,E534)</x:f>
        <x:v>1</x:v>
      </x:c>
      <x:c r="G534" s="13" t="str">
        <x:v>Survey on some optimization possibilities for data plane applications</x:v>
      </x:c>
      <x:c r="H534" s="13" t="n">
        <x:v>1</x:v>
      </x:c>
      <x:c r="I534" s="22" t="n">
        <x:v>0.015384615384615385</x:v>
      </x:c>
      <x:c r="J534" s="13" t="n">
        <x:v>1</x:v>
      </x:c>
      <x:c r="K534" s="19" t="str">
        <x:v>How have programmable data planes and in-network computing evolved, and which classes of distributed applications have benefited from them?</x:v>
      </x:c>
      <x:c r="L534" s="19" t="str">
        <x:v>70         Computer Science &amp; Information Technology (CS &amp; IT) 
controller platforms have emerged, based on which several control plane applications have 
developed and implemented in the major data centers such as Google. 
A fully programmable network has two pillars: a programmable data plane and a programmable 
control plane. The data plane programming began to be discussed in the 2000s with the advent of 
the merchant chip, but it became a  reality in 2015, and research in this area is in great demand 
today [1]. 
In recent years, researches on developing data plane programming languages, creating 
programmable switching architecture, and improving the performance of programmable switches 
have become more mature.  Thanks to the success of these fundamental studies a nd 
implementations, data plane applications are evolving, and some are entering production and</x:v>
      </x:c>
      <x:c r="M534" s="19" t="str">
        <x:v>该段提供相关背景或侧面信息，但没有直接回答问题核心。</x:v>
      </x:c>
      <x:c r="N534" s="13" t="str">
        <x:v>http://arxiv.org/abs/2201.11516v1</x:v>
      </x:c>
    </x:row>
    <x:row r="535" ht="58" customHeight="1">
      <x:c r="A535" s="13" t="str">
        <x:v>csq018-c027</x:v>
      </x:c>
      <x:c r="B535" s="13" t="str">
        <x:v>csq018</x:v>
      </x:c>
      <x:c r="C535" s="21" t="n">
        <x:v>27</x:v>
      </x:c>
      <x:c r="D535" s="20" t="str">
        <x:v>0</x:v>
      </x:c>
      <x:c r="E535" s="20" t="str"/>
      <x:c r="F535" s="20" t="str">
        <x:f>IF(E535="",D535,E535)</x:f>
        <x:v>0</x:v>
      </x:c>
      <x:c r="G535" s="13" t="str">
        <x:v>An Exhaustive Survey on P4 Programmable Data Plane Switches: Taxonomy, Applications, Challenges, and Future Trends</x:v>
      </x:c>
      <x:c r="H535" s="13" t="n">
        <x:v>57</x:v>
      </x:c>
      <x:c r="I535" s="22" t="n">
        <x:v>0.015151515151515152</x:v>
      </x:c>
      <x:c r="J535" s="13" t="n">
        <x:v>1</x:v>
      </x:c>
      <x:c r="K535" s="19" t="str">
        <x:v>How have programmable data planes and in-network computing evolved, and which classes of distributed applications have benefited from them?</x:v>
      </x:c>
      <x:c r="L535" s="19" t="str">
        <x:v>network service,” IEEE/ACM Transactions on Networking, 2020. 
[161] A. Sapio, I. Abdelaziz, A. Aldilaijan, M. Canini, and P. Kalnis,  “In-
network computation is a dumb idea whose time has come,” in  
Proceedings of the 16th ACM Workshop on Hot Topics in Networks,</x:v>
      </x:c>
      <x:c r="M535" s="19" t="str">
        <x:v>该段为无关内容、泛泛提及或参考文献片段，不能作为回答证据。</x:v>
      </x:c>
      <x:c r="N535" s="13" t="str">
        <x:v>http://arxiv.org/abs/2102.00643v2</x:v>
      </x:c>
    </x:row>
    <x:row r="536" ht="58" customHeight="1">
      <x:c r="A536" s="13" t="str">
        <x:v>csq018-c028</x:v>
      </x:c>
      <x:c r="B536" s="13" t="str">
        <x:v>csq018</x:v>
      </x:c>
      <x:c r="C536" s="21" t="n">
        <x:v>28</x:v>
      </x:c>
      <x:c r="D536" s="20" t="str">
        <x:v>2</x:v>
      </x:c>
      <x:c r="E536" s="20" t="str"/>
      <x:c r="F536" s="20" t="str">
        <x:f>IF(E536="",D536,E536)</x:f>
        <x:v>2</x:v>
      </x:c>
      <x:c r="G536" s="13" t="str">
        <x:v>The Programmable Data Plane: Abstractions, Architectures, Algorithms, and Applications</x:v>
      </x:c>
      <x:c r="H536" s="13" t="n">
        <x:v>0</x:v>
      </x:c>
      <x:c r="I536" s="22" t="n">
        <x:v>0.015151515151515152</x:v>
      </x:c>
      <x:c r="J536" s="13" t="n">
        <x:v>1</x:v>
      </x:c>
      <x:c r="K536" s="19" t="str">
        <x:v>How have programmable data planes and in-network computing evolved, and which classes of distributed applications have benefited from them?</x:v>
      </x:c>
      <x:c r="L536" s="19" t="str">
        <x:v>The Programmable Data Plane: Abstractions, Architectures,
Algorithms, and Applications
OLIVER MICHEL, Faculty of Computer Science, University of Vienna, Austria
ROBERTO BIFULCO, NEC Laboratories Europe, Germany
GÁBOR RÉTVÁRI, Budapest University of Technology and Economics (BME), Hungary
STEFAN SCHMID, Faculty of Computer Science, University of Vienna, Austria
Programmable data plane technology enables the systematic reconfiguration of the low-level processing
steps applied to network packets and is a key driver in realizing the next generation of network services and
applications. This survey presents recent trends and issues in the design and implementation of programmable
network devices, focusing on prominent architectures, abstractions, algorithms, and applications proposed,
debated, and realized over the past years. We elaborate on the trends that led to the emergence of this</x:v>
      </x:c>
      <x:c r="M536" s="19" t="str">
        <x:v>该段包含可直接回答问题的方法、指标、比较或研究发现。</x:v>
      </x:c>
      <x:c r="N536" s="13" t="str">
        <x:v>http://arxiv.org/abs/2110.00631v1</x:v>
      </x:c>
    </x:row>
    <x:row r="537" ht="58" customHeight="1">
      <x:c r="A537" s="13" t="str">
        <x:v>csq018-c029</x:v>
      </x:c>
      <x:c r="B537" s="13" t="str">
        <x:v>csq018</x:v>
      </x:c>
      <x:c r="C537" s="21" t="n">
        <x:v>29</x:v>
      </x:c>
      <x:c r="D537" s="20" t="str">
        <x:v>2</x:v>
      </x:c>
      <x:c r="E537" s="20" t="str"/>
      <x:c r="F537" s="20" t="str">
        <x:f>IF(E537="",D537,E537)</x:f>
        <x:v>2</x:v>
      </x:c>
      <x:c r="G537" s="13" t="str">
        <x:v>An Exhaustive Survey on P4 Programmable Data Plane Switches: Taxonomy, Applications, Challenges, and Future Trends</x:v>
      </x:c>
      <x:c r="H537" s="13" t="n">
        <x:v>41</x:v>
      </x:c>
      <x:c r="I537" s="22" t="n">
        <x:v>0.014925373134328358</x:v>
      </x:c>
      <x:c r="J537" s="13" t="n">
        <x:v>1</x:v>
      </x:c>
      <x:c r="K537" s="19" t="str">
        <x:v>How have programmable data planes and in-network computing evolved, and which classes of distributed applications have benefited from them?</x:v>
      </x:c>
      <x:c r="L537" s="19" t="str">
        <x:v>data plane is the performance improvement of the applica - 
tion. For instance, NETHCF is motivated by the fact that  
traditional HCF -based schemes are implemented on end - 
hosts, which delays the filtering of spoofed packets and in - 
creases the bandwidth overhead. Moreover, since traditional 
schemes are implemented in server-based middleboxes, low 
latency and minimal jitt er are hard to achieve. Similarly,  
FastFlex advocates on the  need to offload the defenses to  
the data plane. Specifically, it tackles the following key 
challenges that are faced when programming defenses in the 
data plane: 1) resource multiplexing; 2) optimal placement; 
3) distributed control; and 4) dynamic scaling.</x:v>
      </x:c>
      <x:c r="M537" s="19" t="str">
        <x:v>该段包含可直接回答问题的方法、指标、比较或研究发现。</x:v>
      </x:c>
      <x:c r="N537" s="13" t="str">
        <x:v>http://arxiv.org/abs/2102.00643v2</x:v>
      </x:c>
    </x:row>
    <x:row r="538" ht="58" customHeight="1">
      <x:c r="A538" s="13" t="str">
        <x:v>csq018-c030</x:v>
      </x:c>
      <x:c r="B538" s="13" t="str">
        <x:v>csq018</x:v>
      </x:c>
      <x:c r="C538" s="21" t="n">
        <x:v>30</x:v>
      </x:c>
      <x:c r="D538" s="20" t="str">
        <x:v>0</x:v>
      </x:c>
      <x:c r="E538" s="20" t="str"/>
      <x:c r="F538" s="20" t="str">
        <x:f>IF(E538="",D538,E538)</x:f>
        <x:v>0</x:v>
      </x:c>
      <x:c r="G538" s="13" t="str">
        <x:v>A Roadmap for Enabling a Future-Proof In-Network Computing Data Plane Ecosystem</x:v>
      </x:c>
      <x:c r="H538" s="13" t="n">
        <x:v>7</x:v>
      </x:c>
      <x:c r="I538" s="22" t="n">
        <x:v>0.014925373134328358</x:v>
      </x:c>
      <x:c r="J538" s="13" t="n">
        <x:v>1</x:v>
      </x:c>
      <x:c r="K538" s="19" t="str">
        <x:v>How have programmable data planes and in-network computing evolved, and which classes of distributed applications have benefited from them?</x:v>
      </x:c>
      <x:c r="L538" s="19" t="str">
        <x:v>A programming system for NIC-accelerated network applications. In
USENIX OSDI (2018).
[56] Mario Ruiz, David Sidler, Gustavo Sutter, Gustavo Alonso, and Ser-
gio López-Buedo. 2019. Limago: An FPGA-Based Open-Source 100
GbE TCP/IP Stack. In 2019 29th International Conference on Field Pro-
grammable Logic and Applications (FPL) . 286–292. https://doi.org/10.
1109/FPL.2019.00053
[57] Amedeo Sapio, Ibrahim Abdelaziz, Abdulla Aldilaijan, Marco Canini,
and Panos Kalnis. 2017. In-Network Computation is a Dumb Idea
Whose Time Has Come. In ACM HotNets (2017).
[58] Amedeo Sapio, Marco Canini, Chen-Yu Ho, Jacob Nelson, Panos Kalnis,
Changhoon Kim, Arvind Krishnamurthy, Masoud Moshref, Dan Ports,
and Peter Richtarik. 2021. Scaling Distributed Machine Learning with
In-Network Aggregation. In USENIX NSDI (2021).
[59] Justine Sherry, Chang Lan, Raluca Ada Popa, and Sylvia Ratnasamy.</x:v>
      </x:c>
      <x:c r="M538" s="19" t="str">
        <x:v>该段为无关内容、泛泛提及或参考文献片段，不能作为回答证据。</x:v>
      </x:c>
      <x:c r="N538" s="13" t="str">
        <x:v>http://arxiv.org/abs/2111.04563v1</x:v>
      </x:c>
    </x:row>
    <x:row r="539" ht="58" customHeight="1">
      <x:c r="A539" s="13" t="str">
        <x:v>csq019-c001</x:v>
      </x:c>
      <x:c r="B539" s="13" t="str">
        <x:v>csq019</x:v>
      </x:c>
      <x:c r="C539" s="21" t="n">
        <x:v>1</x:v>
      </x:c>
      <x:c r="D539" s="20" t="str">
        <x:v>2</x:v>
      </x:c>
      <x:c r="E539" s="20" t="str"/>
      <x:c r="F539" s="20" t="str">
        <x:f>IF(E539="",D539,E539)</x:f>
        <x:v>2</x:v>
      </x:c>
      <x:c r="G539" s="13" t="str">
        <x:v>Improving Deep Learning with Differential Privacy using Gradient Encoding and Denoising</x:v>
      </x:c>
      <x:c r="H539" s="13" t="n">
        <x:v>11</x:v>
      </x:c>
      <x:c r="I539" s="22" t="n">
        <x:v>0.06303568926519747</x:v>
      </x:c>
      <x:c r="J539" s="13" t="n">
        <x:v>4</x:v>
      </x:c>
      <x:c r="K539" s="19" t="str">
        <x:v>What methods are used for training deep learning models with differential privacy, and how do they manage the privacy-utility-computation trade-off?</x:v>
      </x:c>
      <x:c r="L539" s="19" t="str">
        <x:v>Improving Deep Learning with Diﬀerential Privacy using Gradient Enc oding and Denoising
6 Conclusions
Despite their increasing adoption in a wide-range of applications, dee p learning models are known
to leak information about their training datasets. A promising appro ach to train DNN models with
privacy protection is applying diﬀerential privacy noise on the gradie nts during the training process.
However, existing approaches based on diﬀerential privacy result is large degradations in the utility
(prediction accuracy) of the trained models. In this work, we desig n a framework to train DNN
models with diﬀerential privacy guarantees while preserving utility sig niﬁcantly better than prior
works. We speciﬁcally introduce two novel techniques to improve th e utility-privacy tradeoﬀ. First,</x:v>
      </x:c>
      <x:c r="M539" s="19" t="str">
        <x:v>该段包含可直接回答问题的方法、指标、比较或研究发现。</x:v>
      </x:c>
      <x:c r="N539" s="13" t="str">
        <x:v>http://arxiv.org/abs/2007.11524v1</x:v>
      </x:c>
    </x:row>
    <x:row r="540" ht="58" customHeight="1">
      <x:c r="A540" s="13" t="str">
        <x:v>csq019-c002</x:v>
      </x:c>
      <x:c r="B540" s="13" t="str">
        <x:v>csq019</x:v>
      </x:c>
      <x:c r="C540" s="21" t="n">
        <x:v>2</x:v>
      </x:c>
      <x:c r="D540" s="20" t="str">
        <x:v>2</x:v>
      </x:c>
      <x:c r="E540" s="20" t="str"/>
      <x:c r="F540" s="20" t="str">
        <x:f>IF(E540="",D540,E540)</x:f>
        <x:v>2</x:v>
      </x:c>
      <x:c r="G540" s="13" t="str">
        <x:v>Improving Deep Learning with Differential Privacy using Gradient Encoding and Denoising</x:v>
      </x:c>
      <x:c r="H540" s="13" t="n">
        <x:v>1</x:v>
      </x:c>
      <x:c r="I540" s="22" t="n">
        <x:v>0.06199159730788424</x:v>
      </x:c>
      <x:c r="J540" s="13" t="n">
        <x:v>4</x:v>
      </x:c>
      <x:c r="K540" s="19" t="str">
        <x:v>What methods are used for training deep learning models with differential privacy, and how do they manage the privacy-utility-computation trade-off?</x:v>
      </x:c>
      <x:c r="L540" s="19" t="str">
        <x:v>Improving Deep Learning with Diﬀerential Privacy using Gradient Enc oding and Denoising
In this work, we present a framework to train DNN models with DP gua rantees that oﬀer much
better tradeoﬀs between utility and privacy (i.e., they oﬀer better prediction accuracies for the same
privacy budgets). We use two key techniques in building our framewo rk. First, while DPSGD
uses Gaussian noise, recent works have shown that other noise dis tributions can improve utility for
the same privacy budgets in diﬀerent settings. For instance, Bun e t al. [4] have shown that the
Student-t noise distribution can achieve better utility for trimmed m ean applications. However,
deriving the privacy bounds of DNN for arbitrary noise distributions is not a trivial task; this is
because estimating the privacy bound requires one to compute the distance between two probability</x:v>
      </x:c>
      <x:c r="M540" s="19" t="str">
        <x:v>该段包含可直接回答问题的方法、指标、比较或研究发现。</x:v>
      </x:c>
      <x:c r="N540" s="13" t="str">
        <x:v>http://arxiv.org/abs/2007.11524v1</x:v>
      </x:c>
    </x:row>
    <x:row r="541" ht="58" customHeight="1">
      <x:c r="A541" s="13" t="str">
        <x:v>csq019-c003</x:v>
      </x:c>
      <x:c r="B541" s="13" t="str">
        <x:v>csq019</x:v>
      </x:c>
      <x:c r="C541" s="21" t="n">
        <x:v>3</x:v>
      </x:c>
      <x:c r="D541" s="20" t="str">
        <x:v>2</x:v>
      </x:c>
      <x:c r="E541" s="20" t="str"/>
      <x:c r="F541" s="20" t="str">
        <x:f>IF(E541="",D541,E541)</x:f>
        <x:v>2</x:v>
      </x:c>
      <x:c r="G541" s="13" t="str">
        <x:v>Forward Learning with Differential Privacy</x:v>
      </x:c>
      <x:c r="H541" s="13" t="n">
        <x:v>2</x:v>
      </x:c>
      <x:c r="I541" s="22" t="n">
        <x:v>0.04712301587301587</x:v>
      </x:c>
      <x:c r="J541" s="13" t="n">
        <x:v>3</x:v>
      </x:c>
      <x:c r="K541" s="19" t="str">
        <x:v>What methods are used for training deep learning models with differential privacy, and how do they manage the privacy-utility-computation trade-off?</x:v>
      </x:c>
      <x:c r="L541" s="19" t="str">
        <x:v>Forward Learning with Differential Privacy
Particularly, as a training algorithm that comprises a se-
quence of adaptive mechanisms—a common scenario in
deep learning—DP-SGD adds noise to the outcome of each
sub-mechanism calibrated to its sensitivity, enhancing the
utility of final learned models. While several techniques to
improve the utility-privacy trade-off have been employed,
including over-parameterized model (De et al., 2022), mega-
batch training (D¨ormann et al., 2021; Sander et al., 2023),
averaging per-sample gradients across multiple augmen-
tations (Hoffer et al., 2020), temporal parameter averag-
ing (Polyak &amp; Juditsky, 1992), equivariant networks (H¨olzl
et al., 2023), these adaptations not only heavily increase
the computation cost but also do not change the core of
DP-SGD: adding noise to deterministic gradients, which
does not stand in forward learning.</x:v>
      </x:c>
      <x:c r="M541" s="19" t="str">
        <x:v>该段包含可直接回答问题的方法、指标、比较或研究发现。</x:v>
      </x:c>
      <x:c r="N541" s="13" t="str">
        <x:v>http://arxiv.org/abs/2504.00411v1</x:v>
      </x:c>
    </x:row>
    <x:row r="542" ht="58" customHeight="1">
      <x:c r="A542" s="13" t="str">
        <x:v>csq019-c004</x:v>
      </x:c>
      <x:c r="B542" s="13" t="str">
        <x:v>csq019</x:v>
      </x:c>
      <x:c r="C542" s="21" t="n">
        <x:v>4</x:v>
      </x:c>
      <x:c r="D542" s="20" t="str">
        <x:v>2</x:v>
      </x:c>
      <x:c r="E542" s="20" t="str"/>
      <x:c r="F542" s="20" t="str">
        <x:f>IF(E542="",D542,E542)</x:f>
        <x:v>2</x:v>
      </x:c>
      <x:c r="G542" s="13" t="str">
        <x:v>Improving Deep Learning with Differential Privacy using Gradient Encoding and Denoising</x:v>
      </x:c>
      <x:c r="H542" s="13" t="n">
        <x:v>0</x:v>
      </x:c>
      <x:c r="I542" s="22" t="n">
        <x:v>0.046470330908794336</x:v>
      </x:c>
      <x:c r="J542" s="13" t="n">
        <x:v>3</x:v>
      </x:c>
      <x:c r="K542" s="19" t="str">
        <x:v>What methods are used for training deep learning models with differential privacy, and how do they manage the privacy-utility-computation trade-off?</x:v>
      </x:c>
      <x:c r="L542" s="19" t="str">
        <x:v>arXiv:2007.11524v1  [cs.LG]  22 Jul 2020
Improving Deep Learning with Diﬀerential Privacy using
Gradient Encoding and Denoising
Milad Nasr
UMass Amherst
milad@cs.umass.edu
Reza Shokri
National University of Singapore
reza@comp.nus.edu.sg
Amir Houmansadr
UMass Amherst
amir@cs.umass.edu
Abstract
Deep learning models leak signiﬁcant amounts of informatio n about their training datasets.
Previous work has investigated training models with diﬀere ntial privacy (DP) guarantees
through adding DP noise to the gradients. However, such solu tions (speciﬁcally, DPSGD),
result in large degradations in the accuracy of the trained m odels. In this paper, we aim at
training deep learning models with DP guarantees while pres erving model accuracy much better
than previous works. Our key technique is to encode gradient s to map them to a smaller vec-</x:v>
      </x:c>
      <x:c r="M542" s="19" t="str">
        <x:v>该段包含可直接回答问题的方法、指标、比较或研究发现。</x:v>
      </x:c>
      <x:c r="N542" s="13" t="str">
        <x:v>http://arxiv.org/abs/2007.11524v1</x:v>
      </x:c>
    </x:row>
    <x:row r="543" ht="58" customHeight="1">
      <x:c r="A543" s="13" t="str">
        <x:v>csq019-c005</x:v>
      </x:c>
      <x:c r="B543" s="13" t="str">
        <x:v>csq019</x:v>
      </x:c>
      <x:c r="C543" s="21" t="n">
        <x:v>5</x:v>
      </x:c>
      <x:c r="D543" s="20" t="str">
        <x:v>2</x:v>
      </x:c>
      <x:c r="E543" s="20" t="str"/>
      <x:c r="F543" s="20" t="str">
        <x:f>IF(E543="",D543,E543)</x:f>
        <x:v>2</x:v>
      </x:c>
      <x:c r="G543" s="13" t="str">
        <x:v>Automatic Discovery of Privacy-Utility Pareto Fronts</x:v>
      </x:c>
      <x:c r="H543" s="13" t="n">
        <x:v>0</x:v>
      </x:c>
      <x:c r="I543" s="22" t="n">
        <x:v>0.04574275362318841</x:v>
      </x:c>
      <x:c r="J543" s="13" t="n">
        <x:v>3</x:v>
      </x:c>
      <x:c r="K543" s="19" t="str">
        <x:v>What methods are used for training deep learning models with differential privacy, and how do they manage the privacy-utility-computation trade-off?</x:v>
      </x:c>
      <x:c r="L543" s="19" t="str">
        <x:v>terest. Further, diﬀerentially private algorithms have
more hyperparameters than their non-private counter-
parts, most of which aﬀect both privacy and utility.
In practice, tuning these hyperparameters to achieve
an optimal privacy–utility trade-oﬀ can be an arduous
task, especially when the utility guarantees are loose
or unavailable. In this paper we develop a Bayesian op-
timization approach forempirically characterizing any
diﬀerentially private algorithm’s privacy–utility trade-
oﬀ via principled, computationally eﬃcient hyperparam-
eter tuning.
A canonical application of our methods is diﬀer-
entially private deep learning. Diﬀerentially private
stochastic optimization has been employed to train feed-
forward [1], convolutional [10], and recurrent [38] neu-
ral networks, showing that reasonable accuracies can
be achieved when selecting hyperparameters carefully.</x:v>
      </x:c>
      <x:c r="M543" s="19" t="str">
        <x:v>该段包含可直接回答问题的方法、指标、比较或研究发现。</x:v>
      </x:c>
      <x:c r="N543" s="13" t="str">
        <x:v>http://arxiv.org/abs/1905.10862v4</x:v>
      </x:c>
    </x:row>
    <x:row r="544" ht="58" customHeight="1">
      <x:c r="A544" s="13" t="str">
        <x:v>csq019-c006</x:v>
      </x:c>
      <x:c r="B544" s="13" t="str">
        <x:v>csq019</x:v>
      </x:c>
      <x:c r="C544" s="21" t="n">
        <x:v>6</x:v>
      </x:c>
      <x:c r="D544" s="20" t="str">
        <x:v>0</x:v>
      </x:c>
      <x:c r="E544" s="20" t="str"/>
      <x:c r="F544" s="20" t="str">
        <x:f>IF(E544="",D544,E544)</x:f>
        <x:v>0</x:v>
      </x:c>
      <x:c r="G544" s="13" t="str">
        <x:v>Revisiting Privacy-Utility Trade-off for DP Training with Pre-existing Knowledge</x:v>
      </x:c>
      <x:c r="H544" s="13" t="n">
        <x:v>14</x:v>
      </x:c>
      <x:c r="I544" s="22" t="n">
        <x:v>0.044613880742913004</x:v>
      </x:c>
      <x:c r="J544" s="13" t="n">
        <x:v>3</x:v>
      </x:c>
      <x:c r="K544" s="19" t="str">
        <x:v>What methods are used for training deep learning models with differential privacy, and how do they manage the privacy-utility-computation trade-off?</x:v>
      </x:c>
      <x:c r="L544" s="19" t="str">
        <x:v>McMahan, H. B.; and Andrew, G. 2018. A General Ap-
proach to Adding Differential Privacy to Iterative Training
Procedures. CoRR, abs/1812.06210.
Mironov, I. 2017. R´enyi Differential Privacy. In IEEE CSF,
263–275.
Mohammady, M.; Xie, S.; Hong, Y .; Zhang, M.; Wang, L.;
Pourzandi, M.; and Debbabi, M. 2020. R2DP: A Universal
and Automated Approach to Optimizing the Randomization
Mechanisms of Differential Privacy for Utility Metrics with
No Known Optimal Distributions. In ACM CCS, 677–696.
ACM.
Nasr, M.; Shokri, R.; and Houmansadr, A. 2020. Improv-
ing Deep Learning with Differential Privacy using Gradient
Encoding and Denoising. CoRR.
Nasr, M.; Song, S.; Thakurta, A.; Papernot, N.; and Carlini,
N. 2021. Adversary Instantiation: Lower Bounds for Differ-
entially Private Machine Learning. In IEEE S&amp;P, 866–882.
Papernot, N.; Song, S.; Mironov, I.; Raghunathan, A.; Talwar,</x:v>
      </x:c>
      <x:c r="M544" s="19" t="str">
        <x:v>该段为无关内容、泛泛提及或参考文献片段，不能作为回答证据。</x:v>
      </x:c>
      <x:c r="N544" s="13" t="str">
        <x:v>http://arxiv.org/abs/2409.03344v3</x:v>
      </x:c>
    </x:row>
    <x:row r="545" ht="58" customHeight="1">
      <x:c r="A545" s="13" t="str">
        <x:v>csq019-c007</x:v>
      </x:c>
      <x:c r="B545" s="13" t="str">
        <x:v>csq019</x:v>
      </x:c>
      <x:c r="C545" s="21" t="n">
        <x:v>7</x:v>
      </x:c>
      <x:c r="D545" s="20" t="str">
        <x:v>2</x:v>
      </x:c>
      <x:c r="E545" s="20" t="str"/>
      <x:c r="F545" s="20" t="str">
        <x:f>IF(E545="",D545,E545)</x:f>
        <x:v>2</x:v>
      </x:c>
      <x:c r="G545" s="13" t="str">
        <x:v>Improving Deep Learning with Differential Privacy using Gradient Encoding and Denoising</x:v>
      </x:c>
      <x:c r="H545" s="13" t="n">
        <x:v>2</x:v>
      </x:c>
      <x:c r="I545" s="22" t="n">
        <x:v>0.04410242818920693</x:v>
      </x:c>
      <x:c r="J545" s="13" t="n">
        <x:v>3</x:v>
      </x:c>
      <x:c r="K545" s="19" t="str">
        <x:v>What methods are used for training deep learning models with differential privacy, and how do they manage the privacy-utility-computation trade-off?</x:v>
      </x:c>
      <x:c r="L545" s="19" t="str">
        <x:v>Several works have used diﬀerential privacy in traditional machine learning algorithms to protect
the privacy of the training data [12, 6, 9, 21, 3]. Many of these work s [9, 3, 6] use properties
such as convexity or smoothness for their privacy analysis, which is not necessarily true in deep
learning, and therefore, one cannot use many of such methods in p ractice. Recently, Abadi et.
al. [2] designed a deep learning training algorithm, DPSGD, where they used gradient clipping to
limit the sensitivity of the learning algorithm, and then add noise to a clip ped model gradient
proportional to its sensitivity. They also introduced the momentum accountant technique allowing
them to compute much tighter privacy bounds. In particular, they used the momentum accountant
method to obtain high model predication accuracies using single digit p rivacy budgets. McMahan</x:v>
      </x:c>
      <x:c r="M545" s="19" t="str">
        <x:v>该段包含可直接回答问题的方法、指标、比较或研究发现。</x:v>
      </x:c>
      <x:c r="N545" s="13" t="str">
        <x:v>http://arxiv.org/abs/2007.11524v1</x:v>
      </x:c>
    </x:row>
    <x:row r="546" ht="58" customHeight="1">
      <x:c r="A546" s="13" t="str">
        <x:v>csq019-c008</x:v>
      </x:c>
      <x:c r="B546" s="13" t="str">
        <x:v>csq019</x:v>
      </x:c>
      <x:c r="C546" s="21" t="n">
        <x:v>8</x:v>
      </x:c>
      <x:c r="D546" s="20" t="str">
        <x:v>2</x:v>
      </x:c>
      <x:c r="E546" s="20" t="str"/>
      <x:c r="F546" s="20" t="str">
        <x:f>IF(E546="",D546,E546)</x:f>
        <x:v>2</x:v>
      </x:c>
      <x:c r="G546" s="13" t="str">
        <x:v>Private, Efficient, and Accurate: Protecting Models Trained by Multi-party Learning with Differential Privacy</x:v>
      </x:c>
      <x:c r="H546" s="13" t="n">
        <x:v>0</x:v>
      </x:c>
      <x:c r="I546" s="22" t="n">
        <x:v>0.03225806451612903</x:v>
      </x:c>
      <x:c r="J546" s="13" t="n">
        <x:v>2</x:v>
      </x:c>
      <x:c r="K546" s="19" t="str">
        <x:v>What methods are used for training deep learning models with differential privacy, and how do they manage the privacy-utility-computation trade-off?</x:v>
      </x:c>
      <x:c r="L546" s="19" t="str">
        <x:v>DP could be a more signiﬁcant defense than existing heuristic
defenses. However, the DP noise would lead to signiﬁcant
accuracy loss of trained models, especially for deep neural
network models [1], [66]. In addition, even though there have
been many studies on the efﬁciency optimization of MPL [51],
[65], there is still a huge efﬁciency gap between plaintext
training and secure training. Therefore, it is highly challenging
to balance the 3-way trade-off between privacy, efﬁciency, and
accuracy in the secure training of MPL. Concretely, (1) directly
combining the plaintext data from all parties to efﬁciently train
an accurate model would bring severe privacy concerns; (2)
training an accurate model with existing MPL frameworks can
partially protect privacy, but it requires a large amount of time
to complete the training process; (3) while integrating DP into</x:v>
      </x:c>
      <x:c r="M546" s="19" t="str">
        <x:v>该段包含可直接回答问题的方法、指标、比较或研究发现。</x:v>
      </x:c>
      <x:c r="N546" s="13" t="str">
        <x:v>http://arxiv.org/abs/2208.08662v1</x:v>
      </x:c>
    </x:row>
    <x:row r="547" ht="58" customHeight="1">
      <x:c r="A547" s="13" t="str">
        <x:v>csq019-c009</x:v>
      </x:c>
      <x:c r="B547" s="13" t="str">
        <x:v>csq019</x:v>
      </x:c>
      <x:c r="C547" s="21" t="n">
        <x:v>9</x:v>
      </x:c>
      <x:c r="D547" s="20" t="str">
        <x:v>1</x:v>
      </x:c>
      <x:c r="E547" s="20" t="str"/>
      <x:c r="F547" s="20" t="str">
        <x:f>IF(E547="",D547,E547)</x:f>
        <x:v>1</x:v>
      </x:c>
      <x:c r="G547" s="13" t="str">
        <x:v>Improving Deep Learning with Differential Privacy using Gradient Encoding and Denoising</x:v>
      </x:c>
      <x:c r="H547" s="13" t="n">
        <x:v>2</x:v>
      </x:c>
      <x:c r="I547" s="22" t="n">
        <x:v>0.03125763125763126</x:v>
      </x:c>
      <x:c r="J547" s="13" t="n">
        <x:v>2</x:v>
      </x:c>
      <x:c r="K547" s="19" t="str">
        <x:v>What methods are used for training deep learning models with differential privacy, and how do they manage the privacy-utility-computation trade-off?</x:v>
      </x:c>
      <x:c r="L547" s="19" t="str">
        <x:v>Improving Deep Learning with Diﬀerential Privacy using Gradient Enc oding and Denoising
Table 1: Description of notations
Notation Description
D,D ′ training datasets
M privacy mechanism
θ model paramteres
∇θ gradient w.r.t model parameters θ
∇µ
θ
gradient w.r.t model parameters θ for a micro-batch
∇
⋀µ
θ
encoded gradient w.r.t model parameters θ for a micro-batch
∇G
θ
aggregated vector of encoded gradients for all micro-batch in a m inibatch
˜∇G
θ
privatized gradient (after adding noise) for a mini-batch
ˆ∇G
θ
denoised (rescaled) privatized gradient vector for a mini-batch
⃗ψ a preselected gradient vector for encoding
Ψ the set of all preselected gradient vectors
Zt probability distribution for the private mechanisms
Z the set of all probability distributions used in the learning
ǫ,δ privacy bound metrics</x:v>
      </x:c>
      <x:c r="M547" s="19" t="str">
        <x:v>该段提供相关背景或侧面信息，但没有直接回答问题核心。</x:v>
      </x:c>
      <x:c r="N547" s="13" t="str">
        <x:v>http://arxiv.org/abs/2007.11524v1</x:v>
      </x:c>
    </x:row>
    <x:row r="548" ht="58" customHeight="1">
      <x:c r="A548" s="13" t="str">
        <x:v>csq019-c010</x:v>
      </x:c>
      <x:c r="B548" s="13" t="str">
        <x:v>csq019</x:v>
      </x:c>
      <x:c r="C548" s="21" t="n">
        <x:v>10</x:v>
      </x:c>
      <x:c r="D548" s="20" t="str">
        <x:v>2</x:v>
      </x:c>
      <x:c r="E548" s="20" t="str"/>
      <x:c r="F548" s="20" t="str">
        <x:f>IF(E548="",D548,E548)</x:f>
        <x:v>2</x:v>
      </x:c>
      <x:c r="G548" s="13" t="str">
        <x:v>Forward Learning with Differential Privacy</x:v>
      </x:c>
      <x:c r="H548" s="13" t="n">
        <x:v>0</x:v>
      </x:c>
      <x:c r="I548" s="22" t="n">
        <x:v>0.03047794966520434</x:v>
      </x:c>
      <x:c r="J548" s="13" t="n">
        <x:v>2</x:v>
      </x:c>
      <x:c r="K548" s="19" t="str">
        <x:v>What methods are used for training deep learning models with differential privacy, and how do they manage the privacy-utility-computation trade-off?</x:v>
      </x:c>
      <x:c r="L548" s="19" t="str">
        <x:v>DP training algorithms based on backpropagation,
maintaining nearly the same privacy loss limits.
1. Introduction
Deep neural networks have made substantial advancements
across various domains, such as image recognition (Meng
et al., 2022; Dosovitskiy et al., 2020; Zhao et al., 2020),
natural language processing (Deng &amp; Liu, 2018; Meng et al.,
2022; Han et al., 2021), and autonomous driving (Huang
et al., 2018; H ¨auslschmid et al., 2017; Chen et al., 2015).
1Univeristy of Rochester 2Peking University. Correspondence
to: Mingqian Feng &lt;mingqian.feng@rochester.edu&gt;.
Dataset
Model
Loss
Gradient
Update
DP-SGD with BP
+Noise   .
Gradient     .
Dataset
Model
Loss  . Update
Forward Learning (ULR)
Noise   .
Gradient     .
Noise around Accurate
Inherently Randomized
Accurate
Differential Privacy
?
Naturally born with DP?
BP  ∇θ
ULR Estimation</x:v>
      </x:c>
      <x:c r="M548" s="19" t="str">
        <x:v>该段包含可直接回答问题的方法、指标、比较或研究发现。</x:v>
      </x:c>
      <x:c r="N548" s="13" t="str">
        <x:v>http://arxiv.org/abs/2504.00411v1</x:v>
      </x:c>
    </x:row>
    <x:row r="549" ht="58" customHeight="1">
      <x:c r="A549" s="13" t="str">
        <x:v>csq019-c011</x:v>
      </x:c>
      <x:c r="B549" s="13" t="str">
        <x:v>csq019</x:v>
      </x:c>
      <x:c r="C549" s="21" t="n">
        <x:v>11</x:v>
      </x:c>
      <x:c r="D549" s="20" t="str">
        <x:v>2</x:v>
      </x:c>
      <x:c r="E549" s="20" t="str"/>
      <x:c r="F549" s="20" t="str">
        <x:f>IF(E549="",D549,E549)</x:f>
        <x:v>2</x:v>
      </x:c>
      <x:c r="G549" s="13" t="str">
        <x:v>Private, Efficient, and Accurate: Protecting Models Trained by Multi-party Learning with Differential Privacy</x:v>
      </x:c>
      <x:c r="H549" s="13" t="n">
        <x:v>0</x:v>
      </x:c>
      <x:c r="I549" s="22" t="n">
        <x:v>0.029877369007803793</x:v>
      </x:c>
      <x:c r="J549" s="13" t="n">
        <x:v>2</x:v>
      </x:c>
      <x:c r="K549" s="19" t="str">
        <x:v>What methods are used for training deep learning models with differential privacy, and how do they manage the privacy-utility-computation trade-off?</x:v>
      </x:c>
      <x:c r="L549" s="19" t="str">
        <x:v>defend against such attacks. However, the accuracy loss brought
by differential privacy and the huge communication overhead
of secure multi-party computation protocols make it highly
challenging to balance the 3-way trade-off between privacy,
efﬁciency, and accuracy.
In this paper, we are motivated to resolve the above issue by
proposing a solution, referred to as PEA (Private, Efﬁcient, Accu-
rate), which consists of a secure differentially private stochastic
gradient descent (DPSGD for short) protocol and two optimiza-
tion methods. First, we propose a secure DPSGD protocol to
enforce DPSGD, which is a popular differentially private machine
learning algorithm, in secret sharing-based MPL frameworks.
Second, to reduce the accuracy loss led by differential privacy
noise and the huge communication overhead of MPL, we propose
two optimization methods for the training process of MPL: (1)</x:v>
      </x:c>
      <x:c r="M549" s="19" t="str">
        <x:v>该段包含可直接回答问题的方法、指标、比较或研究发现。</x:v>
      </x:c>
      <x:c r="N549" s="13" t="str">
        <x:v>http://arxiv.org/abs/2208.08662v1</x:v>
      </x:c>
    </x:row>
    <x:row r="550" ht="58" customHeight="1">
      <x:c r="A550" s="13" t="str">
        <x:v>csq019-c012</x:v>
      </x:c>
      <x:c r="B550" s="13" t="str">
        <x:v>csq019</x:v>
      </x:c>
      <x:c r="C550" s="21" t="n">
        <x:v>12</x:v>
      </x:c>
      <x:c r="D550" s="20" t="str">
        <x:v>1</x:v>
      </x:c>
      <x:c r="E550" s="20" t="str"/>
      <x:c r="F550" s="20" t="str">
        <x:f>IF(E550="",D550,E550)</x:f>
        <x:v>1</x:v>
      </x:c>
      <x:c r="G550" s="13" t="str">
        <x:v>Improving Deep Learning with Differential Privacy using Gradient Encoding and Denoising</x:v>
      </x:c>
      <x:c r="H550" s="13" t="n">
        <x:v>0</x:v>
      </x:c>
      <x:c r="I550" s="22" t="n">
        <x:v>0.029437229437229435</x:v>
      </x:c>
      <x:c r="J550" s="13" t="n">
        <x:v>2</x:v>
      </x:c>
      <x:c r="K550" s="19" t="str">
        <x:v>What methods are used for training deep learning models with differential privacy, and how do they manage the privacy-utility-computation trade-off?</x:v>
      </x:c>
      <x:c r="L550" s="19" t="str">
        <x:v>1 Introduction
Deep neural networks (DNN) are used in a wide range of learning app lications. Unfortunately, the
high capacities of DNNs make them susceptible to leaking private infor mation about the datasets
they use for training. Recent works have demonstrated various t ypes of privacy leakage in DNNs,
most notably, through membership inference [19, 17, 5, 14] and m odel inversion [10] attacks.
A promising approach to alleviate such privacy leakage is to train DNN m odels with diﬀeren-
tial privacy (DP) guarantees. In particular, DPSGD by Abadi et al. [2] adds DP noise to clipped
gradients, during the training process, to train models with DP priva cy protection. Unfortunately,
existing DP-based solutions signiﬁcantly reduce the utility (predictio n accuracy) of the trained mod-
els [11].
1</x:v>
      </x:c>
      <x:c r="M550" s="19" t="str">
        <x:v>该段提供相关背景或侧面信息，但没有直接回答问题核心。</x:v>
      </x:c>
      <x:c r="N550" s="13" t="str">
        <x:v>http://arxiv.org/abs/2007.11524v1</x:v>
      </x:c>
    </x:row>
    <x:row r="551" ht="58" customHeight="1">
      <x:c r="A551" s="13" t="str">
        <x:v>csq019-c013</x:v>
      </x:c>
      <x:c r="B551" s="13" t="str">
        <x:v>csq019</x:v>
      </x:c>
      <x:c r="C551" s="21" t="n">
        <x:v>13</x:v>
      </x:c>
      <x:c r="D551" s="20" t="str">
        <x:v>2</x:v>
      </x:c>
      <x:c r="E551" s="20" t="str"/>
      <x:c r="F551" s="20" t="str">
        <x:f>IF(E551="",D551,E551)</x:f>
        <x:v>2</x:v>
      </x:c>
      <x:c r="G551" s="13" t="str">
        <x:v>Private, Efficient, and Accurate: Protecting Models Trained by Multi-party Learning with Differential Privacy</x:v>
      </x:c>
      <x:c r="H551" s="13" t="n">
        <x:v>1</x:v>
      </x:c>
      <x:c r="I551" s="22" t="n">
        <x:v>0.028258706467661692</x:v>
      </x:c>
      <x:c r="J551" s="13" t="n">
        <x:v>2</x:v>
      </x:c>
      <x:c r="K551" s="19" t="str">
        <x:v>What methods are used for training deep learning models with differential privacy, and how do they manage the privacy-utility-computation trade-off?</x:v>
      </x:c>
      <x:c r="L551" s="19" t="str">
        <x:v>hours (about 137× and 17× of ours respectively) to train
a non-private deep neural network model for CIFAR-10
with the same accuracy (Section VI). Therefore, with our
proposed PEA, TF-Encryptedϵ and Queqiaoϵ can
balance privacy, efﬁciency, and accuracy in the secure
model training of MPL.
II. O VERVIEW
As is shown in Figure 1, we present an overview of PEA,
which works in the training process with the support of SMPC
protocols. In the following parts, we introduce the motivation
and design of our proposed protocol and optimization methods.
A. Secure DPSGD Protocol
In the multi-party setting, local differential privacy [23],
which has no dependence on a trusted server, is a straightfor-
ward method to protect privacy. However, the accuracy loss
caused by local differential privacy is one or more orders of
magnitude larger than that caused by central DP [37], which</x:v>
      </x:c>
      <x:c r="M551" s="19" t="str">
        <x:v>该段包含可直接回答问题的方法、指标、比较或研究发现。</x:v>
      </x:c>
      <x:c r="N551" s="13" t="str">
        <x:v>http://arxiv.org/abs/2208.08662v1</x:v>
      </x:c>
    </x:row>
    <x:row r="552" ht="58" customHeight="1">
      <x:c r="A552" s="13" t="str">
        <x:v>csq019-c014</x:v>
      </x:c>
      <x:c r="B552" s="13" t="str">
        <x:v>csq019</x:v>
      </x:c>
      <x:c r="C552" s="21" t="n">
        <x:v>14</x:v>
      </x:c>
      <x:c r="D552" s="20" t="str">
        <x:v>2</x:v>
      </x:c>
      <x:c r="E552" s="20" t="str"/>
      <x:c r="F552" s="20" t="str">
        <x:f>IF(E552="",D552,E552)</x:f>
        <x:v>2</x:v>
      </x:c>
      <x:c r="G552" s="13" t="str">
        <x:v>Automatic Discovery of Privacy-Utility Pareto Fronts</x:v>
      </x:c>
      <x:c r="H552" s="13" t="n">
        <x:v>0</x:v>
      </x:c>
      <x:c r="I552" s="22" t="n">
        <x:v>0.02821939586645469</x:v>
      </x:c>
      <x:c r="J552" s="13" t="n">
        <x:v>2</x:v>
      </x:c>
      <x:c r="K552" s="19" t="str">
        <x:v>What methods are used for training deep learning models with differential privacy, and how do they manage the privacy-utility-computation trade-off?</x:v>
      </x:c>
      <x:c r="L552" s="19" t="str">
        <x:v>ral networks, showing that reasonable accuracies can
be achieved when selecting hyperparameters carefully.
These works rely on a diﬀerentially privategradient per-
turbation technique, which clips and adds noise to gradi-
entcomputations,whilekeepingtrackoftheprivacyloss
incurred. However, these results do not provide action-
able information regarding the privacy–utility trade-oﬀ
of the proposed models. For example, private stochas-
tic optimization methods can obtain the same level of
privacy in diﬀerent ways (e.g. by increasing the noise
variance and reducing the clipping norm, orvice-versa),
and it is not generally clear what combinations of these
changes yield the best possible utility for a ﬁxed pri-
vacy level. Furthermore, increasing the number of hy-
arXiv:1905.10862v4  [stat.ML]  21 Jul 2020</x:v>
      </x:c>
      <x:c r="M552" s="19" t="str">
        <x:v>该段包含可直接回答问题的方法、指标、比较或研究发现。</x:v>
      </x:c>
      <x:c r="N552" s="13" t="str">
        <x:v>http://arxiv.org/abs/1905.10862v4</x:v>
      </x:c>
    </x:row>
    <x:row r="553" ht="58" customHeight="1">
      <x:c r="A553" s="13" t="str">
        <x:v>csq019-c015</x:v>
      </x:c>
      <x:c r="B553" s="13" t="str">
        <x:v>csq019</x:v>
      </x:c>
      <x:c r="C553" s="21" t="n">
        <x:v>15</x:v>
      </x:c>
      <x:c r="D553" s="20" t="str">
        <x:v>2</x:v>
      </x:c>
      <x:c r="E553" s="20" t="str"/>
      <x:c r="F553" s="20" t="str">
        <x:f>IF(E553="",D553,E553)</x:f>
        <x:v>2</x:v>
      </x:c>
      <x:c r="G553" s="13" t="str">
        <x:v>Forward Learning with Differential Privacy</x:v>
      </x:c>
      <x:c r="H553" s="13" t="n">
        <x:v>0</x:v>
      </x:c>
      <x:c r="I553" s="22" t="n">
        <x:v>0.02819138376017471</x:v>
      </x:c>
      <x:c r="J553" s="13" t="n">
        <x:v>2</x:v>
      </x:c>
      <x:c r="K553" s="19" t="str">
        <x:v>What methods are used for training deep learning models with differential privacy, and how do they manage the privacy-utility-computation trade-off?</x:v>
      </x:c>
      <x:c r="L553" s="19" t="str">
        <x:v>Forward Learning with Differential Privacy
Mingqian Feng 1 Zeliang Zhang 1 Jinyang Jiang 2 Yijie Peng 2 Chenliang Xu 1
Abstract
Differential privacy (DP) in deep learning is a
critical concern as it ensures the confidentiality
of training data while maintaining model utility.
Existing DP training algorithms provide privacy
guarantees by clipping and then injecting exter-
nal noise into sample gradients computed by the
backpropagation algorithm. Different from back-
propagation, forward-learning algorithms based
on perturbation inherently add noise during the
forward pass and utilize randomness to estimate
the gradients. Although these algorithms are non-
privatized, the introduction of noise during the
forward pass indirectly provides internal random-
ness protection to the model parameters and their
gradients, suggesting the potential for naturally</x:v>
      </x:c>
      <x:c r="M553" s="19" t="str">
        <x:v>该段包含可直接回答问题的方法、指标、比较或研究发现。</x:v>
      </x:c>
      <x:c r="N553" s="13" t="str">
        <x:v>http://arxiv.org/abs/2504.00411v1</x:v>
      </x:c>
    </x:row>
    <x:row r="554" ht="58" customHeight="1">
      <x:c r="A554" s="13" t="str">
        <x:v>csq019-c016</x:v>
      </x:c>
      <x:c r="B554" s="13" t="str">
        <x:v>csq019</x:v>
      </x:c>
      <x:c r="C554" s="21" t="n">
        <x:v>16</x:v>
      </x:c>
      <x:c r="D554" s="20" t="str">
        <x:v>2</x:v>
      </x:c>
      <x:c r="E554" s="20" t="str"/>
      <x:c r="F554" s="20" t="str">
        <x:f>IF(E554="",D554,E554)</x:f>
        <x:v>2</x:v>
      </x:c>
      <x:c r="G554" s="13" t="str">
        <x:v>Convex Approximation of Two-Layer ReLU Networks for Hidden State Differential Privacy</x:v>
      </x:c>
      <x:c r="H554" s="13" t="n">
        <x:v>0</x:v>
      </x:c>
      <x:c r="I554" s="22" t="n">
        <x:v>0.027777777777777776</x:v>
      </x:c>
      <x:c r="J554" s="13" t="n">
        <x:v>2</x:v>
      </x:c>
      <x:c r="K554" s="19" t="str">
        <x:v>What methods are used for training deep learning models with differential privacy, and how do they manage the privacy-utility-computation trade-off?</x:v>
      </x:c>
      <x:c r="L554" s="19" t="str">
        <x:v>are computationally unfavorable, as full-batch training usually does not fit in memory, and random
subsampling results in an unbalanced use of compute resources and increased implementation
complexity (Chua et al., 2024a). In contrast, for noisy cyclic gradient descent (NoisyGD) with
disjoint mini-batches, the computational cost is balanced across mini-batches and can be implemented
efficiently. Having high-privacy-utility ML models trained with NoisyCGD would provide an
alternative to DP-SGD that is more practical and efficient to implement (Chua et al., 2024a).
The so-called hidden-state threat model of DP considers releasing only the final model from the
training iteration. Existing (ε, δ)-DP analyses in the literature are only applicable for convex problems
such as logistic regression, which is the highest performing model considered in the literature (see,</x:v>
      </x:c>
      <x:c r="M554" s="19" t="str">
        <x:v>该段包含可直接回答问题的方法、指标、比较或研究发现。</x:v>
      </x:c>
      <x:c r="N554" s="13" t="str">
        <x:v>http://arxiv.org/abs/2407.04884v4</x:v>
      </x:c>
    </x:row>
    <x:row r="555" ht="58" customHeight="1">
      <x:c r="A555" s="13" t="str">
        <x:v>csq019-c017</x:v>
      </x:c>
      <x:c r="B555" s="13" t="str">
        <x:v>csq019</x:v>
      </x:c>
      <x:c r="C555" s="21" t="n">
        <x:v>17</x:v>
      </x:c>
      <x:c r="D555" s="20" t="str">
        <x:v>2</x:v>
      </x:c>
      <x:c r="E555" s="20" t="str"/>
      <x:c r="F555" s="20" t="str">
        <x:f>IF(E555="",D555,E555)</x:f>
        <x:v>2</x:v>
      </x:c>
      <x:c r="G555" s="13" t="str">
        <x:v>Forward Learning with Differential Privacy</x:v>
      </x:c>
      <x:c r="H555" s="13" t="n">
        <x:v>13</x:v>
      </x:c>
      <x:c r="I555" s="22" t="n">
        <x:v>0.02761904761904762</x:v>
      </x:c>
      <x:c r="J555" s="13" t="n">
        <x:v>2</x:v>
      </x:c>
      <x:c r="K555" s="19" t="str">
        <x:v>What methods are used for training deep learning models with differential privacy, and how do they manage the privacy-utility-computation trade-off?</x:v>
      </x:c>
      <x:c r="L555" s="19" t="str">
        <x:v>in forward learning algorithms to provide privacy guarantees.
Core Algorithm and Application Scope. Existing works utilize the traditional zeroth-order method, Simultaneous
Perturbation Stochastic Approximation (SPSA), which adds noise to parameters with dimensions significantly higher than
logits—often exceeding 100 times. This leads to substantial increases in computational costs (and estimation variance) as
the model size grows, limiting their scalability to complex deep-learning models, particularly for training from scratch.
Those existing methods are designed for fine-tuning pre-trained models. In contrast, DP-ULR operates directly on logits,
enabling the training of deep learning models from scratch and reducing the computational overhead.
Privacy Bound. DP-ULR offers superior privacy guarantees compared to methods like ZeroDP (Liu et al., 2024b). ZeroDP</x:v>
      </x:c>
      <x:c r="M555" s="19" t="str">
        <x:v>该段包含可直接回答问题的方法、指标、比较或研究发现。</x:v>
      </x:c>
      <x:c r="N555" s="13" t="str">
        <x:v>http://arxiv.org/abs/2504.00411v1</x:v>
      </x:c>
    </x:row>
    <x:row r="556" ht="58" customHeight="1">
      <x:c r="A556" s="13" t="str">
        <x:v>csq019-c018</x:v>
      </x:c>
      <x:c r="B556" s="13" t="str">
        <x:v>csq019</x:v>
      </x:c>
      <x:c r="C556" s="21" t="n">
        <x:v>18</x:v>
      </x:c>
      <x:c r="D556" s="20" t="str">
        <x:v>2</x:v>
      </x:c>
      <x:c r="E556" s="20" t="str"/>
      <x:c r="F556" s="20" t="str">
        <x:f>IF(E556="",D556,E556)</x:f>
        <x:v>2</x:v>
      </x:c>
      <x:c r="G556" s="13" t="str">
        <x:v>Forward Learning with Differential Privacy</x:v>
      </x:c>
      <x:c r="H556" s="13" t="n">
        <x:v>7</x:v>
      </x:c>
      <x:c r="I556" s="22" t="n">
        <x:v>0.02702702702702703</x:v>
      </x:c>
      <x:c r="J556" s="13" t="n">
        <x:v>2</x:v>
      </x:c>
      <x:c r="K556" s="19" t="str">
        <x:v>What methods are used for training deep learning models with differential privacy, and how do they manage the privacy-utility-computation trade-off?</x:v>
      </x:c>
      <x:c r="L556" s="19" t="str">
        <x:v>DP-SGD, which rely on computing individual gradients and
adding noise, DP-ULR leverages the inherent randomness in
forward-learning algorithms to achieve differential privacy.
Our approach introduces a novel batch sampling operation
with rejection and a dynamically managed privacy controller
to ensure robust privacy guarantees.
Our theoretical analysis demonstrates that the additional
privacy cost introduced by the sampling-with-rejection oper-
ation is negligible, particularly in large-scale deep-learning
applications. This indicates the scalability and efficiency of
DP-ULR in practical settings. Furthermore, our empirical re-
sults show that DP-ULR performs competitively compared
to traditional DP training algorithms, maintaining the same
privacy loss constraints while offering high parallelizability
and suitability for non-differentiable or black-box modules.</x:v>
      </x:c>
      <x:c r="M556" s="19" t="str">
        <x:v>该段包含可直接回答问题的方法、指标、比较或研究发现。</x:v>
      </x:c>
      <x:c r="N556" s="13" t="str">
        <x:v>http://arxiv.org/abs/2504.00411v1</x:v>
      </x:c>
    </x:row>
    <x:row r="557" ht="58" customHeight="1">
      <x:c r="A557" s="13" t="str">
        <x:v>csq019-c019</x:v>
      </x:c>
      <x:c r="B557" s="13" t="str">
        <x:v>csq019</x:v>
      </x:c>
      <x:c r="C557" s="21" t="n">
        <x:v>19</x:v>
      </x:c>
      <x:c r="D557" s="20" t="str">
        <x:v>2</x:v>
      </x:c>
      <x:c r="E557" s="20" t="str"/>
      <x:c r="F557" s="20" t="str">
        <x:f>IF(E557="",D557,E557)</x:f>
        <x:v>2</x:v>
      </x:c>
      <x:c r="G557" s="13" t="str">
        <x:v>Forward Learning with Differential Privacy</x:v>
      </x:c>
      <x:c r="H557" s="13" t="n">
        <x:v>17</x:v>
      </x:c>
      <x:c r="I557" s="22" t="n">
        <x:v>0.01639344262295082</x:v>
      </x:c>
      <x:c r="J557" s="13" t="n">
        <x:v>1</x:v>
      </x:c>
      <x:c r="K557" s="19" t="str">
        <x:v>What methods are used for training deep learning models with differential privacy, and how do they manage the privacy-utility-computation trade-off?</x:v>
      </x:c>
      <x:c r="L557" s="19" t="str">
        <x:v>Forward Learning with Differential Privacy
the training pipeline for efficiency. In its current implementation, DP-ULR takes 23 seconds per epoch on an A6000 GPU
with the MNIST dataset, which is slower than DP-SGD, which takes 18 seconds per epoch. Due to the large gradient
estimation variance, the scale-up of ULR usually requires a large number of copies, which poses a great challenge to
the computation and memory cost. Future works might focus on the development of advanced techniques to improve
computational efficiency and reduce the estimation variance.
Differential privacy aims to ensure data privacy through randomness. When used to train a deep learning model, such
randomness impairs the model’s performance. Our algorithm has the same limitation. Besides, during training with DP-ULR,</x:v>
      </x:c>
      <x:c r="M557" s="19" t="str">
        <x:v>该段包含可直接回答问题的方法、指标、比较或研究发现。</x:v>
      </x:c>
      <x:c r="N557" s="13" t="str">
        <x:v>http://arxiv.org/abs/2504.00411v1</x:v>
      </x:c>
    </x:row>
    <x:row r="558" ht="58" customHeight="1">
      <x:c r="A558" s="13" t="str">
        <x:v>csq019-c020</x:v>
      </x:c>
      <x:c r="B558" s="13" t="str">
        <x:v>csq019</x:v>
      </x:c>
      <x:c r="C558" s="21" t="n">
        <x:v>20</x:v>
      </x:c>
      <x:c r="D558" s="20" t="str">
        <x:v>2</x:v>
      </x:c>
      <x:c r="E558" s="20" t="str"/>
      <x:c r="F558" s="20" t="str">
        <x:f>IF(E558="",D558,E558)</x:f>
        <x:v>2</x:v>
      </x:c>
      <x:c r="G558" s="13" t="str">
        <x:v>Private, Efficient, and Accurate: Protecting Models Trained by Multi-party Learning with Differential Privacy</x:v>
      </x:c>
      <x:c r="H558" s="13" t="n">
        <x:v>8</x:v>
      </x:c>
      <x:c r="I558" s="22" t="n">
        <x:v>0.015873015873015872</x:v>
      </x:c>
      <x:c r="J558" s="13" t="n">
        <x:v>1</x:v>
      </x:c>
      <x:c r="K558" s="19" t="str">
        <x:v>What methods are used for training deep learning models with differential privacy, and how do they manage the privacy-utility-computation trade-off?</x:v>
      </x:c>
      <x:c r="L558" s="19" t="str">
        <x:v>CryptGPU requires more than 16 hours to train a non-private
model to achieve the same accuracy.
In addition, as we only add noise to the linear model
training process, the accuracy gaps between differentially
private and non-private linear models are all smaller than those
of differentially private and non-private deep neural network
models. These results further verify the claim of Section V-A.
C. Efﬁciency and Approximation Error of Protocol 1
Baseline. We compare the efﬁciency and accuracy of Protocol 1
with CrypTen [38], an MPL framework released by Facebook.
As CrypTen cannot directly compute the inverse of square
root, we implement it by sequentially calling the sqrt() and
the reciprocal() APIs of CrypTen. Note that we run all three
frameworks in the 3-party scenario and compare the online
running time of all MPL frameworks here.</x:v>
      </x:c>
      <x:c r="M558" s="19" t="str">
        <x:v>该段包含可直接回答问题的方法、指标、比较或研究发现。</x:v>
      </x:c>
      <x:c r="N558" s="13" t="str">
        <x:v>http://arxiv.org/abs/2208.08662v1</x:v>
      </x:c>
    </x:row>
    <x:row r="559" ht="58" customHeight="1">
      <x:c r="A559" s="13" t="str">
        <x:v>csq019-c021</x:v>
      </x:c>
      <x:c r="B559" s="13" t="str">
        <x:v>csq019</x:v>
      </x:c>
      <x:c r="C559" s="21" t="n">
        <x:v>21</x:v>
      </x:c>
      <x:c r="D559" s="20" t="str">
        <x:v>2</x:v>
      </x:c>
      <x:c r="E559" s="20" t="str"/>
      <x:c r="F559" s="20" t="str">
        <x:f>IF(E559="",D559,E559)</x:f>
        <x:v>2</x:v>
      </x:c>
      <x:c r="G559" s="13" t="str">
        <x:v>Revisiting Privacy-Utility Trade-off for DP Training with Pre-existing Knowledge</x:v>
      </x:c>
      <x:c r="H559" s="13" t="n">
        <x:v>0</x:v>
      </x:c>
      <x:c r="I559" s="22" t="n">
        <x:v>0.015873015873015872</x:v>
      </x:c>
      <x:c r="J559" s="13" t="n">
        <x:v>1</x:v>
      </x:c>
      <x:c r="K559" s="19" t="str">
        <x:v>What methods are used for training deep learning models with differential privacy, and how do they manage the privacy-utility-computation trade-off?</x:v>
      </x:c>
      <x:c r="L559" s="19" t="str">
        <x:v>Revisiting Privacy-Utility Trade-off for DP Training with
Pre-existing Knowledge
Yu Zheng1*, Wenchao Zhang3, Yonggang Zhang2†, Wei Song3, Yuxiang Peng3,
Kai Zhou4, Xiaojiang Du5, Bo Han6
1University of California, Irvine, 2Hong Kong University of Science and Technology,3Northeastern University
4Hong Kong Polytechnic University, 5Stevens Institute of Technology,6Hong Kong Baptist University
Abstract
Differential privacy (DP) provides a provable framework for
protecting individuals by customizing a random mechanism
over a privacy-sensitive dataset. Deep learning models have
demonstrated privacy risks in model exposure as an established
learning model unintentionally records membership-level pri-
vacy leakage. Differentially private stochastic gradient descent
(DP-SGD) has been proposed to protect training individuals
by adding random Gaussian noise to gradient updates in back-</x:v>
      </x:c>
      <x:c r="M559" s="19" t="str">
        <x:v>该段包含可直接回答问题的方法、指标、比较或研究发现。</x:v>
      </x:c>
      <x:c r="N559" s="13" t="str">
        <x:v>http://arxiv.org/abs/2409.03344v3</x:v>
      </x:c>
    </x:row>
    <x:row r="560" ht="58" customHeight="1">
      <x:c r="A560" s="13" t="str">
        <x:v>csq019-c022</x:v>
      </x:c>
      <x:c r="B560" s="13" t="str">
        <x:v>csq019</x:v>
      </x:c>
      <x:c r="C560" s="21" t="n">
        <x:v>22</x:v>
      </x:c>
      <x:c r="D560" s="20" t="str">
        <x:v>2</x:v>
      </x:c>
      <x:c r="E560" s="20" t="str"/>
      <x:c r="F560" s="20" t="str">
        <x:f>IF(E560="",D560,E560)</x:f>
        <x:v>2</x:v>
      </x:c>
      <x:c r="G560" s="13" t="str">
        <x:v>Improving Deep Learning with Differential Privacy using Gradient Encoding and Denoising</x:v>
      </x:c>
      <x:c r="H560" s="13" t="n">
        <x:v>3</x:v>
      </x:c>
      <x:c r="I560" s="22" t="n">
        <x:v>0.015625</x:v>
      </x:c>
      <x:c r="J560" s="13" t="n">
        <x:v>1</x:v>
      </x:c>
      <x:c r="K560" s="19" t="str">
        <x:v>What methods are used for training deep learning models with differential privacy, and how do they manage the privacy-utility-computation trade-off?</x:v>
      </x:c>
      <x:c r="L560" s="19" t="str">
        <x:v>Improving Deep Learning with Diﬀerential Privacy using Gradient Enc oding and Denoising
Algorithm 1 Diﬀerentially Private Discrete SGD
Require: learning rate η, µ-batchsize µ, batchsize n, noise models Z ={Z1,Z 2,··· ,ZT}, prese-
lected gradient vectors Ψ
1: Initiate θ randomly
2: for t∈{T} do
3: Bt← Sample n instances from dataset randomly
4: ∇G
θ ←⃗0
5: for µ-batchb∈Bt do
6: ∇µ
θ← gradient of micro-batch b
7: ∇µ
θ
⋀
← encode gradients by solving equation (3) ⊲ Encoding
8: ∇G
θ ←∇ G
θ +∇µ
θ
⋀
9: end for
10: Z∼ Zt
11: ˜∇G
θ ←∇ G
θ +Z ⊲ Noise Addition
12: ˆ∇G
θ ←Error correction on ˜∇G
θ ⊲ Error Correction
13: θ←θ−ηˆ∇G
θ
14: end for
return output θ
3 Our Framework
In this paper, we present a generic framework to learn models with diﬀerential privacy guarantees,
expanding over prior works [2, 13]. Our work diﬀers from prior works in two ways: First, our</x:v>
      </x:c>
      <x:c r="M560" s="19" t="str">
        <x:v>该段包含可直接回答问题的方法、指标、比较或研究发现。</x:v>
      </x:c>
      <x:c r="N560" s="13" t="str">
        <x:v>http://arxiv.org/abs/2007.11524v1</x:v>
      </x:c>
    </x:row>
    <x:row r="561" ht="58" customHeight="1">
      <x:c r="A561" s="13" t="str">
        <x:v>csq019-c023</x:v>
      </x:c>
      <x:c r="B561" s="13" t="str">
        <x:v>csq019</x:v>
      </x:c>
      <x:c r="C561" s="21" t="n">
        <x:v>23</x:v>
      </x:c>
      <x:c r="D561" s="20" t="str">
        <x:v>2</x:v>
      </x:c>
      <x:c r="E561" s="20" t="str"/>
      <x:c r="F561" s="20" t="str">
        <x:f>IF(E561="",D561,E561)</x:f>
        <x:v>2</x:v>
      </x:c>
      <x:c r="G561" s="13" t="str">
        <x:v>Private, Efficient, and Accurate: Protecting Models Trained by Multi-party Learning with Differential Privacy</x:v>
      </x:c>
      <x:c r="H561" s="13" t="n">
        <x:v>5</x:v>
      </x:c>
      <x:c r="I561" s="22" t="n">
        <x:v>0.015151515151515152</x:v>
      </x:c>
      <x:c r="J561" s="13" t="n">
        <x:v>1</x:v>
      </x:c>
      <x:c r="K561" s="19" t="str">
        <x:v>What methods are used for training deep learning models with differential privacy, and how do they manage the privacy-utility-computation trade-off?</x:v>
      </x:c>
      <x:c r="L561" s="19" t="str">
        <x:v>SMPC protocols would become the bottleneck of performance.
In linear secret sharing protocols, to complete one ﬁxed-
point number multiplication, it is necessary for parties to
exchange messages. Therefore, training a deep neural network
model on high-dimension data inevitably implies a huge
communication overhead. For example, Falcon [70], one
communication-efﬁcient MPL framework, requires about 46
TB data transfer and more than one month to train a VGG-
16 model [62] on CIFAR-10 for 25 epochs in the LAN
setting. CryptGPU, which utilizes GPU to accelerate the
computation, still requires ten days to train the same model with
Falcon [65], [70]. In summary, with the current secret sharing
protocols and differentially private optimization algorithms, it is
still impractical to securely train an accurate and differentially
private end-to-end deep neural network model.</x:v>
      </x:c>
      <x:c r="M561" s="19" t="str">
        <x:v>该段包含可直接回答问题的方法、指标、比较或研究发现。</x:v>
      </x:c>
      <x:c r="N561" s="13" t="str">
        <x:v>http://arxiv.org/abs/2208.08662v1</x:v>
      </x:c>
    </x:row>
    <x:row r="562" ht="58" customHeight="1">
      <x:c r="A562" s="13" t="str">
        <x:v>csq019-c024</x:v>
      </x:c>
      <x:c r="B562" s="13" t="str">
        <x:v>csq019</x:v>
      </x:c>
      <x:c r="C562" s="21" t="n">
        <x:v>24</x:v>
      </x:c>
      <x:c r="D562" s="20" t="str">
        <x:v>0</x:v>
      </x:c>
      <x:c r="E562" s="20" t="str"/>
      <x:c r="F562" s="20" t="str">
        <x:f>IF(E562="",D562,E562)</x:f>
        <x:v>0</x:v>
      </x:c>
      <x:c r="G562" s="13" t="str">
        <x:v>Convex Approximation of Two-Layer ReLU Networks for Hidden State Differential Privacy</x:v>
      </x:c>
      <x:c r="H562" s="13" t="n">
        <x:v>11</x:v>
      </x:c>
      <x:c r="I562" s="22" t="n">
        <x:v>0.015151515151515152</x:v>
      </x:c>
      <x:c r="J562" s="13" t="n">
        <x:v>1</x:v>
      </x:c>
      <x:c r="K562" s="19" t="str">
        <x:v>What methods are used for training deep learning models with differential privacy, and how do they manage the privacy-utility-computation trade-off?</x:v>
      </x:c>
      <x:c r="L562" s="19" t="str">
        <x:v>private (deep) learning without sampling or shuffling. InInternational Conference on Machine
Learning (ICML). PMLR.
Kim, S. and Pilanci, M. (2024). Convex relaxations of relu neural networks approximate global
optima in polynomial time. InInternational Conference on Machine Learning (ICML).
Koskela, A., Jälkö, J., and Honkela, A. (2020). Computing tight differential privacy guarantees
using FFT. InInternational Conference on Artificial Intelligence and Statistics (AISTATS), pages
2560–2569. PMLR.
Koskela, A., Jälkö, J., Prediger, L., and Honkela, A. (2021). Tight differential privacy for discrete-
valued mechanisms and for the subsampled gaussian mechanism using FFT. InInternational
Conference on Artificial Intelligence and Statistics (AISTATS), pages 3358–3366. PMLR.
Koskela, A., Redberg, R. E., and Wang, Y .-X. (2024). Privacy profiles for private selection. In</x:v>
      </x:c>
      <x:c r="M562" s="19" t="str">
        <x:v>该段为无关内容、泛泛提及或参考文献片段，不能作为回答证据。</x:v>
      </x:c>
      <x:c r="N562" s="13" t="str">
        <x:v>http://arxiv.org/abs/2407.04884v4</x:v>
      </x:c>
    </x:row>
    <x:row r="563" ht="58" customHeight="1">
      <x:c r="A563" s="13" t="str">
        <x:v>csq019-c025</x:v>
      </x:c>
      <x:c r="B563" s="13" t="str">
        <x:v>csq019</x:v>
      </x:c>
      <x:c r="C563" s="21" t="n">
        <x:v>25</x:v>
      </x:c>
      <x:c r="D563" s="20" t="str">
        <x:v>2</x:v>
      </x:c>
      <x:c r="E563" s="20" t="str"/>
      <x:c r="F563" s="20" t="str">
        <x:f>IF(E563="",D563,E563)</x:f>
        <x:v>2</x:v>
      </x:c>
      <x:c r="G563" s="13" t="str">
        <x:v>Revisiting Privacy-Utility Trade-off for DP Training with Pre-existing Knowledge</x:v>
      </x:c>
      <x:c r="H563" s="13" t="n">
        <x:v>14</x:v>
      </x:c>
      <x:c r="I563" s="22" t="n">
        <x:v>0.014925373134328358</x:v>
      </x:c>
      <x:c r="J563" s="13" t="n">
        <x:v>1</x:v>
      </x:c>
      <x:c r="K563" s="19" t="str">
        <x:v>What methods are used for training deep learning models with differential privacy, and how do they manage the privacy-utility-computation trade-off?</x:v>
      </x:c>
      <x:c r="L563" s="19" t="str">
        <x:v>Dwork, C.; and Roth, A. 2014. The Algorithmic Foundations
of Differential Privacy. Found. Trends Theor. Comput. Sci.,
9(3-4): 211–407.
Dwork, C.; and Rothblum, G. N. 2016. Concentrated Differ-
ential Privacy. CoRR, abs/1603.01887.
Esmaeili, M. M.; Mironov, I.; Prasad, K.; Shilov, I.; and
Tram`er, F. 2021. Antipodes of Label Differential Privacy:
PATE and ALIBI. In NeurIPS, 6934–6945.
Feldman, V .; and Zrnic, T. 2021. Individual Privacy Account-
ing via a R´enyi Filter. In NeurIPS, 28080–28091.
Geng, Q.; and Viswanath, P. 2016. The Optimal Noise-
Adding Mechanism in Differential Privacy. IEEE Trans.
Inf. Theory, 62(2): 925–951.
Ghazi, B.; Golowich, N.; Kumar, R.; Manurangsi, P.; and
Zhang, C. 2021. Deep Learning with Label Differential
Privacy. In NeurIPS, 27131–27145.
Hitaj, B.; Ateniese, G.; and P´erez-Cruz, F. 2017. Deep Mod-
els Under the GAN: Information Leakage from Collaborative</x:v>
      </x:c>
      <x:c r="M563" s="19" t="str">
        <x:v>该段包含可直接回答问题的方法、指标、比较或研究发现。</x:v>
      </x:c>
      <x:c r="N563" s="13" t="str">
        <x:v>http://arxiv.org/abs/2409.03344v3</x:v>
      </x:c>
    </x:row>
    <x:row r="564" ht="58" customHeight="1">
      <x:c r="A564" s="13" t="str">
        <x:v>csq019-c026</x:v>
      </x:c>
      <x:c r="B564" s="13" t="str">
        <x:v>csq019</x:v>
      </x:c>
      <x:c r="C564" s="21" t="n">
        <x:v>26</x:v>
      </x:c>
      <x:c r="D564" s="20" t="str">
        <x:v>0</x:v>
      </x:c>
      <x:c r="E564" s="20" t="str"/>
      <x:c r="F564" s="20" t="str">
        <x:f>IF(E564="",D564,E564)</x:f>
        <x:v>0</x:v>
      </x:c>
      <x:c r="G564" s="13" t="str">
        <x:v>Improving Deep Learning with Differential Privacy using Gradient Encoding and Denoising</x:v>
      </x:c>
      <x:c r="H564" s="13" t="n">
        <x:v>9</x:v>
      </x:c>
      <x:c r="I564" s="22" t="n">
        <x:v>0.014925373134328358</x:v>
      </x:c>
      <x:c r="J564" s="13" t="n">
        <x:v>1</x:v>
      </x:c>
      <x:c r="K564" s="19" t="str">
        <x:v>What methods are used for training deep learning models with differential privacy, and how do they manage the privacy-utility-computation trade-off?</x:v>
      </x:c>
      <x:c r="L564" s="19" t="str">
        <x:v>Improving Deep Learning with Diﬀerential Privacy using Gradient Enc oding and Denoising
for each system. Note that, in practice searching the hyper-par ameters for the best results will
impact privacy bounds [2], however, we do this experiment to compar e the best performances of
diﬀerent systems. From Figure 3 we see that our system still outpe rforms DPSGD. For instance, for
CIF AR our framework achieves a 55% accuracy with ǫ = 3 while DPSGD achieves similar accuracy
with ǫ = 4.2. Similarly, on MNIST we achieve a 96 .1% accuracy with ǫ = 3.2 compared to ǫ = 6
for DPSGD. This shows a signiﬁcant improvement given the exponential impact of ǫ on privacy
leakage. Also by comparing Figure 2 and Figure 3, we see a similar gap ex ists between Student-t
and DPSGD.
Other takeaways. An interesting takeaway of our experiments is the exponential behavior of</x:v>
      </x:c>
      <x:c r="M564" s="19" t="str">
        <x:v>该段为无关内容、泛泛提及或参考文献片段，不能作为回答证据。</x:v>
      </x:c>
      <x:c r="N564" s="13" t="str">
        <x:v>http://arxiv.org/abs/2007.11524v1</x:v>
      </x:c>
    </x:row>
    <x:row r="565" ht="58" customHeight="1">
      <x:c r="A565" s="13" t="str">
        <x:v>csq019-c027</x:v>
      </x:c>
      <x:c r="B565" s="13" t="str">
        <x:v>csq019</x:v>
      </x:c>
      <x:c r="C565" s="21" t="n">
        <x:v>27</x:v>
      </x:c>
      <x:c r="D565" s="20" t="str">
        <x:v>2</x:v>
      </x:c>
      <x:c r="E565" s="20" t="str"/>
      <x:c r="F565" s="20" t="str">
        <x:f>IF(E565="",D565,E565)</x:f>
        <x:v>2</x:v>
      </x:c>
      <x:c r="G565" s="13" t="str">
        <x:v>Convex Approximation of Two-Layer ReLU Networks for Hidden State Differential Privacy</x:v>
      </x:c>
      <x:c r="H565" s="13" t="n">
        <x:v>9</x:v>
      </x:c>
      <x:c r="I565" s="22" t="n">
        <x:v>0.014925373134328358</x:v>
      </x:c>
      <x:c r="J565" s="13" t="n">
        <x:v>1</x:v>
      </x:c>
      <x:c r="K565" s="19" t="str">
        <x:v>What methods are used for training deep learning models with differential privacy, and how do they manage the privacy-utility-computation trade-off?</x:v>
      </x:c>
      <x:c r="L565" s="19" t="str">
        <x:v>Deep learning with differential privacy. InProceedings of the 2016 ACM SIGSAC conference on
computer and communications security, pages 308–318.
Altschuler, J. and Talwar, K. (2022). Privacy of noisy stochastic gradient descent: More iterations
without more privacy loss.Advances in Neural Information Processing Systems (NeurIPS),
35:3788–3800.
Amin, K., Joseph, M., Ribero, M., and Vassilvitskii, S. (2023). Easy differentially private linear
regression. InInternational Conference on Learning Representations (ICLR).
Andrew, G., Kairouz, P., Oh, S., Oprea, A., McMahan, H. B., and Suriyakumar, V . M. (2024).
One-shot empirical privacy estimation for federated learning. InInternational Conference on
Learning Representations (ICLR).
Andrew, G., Thakkar, O., McMahan, B., and Ramaswamy, S. (2021). Differentially private learning</x:v>
      </x:c>
      <x:c r="M565" s="19" t="str">
        <x:v>该段包含可直接回答问题的方法、指标、比较或研究发现。</x:v>
      </x:c>
      <x:c r="N565" s="13" t="str">
        <x:v>http://arxiv.org/abs/2407.04884v4</x:v>
      </x:c>
    </x:row>
    <x:row r="566" ht="58" customHeight="1">
      <x:c r="A566" s="13" t="str">
        <x:v>csq019-c028</x:v>
      </x:c>
      <x:c r="B566" s="13" t="str">
        <x:v>csq019</x:v>
      </x:c>
      <x:c r="C566" s="21" t="n">
        <x:v>28</x:v>
      </x:c>
      <x:c r="D566" s="20" t="str">
        <x:v>2</x:v>
      </x:c>
      <x:c r="E566" s="20" t="str"/>
      <x:c r="F566" s="20" t="str">
        <x:f>IF(E566="",D566,E566)</x:f>
        <x:v>2</x:v>
      </x:c>
      <x:c r="G566" s="13" t="str">
        <x:v>Forward Learning with Differential Privacy</x:v>
      </x:c>
      <x:c r="H566" s="13" t="n">
        <x:v>2</x:v>
      </x:c>
      <x:c r="I566" s="22" t="n">
        <x:v>0.014705882352941176</x:v>
      </x:c>
      <x:c r="J566" s="13" t="n">
        <x:v>1</x:v>
      </x:c>
      <x:c r="K566" s="19" t="str">
        <x:v>What methods are used for training deep learning models with differential privacy, and how do they manage the privacy-utility-computation trade-off?</x:v>
      </x:c>
      <x:c r="L566" s="19" t="str">
        <x:v>algorithm, and theoretical analysis. Detailed discussion is
provided in Appendix A.5.
3. Methodology
In Section 3.1, we present preliminaries of differential pri-
vacy in the deep learning setting. In Section 3.2, we intro-
duce our proposed privatized forward-learning algorithm,
DP-ULR. In Section 3.3, we introduce the core Gaussian
mechanism involved in DP-ULR and provide our theoretical
results of the DP bound for both of them. In Section 3.4, we
discuss the difference between DP-ULR and DP-SGD.
3.1. Preliminaries
In this paper, we consider the deep learning setting. Specif-
ically, assume we have a (training) dataset D = {di}N
1 ,
where each example d = (x, y) ∈ X × Yis a pair of the
input and the corresponding label. Given a non-parameter
model structure φ and a loss function ℓ, the goal is to opti-
mize the parameter θ to minimize the empirical loss, formal-
ized as arg minθ(P</x:v>
      </x:c>
      <x:c r="M566" s="19" t="str">
        <x:v>该段包含可直接回答问题的方法、指标、比较或研究发现。</x:v>
      </x:c>
      <x:c r="N566" s="13" t="str">
        <x:v>http://arxiv.org/abs/2504.00411v1</x:v>
      </x:c>
    </x:row>
    <x:row r="567" ht="58" customHeight="1">
      <x:c r="A567" s="13" t="str">
        <x:v>csq019-c029</x:v>
      </x:c>
      <x:c r="B567" s="13" t="str">
        <x:v>csq019</x:v>
      </x:c>
      <x:c r="C567" s="21" t="n">
        <x:v>29</x:v>
      </x:c>
      <x:c r="D567" s="20" t="str">
        <x:v>2</x:v>
      </x:c>
      <x:c r="E567" s="20" t="str"/>
      <x:c r="F567" s="20" t="str">
        <x:f>IF(E567="",D567,E567)</x:f>
        <x:v>2</x:v>
      </x:c>
      <x:c r="G567" s="13" t="str">
        <x:v>Tempered Sigmoid Activations for Deep Learning with Differential Privacy</x:v>
      </x:c>
      <x:c r="H567" s="13" t="n">
        <x:v>0</x:v>
      </x:c>
      <x:c r="I567" s="22" t="n">
        <x:v>0.014705882352941176</x:v>
      </x:c>
      <x:c r="J567" s="13" t="n">
        <x:v>1</x:v>
      </x:c>
      <x:c r="K567" s="19" t="str">
        <x:v>What methods are used for training deep learning models with differential privacy, and how do they manage the privacy-utility-computation trade-off?</x:v>
      </x:c>
      <x:c r="L567" s="19" t="str">
        <x:v>Tempered Sigmoid Activations for
Deep Learning with Differential Privacy
Nicolas Papernot, Abhradeep Thakurta, Shuang Song, Steve Chien, Úlfar Erlingsson ∗
Google Brain
Abstract
Because learning sometimes involves sensitive data, machine learning algorithms
have been extended to offer privacy for training data. In practice, this has been
mostly an afterthought, with privacy-preserving models obtained by re-running
training with a different optimizer, but using the model architectures that already
performed well in a non-privacy-preserving setting. This approach leads to less
than ideal privacy/utility tradeoffs, as we show here. Instead, we propose that
model architectures are chosen ab initio explicitly for privacy-preserving training.
To provide guarantees under the gold standard of differential privacy, one must</x:v>
      </x:c>
      <x:c r="M567" s="19" t="str">
        <x:v>该段包含可直接回答问题的方法、指标、比较或研究发现。</x:v>
      </x:c>
      <x:c r="N567" s="13" t="str">
        <x:v>http://arxiv.org/abs/2007.14191v1</x:v>
      </x:c>
    </x:row>
    <x:row r="568" ht="58" customHeight="1">
      <x:c r="A568" s="13" t="str">
        <x:v>csq019-c030</x:v>
      </x:c>
      <x:c r="B568" s="13" t="str">
        <x:v>csq019</x:v>
      </x:c>
      <x:c r="C568" s="21" t="n">
        <x:v>30</x:v>
      </x:c>
      <x:c r="D568" s="20" t="str">
        <x:v>2</x:v>
      </x:c>
      <x:c r="E568" s="20" t="str"/>
      <x:c r="F568" s="20" t="str">
        <x:f>IF(E568="",D568,E568)</x:f>
        <x:v>2</x:v>
      </x:c>
      <x:c r="G568" s="13" t="str">
        <x:v>Private, Efficient, and Accurate: Protecting Models Trained by Multi-party Learning with Differential Privacy</x:v>
      </x:c>
      <x:c r="H568" s="13" t="n">
        <x:v>7</x:v>
      </x:c>
      <x:c r="I568" s="22" t="n">
        <x:v>0.014705882352941176</x:v>
      </x:c>
      <x:c r="J568" s="13" t="n">
        <x:v>1</x:v>
      </x:c>
      <x:c r="K568" s="19" t="str">
        <x:v>What methods are used for training deep learning models with differential privacy, and how do they manage the privacy-utility-computation trade-off?</x:v>
      </x:c>
      <x:c r="L568" s="19" t="str">
        <x:v>different batch sizes for them. The detailed parameter settings
are shown in Table IX of Appendix B.
As to the efﬁciency, since we only need to train a shallow
model, the time consumption of one iteration is much smaller
than that of the deep neural network model training. For
example, the training of differentially private classiﬁers for
CIFAR-10 costs about 0.5 seconds and 4 seconds per itera-
tion in TF-Encryptedϵ and Queqiaoϵ, while CryptGPU
5https://man7.org/linux/man-pages/man8/tc.8.html
6https://github.com/tensorﬂow/privacy/blob/
7eea74a6a1cf15e2d2bd890722400edd0e470db8/research/hyperparameters
2022/rdp accountant.py
8</x:v>
      </x:c>
      <x:c r="M568" s="19" t="str">
        <x:v>该段包含可直接回答问题的方法、指标、比较或研究发现。</x:v>
      </x:c>
      <x:c r="N568" s="13" t="str">
        <x:v>http://arxiv.org/abs/2208.08662v1</x:v>
      </x:c>
    </x:row>
    <x:row r="569" ht="58" customHeight="1">
      <x:c r="A569" s="13" t="str">
        <x:v>csq020-c001</x:v>
      </x:c>
      <x:c r="B569" s="13" t="str">
        <x:v>csq020</x:v>
      </x:c>
      <x:c r="C569" s="21" t="n">
        <x:v>1</x:v>
      </x:c>
      <x:c r="D569" s="20" t="str">
        <x:v>2</x:v>
      </x:c>
      <x:c r="E569" s="20" t="str"/>
      <x:c r="F569" s="20" t="str">
        <x:f>IF(E569="",D569,E569)</x:f>
        <x:v>2</x:v>
      </x:c>
      <x:c r="G569" s="13" t="str">
        <x:v>DocMIA: Document-Level Membership Inference Attacks against DocVQA Models</x:v>
      </x:c>
      <x:c r="H569" s="13" t="n">
        <x:v>2</x:v>
      </x:c>
      <x:c r="I569" s="22" t="n">
        <x:v>0.07990913839671111</x:v>
      </x:c>
      <x:c r="J569" s="13" t="n">
        <x:v>5</x:v>
      </x:c>
      <x:c r="K569" s="19" t="str">
        <x:v>How do black-box and white-box membership inference attacks against machine learning models compare in their assumptions, methods, and evaluations?</x:v>
      </x:c>
      <x:c r="L569" s="19" t="str">
        <x:v>Published as a conference paper at ICLR 2025
2 R ELATED WORK
Membership Inference Attack. Membership inference attacks have been extensively explored in
various applications to highlight privacy vulnerabilities in deep neural networks or to audit model
privacy (Shokri et al., 2017). These attacks are categorized into two types: white-box and black-box
settings. In white-box settings, the adversary has full access to the target model’s internal param-
eters and computations (Carlini et al., 2022; Yeom et al., 2018; Nasr et al., 2019; Rezaei &amp; Liu,
2021; Sablayrolles et al., 2019; Li &amp; Zhang, 2021), enabling the use of informative features like loss
values, logits, and gradient norms. Conversely, in black-box settings, the adversary is limited to the
model’s outputs, such as predicted labels or confidence scores (Choquette-Choo et al., 2021; Shokri</x:v>
      </x:c>
      <x:c r="M569" s="19" t="str">
        <x:v>该段包含可直接回答问题的方法、指标、比较或研究发现。</x:v>
      </x:c>
      <x:c r="N569" s="13" t="str">
        <x:v>http://arxiv.org/abs/2502.03692v1</x:v>
      </x:c>
    </x:row>
    <x:row r="570" ht="58" customHeight="1">
      <x:c r="A570" s="13" t="str">
        <x:v>csq020-c002</x:v>
      </x:c>
      <x:c r="B570" s="13" t="str">
        <x:v>csq020</x:v>
      </x:c>
      <x:c r="C570" s="21" t="n">
        <x:v>2</x:v>
      </x:c>
      <x:c r="D570" s="20" t="str">
        <x:v>2</x:v>
      </x:c>
      <x:c r="E570" s="20" t="str"/>
      <x:c r="F570" s="20" t="str">
        <x:f>IF(E570="",D570,E570)</x:f>
        <x:v>2</x:v>
      </x:c>
      <x:c r="G570" s="13" t="str">
        <x:v>White-box vs Black-box: Bayes Optimal Strategies for Membership Inference</x:v>
      </x:c>
      <x:c r="H570" s="13" t="n">
        <x:v>0</x:v>
      </x:c>
      <x:c r="I570" s="22" t="n">
        <x:v>0.07933905802758262</x:v>
      </x:c>
      <x:c r="J570" s="13" t="n">
        <x:v>5</x:v>
      </x:c>
      <x:c r="K570" s="19" t="str">
        <x:v>How do black-box and white-box membership inference attacks against machine learning models compare in their assumptions, methods, and evaluations?</x:v>
      </x:c>
      <x:c r="L570" s="19" t="str">
        <x:v>White-box vs Black-box: Bayes Optimal Strategies for Membership Inference
Alexandre Sablayrolles 1 2 Matthijs Douze 2 Yann Ollivier2 Cordelia Schmid 1 Herv´e J´egou 2
Abstract
Membership inference determines, given a sam-
ple and trained parameters of a machine learn-
ing model, whether the sample was part of the
training set. In this paper, we derive the optimal
strategy for membership inference with a few as-
sumptions on the distribution of the parameters.
We show that optimal attacks only depend on the
loss function, and thus black-box attacks are as
good as white-box attacks. As the optimal strat-
egy is not tractable, we provide approximations of
it leading to several inference methods, and show
that existing membership inference methods are
coarser approximations of this optimal strategy.
Our membership attacks outperform the state of</x:v>
      </x:c>
      <x:c r="M570" s="19" t="str">
        <x:v>该段包含可直接回答问题的方法、指标、比较或研究发现。</x:v>
      </x:c>
      <x:c r="N570" s="13" t="str">
        <x:v>http://arxiv.org/abs/1908.11229v1</x:v>
      </x:c>
    </x:row>
    <x:row r="571" ht="58" customHeight="1">
      <x:c r="A571" s="13" t="str">
        <x:v>csq020-c003</x:v>
      </x:c>
      <x:c r="B571" s="13" t="str">
        <x:v>csq020</x:v>
      </x:c>
      <x:c r="C571" s="21" t="n">
        <x:v>3</x:v>
      </x:c>
      <x:c r="D571" s="20" t="str">
        <x:v>2</x:v>
      </x:c>
      <x:c r="E571" s="20" t="str"/>
      <x:c r="F571" s="20" t="str">
        <x:f>IF(E571="",D571,E571)</x:f>
        <x:v>2</x:v>
      </x:c>
      <x:c r="G571" s="13" t="str">
        <x:v>White-box vs Black-box: Bayes Optimal Strategies for Membership Inference</x:v>
      </x:c>
      <x:c r="H571" s="13" t="n">
        <x:v>0</x:v>
      </x:c>
      <x:c r="I571" s="22" t="n">
        <x:v>0.07783272019126065</x:v>
      </x:c>
      <x:c r="J571" s="13" t="n">
        <x:v>5</x:v>
      </x:c>
      <x:c r="K571" s="19" t="str">
        <x:v>How do black-box and white-box membership inference attacks against machine learning models compare in their assumptions, methods, and evaluations?</x:v>
      </x:c>
      <x:c r="L571" s="19" t="str">
        <x:v>even though they are not necessarily required for all meth-
ods. We refer to the white-box setting as the case where the
attacker knows all the network parameters. On a side note,
the setup commonly adopted in differential privacy (Dwork
et al., 2006) corresponds to the white-box setting, where the
attacker additionally knows all the training samples except
the one to be tested.
The black-box setting is when these parameters are unknown.
For classiﬁcation models, the attacker has only access to the
output for a given input, in one of the following forms:
(i) the classiﬁer decision;
(ii) the loss of the correct label;
(iii) the full response for all classes.
Prior works on membership inference commonly assume
(i) or (iii). Our paper focuses on the black-box case (ii),
in which we know the loss incurred by the correct label.
The state of the art in this setting are the shadow models</x:v>
      </x:c>
      <x:c r="M571" s="19" t="str">
        <x:v>该段包含可直接回答问题的方法、指标、比较或研究发现。</x:v>
      </x:c>
      <x:c r="N571" s="13" t="str">
        <x:v>http://arxiv.org/abs/1908.11229v1</x:v>
      </x:c>
    </x:row>
    <x:row r="572" ht="58" customHeight="1">
      <x:c r="A572" s="13" t="str">
        <x:v>csq020-c004</x:v>
      </x:c>
      <x:c r="B572" s="13" t="str">
        <x:v>csq020</x:v>
      </x:c>
      <x:c r="C572" s="21" t="n">
        <x:v>4</x:v>
      </x:c>
      <x:c r="D572" s="20" t="str">
        <x:v>2</x:v>
      </x:c>
      <x:c r="E572" s="20" t="str"/>
      <x:c r="F572" s="20" t="str">
        <x:f>IF(E572="",D572,E572)</x:f>
        <x:v>2</x:v>
      </x:c>
      <x:c r="G572" s="13" t="str">
        <x:v>ImpMIA: Leveraging Implicit Bias for Membership Inference Attack</x:v>
      </x:c>
      <x:c r="H572" s="13" t="n">
        <x:v>0</x:v>
      </x:c>
      <x:c r="I572" s="22" t="n">
        <x:v>0.07054202927475565</x:v>
      </x:c>
      <x:c r="J572" s="13" t="n">
        <x:v>5</x:v>
      </x:c>
      <x:c r="K572" s="19" t="str">
        <x:v>How do black-box and white-box membership inference attacks against machine learning models compare in their assumptions, methods, and evaluations?</x:v>
      </x:c>
      <x:c r="L572" s="19" t="str">
        <x:v>are publicly available (e.g., via Hugging Face).
ImpMIAachieves SotA performance compared to
both black and white box attacks in settings where
only the model weights are known, and asuperset
of the training data is available.
*Equal contribution 1Department of Computer Science
and Applied Mathematics, Weizmann Institute of Science,
Rehovot, Israel. Correspondence to: Yuval Golbari &lt;yu-
val.golbari@weizmann.ac.il&gt;.
Preprint. February 26, 2026.
1. Introduction
Ensuring that trained models do not leak information about
their training sets is a critical challenge. Membership in-
ference attacks (MIAs) evaluate this risk by determining
whether a given example was part of a model’s training data.
MIAs can be broadly divided into two categories: black-box,
which assume only query access to model outputs (Shokri
et al., 2017; Yeom et al., 2018; Li &amp; Zhang, 2021; Carlini</x:v>
      </x:c>
      <x:c r="M572" s="19" t="str">
        <x:v>该段包含可直接回答问题的方法、指标、比较或研究发现。</x:v>
      </x:c>
      <x:c r="N572" s="13" t="str">
        <x:v>http://arxiv.org/abs/2510.10625v3</x:v>
      </x:c>
    </x:row>
    <x:row r="573" ht="58" customHeight="1">
      <x:c r="A573" s="13" t="str">
        <x:v>csq020-c005</x:v>
      </x:c>
      <x:c r="B573" s="13" t="str">
        <x:v>csq020</x:v>
      </x:c>
      <x:c r="C573" s="21" t="n">
        <x:v>5</x:v>
      </x:c>
      <x:c r="D573" s="20" t="str">
        <x:v>2</x:v>
      </x:c>
      <x:c r="E573" s="20" t="str"/>
      <x:c r="F573" s="20" t="str">
        <x:f>IF(E573="",D573,E573)</x:f>
        <x:v>2</x:v>
      </x:c>
      <x:c r="G573" s="13" t="str">
        <x:v>The Surprising Effectiveness of Membership Inference with Simple N-Gram Coverage</x:v>
      </x:c>
      <x:c r="H573" s="13" t="n">
        <x:v>1</x:v>
      </x:c>
      <x:c r="I573" s="22" t="n">
        <x:v>0.060792437526275084</x:v>
      </x:c>
      <x:c r="J573" s="13" t="n">
        <x:v>4</x:v>
      </x:c>
      <x:c r="K573" s="19" t="str">
        <x:v>How do black-box and white-box membership inference attacks against machine learning models compare in their assumptions, methods, and evaluations?</x:v>
      </x:c>
      <x:c r="L573" s="19" t="str">
        <x:v>infer membership.
Our analyses reveal that N-G RAM COVERAGE ATTACK substantially simplifies previous
MIA methods in the black-box setting (Duarte et al., 2024), yet surprisingly performs on-
par or even better than white-box methods that require model loss or token logits. We
also explore the effectiveness of our approach on models’ post-training data, an area under-
explored in the literature. Compared to recent membership inference methods for black-box
models (Duarte et al., 2024), our method is substantially compute-efficient (refer to specific
numbers), and importantly, scales better by increasing the size of repeated sampling. We
additionally collect and test our method on two new datasets for membership inference
and benchmark many new models such as T ¨ULU. Having verified the accuracy of our
method, we use it to investigate previously unstudied closed OpenAI models on multiple</x:v>
      </x:c>
      <x:c r="M573" s="19" t="str">
        <x:v>该段包含可直接回答问题的方法、指标、比较或研究发现。</x:v>
      </x:c>
      <x:c r="N573" s="13" t="str">
        <x:v>http://arxiv.org/abs/2508.09603v2</x:v>
      </x:c>
    </x:row>
    <x:row r="574" ht="58" customHeight="1">
      <x:c r="A574" s="13" t="str">
        <x:v>csq020-c006</x:v>
      </x:c>
      <x:c r="B574" s="13" t="str">
        <x:v>csq020</x:v>
      </x:c>
      <x:c r="C574" s="21" t="n">
        <x:v>6</x:v>
      </x:c>
      <x:c r="D574" s="20" t="str">
        <x:v>0</x:v>
      </x:c>
      <x:c r="E574" s="20" t="str"/>
      <x:c r="F574" s="20" t="str">
        <x:f>IF(E574="",D574,E574)</x:f>
        <x:v>0</x:v>
      </x:c>
      <x:c r="G574" s="13" t="str">
        <x:v>DocMIA: Document-Level Membership Inference Attacks against DocVQA Models</x:v>
      </x:c>
      <x:c r="H574" s="13" t="n">
        <x:v>12</x:v>
      </x:c>
      <x:c r="I574" s="22" t="n">
        <x:v>0.059508706467661696</x:v>
      </x:c>
      <x:c r="J574" s="13" t="n">
        <x:v>4</x:v>
      </x:c>
      <x:c r="K574" s="19" t="str">
        <x:v>How do black-box and white-box membership inference attacks against machine learning models compare in their assumptions, methods, and evaluations?</x:v>
      </x:c>
      <x:c r="L574" s="19" t="str">
        <x:v>Alexandre Sablayrolles, Matthijs Douze, Cordelia Schmid, Yann Ollivier, and Herve Jegou. White-
box vs black-box: Bayes optimal strategies for membership inference. In Proceedings of the 36th
International Conference on Machine Learning, pp. 5558–5567. PMLR, 2019.
Ahmed Salem, Yang Zhang, Mathias Humbert, Pascal Berrang, Mario Fritz, and Michael Backes.
Ml-leaks: Model and data independent membership inference attacks and defenses on machine
learning models. arXiv preprint arXiv:1806.01246, 2018.
Weijia Shi, Anirudh Ajith, Mengzhou Xia, Yangsibo Huang, Daogao Liu, Terra Blevins, Danqi
Chen, and Luke Zettlemoyer. Detecting pretraining data from large language models. arXiv
preprint arXiv:2310.16789, 2023.
Reza Shokri, Marco Stronati, Congzheng Song, and Vitaly Shmatikov. Membership inference at-
tacks against machine learning models. In 2017 IEEE symposium on security and privacy (SP),</x:v>
      </x:c>
      <x:c r="M574" s="19" t="str">
        <x:v>该段为无关内容、泛泛提及或参考文献片段，不能作为回答证据。</x:v>
      </x:c>
      <x:c r="N574" s="13" t="str">
        <x:v>http://arxiv.org/abs/2502.03692v1</x:v>
      </x:c>
    </x:row>
    <x:row r="575" ht="58" customHeight="1">
      <x:c r="A575" s="13" t="str">
        <x:v>csq020-c007</x:v>
      </x:c>
      <x:c r="B575" s="13" t="str">
        <x:v>csq020</x:v>
      </x:c>
      <x:c r="C575" s="21" t="n">
        <x:v>7</x:v>
      </x:c>
      <x:c r="D575" s="20" t="str">
        <x:v>2</x:v>
      </x:c>
      <x:c r="E575" s="20" t="str"/>
      <x:c r="F575" s="20" t="str">
        <x:f>IF(E575="",D575,E575)</x:f>
        <x:v>2</x:v>
      </x:c>
      <x:c r="G575" s="13" t="str">
        <x:v>Investigating the Effect of Misalignment on Membership Privacy in the White-box Setting</x:v>
      </x:c>
      <x:c r="H575" s="13" t="n">
        <x:v>5</x:v>
      </x:c>
      <x:c r="I575" s="22" t="n">
        <x:v>0.057056277056277055</x:v>
      </x:c>
      <x:c r="J575" s="13" t="n">
        <x:v>4</x:v>
      </x:c>
      <x:c r="K575" s="19" t="str">
        <x:v>How do black-box and white-box membership inference attacks against machine learning models compare in their assumptions, methods, and evaluations?</x:v>
      </x:c>
      <x:c r="L575" s="19" t="str">
        <x:v>when the adversary does not know the weight initialisation.
Membership inference attacks (MIA) have been studied ex-
tensively in the black-box setting, see e.g., [6, 8, 33, 44, 45, 53]. The
features typically used are the model confidences on a record 𝑥
with the main vulnerability exploited being that the model tends to
be more confident on training records compared to unseen records.
Together, these works have built a solid understanding of the condi-
tions under which black-box MIAs are most likely to succeed, such
as when the model is overfitted [45, 57], when the targeted records
are outliers or members of subpopulations [28, 36], and when the
auxiliary data comes from the same distribution as the training
dataset and is more abundant [44, 53].
Comparatively very few works have developed white-box MIAs.
Nasr et al. [37] studied the auditor setting (described in Sec. 3), train-</x:v>
      </x:c>
      <x:c r="M575" s="19" t="str">
        <x:v>该段包含可直接回答问题的方法、指标、比较或研究发现。</x:v>
      </x:c>
      <x:c r="N575" s="13" t="str">
        <x:v>http://arxiv.org/abs/2306.05093v2</x:v>
      </x:c>
    </x:row>
    <x:row r="576" ht="58" customHeight="1">
      <x:c r="A576" s="13" t="str">
        <x:v>csq020-c008</x:v>
      </x:c>
      <x:c r="B576" s="13" t="str">
        <x:v>csq020</x:v>
      </x:c>
      <x:c r="C576" s="21" t="n">
        <x:v>8</x:v>
      </x:c>
      <x:c r="D576" s="20" t="str">
        <x:v>2</x:v>
      </x:c>
      <x:c r="E576" s="20" t="str"/>
      <x:c r="F576" s="20" t="str">
        <x:f>IF(E576="",D576,E576)</x:f>
        <x:v>2</x:v>
      </x:c>
      <x:c r="G576" s="13" t="str">
        <x:v>White-box vs Black-box: Bayes Optimal Strategies for Membership Inference</x:v>
      </x:c>
      <x:c r="H576" s="13" t="n">
        <x:v>3</x:v>
      </x:c>
      <x:c r="I576" s="22" t="n">
        <x:v>0.056681266077368724</x:v>
      </x:c>
      <x:c r="J576" s="13" t="n">
        <x:v>4</x:v>
      </x:c>
      <x:c r="K576" s="19" t="str">
        <x:v>How do black-box and white-box membership inference attacks against machine learning models compare in their assumptions, methods, and evaluations?</x:v>
      </x:c>
      <x:c r="L576" s="19" t="str">
        <x:v>the lossℓ(θ,·): this strategy does not require, for instance,
internal parameters of the model that a white-box attack
could provide. This means that if we can compute τp or
approximate it well enough, then the optimal membership
inference depends only on the loss. In other terms, asymptot-
ically, the white-box setting does not provide any beneﬁt
compared to black-box membership inference.
Let us analyze qualitatively the terms in the expression:
SinceT is a training set,pT corresponds to a posterior over
this training set, i.e., a typical distribution of trained param-
eters.τp(z1) is the softmin of loss termsℓ(·,z 1) over these
typical models, and corresponds therefore to the typical loss
of samplez1 under models that have not seenz1.
The quantity τp(z1) can be seen as a threshold, to which
the lossℓ(θ,z 1) is compared. Around this threshold, when</x:v>
      </x:c>
      <x:c r="M576" s="19" t="str">
        <x:v>该段包含可直接回答问题的方法、指标、比较或研究发现。</x:v>
      </x:c>
      <x:c r="N576" s="13" t="str">
        <x:v>http://arxiv.org/abs/1908.11229v1</x:v>
      </x:c>
    </x:row>
    <x:row r="577" ht="58" customHeight="1">
      <x:c r="A577" s="13" t="str">
        <x:v>csq020-c009</x:v>
      </x:c>
      <x:c r="B577" s="13" t="str">
        <x:v>csq020</x:v>
      </x:c>
      <x:c r="C577" s="21" t="n">
        <x:v>9</x:v>
      </x:c>
      <x:c r="D577" s="20" t="str">
        <x:v>2</x:v>
      </x:c>
      <x:c r="E577" s="20" t="str"/>
      <x:c r="F577" s="20" t="str">
        <x:f>IF(E577="",D577,E577)</x:f>
        <x:v>2</x:v>
      </x:c>
      <x:c r="G577" s="13" t="str">
        <x:v>Investigating the Effect of Misalignment on Membership Privacy in the White-box Setting</x:v>
      </x:c>
      <x:c r="H577" s="13" t="n">
        <x:v>3</x:v>
      </x:c>
      <x:c r="I577" s="22" t="n">
        <x:v>0.0452122777796662</x:v>
      </x:c>
      <x:c r="J577" s="13" t="n">
        <x:v>3</x:v>
      </x:c>
      <x:c r="K577" s="19" t="str">
        <x:v>How do black-box and white-box membership inference attacks against machine learning models compare in their assumptions, methods, and evaluations?</x:v>
      </x:c>
      <x:c r="L577" s="19" t="str">
        <x:v>aiming to infer whether a particular target record(𝑥𝑇,𝑦𝑇) was used
to train the target modelM𝑇 . In the black-box setting, MIAs have
been extensively studied, leveraging the model’s confidences on𝑥𝑇 ,
M𝑇(𝑥𝑇) =( ˆ𝑦1,..., ˆ𝑦𝑁𝑐), or the top𝑘 predictions, to infer whether
(𝑥𝑇,𝑦𝑇) is a member [6, 45, 56]. In the white-box setting, the adver-
sary additionally knows the model architecture and weights. Given
this knowledge, the adversary can design attacks at least as strong
as a given black-box attackB, by combining the signal of the output
layer (used byB) with additional signal from the internal layers
(e.g., activations or gradients).
There are mainly two threat models in the white-box setting,
depending on the knowledge the adversary has about the private
dataset𝐷𝑇 .
In the first threat model [ 37], the adversary knows (1) part of</x:v>
      </x:c>
      <x:c r="M577" s="19" t="str">
        <x:v>该段包含可直接回答问题的方法、指标、比较或研究发现。</x:v>
      </x:c>
      <x:c r="N577" s="13" t="str">
        <x:v>http://arxiv.org/abs/2306.05093v2</x:v>
      </x:c>
    </x:row>
    <x:row r="578" ht="58" customHeight="1">
      <x:c r="A578" s="13" t="str">
        <x:v>csq020-c010</x:v>
      </x:c>
      <x:c r="B578" s="13" t="str">
        <x:v>csq020</x:v>
      </x:c>
      <x:c r="C578" s="21" t="n">
        <x:v>10</x:v>
      </x:c>
      <x:c r="D578" s="20" t="str">
        <x:v>2</x:v>
      </x:c>
      <x:c r="E578" s="20" t="str"/>
      <x:c r="F578" s="20" t="str">
        <x:f>IF(E578="",D578,E578)</x:f>
        <x:v>2</x:v>
      </x:c>
      <x:c r="G578" s="13" t="str">
        <x:v>Comprehensive Privacy Analysis of Deep Learning: Passive and Active White-box Inference Attacks against Centralized and Federated Learning</x:v>
      </x:c>
      <x:c r="H578" s="13" t="n">
        <x:v>1</x:v>
      </x:c>
      <x:c r="I578" s="22" t="n">
        <x:v>0.04438753734528383</x:v>
      </x:c>
      <x:c r="J578" s="13" t="n">
        <x:v>3</x:v>
      </x:c>
      <x:c r="K578" s="19" t="str">
        <x:v>How do black-box and white-box membership inference attacks against machine learning models compare in their assumptions, methods, and evaluations?</x:v>
      </x:c>
      <x:c r="L578" s="19" t="str">
        <x:v>attack based on the adversary’s actions. In this section, we
discuss different attack scenarios as well as the technique s
we use to exploit deep learning algorithms. We also describe
the architecture of our attack model, and how the adversary
computes the membership probability.
A. Attack Observations: Black-box vs. White-box Inference
The adversary’s observations of the deep learning algorith m
are what constitute the inputs for the inference attack.
Black-box. In this setting, the adversary’s observation is lim-
ited to the output of the model on arbitrary inputs. For any da ta
point x, the attacker can only obtain f (x; W). The parameters
of the model W and the intermediate steps of the computation
are not accessible to the attacker. This is the setting of machine
learning as a service platforms. Membership inference atta cks</x:v>
      </x:c>
      <x:c r="M578" s="19" t="str">
        <x:v>该段包含可直接回答问题的方法、指标、比较或研究发现。</x:v>
      </x:c>
      <x:c r="N578" s="13" t="str">
        <x:v>http://arxiv.org/abs/1812.00910v2</x:v>
      </x:c>
    </x:row>
    <x:row r="579" ht="58" customHeight="1">
      <x:c r="A579" s="13" t="str">
        <x:v>csq020-c011</x:v>
      </x:c>
      <x:c r="B579" s="13" t="str">
        <x:v>csq020</x:v>
      </x:c>
      <x:c r="C579" s="21" t="n">
        <x:v>11</x:v>
      </x:c>
      <x:c r="D579" s="20" t="str">
        <x:v>2</x:v>
      </x:c>
      <x:c r="E579" s="20" t="str"/>
      <x:c r="F579" s="20" t="str">
        <x:f>IF(E579="",D579,E579)</x:f>
        <x:v>2</x:v>
      </x:c>
      <x:c r="G579" s="13" t="str">
        <x:v>DocMIA: Document-Level Membership Inference Attacks against DocVQA Models</x:v>
      </x:c>
      <x:c r="H579" s="13" t="n">
        <x:v>0</x:v>
      </x:c>
      <x:c r="I579" s="22" t="n">
        <x:v>0.04376625789669268</x:v>
      </x:c>
      <x:c r="J579" s="13" t="n">
        <x:v>3</x:v>
      </x:c>
      <x:c r="K579" s="19" t="str">
        <x:v>How do black-box and white-box membership inference attacks against machine learning models compare in their assumptions, methods, and evaluations?</x:v>
      </x:c>
      <x:c r="L579" s="19" t="str">
        <x:v>concerns about privacy risks associated with training such DocVQA models. One
significant privacy vulnerability, exploited by the membership inference attack, is
the possibility for an adversary to determine if a particular record was part of the
model’s training data. In this paper, we introduce two novel membership inference
attacks tailored specifically to DocVQA models. These attacks are designed for
two different adversarial scenarios: a white-box setting, where the attacker has full
access to the model architecture and parameters, and a black-box setting, where
only the model’s outputs are available. Notably, our attacks assume the adver-
sary lacks access to auxiliary datasets, which is more realistic in practice but also
more challenging. Our unsupervised methods outperform existing state-of-the-art
membership inference attacks across a variety of DocVQA models and datasets,</x:v>
      </x:c>
      <x:c r="M579" s="19" t="str">
        <x:v>该段包含可直接回答问题的方法、指标、比较或研究发现。</x:v>
      </x:c>
      <x:c r="N579" s="13" t="str">
        <x:v>http://arxiv.org/abs/2502.03692v1</x:v>
      </x:c>
    </x:row>
    <x:row r="580" ht="58" customHeight="1">
      <x:c r="A580" s="13" t="str">
        <x:v>csq020-c012</x:v>
      </x:c>
      <x:c r="B580" s="13" t="str">
        <x:v>csq020</x:v>
      </x:c>
      <x:c r="C580" s="21" t="n">
        <x:v>12</x:v>
      </x:c>
      <x:c r="D580" s="20" t="str">
        <x:v>2</x:v>
      </x:c>
      <x:c r="E580" s="20" t="str"/>
      <x:c r="F580" s="20" t="str">
        <x:f>IF(E580="",D580,E580)</x:f>
        <x:v>2</x:v>
      </x:c>
      <x:c r="G580" s="13" t="str">
        <x:v>Comprehensive Privacy Analysis of Deep Learning: Passive and Active White-box Inference Attacks against Centralized and Federated Learning</x:v>
      </x:c>
      <x:c r="H580" s="13" t="n">
        <x:v>1</x:v>
      </x:c>
      <x:c r="I580" s="22" t="n">
        <x:v>0.043575999144790094</x:v>
      </x:c>
      <x:c r="J580" s="13" t="n">
        <x:v>3</x:v>
      </x:c>
      <x:c r="K580" s="19" t="str">
        <x:v>How do black-box and white-box membership inference attacks against machine learning models compare in their assumptions, methods, and evaluations?</x:v>
      </x:c>
      <x:c r="L580" s="19" t="str">
        <x:v>learning as a service platforms. Membership inference atta cks
against black-box models are already designed, which explo it
the statistical differences between a model’s predictions on its
training set versus unseen data [6].
2</x:v>
      </x:c>
      <x:c r="M580" s="19" t="str">
        <x:v>该段包含可直接回答问题的方法、指标、比较或研究发现。</x:v>
      </x:c>
      <x:c r="N580" s="13" t="str">
        <x:v>http://arxiv.org/abs/1812.00910v2</x:v>
      </x:c>
    </x:row>
    <x:row r="581" ht="58" customHeight="1">
      <x:c r="A581" s="13" t="str">
        <x:v>csq020-c013</x:v>
      </x:c>
      <x:c r="B581" s="13" t="str">
        <x:v>csq020</x:v>
      </x:c>
      <x:c r="C581" s="21" t="n">
        <x:v>13</x:v>
      </x:c>
      <x:c r="D581" s="20" t="str">
        <x:v>2</x:v>
      </x:c>
      <x:c r="E581" s="20" t="str"/>
      <x:c r="F581" s="20" t="str">
        <x:f>IF(E581="",D581,E581)</x:f>
        <x:v>2</x:v>
      </x:c>
      <x:c r="G581" s="13" t="str">
        <x:v>Stolen Memories: Leveraging Model Memorization for Calibrated White-Box Membership Inference</x:v>
      </x:c>
      <x:c r="H581" s="13" t="n">
        <x:v>15</x:v>
      </x:c>
      <x:c r="I581" s="22" t="n">
        <x:v>0.042483660130718956</x:v>
      </x:c>
      <x:c r="J581" s="13" t="n">
        <x:v>3</x:v>
      </x:c>
      <x:c r="K581" s="19" t="str">
        <x:v>How do black-box and white-box membership inference attacks against machine learning models compare in their assumptions, methods, and evaluations?</x:v>
      </x:c>
      <x:c r="L581" s="19" t="str">
        <x:v>in higher membership inference accuracies than the original
black-box approach. This is perhaps unsurprising, as the
internal units of the shadow models are not likely to have any
relation to those of the target model (see Section 4).
Recently, Nasr et al. [33] provided a white-box attack that
leverages the gradients of the target model’s loss function with
respect to its weights, which SGD approximately brings to
zero on the training points at convergence. In contrast to our
work, Nasr et al. use a further relaxed threat model, in which
the attacker has access to as much ashalf of the target model’s
training data. We suggest an approach that is quite different
from that of Nasr et al.. Our approach does not require this
extra knowledge for the attacker, and thus falls under a more
restrictive threat model, in which, to our knowledge, no other</x:v>
      </x:c>
      <x:c r="M581" s="19" t="str">
        <x:v>该段包含可直接回答问题的方法、指标、比较或研究发现。</x:v>
      </x:c>
      <x:c r="N581" s="13" t="str">
        <x:v>http://arxiv.org/abs/1906.11798v2</x:v>
      </x:c>
    </x:row>
    <x:row r="582" ht="58" customHeight="1">
      <x:c r="A582" s="13" t="str">
        <x:v>csq020-c014</x:v>
      </x:c>
      <x:c r="B582" s="13" t="str">
        <x:v>csq020</x:v>
      </x:c>
      <x:c r="C582" s="21" t="n">
        <x:v>14</x:v>
      </x:c>
      <x:c r="D582" s="20" t="str">
        <x:v>0</x:v>
      </x:c>
      <x:c r="E582" s="20" t="str"/>
      <x:c r="F582" s="20" t="str">
        <x:f>IF(E582="",D582,E582)</x:f>
        <x:v>0</x:v>
      </x:c>
      <x:c r="G582" s="13" t="str">
        <x:v>White-box vs Black-box: Bayes Optimal Strategies for Membership Inference</x:v>
      </x:c>
      <x:c r="H582" s="13" t="n">
        <x:v>8</x:v>
      </x:c>
      <x:c r="I582" s="22" t="n">
        <x:v>0.029631255487269532</x:v>
      </x:c>
      <x:c r="J582" s="13" t="n">
        <x:v>2</x:v>
      </x:c>
      <x:c r="K582" s="19" t="str">
        <x:v>How do black-box and white-box membership inference attacks against machine learning models compare in their assumptions, methods, and evaluations?</x:v>
      </x:c>
      <x:c r="L582" s="19" t="str">
        <x:v>White-box vs Black-box: Bayes Optimal Strategies for Membership Inference
References
Martin Abadi, Andy Chu, Ian Goodfellow, Brendan McMa-
han, Ilya Mironov, Kunal Talwar, and Li Zhang. Deep
learning with differential privacy. In CCS, 2016.
Giuseppe Ateniese, Luigi V Mancini, Angelo Spognardi,
Antonio Villani, Domenico Vitali, and Giovanni Felici.
Hacking smart machines with smarter ones: How to ex-
tract meaningful data from machine learning classiﬁers.
IJSN, 2015.
Raef Bassily, Kobbi Nissim, Adam Smith, Thomas Steinke,
Uri Stemmer, and Jonathan Ullman. Algorithmic stability
for adaptive data analysis. In STOC, 2016.
Battista Biggio, Igino Corona, Blaine Nelson, Benjamin I. P.
Rubinstein, Davide Maiorca, Giorgio Fumera, Giorgio
Giacinto, and Fabio Roli. Security Evaluation of Support
Vector Machines in Adversarial Environments. Springer
International Publishing, 2014.</x:v>
      </x:c>
      <x:c r="M582" s="19" t="str">
        <x:v>该段为无关内容、泛泛提及或参考文献片段，不能作为回答证据。</x:v>
      </x:c>
      <x:c r="N582" s="13" t="str">
        <x:v>http://arxiv.org/abs/1908.11229v1</x:v>
      </x:c>
    </x:row>
    <x:row r="583" ht="58" customHeight="1">
      <x:c r="A583" s="13" t="str">
        <x:v>csq020-c015</x:v>
      </x:c>
      <x:c r="B583" s="13" t="str">
        <x:v>csq020</x:v>
      </x:c>
      <x:c r="C583" s="21" t="n">
        <x:v>15</x:v>
      </x:c>
      <x:c r="D583" s="20" t="str">
        <x:v>2</x:v>
      </x:c>
      <x:c r="E583" s="20" t="str"/>
      <x:c r="F583" s="20" t="str">
        <x:f>IF(E583="",D583,E583)</x:f>
        <x:v>2</x:v>
      </x:c>
      <x:c r="G583" s="13" t="str">
        <x:v>ImpMIA: Leveraging Implicit Bias for Membership Inference Attack</x:v>
      </x:c>
      <x:c r="H583" s="13" t="n">
        <x:v>1</x:v>
      </x:c>
      <x:c r="I583" s="22" t="n">
        <x:v>0.029513888888888888</x:v>
      </x:c>
      <x:c r="J583" s="13" t="n">
        <x:v>2</x:v>
      </x:c>
      <x:c r="K583" s="19" t="str">
        <x:v>How do black-box and white-box membership inference attacks against machine learning models compare in their assumptions, methods, and evaluations?</x:v>
      </x:c>
      <x:c r="L583" s="19" t="str">
        <x:v>Membership Inference Attacks (MIAs) are divided into
black-box attacks, which rely on model outputs, and white-
box attacks, which exploit access to model parameters.
White-boxattacks exploit access to a model’s internal
parameters (often gradients) to amplify membership sig-
nals. Nasr et al. (2019) introduced one of the first frame-
works, leveraging activations and per-example gradients.
Sablayrolles et al. (2019) derived the Bayes-optimal test
under white-box access, showing that maximum member-
ship power can be achieved by computing likelihood ratios
over model parameters. Leino &amp; Fredrikson (2020) showed
in their Stolen Memories attack that gradient norms alone
provide strong membership signals, and that training an
auxiliary classifier to distinguish gradients from members
versus non-members further improves accuracy. Most re-</x:v>
      </x:c>
      <x:c r="M583" s="19" t="str">
        <x:v>该段包含可直接回答问题的方法、指标、比较或研究发现。</x:v>
      </x:c>
      <x:c r="N583" s="13" t="str">
        <x:v>http://arxiv.org/abs/2510.10625v3</x:v>
      </x:c>
    </x:row>
    <x:row r="584" ht="58" customHeight="1">
      <x:c r="A584" s="13" t="str">
        <x:v>csq020-c016</x:v>
      </x:c>
      <x:c r="B584" s="13" t="str">
        <x:v>csq020</x:v>
      </x:c>
      <x:c r="C584" s="21" t="n">
        <x:v>16</x:v>
      </x:c>
      <x:c r="D584" s="20" t="str">
        <x:v>2</x:v>
      </x:c>
      <x:c r="E584" s="20" t="str"/>
      <x:c r="F584" s="20" t="str">
        <x:f>IF(E584="",D584,E584)</x:f>
        <x:v>2</x:v>
      </x:c>
      <x:c r="G584" s="13" t="str">
        <x:v>White-box vs Black-box: Bayes Optimal Strategies for Membership Inference</x:v>
      </x:c>
      <x:c r="H584" s="13" t="n">
        <x:v>0</x:v>
      </x:c>
      <x:c r="I584" s="22" t="n">
        <x:v>0.02900988017658188</x:v>
      </x:c>
      <x:c r="J584" s="13" t="n">
        <x:v>2</x:v>
      </x:c>
      <x:c r="K584" s="19" t="str">
        <x:v>How do black-box and white-box membership inference attacks against machine learning models compare in their assumptions, methods, and evaluations?</x:v>
      </x:c>
      <x:c r="L584" s="19" t="str">
        <x:v>in which we know the loss incurred by the correct label.
The state of the art in this setting are the shadow models
proposed by Shokri et al. (2017).
In our work, we use a probabilistic framework to derive
a formal analysis of the optimal attack. This framework
encompasses both Bayesian learning, and noisy training,
where the noise is injected (Welling &amp; Teh, 2011) or comes
from the stochasticity of SGD. Under mild assumptions on
the distribution of the parameters, we derive the optimal
membership inference strategy. This strategy only depends
on the classiﬁer through evaluation of the loss, thereby show-
ing that black-box attacks will perform as well as white-box
attacks in this optimal asymptotic setting. This result may
explain why, to the best of our knowledge, the literature
arXiv:1908.11229v1  [stat.ML]  29 Aug 2019</x:v>
      </x:c>
      <x:c r="M584" s="19" t="str">
        <x:v>该段包含可直接回答问题的方法、指标、比较或研究发现。</x:v>
      </x:c>
      <x:c r="N584" s="13" t="str">
        <x:v>http://arxiv.org/abs/1908.11229v1</x:v>
      </x:c>
    </x:row>
    <x:row r="585" ht="58" customHeight="1">
      <x:c r="A585" s="13" t="str">
        <x:v>csq020-c017</x:v>
      </x:c>
      <x:c r="B585" s="13" t="str">
        <x:v>csq020</x:v>
      </x:c>
      <x:c r="C585" s="21" t="n">
        <x:v>17</x:v>
      </x:c>
      <x:c r="D585" s="20" t="str">
        <x:v>0</x:v>
      </x:c>
      <x:c r="E585" s="20" t="str"/>
      <x:c r="F585" s="20" t="str">
        <x:f>IF(E585="",D585,E585)</x:f>
        <x:v>0</x:v>
      </x:c>
      <x:c r="G585" s="13" t="str">
        <x:v>Do Parameters Reveal More than Loss for Membership Inference?</x:v>
      </x:c>
      <x:c r="H585" s="13" t="n">
        <x:v>12</x:v>
      </x:c>
      <x:c r="I585" s="22" t="n">
        <x:v>0.028985507246376812</x:v>
      </x:c>
      <x:c r="J585" s="13" t="n">
        <x:v>2</x:v>
      </x:c>
      <x:c r="K585" s="19" t="str">
        <x:v>How do black-box and white-box membership inference attacks against machine learning models compare in their assumptions, methods, and evaluations?</x:v>
      </x:c>
      <x:c r="L585" s="19" t="str">
        <x:v>in the privacy research community to explore white-box attacks, for both adversarial and auditing purposes.
References
Naman Agarwal, Brian Bullins, and Elad Hazan. Second-order stochastic optimization for machine learning
in linear time.Journal of Machine Learning Research, 2017.
Achraf Azize and Debabrota Basu. How much does each datapoint leak your privacy? quantifying the
per-datum membership leakage.arXiv:2402.10065, 2024.
Martin Bertran, Shuai Tang, Aaron Roth, Michael Kearns, Jamie H Morgenstern, and Steven Z Wu. Scalable
membership inference attacks via quantile regression.Advances in Neural Information Processing Systems,
2024.
Stella Biderman, USVSN Prashanth, Lintang Sutawika, Hailey Schoelkopf, Quentin Anthony, Shivanshu
Purohit, and Edward Raff. Emergent and predictable memorization in large language models.Advances
in Neural Information Processing Systems, 2024.</x:v>
      </x:c>
      <x:c r="M585" s="19" t="str">
        <x:v>该段为无关内容、泛泛提及或参考文献片段，不能作为回答证据。</x:v>
      </x:c>
      <x:c r="N585" s="13" t="str">
        <x:v>http://arxiv.org/abs/2406.11544v4</x:v>
      </x:c>
    </x:row>
    <x:row r="586" ht="58" customHeight="1">
      <x:c r="A586" s="13" t="str">
        <x:v>csq020-c018</x:v>
      </x:c>
      <x:c r="B586" s="13" t="str">
        <x:v>csq020</x:v>
      </x:c>
      <x:c r="C586" s="21" t="n">
        <x:v>18</x:v>
      </x:c>
      <x:c r="D586" s="20" t="str">
        <x:v>2</x:v>
      </x:c>
      <x:c r="E586" s="20" t="str"/>
      <x:c r="F586" s="20" t="str">
        <x:f>IF(E586="",D586,E586)</x:f>
        <x:v>2</x:v>
      </x:c>
      <x:c r="G586" s="13" t="str">
        <x:v>White-box vs Black-box: Bayes Optimal Strategies for Membership Inference</x:v>
      </x:c>
      <x:c r="H586" s="13" t="n">
        <x:v>1</x:v>
      </x:c>
      <x:c r="I586" s="22" t="n">
        <x:v>0.028258706467661692</x:v>
      </x:c>
      <x:c r="J586" s="13" t="n">
        <x:v>2</x:v>
      </x:c>
      <x:c r="K586" s="19" t="str">
        <x:v>How do black-box and white-box membership inference attacks against machine learning models compare in their assumptions, methods, and evaluations?</x:v>
      </x:c>
      <x:c r="L586" s="19" t="str">
        <x:v>White-box vs Black-box: Bayes Optimal Strategies for Membership Inference
does not report white-box attacks outperforming the state-
of-the-art black-box-(ii) attacks.
The aforementioned optimal strategy is not tractable,
therefore we introduce approximations to derive an
explicit method for membership inference. As a
byproduct of this derivation, we show that state-of-the-
art approaches (Shokri et al., 2017; Yeom et al., 2018) are
coarser approximations of the optimal strategy. One of
the approximation drastically simpliﬁes the membership
inference procedure by simply relying on the loss and a cal-
ibration term. We employ this strategy to the more complex
case of neural networks, and show that it outperforms all
approaches we are aware of.
In summary, our main contributions are as follows:
• We show, under a few assumptions on training, that the</x:v>
      </x:c>
      <x:c r="M586" s="19" t="str">
        <x:v>该段包含可直接回答问题的方法、指标、比较或研究发现。</x:v>
      </x:c>
      <x:c r="N586" s="13" t="str">
        <x:v>http://arxiv.org/abs/1908.11229v1</x:v>
      </x:c>
    </x:row>
    <x:row r="587" ht="58" customHeight="1">
      <x:c r="A587" s="13" t="str">
        <x:v>csq020-c019</x:v>
      </x:c>
      <x:c r="B587" s="13" t="str">
        <x:v>csq020</x:v>
      </x:c>
      <x:c r="C587" s="21" t="n">
        <x:v>19</x:v>
      </x:c>
      <x:c r="D587" s="20" t="str">
        <x:v>2</x:v>
      </x:c>
      <x:c r="E587" s="20" t="str"/>
      <x:c r="F587" s="20" t="str">
        <x:f>IF(E587="",D587,E587)</x:f>
        <x:v>2</x:v>
      </x:c>
      <x:c r="G587" s="13" t="str">
        <x:v>Do Parameters Reveal More than Loss for Membership Inference?</x:v>
      </x:c>
      <x:c r="H587" s="13" t="n">
        <x:v>1</x:v>
      </x:c>
      <x:c r="I587" s="22" t="n">
        <x:v>0.027402402402402402</x:v>
      </x:c>
      <x:c r="J587" s="13" t="n">
        <x:v>2</x:v>
      </x:c>
      <x:c r="K587" s="19" t="str">
        <x:v>How do black-box and white-box membership inference attacks against machine learning models compare in their assumptions, methods, and evaluations?</x:v>
      </x:c>
      <x:c r="L587" s="19" t="str">
        <x:v>Prior results on membership inference attacks have largely focused on the black-box setting, where the
attacker only has input–output access to the target model. This focus has been reinforced by folklore and
results demonstrating negligible gains from parameter access (known aswhite-box attacks) (Nasr et al., 2018;
Carlini et al., 2022). A well-known theoretical result by Sablayrolles et al. (2019) proves that black-box access
is sufficient for optimal membership inference under certain conditions. This result has been the basis of
several subsequent works (Ye et al., 2022; Chaudhari et al., 2024). However, the assumptions made in its
derivation do not hold for most models, including ones trained with stochastic gradient descent (SGD). This
theoretical result has detered researchers from exploring more the potential for inference methods that utilize</x:v>
      </x:c>
      <x:c r="M587" s="19" t="str">
        <x:v>该段包含可直接回答问题的方法、指标、比较或研究发现。</x:v>
      </x:c>
      <x:c r="N587" s="13" t="str">
        <x:v>http://arxiv.org/abs/2406.11544v4</x:v>
      </x:c>
    </x:row>
    <x:row r="588" ht="58" customHeight="1">
      <x:c r="A588" s="13" t="str">
        <x:v>csq020-c020</x:v>
      </x:c>
      <x:c r="B588" s="13" t="str">
        <x:v>csq020</x:v>
      </x:c>
      <x:c r="C588" s="21" t="n">
        <x:v>20</x:v>
      </x:c>
      <x:c r="D588" s="20" t="str">
        <x:v>2</x:v>
      </x:c>
      <x:c r="E588" s="20" t="str"/>
      <x:c r="F588" s="20" t="str">
        <x:f>IF(E588="",D588,E588)</x:f>
        <x:v>2</x:v>
      </x:c>
      <x:c r="G588" s="13" t="str">
        <x:v>Black-Box Membership Inference Attack for LVLMs via Prior Knowledge-Calibrated Memory Probing</x:v>
      </x:c>
      <x:c r="H588" s="13" t="n">
        <x:v>7</x:v>
      </x:c>
      <x:c r="I588" s="22" t="n">
        <x:v>0.015873015873015872</x:v>
      </x:c>
      <x:c r="J588" s="13" t="n">
        <x:v>1</x:v>
      </x:c>
      <x:c r="K588" s="19" t="str">
        <x:v>How do black-box and white-box membership inference attacks against machine learning models compare in their assumptions, methods, and evaluations?</x:v>
      </x:c>
      <x:c r="L588" s="19" t="str">
        <x:v>consistently surpasses existing black-box strategies while scaling with K to rival gray-box methods,
making it a strong candidate for auditing data exposure in real-world closed-source systems.
4.3 DAM-based Benchmark Construction and Evaluation
We constructed a benchmark based on the publicly released DAM model [30] to enable transparent
and controlled evaluation of membership inference attacks. Since DAM discloses its training corpus,
we can precisely separate member and non-member samples. Specifically, 200memberimages
were drawn from DAM’s COCOStuff training set §, and another 200non-memberimages were
sampled from COCOStuff with no overlap. This design ensures that both sets are drawn from
identical distributions, forming a clean and reproducible testbed for analyzing membership signals.</x:v>
      </x:c>
      <x:c r="M588" s="19" t="str">
        <x:v>该段包含可直接回答问题的方法、指标、比较或研究发现。</x:v>
      </x:c>
      <x:c r="N588" s="13" t="str">
        <x:v>http://arxiv.org/abs/2511.01952v1</x:v>
      </x:c>
    </x:row>
    <x:row r="589" ht="58" customHeight="1">
      <x:c r="A589" s="13" t="str">
        <x:v>csq020-c021</x:v>
      </x:c>
      <x:c r="B589" s="13" t="str">
        <x:v>csq020</x:v>
      </x:c>
      <x:c r="C589" s="21" t="n">
        <x:v>21</x:v>
      </x:c>
      <x:c r="D589" s="20" t="str">
        <x:v>2</x:v>
      </x:c>
      <x:c r="E589" s="20" t="str"/>
      <x:c r="F589" s="20" t="str">
        <x:f>IF(E589="",D589,E589)</x:f>
        <x:v>2</x:v>
      </x:c>
      <x:c r="G589" s="13" t="str">
        <x:v>Stolen Memories: Leveraging Model Memorization for Calibrated White-Box Membership Inference</x:v>
      </x:c>
      <x:c r="H589" s="13" t="n">
        <x:v>2</x:v>
      </x:c>
      <x:c r="I589" s="22" t="n">
        <x:v>0.015625</x:v>
      </x:c>
      <x:c r="J589" s="13" t="n">
        <x:v>1</x:v>
      </x:c>
      <x:c r="K589" s="19" t="str">
        <x:v>How do black-box and white-box membership inference attacks against machine learning models compare in their assumptions, methods, and evaluations?</x:v>
      </x:c>
      <x:c r="L589" s="19" t="str">
        <x:v>from the elements of the training set,S, used to generate target
model, ˆg. The attacker then attempts to predictb given (x,y)
and some additional knowledge,aux( ˆg), about ˆg determined
by the threat model (see below).
Threat Model. Prior work [38, 47] has focused primarily on
the so-called black-box model where the adversary has access
to D∗, the learning algorithm used to produce ˆg (including
hyperparameters), the size of the training set, and the ability
to query ˆg arbitrarily on new points. In practice, having access
to D∗ amounts to knowing a ﬁnite data set, ˜S (distinct from
S), sampled i.i.d. fromD∗.
In this work, we replace black-box access to ˆg with
white-box access. Rather than only being able to query the
target model, the attacker has access to the exact representation
of ˆg that was produced by the learning algorithm and used</x:v>
      </x:c>
      <x:c r="M589" s="19" t="str">
        <x:v>该段包含可直接回答问题的方法、指标、比较或研究发现。</x:v>
      </x:c>
      <x:c r="N589" s="13" t="str">
        <x:v>http://arxiv.org/abs/1906.11798v2</x:v>
      </x:c>
    </x:row>
    <x:row r="590" ht="58" customHeight="1">
      <x:c r="A590" s="13" t="str">
        <x:v>csq020-c022</x:v>
      </x:c>
      <x:c r="B590" s="13" t="str">
        <x:v>csq020</x:v>
      </x:c>
      <x:c r="C590" s="21" t="n">
        <x:v>22</x:v>
      </x:c>
      <x:c r="D590" s="20" t="str">
        <x:v>2</x:v>
      </x:c>
      <x:c r="E590" s="20" t="str"/>
      <x:c r="F590" s="20" t="str">
        <x:f>IF(E590="",D590,E590)</x:f>
        <x:v>2</x:v>
      </x:c>
      <x:c r="G590" s="13" t="str">
        <x:v>Comprehensive Privacy Analysis of Deep Learning: Passive and Active White-box Inference Attacks against Centralized and Federated Learning</x:v>
      </x:c>
      <x:c r="H590" s="13" t="n">
        <x:v>1</x:v>
      </x:c>
      <x:c r="I590" s="22" t="n">
        <x:v>0.015625</x:v>
      </x:c>
      <x:c r="J590" s="13" t="n">
        <x:v>1</x:v>
      </x:c>
      <x:c r="K590" s="19" t="str">
        <x:v>How do black-box and white-box membership inference attacks against machine learning models compare in their assumptions, methods, and evaluations?</x:v>
      </x:c>
      <x:c r="L590" s="19" t="str">
        <x:v>this knowledge, we train the attack model in an unsupervised
manner. We train auto-encoders to compute a membership
information embedding for any data. We then use a clustering
algorithm, on the target dataset, to separate members from
non-members based on their membership embedding.
To show the effectiveness of our white-box inference at-
tack, we evaluate the privacy of pre-trained and publicly
available state-of-the-art models on the CIFAR100 dataset.
We had no inﬂuence on training these models. Our results
show that the DenseNet model—which is the best model on
CIFAR100 with 82% test accuracy—is not much vulnerable
to black-box attacks (with a 54. 5% inference attack accuracy,
where 50% is the baseline for random guess). However, our
white-box membership inference attack obtains a consider-
ably higher accuracy of 74. 3%. This shows that even well-</x:v>
      </x:c>
      <x:c r="M590" s="19" t="str">
        <x:v>该段包含可直接回答问题的方法、指标、比较或研究发现。</x:v>
      </x:c>
      <x:c r="N590" s="13" t="str">
        <x:v>http://arxiv.org/abs/1812.00910v2</x:v>
      </x:c>
    </x:row>
    <x:row r="591" ht="58" customHeight="1">
      <x:c r="A591" s="13" t="str">
        <x:v>csq020-c023</x:v>
      </x:c>
      <x:c r="B591" s="13" t="str">
        <x:v>csq020</x:v>
      </x:c>
      <x:c r="C591" s="21" t="n">
        <x:v>23</x:v>
      </x:c>
      <x:c r="D591" s="20" t="str">
        <x:v>2</x:v>
      </x:c>
      <x:c r="E591" s="20" t="str"/>
      <x:c r="F591" s="20" t="str">
        <x:f>IF(E591="",D591,E591)</x:f>
        <x:v>2</x:v>
      </x:c>
      <x:c r="G591" s="13" t="str">
        <x:v>Black-Box Membership Inference Attack for LVLMs via Prior Knowledge-Calibrated Memory Probing</x:v>
      </x:c>
      <x:c r="H591" s="13" t="n">
        <x:v>7</x:v>
      </x:c>
      <x:c r="I591" s="22" t="n">
        <x:v>0.015151515151515152</x:v>
      </x:c>
      <x:c r="J591" s="13" t="n">
        <x:v>1</x:v>
      </x:c>
      <x:c r="K591" s="19" t="str">
        <x:v>How do black-box and white-box membership inference attacks against machine learning models compare in their assumptions, methods, and evaluations?</x:v>
      </x:c>
      <x:c r="L591" s="19" t="str">
        <x:v>strong gray-box baseline. In contrast, Image Infer, as a black-box method, maintains significantly
lower AUC across all settings. KCMP consistently outperforms Image Infer and achieves competitive
results with MaxRényi-K% on multiple configurations.
4.2 Membership Inference Attack Performance
We evaluate KCMP under both sample-level and dataset-level membership inference settings. As
shown in Table 1 and Fig. 2, KCMP consistently outperforms the black-box baseline Image Infer
across all models and dataset. Notably, the performance gap is consistent and pronounced even at
small K: at K= 10 on VL-MIA/Flickr, KCMP achieves an average AUC of 0.794 compared to 0.514
for Image Infer (Rouge-based). On VL-MIA/DALL-E, KCMP similarly outperforms Image Infer,
achieving 0.700 versus 0.511. With increasing K, KCMP shows steady improvement and gradually</x:v>
      </x:c>
      <x:c r="M591" s="19" t="str">
        <x:v>该段包含可直接回答问题的方法、指标、比较或研究发现。</x:v>
      </x:c>
      <x:c r="N591" s="13" t="str">
        <x:v>http://arxiv.org/abs/2511.01952v1</x:v>
      </x:c>
    </x:row>
    <x:row r="592" ht="58" customHeight="1">
      <x:c r="A592" s="13" t="str">
        <x:v>csq020-c024</x:v>
      </x:c>
      <x:c r="B592" s="13" t="str">
        <x:v>csq020</x:v>
      </x:c>
      <x:c r="C592" s="21" t="n">
        <x:v>24</x:v>
      </x:c>
      <x:c r="D592" s="20" t="str">
        <x:v>2</x:v>
      </x:c>
      <x:c r="E592" s="20" t="str"/>
      <x:c r="F592" s="20" t="str">
        <x:f>IF(E592="",D592,E592)</x:f>
        <x:v>2</x:v>
      </x:c>
      <x:c r="G592" s="13" t="str">
        <x:v>DocMIA: Document-Level Membership Inference Attacks against DocVQA Models</x:v>
      </x:c>
      <x:c r="H592" s="13" t="n">
        <x:v>8</x:v>
      </x:c>
      <x:c r="I592" s="22" t="n">
        <x:v>0.014705882352941176</x:v>
      </x:c>
      <x:c r="J592" s="13" t="n">
        <x:v>1</x:v>
      </x:c>
      <x:c r="K592" s="19" t="str">
        <x:v>How do black-box and white-box membership inference attacks against machine learning models compare in their assumptions, methods, and evaluations?</x:v>
      </x:c>
      <x:c r="L592" s="19" t="str">
        <x:v>Table 1: Results from Baseline Attacks. Gray color indicate attacks conducted in the black-box setting. All
results are reported based on five random seeds for KMEANS . The methods with the best average performance
across the two metrics are highlighted in bold.
5.4 B ASELINE
In the black-box setting, we evaluate three MI attacks as baselines, which only requires the predicted
answer to determine membership: Score-Threshold Attack (SCORE -TA), Unsupervised Score-based
Attack with AVG (SCORE -UA) (Tito et al., 2024) and Φall (SCORE -UAall).
For the grey-box setting, we consider two additional baselines: Min-K%(Shi et al., 2023) and Min-
K%++ (Zhang et al., 2024), which assumes access to token-level probabilities of the generated
answers to compute the membership score of each document.
In the white-box setting, where loss or gradient information is accessible, we evaluate three further</x:v>
      </x:c>
      <x:c r="M592" s="19" t="str">
        <x:v>该段包含可直接回答问题的方法、指标、比较或研究发现。</x:v>
      </x:c>
      <x:c r="N592" s="13" t="str">
        <x:v>http://arxiv.org/abs/2502.03692v1</x:v>
      </x:c>
    </x:row>
    <x:row r="593" ht="58" customHeight="1">
      <x:c r="A593" s="13" t="str">
        <x:v>csq020-c025</x:v>
      </x:c>
      <x:c r="B593" s="13" t="str">
        <x:v>csq020</x:v>
      </x:c>
      <x:c r="C593" s="21" t="n">
        <x:v>25</x:v>
      </x:c>
      <x:c r="D593" s="20" t="str">
        <x:v>2</x:v>
      </x:c>
      <x:c r="E593" s="20" t="str"/>
      <x:c r="F593" s="20" t="str">
        <x:f>IF(E593="",D593,E593)</x:f>
        <x:v>2</x:v>
      </x:c>
      <x:c r="G593" s="13" t="str">
        <x:v>ImpMIA: Leveraging Implicit Bias for Membership Inference Attack</x:v>
      </x:c>
      <x:c r="H593" s="13" t="n">
        <x:v>2</x:v>
      </x:c>
      <x:c r="I593" s="22" t="n">
        <x:v>0.014492753623188406</x:v>
      </x:c>
      <x:c r="J593" s="13" t="n">
        <x:v>1</x:v>
      </x:c>
      <x:c r="K593" s="19" t="str">
        <x:v>How do black-box and white-box membership inference attacks against machine learning models compare in their assumptions, methods, and evaluations?</x:v>
      </x:c>
      <x:c r="L593" s="19" t="str">
        <x:v>which data points were part of the training set of a machine
learning model. The strongest recent black-box methods are
reference-model based, and they rely on additional assump-
tions about the target model’s training configuration and the
candidate set, which are unlikely to hold in practice. In this
work, we focus on a scenario where the adversary has access
only to a superset that contains the training set (or part of
the training set) and to the model weights. This reflects
real-world conditions: modern models are often released
publicly with their weights, while auditors may possess
large candidate pools that include the training set but lack
detailed knowledge of the training data distribution or the
exact training configuration. Our setting adapts the basic
membership inference game (Yeom et al., 2018; Jayaraman
et al., 2021), where a single sample is evaluated at a time,</x:v>
      </x:c>
      <x:c r="M593" s="19" t="str">
        <x:v>该段包含可直接回答问题的方法、指标、比较或研究发现。</x:v>
      </x:c>
      <x:c r="N593" s="13" t="str">
        <x:v>http://arxiv.org/abs/2510.10625v3</x:v>
      </x:c>
    </x:row>
    <x:row r="594" ht="58" customHeight="1">
      <x:c r="A594" s="13" t="str">
        <x:v>csq020-c026</x:v>
      </x:c>
      <x:c r="B594" s="13" t="str">
        <x:v>csq020</x:v>
      </x:c>
      <x:c r="C594" s="21" t="n">
        <x:v>26</x:v>
      </x:c>
      <x:c r="D594" s="20" t="str">
        <x:v>2</x:v>
      </x:c>
      <x:c r="E594" s="20" t="str"/>
      <x:c r="F594" s="20" t="str">
        <x:f>IF(E594="",D594,E594)</x:f>
        <x:v>2</x:v>
      </x:c>
      <x:c r="G594" s="13" t="str">
        <x:v>White-box vs Black-box: Bayes Optimal Strategies for Membership Inference</x:v>
      </x:c>
      <x:c r="H594" s="13" t="n">
        <x:v>7</x:v>
      </x:c>
      <x:c r="I594" s="22" t="n">
        <x:v>0.014285714285714285</x:v>
      </x:c>
      <x:c r="J594" s="13" t="n">
        <x:v>1</x:v>
      </x:c>
      <x:c r="K594" s="19" t="str">
        <x:v>How do black-box and white-box membership inference attacks against machine learning models compare in their assumptions, methods, and evaluations?</x:v>
      </x:c>
      <x:c r="L594" s="19" t="str">
        <x:v>to derive the optimal inference strategy. This strategy, while
not explicit and therefore not applicable in practice, does
not depend on the parameters of the classiﬁer if we have ac-
cess to the loss. Therefore, a main conclusion of this paper
is to show that, asymptotically, white-box inference does
not provide more information than an optimized black-box
setting.
We then proposed two approximations that lead to three
concrete strategies. They outperform competitive strategies
for a simple logistic problem, by a large margin for our
most sophisticated approach (MATT). Our simplest strat-
egy (MALT) is applied to the more complex problem of
membership inference from a deep convolutional network
on Imagenet, and signiﬁcantly outperforms the baseline.</x:v>
      </x:c>
      <x:c r="M594" s="19" t="str">
        <x:v>该段包含可直接回答问题的方法、指标、比较或研究发现。</x:v>
      </x:c>
      <x:c r="N594" s="13" t="str">
        <x:v>http://arxiv.org/abs/1908.11229v1</x:v>
      </x:c>
    </x:row>
    <x:row r="595" ht="58" customHeight="1">
      <x:c r="A595" s="13" t="str">
        <x:v>csq020-c027</x:v>
      </x:c>
      <x:c r="B595" s="13" t="str">
        <x:v>csq020</x:v>
      </x:c>
      <x:c r="C595" s="21" t="n">
        <x:v>27</x:v>
      </x:c>
      <x:c r="D595" s="20" t="str">
        <x:v>2</x:v>
      </x:c>
      <x:c r="E595" s="20" t="str"/>
      <x:c r="F595" s="20" t="str">
        <x:f>IF(E595="",D595,E595)</x:f>
        <x:v>2</x:v>
      </x:c>
      <x:c r="G595" s="13" t="str">
        <x:v>The Surprising Effectiveness of Membership Inference with Simple N-Gram Coverage</x:v>
      </x:c>
      <x:c r="H595" s="13" t="n">
        <x:v>17</x:v>
      </x:c>
      <x:c r="I595" s="22" t="n">
        <x:v>0.014084507042253521</x:v>
      </x:c>
      <x:c r="J595" s="13" t="n">
        <x:v>1</x:v>
      </x:c>
      <x:c r="K595" s="19" t="str">
        <x:v>How do black-box and white-box membership inference attacks against machine learning models compare in their assumptions, methods, and evaluations?</x:v>
      </x:c>
      <x:c r="L595" s="19" t="str">
        <x:v>Published as a conference paper at COLM 2025
Our conclusions here echo that in our main experiments: our method, particularly with
coverage and creativity as similarity metrics, is effective across domains, and is comparable
and sometimes even better than white-box attacks.
Model Output-Only Methods Loss-Based Methods
Cov. Cre. LCSc LCSw D-C Loss R-Loss zlib MinK
Pythia 1.4B 0.53 0.53 0.51 0.52 0.50 0.54 0.56 0.53 0.54
Pythia 2.8B 0.54 0.54 0.49 0.50 0.50 0.54 0.58 0.54 0.54
Pythia 6.9B 0.53 0.53 0.50 0.51 0.50 0.55 0.60 0.55 0.55
Pythia 12B 0.54 0.54 0.52 0.51 0.50 0.56 0.62 0.55 0.56
Table 4: Comparison of membership inference attack performance (AUROC) against the
Pythia suite of models on the Pile. Across Pythia model scale, membership inference with
the Pile remains challenging. Bold denotes the best performance in the output-only methods,</x:v>
      </x:c>
      <x:c r="M595" s="19" t="str">
        <x:v>该段包含可直接回答问题的方法、指标、比较或研究发现。</x:v>
      </x:c>
      <x:c r="N595" s="13" t="str">
        <x:v>http://arxiv.org/abs/2508.09603v2</x:v>
      </x:c>
    </x:row>
    <x:row r="596" ht="58" customHeight="1">
      <x:c r="A596" s="13" t="str">
        <x:v>csq020-c028</x:v>
      </x:c>
      <x:c r="B596" s="13" t="str">
        <x:v>csq020</x:v>
      </x:c>
      <x:c r="C596" s="21" t="n">
        <x:v>28</x:v>
      </x:c>
      <x:c r="D596" s="20" t="str">
        <x:v>2</x:v>
      </x:c>
      <x:c r="E596" s="20" t="str"/>
      <x:c r="F596" s="20" t="str">
        <x:f>IF(E596="",D596,E596)</x:f>
        <x:v>2</x:v>
      </x:c>
      <x:c r="G596" s="13" t="str">
        <x:v>Stolen Memories: Leveraging Model Memorization for Calibrated White-Box Membership Inference</x:v>
      </x:c>
      <x:c r="H596" s="13" t="n">
        <x:v>6</x:v>
      </x:c>
      <x:c r="I596" s="22" t="n">
        <x:v>0.013513513513513514</x:v>
      </x:c>
      <x:c r="J596" s="13" t="n">
        <x:v>1</x:v>
      </x:c>
      <x:c r="K596" s="19" t="str">
        <x:v>How do black-box and white-box membership inference attacks against machine learning models compare in their assumptions, methods, and evaluations?</x:v>
      </x:c>
      <x:c r="L596" s="19" t="str">
        <x:v>black-box membership inference. Consider such an approach,
which learns properties of internal features that indicate
membership—involving activations, gradients, or any other
quantity—from shadow models. Any such property must make
reference to speciﬁc internal features within the shadow model,
but even if the target model contains internal features that
match these properties, they are unlikely to reside at exactly
the same location within the network as they do in the shadow
model. This is why previous white-box attacks [33] require
large amounts of the target model’s training data; rather than
learning attack models from shadow models, they are forced
to learn them from the target model itself and its training data.
7</x:v>
      </x:c>
      <x:c r="M596" s="19" t="str">
        <x:v>该段包含可直接回答问题的方法、指标、比较或研究发现。</x:v>
      </x:c>
      <x:c r="N596" s="13" t="str">
        <x:v>http://arxiv.org/abs/1906.11798v2</x:v>
      </x:c>
    </x:row>
    <x:row r="597" ht="58" customHeight="1">
      <x:c r="A597" s="13" t="str">
        <x:v>csq020-c029</x:v>
      </x:c>
      <x:c r="B597" s="13" t="str">
        <x:v>csq020</x:v>
      </x:c>
      <x:c r="C597" s="21" t="n">
        <x:v>29</x:v>
      </x:c>
      <x:c r="D597" s="20" t="str">
        <x:v>0</x:v>
      </x:c>
      <x:c r="E597" s="20" t="str"/>
      <x:c r="F597" s="20" t="str">
        <x:f>IF(E597="",D597,E597)</x:f>
        <x:v>0</x:v>
      </x:c>
      <x:c r="G597" s="13" t="str">
        <x:v>White-box vs Black-box: Bayes Optimal Strategies for Membership Inference</x:v>
      </x:c>
      <x:c r="H597" s="13" t="n">
        <x:v>9</x:v>
      </x:c>
      <x:c r="I597" s="22" t="n">
        <x:v>0.013513513513513514</x:v>
      </x:c>
      <x:c r="J597" s="13" t="n">
        <x:v>1</x:v>
      </x:c>
      <x:c r="K597" s="19" t="str">
        <x:v>How do black-box and white-box membership inference attacks against machine learning models compare in their assumptions, methods, and evaluations?</x:v>
      </x:c>
      <x:c r="L597" s="19" t="str">
        <x:v>White-box vs Black-box: Bayes Optimal Strategies for Membership Inference
Max Welling and Yee Whye Teh. Bayesian learning via
stochastic gradient langevin dynamics. In ICML, 2011.
Samuel Yeom, Irene Giacomelli, Matt Fredrikson, and
Somesh Jha. Privacy risk in machine learning: Analyzing
the connection to overﬁtting. In CSF, 2018.
Chiyuan Zhang, Samy Bengio, Moritz Hardt, Benjamin
Recht, and Oriol Vinyals. Understanding deep learning
requires rethinking generalization. In ICLR, 2017.</x:v>
      </x:c>
      <x:c r="M597" s="19" t="str">
        <x:v>该段为无关内容、泛泛提及或参考文献片段，不能作为回答证据。</x:v>
      </x:c>
      <x:c r="N597" s="13" t="str">
        <x:v>http://arxiv.org/abs/1908.11229v1</x:v>
      </x:c>
    </x:row>
    <x:row r="598" ht="58" customHeight="1">
      <x:c r="A598" s="13" t="str">
        <x:v>csq020-c030</x:v>
      </x:c>
      <x:c r="B598" s="13" t="str">
        <x:v>csq020</x:v>
      </x:c>
      <x:c r="C598" s="21" t="n">
        <x:v>30</x:v>
      </x:c>
      <x:c r="D598" s="20" t="str">
        <x:v>2</x:v>
      </x:c>
      <x:c r="E598" s="20" t="str"/>
      <x:c r="F598" s="20" t="str">
        <x:f>IF(E598="",D598,E598)</x:f>
        <x:v>2</x:v>
      </x:c>
      <x:c r="G598" s="13" t="str">
        <x:v>Do Parameters Reveal More than Loss for Membership Inference?</x:v>
      </x:c>
      <x:c r="H598" s="13" t="n">
        <x:v>0</x:v>
      </x:c>
      <x:c r="I598" s="22" t="n">
        <x:v>0.013333333333333334</x:v>
      </x:c>
      <x:c r="J598" s="13" t="n">
        <x:v>1</x:v>
      </x:c>
      <x:c r="K598" s="19" t="str">
        <x:v>How do black-box and white-box membership inference attacks against machine learning models compare in their assumptions, methods, and evaluations?</x:v>
      </x:c>
      <x:c r="L598" s="19" t="str">
        <x:v>provide tight bounds on leakage from potential attacks. We show how prior claims around
black-box access being sufficient for optimal membership inference do not hold for stochastic
gradient descent, and that optimal membership inference indeed requires white-box access.
Our theoretical results lead to a new white-box inference attack,IHA (Inverse Hessian
Attack), that explicitly uses model parameters by taking advantage of computing inverse-
Hessian vector products. Our results show that both auditors and adversaries may be able
to benefit from access to model parameters, and we advocate for further research into white-
box methods for membership inference.
1 Introduction
Models produced by using machine learning on private training data can leak sensitive information about
data used to train or tune the model (Salem et al., 2023). Researchers study these privacy risks by either</x:v>
      </x:c>
      <x:c r="M598" s="19" t="str">
        <x:v>该段包含可直接回答问题的方法、指标、比较或研究发现。</x:v>
      </x:c>
      <x:c r="N598" s="13" t="str">
        <x:v>http://arxiv.org/abs/2406.11544v4</x:v>
      </x:c>
    </x:row>
    <x:row r="599" ht="58" customHeight="1">
      <x:c r="A599" s="13" t="str">
        <x:v>csq021-c001</x:v>
      </x:c>
      <x:c r="B599" s="13" t="str">
        <x:v>csq021</x:v>
      </x:c>
      <x:c r="C599" s="21" t="n">
        <x:v>1</x:v>
      </x:c>
      <x:c r="D599" s="20" t="str">
        <x:v>1</x:v>
      </x:c>
      <x:c r="E599" s="20" t="str"/>
      <x:c r="F599" s="20" t="str">
        <x:f>IF(E599="",D599,E599)</x:f>
        <x:v>1</x:v>
      </x:c>
      <x:c r="G599" s="13" t="str">
        <x:v>Towards Robust Detection of Open Source Software Supply Chain Poisoning Attacks in Industry Environments</x:v>
      </x:c>
      <x:c r="H599" s="13" t="n">
        <x:v>1</x:v>
      </x:c>
      <x:c r="I599" s="22" t="n">
        <x:v>0.07660156440797415</x:v>
      </x:c>
      <x:c r="J599" s="13" t="n">
        <x:v>5</x:v>
      </x:c>
      <x:c r="K599" s="19" t="str">
        <x:v>Which datasets, benchmarks, and metrics are used to evaluate software supply-chain vulnerability and malicious-package detection methods?</x:v>
      </x:c>
      <x:c r="L599" s="19" t="str">
        <x:v>ASE ’24, October 27-November 1, 2024, Sacramento, CA, USA Xinyi Zheng et al.
downstream applications that depend on them [19, 51]. The conse-
quences of such attacks can be severe, ranging from data breaches
and intellectual property theft to widespread system compromises
and reputational damage.
Research Gaps. Traditional vetting and security measures applied
to proprietary software (such as signature-based VirusTotal) are
often less stringent [8, 17]. Effectively detecting malicious packages
in real repositories to ensure the safety of the software supply chain
remains a significant challenge [31, 45]. One significant limitation
of static analysis methods is their high false positive rates when
applied to real-world package repositories like NPM and PyPI [45].
These repositories are vast and continually expanding, with di-</x:v>
      </x:c>
      <x:c r="M599" s="19" t="str">
        <x:v>该段提供相关背景或侧面信息，但没有直接回答问题核心。</x:v>
      </x:c>
      <x:c r="N599" s="13" t="str">
        <x:v>http://arxiv.org/abs/2409.09356v1</x:v>
      </x:c>
    </x:row>
    <x:row r="600" ht="58" customHeight="1">
      <x:c r="A600" s="13" t="str">
        <x:v>csq021-c002</x:v>
      </x:c>
      <x:c r="B600" s="13" t="str">
        <x:v>csq021</x:v>
      </x:c>
      <x:c r="C600" s="21" t="n">
        <x:v>2</x:v>
      </x:c>
      <x:c r="D600" s="20" t="str">
        <x:v>2</x:v>
      </x:c>
      <x:c r="E600" s="20" t="str"/>
      <x:c r="F600" s="20" t="str">
        <x:f>IF(E600="",D600,E600)</x:f>
        <x:v>2</x:v>
      </x:c>
      <x:c r="G600" s="13" t="str">
        <x:v>Towards Robust Detection of Open Source Software Supply Chain Poisoning Attacks in Industry Environments</x:v>
      </x:c>
      <x:c r="H600" s="13" t="n">
        <x:v>5</x:v>
      </x:c>
      <x:c r="I600" s="22" t="n">
        <x:v>0.06290463886909005</x:v>
      </x:c>
      <x:c r="J600" s="13" t="n">
        <x:v>4</x:v>
      </x:c>
      <x:c r="K600" s="19" t="str">
        <x:v>Which datasets, benchmarks, and metrics are used to evaluate software supply-chain vulnerability and malicious-package detection methods?</x:v>
      </x:c>
      <x:c r="L600" s="19" t="str">
        <x:v>ASE ’24, October 27-November 1, 2024, Sacramento, CA, USA Xinyi Zheng et al.
information to unknown domains, which require manual review,
packages that match black list rules are generally deemed malicious.
5 EV ALUATION
Our evaluation targets the following research questions:
• RQ1 (Performance). How does OSCAR perform in terms of
code poisoning detection on the benchmark dataset?
• RQ2 (Improvements). What advancements does OSCAR pro-
vide compared to other state-of-the-art techniques?
• RQ3 (Industrial Deployment). Can OSCAR effectively detect
malicious packages in large-scale real-world data?
5.1 Datasets
Benchmark Dataset. We construct a benchmark dataset contain-
ing both malicious and benign packages. The NPM malicious pack-
ages originate from those published on Snyk [39], OSV [35], and
Socket Security [ 41] between January 2024 and June 2024. The</x:v>
      </x:c>
      <x:c r="M600" s="19" t="str">
        <x:v>该段包含可直接回答问题的方法、指标、比较或研究发现。</x:v>
      </x:c>
      <x:c r="N600" s="13" t="str">
        <x:v>http://arxiv.org/abs/2409.09356v1</x:v>
      </x:c>
    </x:row>
    <x:row r="601" ht="58" customHeight="1">
      <x:c r="A601" s="13" t="str">
        <x:v>csq021-c003</x:v>
      </x:c>
      <x:c r="B601" s="13" t="str">
        <x:v>csq021</x:v>
      </x:c>
      <x:c r="C601" s="21" t="n">
        <x:v>3</x:v>
      </x:c>
      <x:c r="D601" s="20" t="str">
        <x:v>1</x:v>
      </x:c>
      <x:c r="E601" s="20" t="str"/>
      <x:c r="F601" s="20" t="str">
        <x:f>IF(E601="",D601,E601)</x:f>
        <x:v>1</x:v>
      </x:c>
      <x:c r="G601" s="13" t="str">
        <x:v>QUT-DV25: A Dataset for Dynamic Analysis of Next-Gen Software Supply Chain Attacks</x:v>
      </x:c>
      <x:c r="H601" s="13" t="n">
        <x:v>0</x:v>
      </x:c>
      <x:c r="I601" s="22" t="n">
        <x:v>0.04618300439195962</x:v>
      </x:c>
      <x:c r="J601" s="13" t="n">
        <x:v>3</x:v>
      </x:c>
      <x:c r="K601" s="19" t="str">
        <x:v>Which datasets, benchmarks, and metrics are used to evaluate software supply-chain vulnerability and malicious-package detection methods?</x:v>
      </x:c>
      <x:c r="L601" s="19" t="str">
        <x:v>of downloads. These packages deployed covert remote access and multi-phase
payloads, were reported to PyPI maintainers, and subsequently removed. This
highlights the practical value of QUT-DV25, as it outperforms reactive, metadata,
and static datasets, offering a robust foundation for developing and benchmarking
advanced threat detection within the evolving software supply chain ecosystem.
1 Introduction
The exponential growth of Open-Source Software (OSS) has introduced significant cybersecurity
challenges, particularly in detecting sophisticated software supply chain attacks targeting ecosystems
like the Python Package Index (PyPI) [ 1, 2]. PyPI hosts over 620,000 packages and facilitates
billions of daily downloads, underscoring its central role in modern software development [ 3, 4].
However, its open nature and rapid scalability have made it a prime target for adversaries [5]. As</x:v>
      </x:c>
      <x:c r="M601" s="19" t="str">
        <x:v>该段提供相关背景或侧面信息，但没有直接回答问题核心。</x:v>
      </x:c>
      <x:c r="N601" s="13" t="str">
        <x:v>http://arxiv.org/abs/2505.13804v2</x:v>
      </x:c>
    </x:row>
    <x:row r="602" ht="58" customHeight="1">
      <x:c r="A602" s="13" t="str">
        <x:v>csq021-c004</x:v>
      </x:c>
      <x:c r="B602" s="13" t="str">
        <x:v>csq021</x:v>
      </x:c>
      <x:c r="C602" s="21" t="n">
        <x:v>4</x:v>
      </x:c>
      <x:c r="D602" s="20" t="str">
        <x:v>2</x:v>
      </x:c>
      <x:c r="E602" s="20" t="str"/>
      <x:c r="F602" s="20" t="str">
        <x:f>IF(E602="",D602,E602)</x:f>
        <x:v>2</x:v>
      </x:c>
      <x:c r="G602" s="13" t="str">
        <x:v>Backstabber's Knife Collection: A Review of Open Source Software Supply Chain Attacks</x:v>
      </x:c>
      <x:c r="H602" s="13" t="n">
        <x:v>17</x:v>
      </x:c>
      <x:c r="I602" s="22" t="n">
        <x:v>0.04616113053613054</x:v>
      </x:c>
      <x:c r="J602" s="13" t="n">
        <x:v>3</x:v>
      </x:c>
      <x:c r="K602" s="19" t="str">
        <x:v>Which datasets, benchmarks, and metrics are used to evaluate software supply-chain vulnerability and malicious-package detection methods?</x:v>
      </x:c>
      <x:c r="L602" s="19" t="str">
        <x:v>and others will need to be developed. For example, we expect new techniques
and tools to scan entire package repositories for suspicious packages, e.g. on the
basis of the observation that malicious code is reused across packages of the
same campaign, and even across languages. In this context, the manually curated
and labeled dataset allows for supervised learning approaches that support the
automated and repository-wide search for malicious packages. Moreover, with
regard to existing and new mitigation strategies, the presented dataset may pose
as a benchmark. Last, acknowledging the importance of a comprehensive and
up-to-date dataset, it will be necessary to continue its curation – contributions
are welcome.
References
1. B. Chess, F. DeQuan Lee, J.W.: Attacking the build through cross-build injection:
How your build process can open the gates to a trojan horse. https://www.fortify.</x:v>
      </x:c>
      <x:c r="M602" s="19" t="str">
        <x:v>该段包含可直接回答问题的方法、指标、比较或研究发现。</x:v>
      </x:c>
      <x:c r="N602" s="13" t="str">
        <x:v>http://arxiv.org/abs/2005.09535v1</x:v>
      </x:c>
    </x:row>
    <x:row r="603" ht="58" customHeight="1">
      <x:c r="A603" s="13" t="str">
        <x:v>csq021-c005</x:v>
      </x:c>
      <x:c r="B603" s="13" t="str">
        <x:v>csq021</x:v>
      </x:c>
      <x:c r="C603" s="21" t="n">
        <x:v>5</x:v>
      </x:c>
      <x:c r="D603" s="20" t="str">
        <x:v>2</x:v>
      </x:c>
      <x:c r="E603" s="20" t="str"/>
      <x:c r="F603" s="20" t="str">
        <x:f>IF(E603="",D603,E603)</x:f>
        <x:v>2</x:v>
      </x:c>
      <x:c r="G603" s="13" t="str">
        <x:v>QUT-DV25: A Dataset for Dynamic Analysis of Next-Gen Software Supply Chain Attacks</x:v>
      </x:c>
      <x:c r="H603" s="13" t="n">
        <x:v>9</x:v>
      </x:c>
      <x:c r="I603" s="22" t="n">
        <x:v>0.04392998306041784</x:v>
      </x:c>
      <x:c r="J603" s="13" t="n">
        <x:v>3</x:v>
      </x:c>
      <x:c r="K603" s="19" t="str">
        <x:v>Which datasets, benchmarks, and metrics are used to evaluate software supply-chain vulnerability and malicious-package detection methods?</x:v>
      </x:c>
      <x:c r="L603" s="19" t="str">
        <x:v>ϕpost-install-time(T &gt;120s
j )to enhance dataset detection robustness.
Other applications of QUT-DV25:The proposed dataset enables training ML models for malicious
package detection using user and system-level traces and modeling multi-stage attacks such as
dynamic payload execution and covert remote access. It also supports feature attribution studies for
understanding behavioral indicators of compromise and provides a benchmark for evaluating dynamic
detection systems. With eBPF-collected behavioral data from 14,271 PyPI packages, QUT-DV25
offers a practical foundation for advancing dynamic malware analysis in software supply chains. This
study benefits society by enhancing software supply chain security and leading to the removal of four
previously undetected malicious PyPI packages. However, techniques like eBPF tracing, while safely</x:v>
      </x:c>
      <x:c r="M603" s="19" t="str">
        <x:v>该段包含可直接回答问题的方法、指标、比较或研究发现。</x:v>
      </x:c>
      <x:c r="N603" s="13" t="str">
        <x:v>http://arxiv.org/abs/2505.13804v2</x:v>
      </x:c>
    </x:row>
    <x:row r="604" ht="58" customHeight="1">
      <x:c r="A604" s="13" t="str">
        <x:v>csq021-c006</x:v>
      </x:c>
      <x:c r="B604" s="13" t="str">
        <x:v>csq021</x:v>
      </x:c>
      <x:c r="C604" s="21" t="n">
        <x:v>6</x:v>
      </x:c>
      <x:c r="D604" s="20" t="str">
        <x:v>2</x:v>
      </x:c>
      <x:c r="E604" s="20" t="str"/>
      <x:c r="F604" s="20" t="str">
        <x:f>IF(E604="",D604,E604)</x:f>
        <x:v>2</x:v>
      </x:c>
      <x:c r="G604" s="13" t="str">
        <x:v>QUT-DV25: A Dataset for Dynamic Analysis of Next-Gen Software Supply Chain Attacks</x:v>
      </x:c>
      <x:c r="H604" s="13" t="n">
        <x:v>0</x:v>
      </x:c>
      <x:c r="I604" s="22" t="n">
        <x:v>0.04352173647948296</x:v>
      </x:c>
      <x:c r="J604" s="13" t="n">
        <x:v>3</x:v>
      </x:c>
      <x:c r="K604" s="19" t="str">
        <x:v>Which datasets, benchmarks, and metrics are used to evaluate software supply-chain vulnerability and malicious-package detection methods?</x:v>
      </x:c>
      <x:c r="L604" s="19" t="str">
        <x:v>address this gap, we present QUT-DV25, a dynamic analysis dataset specifically
designed to support and advance research on detecting and mitigating supply chain
attacks within the Python Package Index (PyPI) ecosystem. This dataset captures
install and post-install-time traces from 14,271 Python packages, of which 7,127
are malicious. The packages are executed in an isolated sandbox environment using
an extended Berkeley Packet Filter (eBPF) kernel and user-level probes. It captures
36 real-time features, that includes system calls, network traffic, resource usages,
directory access patterns, dependency logs, and installation behaviors, enabling the
study of next-gen attack vectors. ML analysis using theQUT-DV25 dataset identified
four malicious PyPI packages previously labeled as benign, each with thousands
of downloads. These packages deployed covert remote access and multi-phase</x:v>
      </x:c>
      <x:c r="M604" s="19" t="str">
        <x:v>该段包含可直接回答问题的方法、指标、比较或研究发现。</x:v>
      </x:c>
      <x:c r="N604" s="13" t="str">
        <x:v>http://arxiv.org/abs/2505.13804v2</x:v>
      </x:c>
    </x:row>
    <x:row r="605" ht="58" customHeight="1">
      <x:c r="A605" s="13" t="str">
        <x:v>csq021-c007</x:v>
      </x:c>
      <x:c r="B605" s="13" t="str">
        <x:v>csq021</x:v>
      </x:c>
      <x:c r="C605" s="21" t="n">
        <x:v>7</x:v>
      </x:c>
      <x:c r="D605" s="20" t="str">
        <x:v>2</x:v>
      </x:c>
      <x:c r="E605" s="20" t="str"/>
      <x:c r="F605" s="20" t="str">
        <x:f>IF(E605="",D605,E605)</x:f>
        <x:v>2</x:v>
      </x:c>
      <x:c r="G605" s="13" t="str">
        <x:v>QUT-DV25: A Dataset for Dynamic Analysis of Next-Gen Software Supply Chain Attacks</x:v>
      </x:c>
      <x:c r="H605" s="13" t="n">
        <x:v>9</x:v>
      </x:c>
      <x:c r="I605" s="22" t="n">
        <x:v>0.04311039484286865</x:v>
      </x:c>
      <x:c r="J605" s="13" t="n">
        <x:v>3</x:v>
      </x:c>
      <x:c r="K605" s="19" t="str">
        <x:v>Which datasets, benchmarks, and metrics are used to evaluate software supply-chain vulnerability and malicious-package detection methods?</x:v>
      </x:c>
      <x:c r="L605" s="19" t="str">
        <x:v>user-level probes. The dataset models real-world PyPI packages by capturing 36 features, includ-
ing system calls, network activity, and installation traces, across 14,271 packages, of which 7,127
exhibited malicious characteristics. Unlike static or metadata-based datasets that only represent
surface-level attributes, QUT-DV25 reflects modern attack behaviors observed during both install-
time and post-install-time execution. Comparative evaluation demonstrates superior performance
in modeling complex, dynamic threat vectors. QUT-DV25 serves as a modern benchmark for dy-
namic malware detection and contributes to the advancement of next-gen software supply chain
threat defenses. Future work includes extending the dataset to additional ecosystems, incorporating
environment-sensitive attacks, and integrating ML frameworks for automated threat hunting across</x:v>
      </x:c>
      <x:c r="M605" s="19" t="str">
        <x:v>该段包含可直接回答问题的方法、指标、比较或研究发现。</x:v>
      </x:c>
      <x:c r="N605" s="13" t="str">
        <x:v>http://arxiv.org/abs/2505.13804v2</x:v>
      </x:c>
    </x:row>
    <x:row r="606" ht="58" customHeight="1">
      <x:c r="A606" s="13" t="str">
        <x:v>csq021-c008</x:v>
      </x:c>
      <x:c r="B606" s="13" t="str">
        <x:v>csq021</x:v>
      </x:c>
      <x:c r="C606" s="21" t="n">
        <x:v>8</x:v>
      </x:c>
      <x:c r="D606" s="20" t="str">
        <x:v>0</x:v>
      </x:c>
      <x:c r="E606" s="20" t="str"/>
      <x:c r="F606" s="20" t="str">
        <x:f>IF(E606="",D606,E606)</x:f>
        <x:v>0</x:v>
      </x:c>
      <x:c r="G606" s="13" t="str">
        <x:v>QUT-DV25: A Dataset for Dynamic Analysis of Next-Gen Software Supply Chain Attacks</x:v>
      </x:c>
      <x:c r="H606" s="13" t="n">
        <x:v>10</x:v>
      </x:c>
      <x:c r="I606" s="22" t="n">
        <x:v>0.04288048552754435</x:v>
      </x:c>
      <x:c r="J606" s="13" t="n">
        <x:v>3</x:v>
      </x:c>
      <x:c r="K606" s="19" t="str">
        <x:v>Which datasets, benchmarks, and metrics are used to evaluate software supply-chain vulnerability and malicious-package detection methods?</x:v>
      </x:c>
      <x:c r="L606" s="19" t="str">
        <x:v>F or Detecting Malicious PyPI Packages. New York, NY , USA: Association for Computing
Machinery, 2025, p. 1617–1626.
[6] Snyk Security, “Snyk security - vulnerability database and security insights,” accessed: May 18,
2024. [Online]. Available: https://security.snyk.io/
[7] National Institute of Standards and Technology (NIST), “National vulnerability database (nvd),”
accessed: June 1, 2024. [Online]. Available: https://nvd.nist.gov/vuln
[8] VirusTotal, “Virustotal - free online virus, malware and url scanner,” accessed: July 12, 2024.
[Online]. Available: https://www.virustotal.com/gui/user/tanzirmehedi.qut
[9] Black Duck Software, “Software composition analysis tools: Languages and package
managers,” accessed: December 15, 2024. [Online]. Available: https://www.blackduck.com/
software-composition-analysis-tools/languages-and-package-managers.html</x:v>
      </x:c>
      <x:c r="M606" s="19" t="str">
        <x:v>该段为无关内容、泛泛提及或参考文献片段，不能作为回答证据。</x:v>
      </x:c>
      <x:c r="N606" s="13" t="str">
        <x:v>http://arxiv.org/abs/2505.13804v2</x:v>
      </x:c>
    </x:row>
    <x:row r="607" ht="58" customHeight="1">
      <x:c r="A607" s="13" t="str">
        <x:v>csq021-c009</x:v>
      </x:c>
      <x:c r="B607" s="13" t="str">
        <x:v>csq021</x:v>
      </x:c>
      <x:c r="C607" s="21" t="n">
        <x:v>9</x:v>
      </x:c>
      <x:c r="D607" s="20" t="str">
        <x:v>0</x:v>
      </x:c>
      <x:c r="E607" s="20" t="str"/>
      <x:c r="F607" s="20" t="str">
        <x:f>IF(E607="",D607,E607)</x:f>
        <x:v>0</x:v>
      </x:c>
      <x:c r="G607" s="13" t="str">
        <x:v>Towards Robust Detection of Open Source Software Supply Chain Poisoning Attacks in Industry Environments</x:v>
      </x:c>
      <x:c r="H607" s="13" t="n">
        <x:v>10</x:v>
      </x:c>
      <x:c r="I607" s="22" t="n">
        <x:v>0.04247184684684685</x:v>
      </x:c>
      <x:c r="J607" s="13" t="n">
        <x:v>3</x:v>
      </x:c>
      <x:c r="K607" s="19" t="str">
        <x:v>Which datasets, benchmarks, and metrics are used to evaluate software supply-chain vulnerability and malicious-package detection methods?</x:v>
      </x:c>
      <x:c r="L607" s="19" t="str">
        <x:v>//doi.org/10.1145/3600160.3600162
[32] Marc Ohm, Arnold Sykosch, and Michael Meier. 2020. Towards detection of
software supply chain attacks by forensic artifacts. In Proceedings of the 15th
International Conference on A vailability, Reliability and Security (Virtual Event,
Ireland) (ARES ’20). Association for Computing Machinery, New York, NY, USA,
Article 65, 6 pages. https://doi.org/10.1145/3407023.3409183
[33] Open Source Security Foundation (OpenSSF). 2024. package-analysis. https:
//github.com/ossf/package-analysis. Accessed: 2024-07-15.
[34] Ori Or-Meir, Nir Nissim, Yuval Elovici, and Lior Rokach. 2019. Dynamic Malware
Analysis in the Modern Era—A State of the Art Survey. ACM Comput. Surv. 52, 5,
Article 88 (sep 2019), 48 pages. https://doi.org/10.1145/3329786
[35] OSV. 2024. OSV Vulnerabilities Database. https://osv.dev/list?q=&amp;ecosystem=
npm. Accessed: 2024-09-13.</x:v>
      </x:c>
      <x:c r="M607" s="19" t="str">
        <x:v>该段为无关内容、泛泛提及或参考文献片段，不能作为回答证据。</x:v>
      </x:c>
      <x:c r="N607" s="13" t="str">
        <x:v>http://arxiv.org/abs/2409.09356v1</x:v>
      </x:c>
    </x:row>
    <x:row r="608" ht="58" customHeight="1">
      <x:c r="A608" s="13" t="str">
        <x:v>csq021-c010</x:v>
      </x:c>
      <x:c r="B608" s="13" t="str">
        <x:v>csq021</x:v>
      </x:c>
      <x:c r="C608" s="21" t="n">
        <x:v>10</x:v>
      </x:c>
      <x:c r="D608" s="20" t="str">
        <x:v>2</x:v>
      </x:c>
      <x:c r="E608" s="20" t="str"/>
      <x:c r="F608" s="20" t="str">
        <x:f>IF(E608="",D608,E608)</x:f>
        <x:v>2</x:v>
      </x:c>
      <x:c r="G608" s="13" t="str">
        <x:v>QUT-DV25: A Dataset for Dynamic Analysis of Next-Gen Software Supply Chain Attacks</x:v>
      </x:c>
      <x:c r="H608" s="13" t="n">
        <x:v>1</x:v>
      </x:c>
      <x:c r="I608" s="22" t="n">
        <x:v>0.04111647051257316</x:v>
      </x:c>
      <x:c r="J608" s="13" t="n">
        <x:v>3</x:v>
      </x:c>
      <x:c r="K608" s="19" t="str">
        <x:v>Which datasets, benchmarks, and metrics are used to evaluate software supply-chain vulnerability and malicious-package detection methods?</x:v>
      </x:c>
      <x:c r="L608" s="19" t="str">
        <x:v>• A controlled, isolated testbed framework to generate and collect datasets by installing
and executing packages and capturing behaviors such as typosquatting, dynamic payload
generation, and multiphase malware execution.
•QUT-DV25 , a dataset of 14,271 packages, including 7,127 malicious ones, with 36 features
across six categories that capture install-time and post-install-time behaviors previously
unexplored for malicious package detection.
• A first-hand evaluation of four popular machine learning and two deep learning models on
the proposed dataset is also provided as a baseline for further research.
This study is organized as follows: Section 2 reviews existing datasets. Section 3 outlines the dataset
construction and details of the dataset. Section 4 presents technical validation and benchmarks.</x:v>
      </x:c>
      <x:c r="M608" s="19" t="str">
        <x:v>该段包含可直接回答问题的方法、指标、比较或研究发现。</x:v>
      </x:c>
      <x:c r="N608" s="13" t="str">
        <x:v>http://arxiv.org/abs/2505.13804v2</x:v>
      </x:c>
    </x:row>
    <x:row r="609" ht="58" customHeight="1">
      <x:c r="A609" s="13" t="str">
        <x:v>csq021-c011</x:v>
      </x:c>
      <x:c r="B609" s="13" t="str">
        <x:v>csq021</x:v>
      </x:c>
      <x:c r="C609" s="21" t="n">
        <x:v>11</x:v>
      </x:c>
      <x:c r="D609" s="20" t="str">
        <x:v>0</x:v>
      </x:c>
      <x:c r="E609" s="20" t="str"/>
      <x:c r="F609" s="20" t="str">
        <x:f>IF(E609="",D609,E609)</x:f>
        <x:v>0</x:v>
      </x:c>
      <x:c r="G609" s="13" t="str">
        <x:v>QUT-DV25: A Dataset for Dynamic Analysis of Next-Gen Software Supply Chain Attacks</x:v>
      </x:c>
      <x:c r="H609" s="13" t="n">
        <x:v>11</x:v>
      </x:c>
      <x:c r="I609" s="22" t="n">
        <x:v>0.032266458495966696</x:v>
      </x:c>
      <x:c r="J609" s="13" t="n">
        <x:v>2</x:v>
      </x:c>
      <x:c r="K609" s="19" t="str">
        <x:v>Which datasets, benchmarks, and metrics are used to evaluate software supply-chain vulnerability and malicious-package detection methods?</x:v>
      </x:c>
      <x:c r="L609" s="19" t="str">
        <x:v>https://github.com/lxyeternal/pypi_malregistry.
[21] M. Ohm, H. Plate, A. Sykosch, and M. Meier, “Backstabber’s knife collection: A review of open
source software supply chain attacks,” inInternational Conference on Detection of Intrusions
and Malware, and Vulnerability Assessment. Springer, 2020, pp. 23–43, dataset available at
https://dasfreak.github.io/Backstabbers-Knife-Collection/.
[22] DataDog Security Labs, “Malicious software packages dataset,” 2023, accessed: July 31, 2024.
[Online]. Available: https://github.com/DataDog/malicious-software-packages-dataset
[23] T. Iqbal, G. Wu, Z. Iqbal, M. B. Mahmood, A. Shafique, and W. Guo, “Pypiguard: A novel meta-
learning approach for enhanced malicious package detection in pypi through static-dynamic
feature fusion,”Journal of Information Security and Applications, p. 104032, 2025, dataset</x:v>
      </x:c>
      <x:c r="M609" s="19" t="str">
        <x:v>该段为无关内容、泛泛提及或参考文献片段，不能作为回答证据。</x:v>
      </x:c>
      <x:c r="N609" s="13" t="str">
        <x:v>http://arxiv.org/abs/2505.13804v2</x:v>
      </x:c>
    </x:row>
    <x:row r="610" ht="58" customHeight="1">
      <x:c r="A610" s="13" t="str">
        <x:v>csq021-c012</x:v>
      </x:c>
      <x:c r="B610" s="13" t="str">
        <x:v>csq021</x:v>
      </x:c>
      <x:c r="C610" s="21" t="n">
        <x:v>12</x:v>
      </x:c>
      <x:c r="D610" s="20" t="str">
        <x:v>2</x:v>
      </x:c>
      <x:c r="E610" s="20" t="str"/>
      <x:c r="F610" s="20" t="str">
        <x:f>IF(E610="",D610,E610)</x:f>
        <x:v>2</x:v>
      </x:c>
      <x:c r="G610" s="13" t="str">
        <x:v>QUT-DV25: A Dataset for Dynamic Analysis of Next-Gen Software Supply Chain Attacks</x:v>
      </x:c>
      <x:c r="H610" s="13" t="n">
        <x:v>0</x:v>
      </x:c>
      <x:c r="I610" s="22" t="n">
        <x:v>0.03200204813108039</x:v>
      </x:c>
      <x:c r="J610" s="13" t="n">
        <x:v>2</x:v>
      </x:c>
      <x:c r="K610" s="19" t="str">
        <x:v>Which datasets, benchmarks, and metrics are used to evaluate software supply-chain vulnerability and malicious-package detection methods?</x:v>
      </x:c>
      <x:c r="L610" s="19" t="str">
        <x:v>QUT-DV25: A Dataset for Dynamic Analysis of
Next-Gen Software Supply Chain Attacks
Sk Tanzir Mehedi1,∗, Raja Jurdak1, Chadni Islam2, and Gowri Ramachandran1
1Queensland University of Technology, Brisbane, Australia
2Edith Cowan University, Joondalup, Australia
Abstract
Securing software supply chains is a growing challenge due to the inadequacy of
existing datasets in capturing the complexity of next-gen attacks, such as multiphase
malware execution, remote access activation, and dynamic payload generation.
Existing datasets, which rely on metadata inspection and static code analysis, are
inadequate for detecting such attacks. This creates a critical gap because these
datasets do not capture what happens during and after a package is installed. To
address this gap, we present QUT-DV25, a dynamic analysis dataset specifically</x:v>
      </x:c>
      <x:c r="M610" s="19" t="str">
        <x:v>该段包含可直接回答问题的方法、指标、比较或研究发现。</x:v>
      </x:c>
      <x:c r="N610" s="13" t="str">
        <x:v>http://arxiv.org/abs/2505.13804v2</x:v>
      </x:c>
    </x:row>
    <x:row r="611" ht="58" customHeight="1">
      <x:c r="A611" s="13" t="str">
        <x:v>csq021-c013</x:v>
      </x:c>
      <x:c r="B611" s="13" t="str">
        <x:v>csq021</x:v>
      </x:c>
      <x:c r="C611" s="21" t="n">
        <x:v>13</x:v>
      </x:c>
      <x:c r="D611" s="20" t="str">
        <x:v>2</x:v>
      </x:c>
      <x:c r="E611" s="20" t="str"/>
      <x:c r="F611" s="20" t="str">
        <x:f>IF(E611="",D611,E611)</x:f>
        <x:v>2</x:v>
      </x:c>
      <x:c r="G611" s="13" t="str">
        <x:v>Backstabber's Knife Collection: A Review of Open Source Software Supply Chain Attacks</x:v>
      </x:c>
      <x:c r="H611" s="13" t="n">
        <x:v>0</x:v>
      </x:c>
      <x:c r="I611" s="22" t="n">
        <x:v>0.029709507042253523</x:v>
      </x:c>
      <x:c r="J611" s="13" t="n">
        <x:v>2</x:v>
      </x:c>
      <x:c r="K611" s="19" t="str">
        <x:v>Which datasets, benchmarks, and metrics are used to evaluate software supply-chain vulnerability and malicious-package detection methods?</x:v>
      </x:c>
      <x:c r="L611" s="19" t="str">
        <x:v>agers that automatically resolve, download and install hundreds of open
source packages throughout the software life cycle.
This paper presents a dataset of 174 malicious software packages that
were used in real-world attacks on open source software supply chains,
and which were distributed via the popular package repositories npm,
PyPI, and RubyGems. Those packages, dating from November 2015
to November 2019, were manually collected and analyzed. The paper
also presents two general attack trees to provide a structured overview
about techniques to inject malicious code into the dependency tree of
downstream users, and to execute such code at diﬀerent times and under
diﬀerent conditions.
This work is meant to facilitate the future development of preventive and
detective safeguards by open source and research communities.
Keywords: Application Security, Malware, Software Supply Chain.</x:v>
      </x:c>
      <x:c r="M611" s="19" t="str">
        <x:v>该段包含可直接回答问题的方法、指标、比较或研究发现。</x:v>
      </x:c>
      <x:c r="N611" s="13" t="str">
        <x:v>http://arxiv.org/abs/2005.09535v1</x:v>
      </x:c>
    </x:row>
    <x:row r="612" ht="58" customHeight="1">
      <x:c r="A612" s="13" t="str">
        <x:v>csq021-c014</x:v>
      </x:c>
      <x:c r="B612" s="13" t="str">
        <x:v>csq021</x:v>
      </x:c>
      <x:c r="C612" s="21" t="n">
        <x:v>14</x:v>
      </x:c>
      <x:c r="D612" s="20" t="str">
        <x:v>2</x:v>
      </x:c>
      <x:c r="E612" s="20" t="str"/>
      <x:c r="F612" s="20" t="str">
        <x:f>IF(E612="",D612,E612)</x:f>
        <x:v>2</x:v>
      </x:c>
      <x:c r="G612" s="13" t="str">
        <x:v>Towards Robust Detection of Open Source Software Supply Chain Poisoning Attacks in Industry Environments</x:v>
      </x:c>
      <x:c r="H612" s="13" t="n">
        <x:v>5</x:v>
      </x:c>
      <x:c r="I612" s="22" t="n">
        <x:v>0.02946236559139785</x:v>
      </x:c>
      <x:c r="J612" s="13" t="n">
        <x:v>2</x:v>
      </x:c>
      <x:c r="K612" s="19" t="str">
        <x:v>Which datasets, benchmarks, and metrics are used to evaluate software supply-chain vulnerability and malicious-package detection methods?</x:v>
      </x:c>
      <x:c r="L612" s="19" t="str">
        <x:v>Socket Security [ 41] between January 2024 and June 2024. The
PyPI malicious packages are randomly selected from the pypi_
malregistry [20] dataset, where most of the malicious packages are
uploaded recently. The benign packages are randomly chosen from
popular packages. In both NPM and PyPI, the numbers of malicious
and benign packages are set to 500 and 1500, respectively, ensuring
a consistent 1:3 ratio. We evaluate the selected artifacts and tools on
this benchmark dataset to assess their ability to correctly identify
malicious packages (RQ1).
Risk-Characteristic Benign Dataset. Additionally, to demon-
strate the improvements of OSCAR over existing static detection
tools, we collect a set of benign packages with risk characteristics
but without actual malicious behavior from Socket [40]. These pack-
ages, downloaded from official repositories, are specifically chosen</x:v>
      </x:c>
      <x:c r="M612" s="19" t="str">
        <x:v>该段包含可直接回答问题的方法、指标、比较或研究发现。</x:v>
      </x:c>
      <x:c r="N612" s="13" t="str">
        <x:v>http://arxiv.org/abs/2409.09356v1</x:v>
      </x:c>
    </x:row>
    <x:row r="613" ht="58" customHeight="1">
      <x:c r="A613" s="13" t="str">
        <x:v>csq021-c015</x:v>
      </x:c>
      <x:c r="B613" s="13" t="str">
        <x:v>csq021</x:v>
      </x:c>
      <x:c r="C613" s="21" t="n">
        <x:v>15</x:v>
      </x:c>
      <x:c r="D613" s="20" t="str">
        <x:v>1</x:v>
      </x:c>
      <x:c r="E613" s="20" t="str"/>
      <x:c r="F613" s="20" t="str">
        <x:f>IF(E613="",D613,E613)</x:f>
        <x:v>1</x:v>
      </x:c>
      <x:c r="G613" s="13" t="str">
        <x:v>Understanding the Supply Chain and Risks of Large Language Model Applications</x:v>
      </x:c>
      <x:c r="H613" s="13" t="n">
        <x:v>7</x:v>
      </x:c>
      <x:c r="I613" s="22" t="n">
        <x:v>0.029386529386529386</x:v>
      </x:c>
      <x:c r="J613" s="13" t="n">
        <x:v>2</x:v>
      </x:c>
      <x:c r="K613" s="19" t="str">
        <x:v>Which datasets, benchmarks, and metrics are used to evaluate software supply-chain vulnerability and malicious-package detection methods?</x:v>
      </x:c>
      <x:c r="L613" s="19" t="str">
        <x:v>Notice,OSV.dev,GitHubAdvisoryDatabase). Bycomparingdependencieswithdisclosedsecurityvulnerability
records, we identify a total of 1,229 CVE vulnerability records related to these libraries.
Finding 2: Although it is easy to find GitHub issues and Hugging Face discussions that include risk-
relevant comments, only a few of them (8.9%) can be treated as real-world risk issues after manual
checking. there is a pressing need for a dedicated and structured risk database for models and datasets,
similar to the CVE system.
Dataset Comparison. We further compareLLMSCBench with existing datasets in terms of their coverage of
applications, components, and associated risk information, as summarized in Table 3.LLMSCBench is the
first benchmark that comprehensively captures multiple components of the LLM supply chain while also
documenting their interdependencies and associated risk issues.</x:v>
      </x:c>
      <x:c r="M613" s="19" t="str">
        <x:v>该段提供相关背景或侧面信息，但没有直接回答问题核心。</x:v>
      </x:c>
      <x:c r="N613" s="13" t="str">
        <x:v>http://arxiv.org/abs/2507.18105v1</x:v>
      </x:c>
    </x:row>
    <x:row r="614" ht="58" customHeight="1">
      <x:c r="A614" s="13" t="str">
        <x:v>csq021-c016</x:v>
      </x:c>
      <x:c r="B614" s="13" t="str">
        <x:v>csq021</x:v>
      </x:c>
      <x:c r="C614" s="21" t="n">
        <x:v>16</x:v>
      </x:c>
      <x:c r="D614" s="20" t="str">
        <x:v>2</x:v>
      </x:c>
      <x:c r="E614" s="20" t="str"/>
      <x:c r="F614" s="20" t="str">
        <x:f>IF(E614="",D614,E614)</x:f>
        <x:v>2</x:v>
      </x:c>
      <x:c r="G614" s="13" t="str">
        <x:v>An Empirical Study of Vulnerabilities in Python Packages and Their Detection</x:v>
      </x:c>
      <x:c r="H614" s="13" t="n">
        <x:v>1</x:v>
      </x:c>
      <x:c r="I614" s="22" t="n">
        <x:v>0.02919863597612958</x:v>
      </x:c>
      <x:c r="J614" s="13" t="n">
        <x:v>2</x:v>
      </x:c>
      <x:c r="K614" s="19" t="str">
        <x:v>Which datasets, benchmarks, and metrics are used to evaluate software supply-chain vulnerability and malicious-package detection methods?</x:v>
      </x:c>
      <x:c r="L614" s="19" t="str">
        <x:v>ities regarding programming languages, function compositions,
and CWEs.
• A thorough evaluation of how well existing rule-based and ML-
based detectors can identify vulnerabilities in PyVul, accompa-
nied by an in-depth diagnosis of their major performance short-
comings for both approaches.
• Our benchmark, code, and experimental scripts are made openly
accessible at https://github.com/billquan/PyVul.
2 Benchmark Construction
In this section, we elaborate on the three steps used to establish a
large and high-quality benchmark for Python package vulnerabili-
ties, PyVul. These steps include data collection, benchmark curation,
and data cleansing.
2.1 Data Collection
We collect Python package vulnerabilities from three vulnerabil-
ity reporting platforms that detail the ecosystems from which the
vulnerabilities originate: GitHub Advisories [ 8], Snyk [ 14], and</x:v>
      </x:c>
      <x:c r="M614" s="19" t="str">
        <x:v>该段包含可直接回答问题的方法、指标、比较或研究发现。</x:v>
      </x:c>
      <x:c r="N614" s="13" t="str">
        <x:v>http://arxiv.org/abs/2509.04260v1</x:v>
      </x:c>
    </x:row>
    <x:row r="615" ht="58" customHeight="1">
      <x:c r="A615" s="13" t="str">
        <x:v>csq021-c017</x:v>
      </x:c>
      <x:c r="B615" s="13" t="str">
        <x:v>csq021</x:v>
      </x:c>
      <x:c r="C615" s="21" t="n">
        <x:v>17</x:v>
      </x:c>
      <x:c r="D615" s="20" t="str">
        <x:v>2</x:v>
      </x:c>
      <x:c r="E615" s="20" t="str"/>
      <x:c r="F615" s="20" t="str">
        <x:f>IF(E615="",D615,E615)</x:f>
        <x:v>2</x:v>
      </x:c>
      <x:c r="G615" s="13" t="str">
        <x:v>QUT-DV25: A Dataset for Dynamic Analysis of Next-Gen Software Supply Chain Attacks</x:v>
      </x:c>
      <x:c r="H615" s="13" t="n">
        <x:v>1</x:v>
      </x:c>
      <x:c r="I615" s="22" t="n">
        <x:v>0.02904040404040404</x:v>
      </x:c>
      <x:c r="J615" s="13" t="n">
        <x:v>2</x:v>
      </x:c>
      <x:c r="K615" s="19" t="str">
        <x:v>Which datasets, benchmarks, and metrics are used to evaluate software supply-chain vulnerability and malicious-package detection methods?</x:v>
      </x:c>
      <x:c r="L615" s="19" t="str">
        <x:v>The effectiveness of MDSs relies on their detection performance metrics, which require evaluation
against comprehensive datasets containing both benign and malicious package behaviors [ 17, 5].
Widely adopted metadata and static dataset benchmarks, such as the PyPI Malware Registry [20],
Backstabber’s Knife Collection [21], DataDog [22], and PyPIGuard [23], have served as standards
for MDS validation. However, recent studies highlight critical limitations in these datasets [5, 24].
For instance, metadata datasets capture only package details like descriptions and author profiles,
while static datasets focus on code attributes such as function signatures and import statements,
without executing packages during installation or post-installation [17, 5]. This omission severely
limits their ability to detect dynamic threats such as typosquatting, remote access activation, and</x:v>
      </x:c>
      <x:c r="M615" s="19" t="str">
        <x:v>该段包含可直接回答问题的方法、指标、比较或研究发现。</x:v>
      </x:c>
      <x:c r="N615" s="13" t="str">
        <x:v>http://arxiv.org/abs/2505.13804v2</x:v>
      </x:c>
    </x:row>
    <x:row r="616" ht="58" customHeight="1">
      <x:c r="A616" s="13" t="str">
        <x:v>csq021-c018</x:v>
      </x:c>
      <x:c r="B616" s="13" t="str">
        <x:v>csq021</x:v>
      </x:c>
      <x:c r="C616" s="21" t="n">
        <x:v>18</x:v>
      </x:c>
      <x:c r="D616" s="20" t="str">
        <x:v>2</x:v>
      </x:c>
      <x:c r="E616" s="20" t="str"/>
      <x:c r="F616" s="20" t="str">
        <x:f>IF(E616="",D616,E616)</x:f>
        <x:v>2</x:v>
      </x:c>
      <x:c r="G616" s="13" t="str">
        <x:v>Towards Robust Detection of Open Source Software Supply Chain Poisoning Attacks in Industry Environments</x:v>
      </x:c>
      <x:c r="H616" s="13" t="n">
        <x:v>5</x:v>
      </x:c>
      <x:c r="I616" s="22" t="n">
        <x:v>0.01639344262295082</x:v>
      </x:c>
      <x:c r="J616" s="13" t="n">
        <x:v>1</x:v>
      </x:c>
      <x:c r="K616" s="19" t="str">
        <x:v>Which datasets, benchmarks, and metrics are used to evaluate software supply-chain vulnerability and malicious-package detection methods?</x:v>
      </x:c>
      <x:c r="L616" s="19" t="str">
        <x:v>tives (TP, the number of packages correctly classified as malicious),
false positives (FP, the number of packages incorrectly classified as
malicious), and false negatives (FN, the number of packages incor-
rectly classified as benign) to assess performance. Additionally, to
measure overall effectiveness, we use precision, recall, and F1 score
as evaluation metrics.
Our experiment focuses on determining if a package is malicious,
not on detailed analysis results. Here is how we classify packages
as malicious for each tool. For SAP and Amalfi, results directly
indicate the package’s nature. For Guarddog and OSCAR, any
matching report deems a package malicious. For Bandit4Mal,
OSSGadget, and AppInspector, each rule is accompanied by a
Severity and Confidence score. We classify a package as malicious
if both the severity and confidence are high for Bandit4Mal and</x:v>
      </x:c>
      <x:c r="M616" s="19" t="str">
        <x:v>该段包含可直接回答问题的方法、指标、比较或研究发现。</x:v>
      </x:c>
      <x:c r="N616" s="13" t="str">
        <x:v>http://arxiv.org/abs/2409.09356v1</x:v>
      </x:c>
    </x:row>
    <x:row r="617" ht="58" customHeight="1">
      <x:c r="A617" s="13" t="str">
        <x:v>csq021-c019</x:v>
      </x:c>
      <x:c r="B617" s="13" t="str">
        <x:v>csq021</x:v>
      </x:c>
      <x:c r="C617" s="21" t="n">
        <x:v>19</x:v>
      </x:c>
      <x:c r="D617" s="20" t="str">
        <x:v>2</x:v>
      </x:c>
      <x:c r="E617" s="20" t="str"/>
      <x:c r="F617" s="20" t="str">
        <x:f>IF(E617="",D617,E617)</x:f>
        <x:v>2</x:v>
      </x:c>
      <x:c r="G617" s="13" t="str">
        <x:v>QUT-DV25: A Dataset for Dynamic Analysis of Next-Gen Software Supply Chain Attacks</x:v>
      </x:c>
      <x:c r="H617" s="13" t="n">
        <x:v>3</x:v>
      </x:c>
      <x:c r="I617" s="22" t="n">
        <x:v>0.01639344262295082</x:v>
      </x:c>
      <x:c r="J617" s="13" t="n">
        <x:v>1</x:v>
      </x:c>
      <x:c r="K617" s="19" t="str">
        <x:v>Which datasets, benchmarks, and metrics are used to evaluate software supply-chain vulnerability and malicious-package detection methods?</x:v>
      </x:c>
      <x:c r="L617" s="19" t="str">
        <x:v>We propose the QUT-DV25 Dataset Framework, a structured methodology for constructing a dataset
that captures both install-time and post-install-time behaviors of software packages. This framework
is designed to meet the growing need for dynamic datasets in detecting multi-stage, next-gen software
supply chain attacks, particularly within ecosystems such as PyPI. The framework systematically
integrates three phases: (i) dataset collection, (ii) labeling and validation, and (iii) trace extraction, as
illustrated in Figure 2.
Phase (i) Dataset Collection Phase (ii) Dataset Labeling and ValidationPhase (iii) Trace Extraction
Staticdata
Combined
Dataset
Benign or
Malicious?
No
Scripts
QUT-DV25 
Dataset
Isolated
Env with RPIs
eBPF Program
Linux Kernel
Install
Packages
Scripts
Similarity
Algorithms
   Similarity ≥ 
threshold
No
Yes
Malicious 
and
Counterpart
Benign 
Packages</x:v>
      </x:c>
      <x:c r="M617" s="19" t="str">
        <x:v>该段包含可直接回答问题的方法、指标、比较或研究发现。</x:v>
      </x:c>
      <x:c r="N617" s="13" t="str">
        <x:v>http://arxiv.org/abs/2505.13804v2</x:v>
      </x:c>
    </x:row>
    <x:row r="618" ht="58" customHeight="1">
      <x:c r="A618" s="13" t="str">
        <x:v>csq021-c020</x:v>
      </x:c>
      <x:c r="B618" s="13" t="str">
        <x:v>csq021</x:v>
      </x:c>
      <x:c r="C618" s="21" t="n">
        <x:v>20</x:v>
      </x:c>
      <x:c r="D618" s="20" t="str">
        <x:v>2</x:v>
      </x:c>
      <x:c r="E618" s="20" t="str"/>
      <x:c r="F618" s="20" t="str">
        <x:f>IF(E618="",D618,E618)</x:f>
        <x:v>2</x:v>
      </x:c>
      <x:c r="G618" s="13" t="str">
        <x:v>QUT-DV25: A Dataset for Dynamic Analysis of Next-Gen Software Supply Chain Attacks</x:v>
      </x:c>
      <x:c r="H618" s="13" t="n">
        <x:v>8</x:v>
      </x:c>
      <x:c r="I618" s="22" t="n">
        <x:v>0.016129032258064516</x:v>
      </x:c>
      <x:c r="J618" s="13" t="n">
        <x:v>1</x:v>
      </x:c>
      <x:c r="K618" s="19" t="str">
        <x:v>Which datasets, benchmarks, and metrics are used to evaluate software supply-chain vulnerability and malicious-package detection methods?</x:v>
      </x:c>
      <x:c r="L618" s="19" t="str">
        <x:v>In contrast, MetadataDataset exhibited high false positives ( FPR = 13.90% ), attributable
to its dependence on superficial package attributes, leading to poor generalization. Similarly,
StaticDataset lacked install-time and post-install-time features, resulting in elevated false neg-
atives (FNR = 6.63% ). Both baselines struggled with previously unseen samples. QUT-DV25
outperforms both meta and static dataset baselines acrossA,F 1, and confusion matrix dimensions.
This dataset also enables the distinction between benign and malicious system call patterns [ 41].
By facilitating the differentiation of these patterns, it supports a more robust evaluation of their
discriminative power in classification tasks. We also analyzed cases where ML models made mistakes.
The RF model flagged 11 packages out of 1,000 recent PyPI packages that were originally labeled as</x:v>
      </x:c>
      <x:c r="M618" s="19" t="str">
        <x:v>该段包含可直接回答问题的方法、指标、比较或研究发现。</x:v>
      </x:c>
      <x:c r="N618" s="13" t="str">
        <x:v>http://arxiv.org/abs/2505.13804v2</x:v>
      </x:c>
    </x:row>
    <x:row r="619" ht="58" customHeight="1">
      <x:c r="A619" s="13" t="str">
        <x:v>csq021-c021</x:v>
      </x:c>
      <x:c r="B619" s="13" t="str">
        <x:v>csq021</x:v>
      </x:c>
      <x:c r="C619" s="21" t="n">
        <x:v>21</x:v>
      </x:c>
      <x:c r="D619" s="20" t="str">
        <x:v>2</x:v>
      </x:c>
      <x:c r="E619" s="20" t="str"/>
      <x:c r="F619" s="20" t="str">
        <x:f>IF(E619="",D619,E619)</x:f>
        <x:v>2</x:v>
      </x:c>
      <x:c r="G619" s="13" t="str">
        <x:v>Towards Robust Detection of Open Source Software Supply Chain Poisoning Attacks in Industry Environments</x:v>
      </x:c>
      <x:c r="H619" s="13" t="n">
        <x:v>5</x:v>
      </x:c>
      <x:c r="I619" s="22" t="n">
        <x:v>0.015873015873015872</x:v>
      </x:c>
      <x:c r="J619" s="13" t="n">
        <x:v>1</x:v>
      </x:c>
      <x:c r="K619" s="19" t="str">
        <x:v>Which datasets, benchmarks, and metrics are used to evaluate software supply-chain vulnerability and malicious-package detection methods?</x:v>
      </x:c>
      <x:c r="L619" s="19" t="str">
        <x:v>if both the severity and confidence are high for Bandit4Mal and
AppInspector. For OSSGadget, a package is malicious if both the
severity and confidence are above medium2. Additionally, during
the detection process, all tools utilize the default configurations for
their respective rules and feature sets.
Performance Comparison. The detection results are shown in
Table 5. Overall, OSCAR performs excellently on both datasets, par-
ticularly in terms of precision and F1 scores. On the PyPI dataset,
1We use AppInspector to represent ApplicationInspector for short.
2These thresholds were determined through comprehensive analysis to optimize
detection accuracy while minimizing false positives across benchmark datasets.</x:v>
      </x:c>
      <x:c r="M619" s="19" t="str">
        <x:v>该段包含可直接回答问题的方法、指标、比较或研究发现。</x:v>
      </x:c>
      <x:c r="N619" s="13" t="str">
        <x:v>http://arxiv.org/abs/2409.09356v1</x:v>
      </x:c>
    </x:row>
    <x:row r="620" ht="58" customHeight="1">
      <x:c r="A620" s="13" t="str">
        <x:v>csq021-c022</x:v>
      </x:c>
      <x:c r="B620" s="13" t="str">
        <x:v>csq021</x:v>
      </x:c>
      <x:c r="C620" s="21" t="n">
        <x:v>22</x:v>
      </x:c>
      <x:c r="D620" s="20" t="str">
        <x:v>2</x:v>
      </x:c>
      <x:c r="E620" s="20" t="str"/>
      <x:c r="F620" s="20" t="str">
        <x:f>IF(E620="",D620,E620)</x:f>
        <x:v>2</x:v>
      </x:c>
      <x:c r="G620" s="13" t="str">
        <x:v>An Empirical Study of Vulnerabilities in Python Packages and Their Detection</x:v>
      </x:c>
      <x:c r="H620" s="13" t="n">
        <x:v>4</x:v>
      </x:c>
      <x:c r="I620" s="22" t="n">
        <x:v>0.015625</x:v>
      </x:c>
      <x:c r="J620" s="13" t="n">
        <x:v>1</x:v>
      </x:c>
      <x:c r="K620" s="19" t="str">
        <x:v>Which datasets, benchmarks, and metrics are used to evaluate software supply-chain vulnerability and malicious-package detection methods?</x:v>
      </x:c>
      <x:c r="L620" s="19" t="str">
        <x:v>An Empirical Study of Vulnerabilities in Python Packages and Their Detection Conference’17, July 2017, Washington, DC, USA
structed by carefully examining existing data sources, including
VUDENC [66] and BigVul [30], to ensure high quality. However,
the intensive manual effort involved in creating this dataset lim-
its its scalability. It is important to note that the original SVEN
dataset does not include commit-level vulnerabilities, which are
essential for rule-based vulnerability detectors that operate on
repository snapshots. To address this gap, we enhanced the SVEN
dataset by incorporating the relevant fix commits for the identi-
fied vulnerable and non-vulnerable function pairs. This supple-
mentation resulted in a total of 143 commit-level vulnerability
and non-vulnerability samples.
• CVEFixes [20] and CrossVul [50]. Both CVEFixes and CrossVul are</x:v>
      </x:c>
      <x:c r="M620" s="19" t="str">
        <x:v>该段包含可直接回答问题的方法、指标、比较或研究发现。</x:v>
      </x:c>
      <x:c r="N620" s="13" t="str">
        <x:v>http://arxiv.org/abs/2509.04260v1</x:v>
      </x:c>
    </x:row>
    <x:row r="621" ht="58" customHeight="1">
      <x:c r="A621" s="13" t="str">
        <x:v>csq021-c023</x:v>
      </x:c>
      <x:c r="B621" s="13" t="str">
        <x:v>csq021</x:v>
      </x:c>
      <x:c r="C621" s="21" t="n">
        <x:v>23</x:v>
      </x:c>
      <x:c r="D621" s="20" t="str">
        <x:v>1</x:v>
      </x:c>
      <x:c r="E621" s="20" t="str"/>
      <x:c r="F621" s="20" t="str">
        <x:f>IF(E621="",D621,E621)</x:f>
        <x:v>1</x:v>
      </x:c>
      <x:c r="G621" s="13" t="str">
        <x:v>Lexo: Eliminating Stealthy Supply-Chain Attacks via LLM-Assisted Program Regeneration</x:v>
      </x:c>
      <x:c r="H621" s="13" t="n">
        <x:v>0</x:v>
      </x:c>
      <x:c r="I621" s="22" t="n">
        <x:v>0.015384615384615385</x:v>
      </x:c>
      <x:c r="J621" s="13" t="n">
        <x:v>1</x:v>
      </x:c>
      <x:c r="K621" s="19" t="str">
        <x:v>Which datasets, benchmarks, and metrics are used to evaluate software supply-chain vulnerability and malicious-package detection methods?</x:v>
      </x:c>
      <x:c r="L621" s="19" t="str">
        <x:v>cious code when given the source code of the component and
prompted to do so.
1 Introduction
Supply-chain attacks have been an ongoing issue in the soft-
ware industry [6, 15, 18, 28, 61, 74, 86, 94], resulting in over
$46B damages in recent years [82]. These attacks target a
victim’s supplier, exploiting the fact that the victim software
depends on software provided by the supplier. As modern
software comprises thousands of dependencies, it is challeng-
ing for developers to audit all dependencies—and particularly
so for dependencies nested deeply in the dependency chain.
Automated detection of such attacks remains challenging,
as malicious components use various evasion techniques.
Lib-N develop
programLib-1
develop
program
test
test
deploy attack!lint
lint+LLM
develop
program test deployLexo
 lint
+Lexo
deploy attack?
LLM
Typical dev workflow</x:v>
      </x:c>
      <x:c r="M621" s="19" t="str">
        <x:v>该段提供相关背景或侧面信息，但没有直接回答问题核心。</x:v>
      </x:c>
      <x:c r="N621" s="13" t="str">
        <x:v>http://arxiv.org/abs/2510.14522v3</x:v>
      </x:c>
    </x:row>
    <x:row r="622" ht="58" customHeight="1">
      <x:c r="A622" s="13" t="str">
        <x:v>csq021-c024</x:v>
      </x:c>
      <x:c r="B622" s="13" t="str">
        <x:v>csq021</x:v>
      </x:c>
      <x:c r="C622" s="21" t="n">
        <x:v>24</x:v>
      </x:c>
      <x:c r="D622" s="20" t="str">
        <x:v>2</x:v>
      </x:c>
      <x:c r="E622" s="20" t="str"/>
      <x:c r="F622" s="20" t="str">
        <x:f>IF(E622="",D622,E622)</x:f>
        <x:v>2</x:v>
      </x:c>
      <x:c r="G622" s="13" t="str">
        <x:v>An Empirical Study of Vulnerabilities in Python Packages and Their Detection</x:v>
      </x:c>
      <x:c r="H622" s="13" t="n">
        <x:v>3</x:v>
      </x:c>
      <x:c r="I622" s="22" t="n">
        <x:v>0.015384615384615385</x:v>
      </x:c>
      <x:c r="J622" s="13" t="n">
        <x:v>1</x:v>
      </x:c>
      <x:c r="K622" s="19" t="str">
        <x:v>Which datasets, benchmarks, and metrics are used to evaluate software supply-chain vulnerability and malicious-package detection methods?</x:v>
      </x:c>
      <x:c r="L622" s="19" t="str">
        <x:v>PyVul. We select the subject datasets based on two criteria: 1) the
dataset must contain vulnerable Python code; and 2) the vulnera-
bilities in the dataset should either be manually verified or linked
to corresponding advisory reports or Common Vulnerabilities and
Exposures (CVE) entries, ensuring the dataset’s high quality.
• SVEN [33]. SVEN is a manually annotated vulnerability dataset
that contains 808 pairs of vulnerable and non-vulnerable func-
tions across various programming languages. Among these, 380
pairs refer specifically to Python functions. SVEN was con-</x:v>
      </x:c>
      <x:c r="M622" s="19" t="str">
        <x:v>该段包含可直接回答问题的方法、指标、比较或研究发现。</x:v>
      </x:c>
      <x:c r="N622" s="13" t="str">
        <x:v>http://arxiv.org/abs/2509.04260v1</x:v>
      </x:c>
    </x:row>
    <x:row r="623" ht="58" customHeight="1">
      <x:c r="A623" s="13" t="str">
        <x:v>csq021-c025</x:v>
      </x:c>
      <x:c r="B623" s="13" t="str">
        <x:v>csq021</x:v>
      </x:c>
      <x:c r="C623" s="21" t="n">
        <x:v>25</x:v>
      </x:c>
      <x:c r="D623" s="20" t="str">
        <x:v>2</x:v>
      </x:c>
      <x:c r="E623" s="20" t="str"/>
      <x:c r="F623" s="20" t="str">
        <x:f>IF(E623="",D623,E623)</x:f>
        <x:v>2</x:v>
      </x:c>
      <x:c r="G623" s="13" t="str">
        <x:v>Towards Robust Detection of Open Source Software Supply Chain Poisoning Attacks in Industry Environments</x:v>
      </x:c>
      <x:c r="H623" s="13" t="n">
        <x:v>6</x:v>
      </x:c>
      <x:c r="I623" s="22" t="n">
        <x:v>0.015384615384615385</x:v>
      </x:c>
      <x:c r="J623" s="13" t="n">
        <x:v>1</x:v>
      </x:c>
      <x:c r="K623" s="19" t="str">
        <x:v>Which datasets, benchmarks, and metrics are used to evaluate software supply-chain vulnerability and malicious-package detection methods?</x:v>
      </x:c>
      <x:c r="L623" s="19" t="str">
        <x:v>both NPM and PyPI, demonstrating particularly high accuracy
in detection.
5.4 Improvement (RQ2)
We evaluate OSCAR and six other baseline artifacts on the risk-
characteristic benign dataset. The evaluation metric is the false</x:v>
      </x:c>
      <x:c r="M623" s="19" t="str">
        <x:v>该段包含可直接回答问题的方法、指标、比较或研究发现。</x:v>
      </x:c>
      <x:c r="N623" s="13" t="str">
        <x:v>http://arxiv.org/abs/2409.09356v1</x:v>
      </x:c>
    </x:row>
    <x:row r="624" ht="58" customHeight="1">
      <x:c r="A624" s="13" t="str">
        <x:v>csq021-c026</x:v>
      </x:c>
      <x:c r="B624" s="13" t="str">
        <x:v>csq021</x:v>
      </x:c>
      <x:c r="C624" s="21" t="n">
        <x:v>26</x:v>
      </x:c>
      <x:c r="D624" s="20" t="str">
        <x:v>2</x:v>
      </x:c>
      <x:c r="E624" s="20" t="str"/>
      <x:c r="F624" s="20" t="str">
        <x:f>IF(E624="",D624,E624)</x:f>
        <x:v>2</x:v>
      </x:c>
      <x:c r="G624" s="13" t="str">
        <x:v>Towards Robust Detection of Open Source Software Supply Chain Poisoning Attacks in Industry Environments</x:v>
      </x:c>
      <x:c r="H624" s="13" t="n">
        <x:v>8</x:v>
      </x:c>
      <x:c r="I624" s="22" t="n">
        <x:v>0.015151515151515152</x:v>
      </x:c>
      <x:c r="J624" s="13" t="n">
        <x:v>1</x:v>
      </x:c>
      <x:c r="K624" s="19" t="str">
        <x:v>Which datasets, benchmarks, and metrics are used to evaluate software supply-chain vulnerability and malicious-package detection methods?</x:v>
      </x:c>
      <x:c r="L624" s="19" t="str">
        <x:v>Towards Robust Detection of Open Source Software Supply Chain Poisoning Attacks in Industry Environments ASE ’24, October 27-November 1, 2024, Sacramento, CA, USA
2023-012023-022023-032023-042023-052023-062023-072023-082023-092023-102023-112023-122024-012024-022024-032024-042024-052024-06
0
200
400
600
800
1000
1200
1400Detected Malicious Packages in NPM
0
50
100
150
200
250
300
Detected Malicious Packages in PyPI
NPM PyPI
Figure 6: Malicious packages detected by OSCAR in NPM and PyPI over the past 18 months.
Table 8: RDE sample instance detection results.
Artifact Matched Rule Key Log Info
AppInspector[23] Cloud Service:
Code Repository
download_extract
(‘https://git...
Bandit4Mal[21] tarfile_unsafe_members tar = tarfile.
open(dl_path)...
Guarddog[2] code-execution return os.system
(command)...
5.5 Industrial Deployment (RQ3)
We have deployed OSCAR on Ant Group’s NPM and PyPI mirrors</x:v>
      </x:c>
      <x:c r="M624" s="19" t="str">
        <x:v>该段包含可直接回答问题的方法、指标、比较或研究发现。</x:v>
      </x:c>
      <x:c r="N624" s="13" t="str">
        <x:v>http://arxiv.org/abs/2409.09356v1</x:v>
      </x:c>
    </x:row>
    <x:row r="625" ht="58" customHeight="1">
      <x:c r="A625" s="13" t="str">
        <x:v>csq021-c027</x:v>
      </x:c>
      <x:c r="B625" s="13" t="str">
        <x:v>csq021</x:v>
      </x:c>
      <x:c r="C625" s="21" t="n">
        <x:v>27</x:v>
      </x:c>
      <x:c r="D625" s="20" t="str">
        <x:v>2</x:v>
      </x:c>
      <x:c r="E625" s="20" t="str"/>
      <x:c r="F625" s="20" t="str">
        <x:f>IF(E625="",D625,E625)</x:f>
        <x:v>2</x:v>
      </x:c>
      <x:c r="G625" s="13" t="str">
        <x:v>Towards Robust Detection of Open Source Software Supply Chain Poisoning Attacks in Industry Environments</x:v>
      </x:c>
      <x:c r="H625" s="13" t="n">
        <x:v>9</x:v>
      </x:c>
      <x:c r="I625" s="22" t="n">
        <x:v>0.014925373134328358</x:v>
      </x:c>
      <x:c r="J625" s="13" t="n">
        <x:v>1</x:v>
      </x:c>
      <x:c r="K625" s="19" t="str">
        <x:v>Which datasets, benchmarks, and metrics are used to evaluate software supply-chain vulnerability and malicious-package detection methods?</x:v>
      </x:c>
      <x:c r="L625" s="19" t="str">
        <x:v>ASE ’24, October 27-November 1, 2024, Sacramento, CA, USA Xinyi Zheng et al.
6 DISCUSSION
Implications. The significance of our research findings is high-
lighted in two key aspects. First, our work underscores the effec-
tiveness of dynamic execution in reducing false positive rates in
malware detection while maintaining high detection accuracy. We
have demonstrated these points through extensive experiments.
Second, our long-term monitoring of real storage mirrors of NPM
and PyPI revealed a total of 11,639 malicious packages. This un-
derscores the practicality of OSCAR and provides monthly data
indicating the level of potential threats within these ecosystems.
Additionally, during deployment, we continuously updated our
pivot methods and heuristic matching rules to ensure the long-
term effectiveness of our detection. Overall, these insights enhance</x:v>
      </x:c>
      <x:c r="M625" s="19" t="str">
        <x:v>该段包含可直接回答问题的方法、指标、比较或研究发现。</x:v>
      </x:c>
      <x:c r="N625" s="13" t="str">
        <x:v>http://arxiv.org/abs/2409.09356v1</x:v>
      </x:c>
    </x:row>
    <x:row r="626" ht="58" customHeight="1">
      <x:c r="A626" s="13" t="str">
        <x:v>csq021-c028</x:v>
      </x:c>
      <x:c r="B626" s="13" t="str">
        <x:v>csq021</x:v>
      </x:c>
      <x:c r="C626" s="21" t="n">
        <x:v>28</x:v>
      </x:c>
      <x:c r="D626" s="20" t="str">
        <x:v>1</x:v>
      </x:c>
      <x:c r="E626" s="20" t="str"/>
      <x:c r="F626" s="20" t="str">
        <x:f>IF(E626="",D626,E626)</x:f>
        <x:v>1</x:v>
      </x:c>
      <x:c r="G626" s="13" t="str">
        <x:v>Towards Robust Detection of Open Source Software Supply Chain Poisoning Attacks in Industry Environments</x:v>
      </x:c>
      <x:c r="H626" s="13" t="n">
        <x:v>10</x:v>
      </x:c>
      <x:c r="I626" s="22" t="n">
        <x:v>0.014925373134328358</x:v>
      </x:c>
      <x:c r="J626" s="13" t="n">
        <x:v>1</x:v>
      </x:c>
      <x:c r="K626" s="19" t="str">
        <x:v>Which datasets, benchmarks, and metrics are used to evaluate software supply-chain vulnerability and malicious-package detection methods?</x:v>
      </x:c>
      <x:c r="L626" s="19" t="str">
        <x:v>[4] William Enck and Laurie Williams. 2022. Top Five Challenges in Software Supply
Chain Security: Observations From 30 Industry and Government Organizations.
IEEE Security &amp; Privacy 20, 2 (2022), 96–100. https://doi.org/10.1109/MSEC.2022.
3142338
[5] falcosecurity. 2024. What is Malware &amp; How to Stay Protected from Malware
Attacks. https://github.com/falcosecurity/falco. Accessed: 2024-07-13.
[6] Python Software Foundation. 2024. The Python Package Index. https://pypi.org.
Accessed: 2024-07-13.
[7] Kalil Garrett, Gabriel Ferreira, Limin Jia, Joshua Sunshine, and Christian Kästner.
2019. Detecting Suspicious Package Updates. In 2019 IEEE/ACM 41st International
Conference on Software Engineering: New Ideas and Emerging Results (ICSE-NIER) .
13–16. https://doi.org/10.1109/ICSE-NIER.2019.00012
[8] Wenbo Guo, Zhengzi Xu, Chengwei Liu, Cheng Huang, Yong Fang, and Yang</x:v>
      </x:c>
      <x:c r="M626" s="19" t="str">
        <x:v>该段提供相关背景或侧面信息，但没有直接回答问题核心。</x:v>
      </x:c>
      <x:c r="N626" s="13" t="str">
        <x:v>http://arxiv.org/abs/2409.09356v1</x:v>
      </x:c>
    </x:row>
    <x:row r="627" ht="58" customHeight="1">
      <x:c r="A627" s="13" t="str">
        <x:v>csq021-c029</x:v>
      </x:c>
      <x:c r="B627" s="13" t="str">
        <x:v>csq021</x:v>
      </x:c>
      <x:c r="C627" s="21" t="n">
        <x:v>29</x:v>
      </x:c>
      <x:c r="D627" s="20" t="str">
        <x:v>0</x:v>
      </x:c>
      <x:c r="E627" s="20" t="str"/>
      <x:c r="F627" s="20" t="str">
        <x:f>IF(E627="",D627,E627)</x:f>
        <x:v>0</x:v>
      </x:c>
      <x:c r="G627" s="13" t="str">
        <x:v>QUT-DV25: A Dataset for Dynamic Analysis of Next-Gen Software Supply Chain Attacks</x:v>
      </x:c>
      <x:c r="H627" s="13" t="n">
        <x:v>1</x:v>
      </x:c>
      <x:c r="I627" s="22" t="n">
        <x:v>0.014705882352941176</x:v>
      </x:c>
      <x:c r="J627" s="13" t="n">
        <x:v>1</x:v>
      </x:c>
      <x:c r="K627" s="19" t="str">
        <x:v>Which datasets, benchmarks, and metrics are used to evaluate software supply-chain vulnerability and malicious-package detection methods?</x:v>
      </x:c>
      <x:c r="L627" s="19" t="str">
        <x:v>These features enable comprehensive analysis of dynamic attack vectors such as multiphase malware
execution, remote access activation, and post-install-time-specific payload generation. A detailed
characterization of the dataset’s structure, threat coverage, and example is also provided. Furthermore,
the performance of MDSs is evaluated based on this dataset as a binary classification task using
multiple supervised ML and DL models. By bridging the gap between static and dynamic analysis,
QUT-DV25 empowers cybersecurity researchers to develop robust defenses against evolving OSS
supply chain threats. The dataset2, source code, and execution instructions 3 are publicly available,
ensuring reproducibility and enabling further research. The key contributions of this study include:
• A controlled, isolated testbed framework to generate and collect datasets by installing</x:v>
      </x:c>
      <x:c r="M627" s="19" t="str">
        <x:v>该段为无关内容、泛泛提及或参考文献片段，不能作为回答证据。</x:v>
      </x:c>
      <x:c r="N627" s="13" t="str">
        <x:v>http://arxiv.org/abs/2505.13804v2</x:v>
      </x:c>
    </x:row>
    <x:row r="628" ht="58" customHeight="1">
      <x:c r="A628" s="13" t="str">
        <x:v>csq021-c030</x:v>
      </x:c>
      <x:c r="B628" s="13" t="str">
        <x:v>csq021</x:v>
      </x:c>
      <x:c r="C628" s="21" t="n">
        <x:v>30</x:v>
      </x:c>
      <x:c r="D628" s="20" t="str">
        <x:v>2</x:v>
      </x:c>
      <x:c r="E628" s="20" t="str"/>
      <x:c r="F628" s="20" t="str">
        <x:f>IF(E628="",D628,E628)</x:f>
        <x:v>2</x:v>
      </x:c>
      <x:c r="G628" s="13" t="str">
        <x:v>An Empirical Study of Vulnerabilities in Python Packages and Their Detection</x:v>
      </x:c>
      <x:c r="H628" s="13" t="n">
        <x:v>1</x:v>
      </x:c>
      <x:c r="I628" s="22" t="n">
        <x:v>0.014492753623188406</x:v>
      </x:c>
      <x:c r="J628" s="13" t="n">
        <x:v>1</x:v>
      </x:c>
      <x:c r="K628" s="19" t="str">
        <x:v>Which datasets, benchmarks, and metrics are used to evaluate software supply-chain vulnerability and malicious-package detection methods?</x:v>
      </x:c>
      <x:c r="L628" s="19" t="str">
        <x:v>vulnerabilities originate: GitHub Advisories [ 8], Snyk [ 14], and
Huntr [11]. These platforms are widely used by developers and
serve as data sources for other empirical research on vulnerabili-
ties [21, 42, 64, 80]. In total, we gathered 2,379 vulnerability reports
from GitHub Advisories, 930 from Snyk, and 321 from Huntr, total-
ing 3,630 reports. We conduct an initial screening, retaining those
that meet the following criteria: 1) they include fix commits that
address the corresponding vulnerabilities; 2) the repositories are
accessible at the time of data collection, and the commits have not
been rolled back or deleted; and 3) they are not duplicates of any
other reports. Ultimately, our initial collection resulted in 1,767
unique vulnerability reports.
2.2 Benchmark Curation
A comprehensive and accurate benchmark for vulnerabilities is</x:v>
      </x:c>
      <x:c r="M628" s="19" t="str">
        <x:v>该段包含可直接回答问题的方法、指标、比较或研究发现。</x:v>
      </x:c>
      <x:c r="N628" s="13" t="str">
        <x:v>http://arxiv.org/abs/2509.04260v1</x:v>
      </x:c>
    </x:row>
    <x:row r="629" ht="58" customHeight="1">
      <x:c r="A629" s="13" t="str">
        <x:v>csq022-c001</x:v>
      </x:c>
      <x:c r="B629" s="13" t="str">
        <x:v>csq022</x:v>
      </x:c>
      <x:c r="C629" s="21" t="n">
        <x:v>1</x:v>
      </x:c>
      <x:c r="D629" s="20" t="str">
        <x:v>2</x:v>
      </x:c>
      <x:c r="E629" s="20" t="str"/>
      <x:c r="F629" s="20" t="str">
        <x:f>IF(E629="",D629,E629)</x:f>
        <x:v>2</x:v>
      </x:c>
      <x:c r="G629" s="13" t="str">
        <x:v>Meta Stackelberg Game: Robust Federated Learning against Adaptive and Mixed Poisoning Attacks</x:v>
      </x:c>
      <x:c r="H629" s="13" t="n">
        <x:v>0</x:v>
      </x:c>
      <x:c r="I629" s="22" t="n">
        <x:v>0.06187941713888418</x:v>
      </x:c>
      <x:c r="J629" s="13" t="n">
        <x:v>4</x:v>
      </x:c>
      <x:c r="K629" s="19" t="str">
        <x:v>What security and privacy attacks against federated learning have been demonstrated, and which proposed defenses remain limited under adaptive attackers?</x:v>
      </x:c>
      <x:c r="L629" s="19" t="str">
        <x:v>data to jointly train a model without sharing their local
data [1]. However, FL systems are vulnerable to various
adversarial attacks such as untargeted model poisoning attacks
(e.g., IPM [2], LMP [3]) and backdoor attacks (e.g., BFL
[4], DBA [5]). To address these vulnerabilities, various robust
aggregation rules such as Krum [6], coordinate-wise trimmed
mean [7], and FLTrust [8] have been proposed to defend against
untargeted attacks, and both training-stage and post-training
defenses such as Norm bounding [9], NeuroClip [10], and
Prun [11] have been proposed to mitigate backdoor attacks.
Further, dynamic defenses that myopically adapt parameters
such as learning rate [12], norm clipping threshold [13], and
regularizer [14] have been proposed. However, state-of-the-art
defenses remain inadequate in countering advanced adaptive</x:v>
      </x:c>
      <x:c r="M629" s="19" t="str">
        <x:v>该段包含可直接回答问题的方法、指标、比较或研究发现。</x:v>
      </x:c>
      <x:c r="N629" s="13" t="str">
        <x:v>http://arxiv.org/abs/2410.17431v1</x:v>
      </x:c>
    </x:row>
    <x:row r="630" ht="58" customHeight="1">
      <x:c r="A630" s="13" t="str">
        <x:v>csq022-c002</x:v>
      </x:c>
      <x:c r="B630" s="13" t="str">
        <x:v>csq022</x:v>
      </x:c>
      <x:c r="C630" s="21" t="n">
        <x:v>2</x:v>
      </x:c>
      <x:c r="D630" s="20" t="str">
        <x:v>2</x:v>
      </x:c>
      <x:c r="E630" s="20" t="str"/>
      <x:c r="F630" s="20" t="str">
        <x:f>IF(E630="",D630,E630)</x:f>
        <x:v>2</x:v>
      </x:c>
      <x:c r="G630" s="13" t="str">
        <x:v>Avoid Adversarial Adaption in Federated Learning by Multi-Metric Investigations</x:v>
      </x:c>
      <x:c r="H630" s="13" t="n">
        <x:v>13</x:v>
      </x:c>
      <x:c r="I630" s="22" t="n">
        <x:v>0.047712258380229994</x:v>
      </x:c>
      <x:c r="J630" s="13" t="n">
        <x:v>3</x:v>
      </x:c>
      <x:c r="K630" s="19" t="str">
        <x:v>What security and privacy attacks against federated learning have been demonstrated, and which proposed defenses remain limited under adaptive attackers?</x:v>
      </x:c>
      <x:c r="L630" s="19" t="str">
        <x:v>Krauß, et al.
8 CONCLUSION
Adversarial adaption to defenses and complicated data scenarios
are the two major challenges when it comes to Federated Learning
(FL). To highlight the necessity to investigate these problems, we
evaluate nine against a strong adaptive adversary that is able to
poison the dataset, constraint the learning process, fixate model
parameters, scale model updates, and select between nine different
poisoning methods. Further, we analyze defense efficiencies with-
out any assumption about the sample frequencies within the client
datasets, which we call inter-client non-IID. We show, that by lever-
aging adaption methods, existing defenses can be circumvented
and are also ineffective in realistic data scenarios.
Hence, we proposeMetric-Cascades (MESAS), a filtering defense
against poisoning attacks in FL running on the server side. It ex-</x:v>
      </x:c>
      <x:c r="M630" s="19" t="str">
        <x:v>该段包含可直接回答问题的方法、指标、比较或研究发现。</x:v>
      </x:c>
      <x:c r="N630" s="13" t="str">
        <x:v>http://arxiv.org/abs/2306.03600v2</x:v>
      </x:c>
    </x:row>
    <x:row r="631" ht="58" customHeight="1">
      <x:c r="A631" s="13" t="str">
        <x:v>csq022-c003</x:v>
      </x:c>
      <x:c r="B631" s="13" t="str">
        <x:v>csq022</x:v>
      </x:c>
      <x:c r="C631" s="21" t="n">
        <x:v>3</x:v>
      </x:c>
      <x:c r="D631" s="20" t="str">
        <x:v>0</x:v>
      </x:c>
      <x:c r="E631" s="20" t="str"/>
      <x:c r="F631" s="20" t="str">
        <x:f>IF(E631="",D631,E631)</x:f>
        <x:v>0</x:v>
      </x:c>
      <x:c r="G631" s="13" t="str">
        <x:v>CrowdGuard: Federated Backdoor Detection in Federated Learning</x:v>
      </x:c>
      <x:c r="H631" s="13" t="n">
        <x:v>15</x:v>
      </x:c>
      <x:c r="I631" s="22" t="n">
        <x:v>0.04610294966520434</x:v>
      </x:c>
      <x:c r="J631" s="13" t="n">
        <x:v>3</x:v>
      </x:c>
      <x:c r="K631" s="19" t="str">
        <x:v>What security and privacy attacks against federated learning have been demonstrated, and which proposed defenses remain limited under adaptive attackers?</x:v>
      </x:c>
      <x:c r="L631" s="19" t="str">
        <x:v>on Computer and Communications Security , 2022.
[90] Zhibo Wang, Mengkai Song, Zhifei Zhang, Yang Song, Qian Wang,
and Hairong Qi. Beyond inferring class representatives: User-level
privacy leakage from federated learning. In IEEE INFOCOM 2019-
IEEE Conference on Computer Communications . IEEE, 2019.
[91] Zhaoxian Wu, Qing Ling, Tianyi Chen, and Georgios B. Giannakis.
Federated variance-reduced stochastic gradient descent with robustness
to byzantine attacks. In IEEE Transactions on Signal Processing ,
volume 68, pages 4583–4596, 2020.
[92] Chulin Xie, Keli Huang, Pin-Yu Chen, and Bo Li. Dba: Distributed
backdoor attacks against federated learning. In International Conference
on Learning Representations , 2020.
[93] Qiang Yang, Yang Liu, Tianjian Chen, and Yongxin Tong. Federated
machine learning: Concept and applications. ACM Trans. Intell. Syst.
Technol., 10(2), jan 2019.</x:v>
      </x:c>
      <x:c r="M631" s="19" t="str">
        <x:v>该段为无关内容、泛泛提及或参考文献片段，不能作为回答证据。</x:v>
      </x:c>
      <x:c r="N631" s="13" t="str">
        <x:v>http://arxiv.org/abs/2210.07714v3</x:v>
      </x:c>
    </x:row>
    <x:row r="632" ht="58" customHeight="1">
      <x:c r="A632" s="13" t="str">
        <x:v>csq022-c004</x:v>
      </x:c>
      <x:c r="B632" s="13" t="str">
        <x:v>csq022</x:v>
      </x:c>
      <x:c r="C632" s="21" t="n">
        <x:v>4</x:v>
      </x:c>
      <x:c r="D632" s="20" t="str">
        <x:v>2</x:v>
      </x:c>
      <x:c r="E632" s="20" t="str"/>
      <x:c r="F632" s="20" t="str">
        <x:f>IF(E632="",D632,E632)</x:f>
        <x:v>2</x:v>
      </x:c>
      <x:c r="G632" s="13" t="str">
        <x:v>Hammer and Anvil: Toward a Theory of Backdoors in Federated Learning</x:v>
      </x:c>
      <x:c r="H632" s="13" t="n">
        <x:v>6</x:v>
      </x:c>
      <x:c r="I632" s="22" t="n">
        <x:v>0.045750384880819665</x:v>
      </x:c>
      <x:c r="J632" s="13" t="n">
        <x:v>3</x:v>
      </x:c>
      <x:c r="K632" s="19" t="str">
        <x:v>What security and privacy attacks against federated learning have been demonstrated, and which proposed defenses remain limited under adaptive attackers?</x:v>
      </x:c>
      <x:c r="L632" s="19" t="str">
        <x:v>Hammer and Anvil: Toward a Theory of Backdoors in Federated Learning
Table 2: Lowest number of malicious clients ( 𝑚) out of 20
needed for our adaptive attacks to break existing defenses
with the associated ASR and benign accuracies on CIFAR-10.
We also include the𝑚= 8case. Values are averaged over three
runs.
Defense 𝑚ASR Acc. ASR (𝑚=8) Acc. (𝑚=8)
Multi Metrics 498.86 76.16 99.30 78.61
Flame 2 55.61 82.16 98.25 80.06
Rob MoM 2 99.81 83.80 99.98 84.56
MoM 2 99.81 83.49 99.99 84.28
Krum 1 97.34 78.85 99.98 79.90
Norm 1 90.49 87.93 99.97 86.30
CSFT 1 87.47 79.01 98.70 82.15
None 1 99.62 83.02 99.99 84.64
it a desirable defense for secure aggregation protocols [36]. Update
norms are clipped to a predefined threshold𝜂 to limit the impact
of any single update during aggregation. Our adaptive adversary
exploits this clipping by directly scaling each malicious update𝑢𝑚</x:v>
      </x:c>
      <x:c r="M632" s="19" t="str">
        <x:v>该段包含可直接回答问题的方法、指标、比较或研究发现。</x:v>
      </x:c>
      <x:c r="N632" s="13" t="str">
        <x:v>http://arxiv.org/abs/2509.08089v2</x:v>
      </x:c>
    </x:row>
    <x:row r="633" ht="58" customHeight="1">
      <x:c r="A633" s="13" t="str">
        <x:v>csq022-c005</x:v>
      </x:c>
      <x:c r="B633" s="13" t="str">
        <x:v>csq022</x:v>
      </x:c>
      <x:c r="C633" s="21" t="n">
        <x:v>5</x:v>
      </x:c>
      <x:c r="D633" s="20" t="str">
        <x:v>2</x:v>
      </x:c>
      <x:c r="E633" s="20" t="str"/>
      <x:c r="F633" s="20" t="str">
        <x:f>IF(E633="",D633,E633)</x:f>
        <x:v>2</x:v>
      </x:c>
      <x:c r="G633" s="13" t="str">
        <x:v>Learning to Invert: Simple Adaptive Attacks for Gradient Inversion in Federated Learning</x:v>
      </x:c>
      <x:c r="H633" s="13" t="n">
        <x:v>0</x:v>
      </x:c>
      <x:c r="I633" s="22" t="n">
        <x:v>0.0456669468964551</x:v>
      </x:c>
      <x:c r="J633" s="13" t="n">
        <x:v>3</x:v>
      </x:c>
      <x:c r="K633" s="19" t="str">
        <x:v>What security and privacy attacks against federated learning have been demonstrated, and which proposed defenses remain limited under adaptive attackers?</x:v>
      </x:c>
      <x:c r="L633" s="19" t="str">
        <x:v>work, we argue that such findings underestimate
the privacy risk in FL. As a counterexample, we
show that existing defenses can be broken by a
simple adaptive attack, where a model trained on
auxiliary data is able to invert gradients on both
vision and language tasks.
1 INTRODUCTION
Federated learning (FL; [McMahan et al., 2017]) is a pop-
ular framework for distributed model training on sensitive
user data. Instead of centrally storing the training data, FL
operates in a server-client setting where the server hosts the
model and has no direct access to clients’ data. The clients
can apply the model to their private data and send gradient
updates back to the server. This learning regime promises
data privacy as users share only gradients but never any raw
data. However, recent work [Zhu et al., 2019, Zhao et al.,
2020, Geiping et al., 2020] showed that despite these efforts,</x:v>
      </x:c>
      <x:c r="M633" s="19" t="str">
        <x:v>该段包含可直接回答问题的方法、指标、比较或研究发现。</x:v>
      </x:c>
      <x:c r="N633" s="13" t="str">
        <x:v>http://arxiv.org/abs/2210.10880v2</x:v>
      </x:c>
    </x:row>
    <x:row r="634" ht="58" customHeight="1">
      <x:c r="A634" s="13" t="str">
        <x:v>csq022-c006</x:v>
      </x:c>
      <x:c r="B634" s="13" t="str">
        <x:v>csq022</x:v>
      </x:c>
      <x:c r="C634" s="21" t="n">
        <x:v>6</x:v>
      </x:c>
      <x:c r="D634" s="20" t="str">
        <x:v>2</x:v>
      </x:c>
      <x:c r="E634" s="20" t="str"/>
      <x:c r="F634" s="20" t="str">
        <x:f>IF(E634="",D634,E634)</x:f>
        <x:v>2</x:v>
      </x:c>
      <x:c r="G634" s="13" t="str">
        <x:v>On Evaluating the Poisoning Robustness of Federated Learning under Local Differential Privacy</x:v>
      </x:c>
      <x:c r="H634" s="13" t="n">
        <x:v>11</x:v>
      </x:c>
      <x:c r="I634" s="22" t="n">
        <x:v>0.0445231288981289</x:v>
      </x:c>
      <x:c r="J634" s="13" t="n">
        <x:v>3</x:v>
      </x:c>
      <x:c r="K634" s="19" t="str">
        <x:v>What security and privacy attacks against federated learning have been demonstrated, and which proposed defenses remain limited under adaptive attackers?</x:v>
      </x:c>
      <x:c r="L634" s="19" t="str">
        <x:v>poisoning attacks on LDP federated learning to evaluate its
robustness. We proposed a novel framework that injects poi-
soned model parameters, crafted through a reverse training
process that maximizes the global loss, to disrupt model
convergence. The framework is adaptable to various LDP fed-
erated learning protocols, ensuring effective poisoning attacks.
We further considered robust aggregation schemes as defenses
and developed adaptive poisoning attacks to evade them. By
formalizing the constraints imposed by robust aggregation and
integrating them into the adversarial optimization process,
our adaptive attacks generate malicious updates that satisfy
constraints of LDPFL protocols while avoiding detection.
Extensive experiments on three representative LDP federated
learning mechanisms, three benchmark datasets, and two
neural network architectures demonstrate that our framework</x:v>
      </x:c>
      <x:c r="M634" s="19" t="str">
        <x:v>该段包含可直接回答问题的方法、指标、比较或研究发现。</x:v>
      </x:c>
      <x:c r="N634" s="13" t="str">
        <x:v>http://arxiv.org/abs/2509.05265v1</x:v>
      </x:c>
    </x:row>
    <x:row r="635" ht="58" customHeight="1">
      <x:c r="A635" s="13" t="str">
        <x:v>csq022-c007</x:v>
      </x:c>
      <x:c r="B635" s="13" t="str">
        <x:v>csq022</x:v>
      </x:c>
      <x:c r="C635" s="21" t="n">
        <x:v>7</x:v>
      </x:c>
      <x:c r="D635" s="20" t="str">
        <x:v>0</x:v>
      </x:c>
      <x:c r="E635" s="20" t="str"/>
      <x:c r="F635" s="20" t="str">
        <x:f>IF(E635="",D635,E635)</x:f>
        <x:v>0</x:v>
      </x:c>
      <x:c r="G635" s="13" t="str">
        <x:v>Meta Stackelberg Game: Robust Federated Learning against Adaptive and Mixed Poisoning Attacks</x:v>
      </x:c>
      <x:c r="H635" s="13" t="n">
        <x:v>11</x:v>
      </x:c>
      <x:c r="I635" s="22" t="n">
        <x:v>0.04402951248992748</x:v>
      </x:c>
      <x:c r="J635" s="13" t="n">
        <x:v>3</x:v>
      </x:c>
      <x:c r="K635" s="19" t="str">
        <x:v>What security and privacy attacks against federated learning have been demonstrated, and which proposed defenses remain limited under adaptive attackers?</x:v>
      </x:c>
      <x:c r="L635" s="19" t="str">
        <x:v>Sohn, K. Lee, and D. Papailiopoulos, “Attack of the tails: Yes, you really
can backdoor federated learning,” in Advances in Neural Information
Processing Systems, vol. 33, pp. 16070–16084, 2020.
[69] L. Lyu, H. Yu, X. Ma, C. Chen, L. Sun, J. Zhao, Q. Yang, and P. S.
Yu, “Privacy and robustness in federated learning: Attacks and defenses,”
IEEE Transactions on Neural Networks and Learning Systems , vol. 35,
no. 7, pp. 8726–8746, 2024.
[70] C. D. Aliprantis and K. C. Border, Infinite Dimensional Analysis .
Heidelberg: Springer Berlin, 2007.
[71] I. L. Glicksberg, “A further generalization of the kakutani fixed theorem,
with application to nash equilibrium points,” Proceedings of the American
Mathematical Society, vol. 3, no. 1, pp. 170–174, 1952.
[72] G. Still, “Lectures on parametric optimization: An introduction,” 2018.
[Online]. Avaliable:https://optimization-online.org/2018/04/6587/.</x:v>
      </x:c>
      <x:c r="M635" s="19" t="str">
        <x:v>该段为无关内容、泛泛提及或参考文献片段，不能作为回答证据。</x:v>
      </x:c>
      <x:c r="N635" s="13" t="str">
        <x:v>http://arxiv.org/abs/2410.17431v1</x:v>
      </x:c>
    </x:row>
    <x:row r="636" ht="58" customHeight="1">
      <x:c r="A636" s="13" t="str">
        <x:v>csq022-c008</x:v>
      </x:c>
      <x:c r="B636" s="13" t="str">
        <x:v>csq022</x:v>
      </x:c>
      <x:c r="C636" s="21" t="n">
        <x:v>8</x:v>
      </x:c>
      <x:c r="D636" s="20" t="str">
        <x:v>2</x:v>
      </x:c>
      <x:c r="E636" s="20" t="str"/>
      <x:c r="F636" s="20" t="str">
        <x:f>IF(E636="",D636,E636)</x:f>
        <x:v>2</x:v>
      </x:c>
      <x:c r="G636" s="13" t="str">
        <x:v>Avoid Adversarial Adaption in Federated Learning by Multi-Metric Investigations</x:v>
      </x:c>
      <x:c r="H636" s="13" t="n">
        <x:v>0</x:v>
      </x:c>
      <x:c r="I636" s="22" t="n">
        <x:v>0.04355921855921856</x:v>
      </x:c>
      <x:c r="J636" s="13" t="n">
        <x:v>3</x:v>
      </x:c>
      <x:c r="K636" s="19" t="str">
        <x:v>What security and privacy attacks against federated learning have been demonstrated, and which proposed defenses remain limited under adaptive attackers?</x:v>
      </x:c>
      <x:c r="L636" s="19" t="str">
        <x:v>Avoid Adversarial Adaption in Federated Learning by
Multi-Metric Investigations
Torsten Krauß
University of Würzburg
Würzburg, Germany
torsten.krauss@uni-wuerzburg.de
Alexandra Dmitrienko
University of Würzburg
Würzburg, Germany
alexandra.dmitrienko@uni-wuerzburg.de
ABSTRACT
Federated Learning (FL) facilitates decentralized machine learning
model training, preserving data privacy, lowering communication
costs, and boosting model performance through diversified data
sources. Yet, FL faces vulnerabilities such as poisoning attacks,
undermining model integrity with both untargeted performance
degradation and targeted backdoor attacks. Preventing backdoors
proves especially challenging due to their stealthy nature.
Prominent mitigation techniques against poisoning attacks rely
on monitoring certain metrics and filtering malicious model up-</x:v>
      </x:c>
      <x:c r="M636" s="19" t="str">
        <x:v>该段包含可直接回答问题的方法、指标、比较或研究发现。</x:v>
      </x:c>
      <x:c r="N636" s="13" t="str">
        <x:v>http://arxiv.org/abs/2306.03600v2</x:v>
      </x:c>
    </x:row>
    <x:row r="637" ht="58" customHeight="1">
      <x:c r="A637" s="13" t="str">
        <x:v>csq022-c009</x:v>
      </x:c>
      <x:c r="B637" s="13" t="str">
        <x:v>csq022</x:v>
      </x:c>
      <x:c r="C637" s="21" t="n">
        <x:v>9</x:v>
      </x:c>
      <x:c r="D637" s="20" t="str">
        <x:v>2</x:v>
      </x:c>
      <x:c r="E637" s="20" t="str"/>
      <x:c r="F637" s="20" t="str">
        <x:f>IF(E637="",D637,E637)</x:f>
        <x:v>2</x:v>
      </x:c>
      <x:c r="G637" s="13" t="str">
        <x:v>Integrating Identity-Based Identification against Adaptive Adversaries in Federated Learning</x:v>
      </x:c>
      <x:c r="H637" s="13" t="n">
        <x:v>0</x:v>
      </x:c>
      <x:c r="I637" s="22" t="n">
        <x:v>0.04335125448028674</x:v>
      </x:c>
      <x:c r="J637" s="13" t="n">
        <x:v>3</x:v>
      </x:c>
      <x:c r="K637" s="19" t="str">
        <x:v>What security and privacy attacks against federated learning have been demonstrated, and which proposed defenses remain limited under adaptive attackers?</x:v>
      </x:c>
      <x:c r="L637" s="19" t="str">
        <x:v>architectures. Our findings advocate for a holistic approach to FL
security, emphasizing the necessity of proactive defence strategies
against evolving adaptive adversarial threats.
Index Terms —Machine Learning, Federated Learning,
Identity-Based Identification, Adaptive Adversaries, Secure
Aggregation.
I. I NTRODUCTION
In recent years, Federated Learning (FL) has emerged as
one of the leading paradigms for distributed machine learning
[1]. One of its main goals is to significantly improve pri-
vacy through data decentralization, where each client is in
possession of its own dataset. In short, FL operates around
the idea of training smaller local models on individual clients
(without sharing their local datasets) with purpose of later
Jakub Kacper Szel ˛ ag, Ji-Jian Chin and Lauren Ansell are with
School of Engineering, Computing and Mathematics, University of</x:v>
      </x:c>
      <x:c r="M637" s="19" t="str">
        <x:v>该段包含可直接回答问题的方法、指标、比较或研究发现。</x:v>
      </x:c>
      <x:c r="N637" s="13" t="str">
        <x:v>http://arxiv.org/abs/2504.03077v1</x:v>
      </x:c>
    </x:row>
    <x:row r="638" ht="58" customHeight="1">
      <x:c r="A638" s="13" t="str">
        <x:v>csq022-c010</x:v>
      </x:c>
      <x:c r="B638" s="13" t="str">
        <x:v>csq022</x:v>
      </x:c>
      <x:c r="C638" s="21" t="n">
        <x:v>10</x:v>
      </x:c>
      <x:c r="D638" s="20" t="str">
        <x:v>0</x:v>
      </x:c>
      <x:c r="E638" s="20" t="str"/>
      <x:c r="F638" s="20" t="str">
        <x:f>IF(E638="",D638,E638)</x:f>
        <x:v>0</x:v>
      </x:c>
      <x:c r="G638" s="13" t="str">
        <x:v>Avoid Adversarial Adaption in Federated Learning by Multi-Metric Investigations</x:v>
      </x:c>
      <x:c r="H638" s="13" t="n">
        <x:v>14</x:v>
      </x:c>
      <x:c r="I638" s="22" t="n">
        <x:v>0.04206885146495411</x:v>
      </x:c>
      <x:c r="J638" s="13" t="n">
        <x:v>3</x:v>
      </x:c>
      <x:c r="K638" s="19" t="str">
        <x:v>What security and privacy attacks against federated learning have been demonstrated, and which proposed defenses remain limited under adaptive attackers?</x:v>
      </x:c>
      <x:c r="L638" s="19" t="str">
        <x:v>Avoid Adversarial Adaption in Federated Learning by Multi-Metric Investigations
[48] Yiming Li, Yong Jiang, Zhifeng Li, and Shu-Tao Xia. 2022. Backdoor Learning:
A Survey. IEEE Transactions on Neural Networks and Learning Systems (2022).
[49] Yijing Li, Xiaofeng Tao, Xuefei Zhang, Junjie Liu, and Jin Xu. 2022. Privacy-
Preserved Federated Learning for Autonomous Driving. IEEE T-ITS (2022).
[50] Tjen-Sien Lim and Wei-Yin Loh. 1996. A comparison of tests of equality of
variances. Computational Statistics &amp; Data Analysis (1996).
[51] Chih-Ting Liu, Chien-Yi Wang, Shao-Yi Chien, and Shang-Hong Lai. 2022.
FedFR: Joint Optimization Federated Framework for Generic and Personalized
Face Recognition. AAAI (2022).
[52] Pengrui Liu, Xiangrui Xu, and Wei Wang. 2022. Threats, attacks and defenses
to federated learning: issues, taxonomy and perspectives. Cybersecurity (2022).</x:v>
      </x:c>
      <x:c r="M638" s="19" t="str">
        <x:v>该段为无关内容、泛泛提及或参考文献片段，不能作为回答证据。</x:v>
      </x:c>
      <x:c r="N638" s="13" t="str">
        <x:v>http://arxiv.org/abs/2306.03600v2</x:v>
      </x:c>
    </x:row>
    <x:row r="639" ht="58" customHeight="1">
      <x:c r="A639" s="13" t="str">
        <x:v>csq022-c011</x:v>
      </x:c>
      <x:c r="B639" s="13" t="str">
        <x:v>csq022</x:v>
      </x:c>
      <x:c r="C639" s="21" t="n">
        <x:v>11</x:v>
      </x:c>
      <x:c r="D639" s="20" t="str">
        <x:v>2</x:v>
      </x:c>
      <x:c r="E639" s="20" t="str"/>
      <x:c r="F639" s="20" t="str">
        <x:f>IF(E639="",D639,E639)</x:f>
        <x:v>2</x:v>
      </x:c>
      <x:c r="G639" s="13" t="str">
        <x:v>Avoid Adversarial Adaption in Federated Learning by Multi-Metric Investigations</x:v>
      </x:c>
      <x:c r="H639" s="13" t="n">
        <x:v>1</x:v>
      </x:c>
      <x:c r="I639" s="22" t="n">
        <x:v>0.030798389007344232</x:v>
      </x:c>
      <x:c r="J639" s="13" t="n">
        <x:v>2</x:v>
      </x:c>
      <x:c r="K639" s="19" t="str">
        <x:v>What security and privacy attacks against federated learning have been demonstrated, and which proposed defenses remain limited under adaptive attackers?</x:v>
      </x:c>
      <x:c r="L639" s="19" t="str">
        <x:v>Contributions. To address the aforementioned problems, this pa-
per makes the following contributions:
• We introduce the notion of astrong adaptive adversary, who
is capable of adapting to FL defenses by balancing multi-
ple adaptation objectives and applying manual invasions
on the model parameters. Leveraging this sophisticated
adaptation strategy, we attack and evaluate nine existing
defenses, showing that all these methods can be circum-
vented, hence creating a gap between the state-of-the-art
defense methods and realistic scenarios.
• We are the first to point out the fact that previous defenses
were never evaluated in settings where datasets have differ-
ent distributions withinand across the clients. We term such
a scenario as inter-client non-IID and demonstrate through
intensive evaluation of nine solutions that they are not</x:v>
      </x:c>
      <x:c r="M639" s="19" t="str">
        <x:v>该段包含可直接回答问题的方法、指标、比较或研究发现。</x:v>
      </x:c>
      <x:c r="N639" s="13" t="str">
        <x:v>http://arxiv.org/abs/2306.03600v2</x:v>
      </x:c>
    </x:row>
    <x:row r="640" ht="58" customHeight="1">
      <x:c r="A640" s="13" t="str">
        <x:v>csq022-c012</x:v>
      </x:c>
      <x:c r="B640" s="13" t="str">
        <x:v>csq022</x:v>
      </x:c>
      <x:c r="C640" s="21" t="n">
        <x:v>12</x:v>
      </x:c>
      <x:c r="D640" s="20" t="str">
        <x:v>0</x:v>
      </x:c>
      <x:c r="E640" s="20" t="str"/>
      <x:c r="F640" s="20" t="str">
        <x:f>IF(E640="",D640,E640)</x:f>
        <x:v>0</x:v>
      </x:c>
      <x:c r="G640" s="13" t="str">
        <x:v>On Evaluating the Poisoning Robustness of Federated Learning under Local Differential Privacy</x:v>
      </x:c>
      <x:c r="H640" s="13" t="n">
        <x:v>12</x:v>
      </x:c>
      <x:c r="I640" s="22" t="n">
        <x:v>0.0304147465437788</x:v>
      </x:c>
      <x:c r="J640" s="13" t="n">
        <x:v>2</x:v>
      </x:c>
      <x:c r="K640" s="19" t="str">
        <x:v>What security and privacy attacks against federated learning have been demonstrated, and which proposed defenses remain limited under adaptive attackers?</x:v>
      </x:c>
      <x:c r="L640" s="19" t="str">
        <x:v>Available: https://doi.org/10.24963/ijcai.2021/217
[17] M. Abadi, A. Chu, I. Goodfellow, H. B. McMahan, I. Mironov,
K. Talwar, and L. Zhang, “Deep learning with differential privacy,” in
Proceedings of the 2016 ACM SIGSAC Conference on Computer and
Communications Security, ser. CCS’16. ACM, Oct. 2016. [Online].
Available: http://dx.doi.org/10.1145/2976749.2978318
[18] V . Tolpegin, S. Truex, M. E. Gursoy, and L. Liu, “Data poisoning attacks
against federated learning systems,” inComputer security–ESORICs
2020: 25th European symposium on research in computer security,
ESORICs 2020, guildford, UK, September 14–18, 2020, proceedings,
part i 25. Springer, 2020, pp. 480–501.
[19] P. Gupta, K. Yadav, B. B. Gupta, M. Alazab, and T. R. Gadekallu, “A
novel data poisoning attack in federated learning based on inverted loss
function,”Computers &amp; Security, vol. 130, p. 103270, 2023.</x:v>
      </x:c>
      <x:c r="M640" s="19" t="str">
        <x:v>该段为无关内容、泛泛提及或参考文献片段，不能作为回答证据。</x:v>
      </x:c>
      <x:c r="N640" s="13" t="str">
        <x:v>http://arxiv.org/abs/2509.05265v1</x:v>
      </x:c>
    </x:row>
    <x:row r="641" ht="58" customHeight="1">
      <x:c r="A641" s="13" t="str">
        <x:v>csq022-c013</x:v>
      </x:c>
      <x:c r="B641" s="13" t="str">
        <x:v>csq022</x:v>
      </x:c>
      <x:c r="C641" s="21" t="n">
        <x:v>13</x:v>
      </x:c>
      <x:c r="D641" s="20" t="str">
        <x:v>0</x:v>
      </x:c>
      <x:c r="E641" s="20" t="str"/>
      <x:c r="F641" s="20" t="str">
        <x:f>IF(E641="",D641,E641)</x:f>
        <x:v>0</x:v>
      </x:c>
      <x:c r="G641" s="13" t="str">
        <x:v>Avoid Adversarial Adaption in Federated Learning by Multi-Metric Investigations</x:v>
      </x:c>
      <x:c r="H641" s="13" t="n">
        <x:v>13</x:v>
      </x:c>
      <x:c r="I641" s="22" t="n">
        <x:v>0.029850746268656716</x:v>
      </x:c>
      <x:c r="J641" s="13" t="n">
        <x:v>2</x:v>
      </x:c>
      <x:c r="K641" s="19" t="str">
        <x:v>What security and privacy attacks against federated learning have been demonstrated, and which proposed defenses remain limited under adaptive attackers?</x:v>
      </x:c>
      <x:c r="L641" s="19" t="str">
        <x:v>tifying Vulnerabilities in the Machine Learning Model Supply Chain. arXiv
preprint arXiv:1708.06733 (2017).
[36] Gozde N Gunesli, Mohsin Bilal, Shan E Ahmed Raza, and Nasir M Rajpoot. 2021.
FedDropoutAvg: Generalizable federated learning for histopathology image
classification. arXiv preprint arXiv:2111.13230 (2021).
[37] Andrew Hard, Kanishka Rao, Rajiv Mathews, Swaroop Ramaswamy, Françoise
Beaufays, Sean Augenstein, Hubert Eichner, Chloé Kiddon, and Daniel Ramage.
2018. Federated Learning for Mobile Keyboard Prediction. arXiv preprint
arXiv:1811.03604 (2018).
[38] Hanieh Hashemi, Yongqin Wang, Chuan Guo, and Murali Annavaram. 2021.
Byzantine-Robust and Privacy-Preserving Framework for FedML. ICLR Work-
shops (2021).
[39] Jamie Hayes, Luca Melis, George Danezis, and Emiliano De Cristofaro. 2019.
LOGAN: Membership inference attacks against generative models.PETS (2019).</x:v>
      </x:c>
      <x:c r="M641" s="19" t="str">
        <x:v>该段为无关内容、泛泛提及或参考文献片段，不能作为回答证据。</x:v>
      </x:c>
      <x:c r="N641" s="13" t="str">
        <x:v>http://arxiv.org/abs/2306.03600v2</x:v>
      </x:c>
    </x:row>
    <x:row r="642" ht="58" customHeight="1">
      <x:c r="A642" s="13" t="str">
        <x:v>csq022-c014</x:v>
      </x:c>
      <x:c r="B642" s="13" t="str">
        <x:v>csq022</x:v>
      </x:c>
      <x:c r="C642" s="21" t="n">
        <x:v>14</x:v>
      </x:c>
      <x:c r="D642" s="20" t="str">
        <x:v>2</x:v>
      </x:c>
      <x:c r="E642" s="20" t="str"/>
      <x:c r="F642" s="20" t="str">
        <x:f>IF(E642="",D642,E642)</x:f>
        <x:v>2</x:v>
      </x:c>
      <x:c r="G642" s="13" t="str">
        <x:v>Hammer and Anvil: Toward a Theory of Backdoors in Federated Learning</x:v>
      </x:c>
      <x:c r="H642" s="13" t="n">
        <x:v>3</x:v>
      </x:c>
      <x:c r="I642" s="22" t="n">
        <x:v>0.029437229437229435</x:v>
      </x:c>
      <x:c r="J642" s="13" t="n">
        <x:v>2</x:v>
      </x:c>
      <x:c r="K642" s="19" t="str">
        <x:v>What security and privacy attacks against federated learning have been demonstrated, and which proposed defenses remain limited under adaptive attackers?</x:v>
      </x:c>
      <x:c r="L642" s="19" t="str">
        <x:v>will inherently withstand weaker, more realistic threats.
We model an adaptive adversary that controls a subset of 𝑚
colluding malicious clients, aiming to manipulate the FL training
process via malicious updates. To evaluate defenses under worst-
case conditions, we grant this adversary full information: exact
knowledge of the aggregation algorithm, its specific parameters,
and the benign updates submitted by all other clients in each epoch.
In Section 6, we demonstrate that our principled defense approach
can reliably defeat this full-information, adaptive adversary.
4 Hammer and Anvil: Toward a Principled
Theory
Each backdoor attack can be categorized according to a set of pa-
rameters, including its impact on the model weights, the fraction
of malicious clients, its duration, etc. We consider the impact on
model weights to be particularly important in the design of our</x:v>
      </x:c>
      <x:c r="M642" s="19" t="str">
        <x:v>该段包含可直接回答问题的方法、指标、比较或研究发现。</x:v>
      </x:c>
      <x:c r="N642" s="13" t="str">
        <x:v>http://arxiv.org/abs/2509.08089v2</x:v>
      </x:c>
    </x:row>
    <x:row r="643" ht="58" customHeight="1">
      <x:c r="A643" s="13" t="str">
        <x:v>csq022-c015</x:v>
      </x:c>
      <x:c r="B643" s="13" t="str">
        <x:v>csq022</x:v>
      </x:c>
      <x:c r="C643" s="21" t="n">
        <x:v>15</x:v>
      </x:c>
      <x:c r="D643" s="20" t="str">
        <x:v>2</x:v>
      </x:c>
      <x:c r="E643" s="20" t="str"/>
      <x:c r="F643" s="20" t="str">
        <x:f>IF(E643="",D643,E643)</x:f>
        <x:v>2</x:v>
      </x:c>
      <x:c r="G643" s="13" t="str">
        <x:v>Hammer and Anvil: Toward a Theory of Backdoors in Federated Learning</x:v>
      </x:c>
      <x:c r="H643" s="13" t="n">
        <x:v>1</x:v>
      </x:c>
      <x:c r="I643" s="22" t="n">
        <x:v>0.029236022193768675</x:v>
      </x:c>
      <x:c r="J643" s="13" t="n">
        <x:v>2</x:v>
      </x:c>
      <x:c r="K643" s="19" t="str">
        <x:v>What security and privacy attacks against federated learning have been demonstrated, and which proposed defenses remain limited under adaptive attackers?</x:v>
      </x:c>
      <x:c r="L643" s="19" t="str">
        <x:v>adaptive attacks break these defenses withat most fourmalicious
clients out of 20, andas few as a single one; (2) We evaluate our
principled combined defenseHAagainst our full-information adap-
tive adversary and existing popular and state-of-the-art attacks
across various data settings. We find that our three best princi-
pled combined defense variants, namely HACSFT
Flame, HACSFT
Krum, and
HACSFT
Multi-Metrics,are undefeated in every setting we evaluate.
Our empirical results support our theory and enable principled
research on backdoor attacks in federated learning.
We summarize our contributions as follows:
• We present a new principled theory of backdoors in feder-
ated learning:Hammer and Anvilin Section 4. Our theory
categorizes defenses into two types:Type 1(Anvil) and
Type 2(Hammer), and reveals a fundamental exploitable
gap in single-typed defenses and for non-principled com-</x:v>
      </x:c>
      <x:c r="M643" s="19" t="str">
        <x:v>该段包含可直接回答问题的方法、指标、比较或研究发现。</x:v>
      </x:c>
      <x:c r="N643" s="13" t="str">
        <x:v>http://arxiv.org/abs/2509.08089v2</x:v>
      </x:c>
    </x:row>
    <x:row r="644" ht="58" customHeight="1">
      <x:c r="A644" s="13" t="str">
        <x:v>csq022-c016</x:v>
      </x:c>
      <x:c r="B644" s="13" t="str">
        <x:v>csq022</x:v>
      </x:c>
      <x:c r="C644" s="21" t="n">
        <x:v>16</x:v>
      </x:c>
      <x:c r="D644" s="20" t="str">
        <x:v>2</x:v>
      </x:c>
      <x:c r="E644" s="20" t="str"/>
      <x:c r="F644" s="20" t="str">
        <x:f>IF(E644="",D644,E644)</x:f>
        <x:v>2</x:v>
      </x:c>
      <x:c r="G644" s="13" t="str">
        <x:v>Meta Stackelberg Game: Robust Federated Learning against Adaptive and Mixed Poisoning Attacks</x:v>
      </x:c>
      <x:c r="H644" s="13" t="n">
        <x:v>0</x:v>
      </x:c>
      <x:c r="I644" s="22" t="n">
        <x:v>0.02821939586645469</x:v>
      </x:c>
      <x:c r="J644" s="13" t="n">
        <x:v>2</x:v>
      </x:c>
      <x:c r="K644" s="19" t="str">
        <x:v>What security and privacy attacks against federated learning have been demonstrated, and which proposed defenses remain limited under adaptive attackers?</x:v>
      </x:c>
      <x:c r="L644" s="19" t="str">
        <x:v>1
Meta Stackelberg Game: Robust Federated Learning
against Adaptive and Mixed Poisoning Attacks
Tao Li, Henger Li, Yunian Pan, Tianyi Xu, Zizhan Zheng, Quanyan Zhu
Abstract—Federated learning (FL) is susceptible to a range of
security threats. Although various defense mechanisms have been
proposed, they are typically non-adaptive and tailored to specific
types of attacks, leaving them insufficient in the face of multiple
uncertain, unknown, and adaptive attacks employing diverse
strategies. This work formulates adversarial federated learning
under a mixture of various attacks as a Bayesian Stackelberg
Markov game, based on which we propose the meta-Stackelberg
defense composed of pre-training and online adaptation. The gist
is to simulate strong attack behavior using reinforcement learning
(RL-based attacks) in pre-training and then design meta-RL-based</x:v>
      </x:c>
      <x:c r="M644" s="19" t="str">
        <x:v>该段包含可直接回答问题的方法、指标、比较或研究发现。</x:v>
      </x:c>
      <x:c r="N644" s="13" t="str">
        <x:v>http://arxiv.org/abs/2410.17431v1</x:v>
      </x:c>
    </x:row>
    <x:row r="645" ht="58" customHeight="1">
      <x:c r="A645" s="13" t="str">
        <x:v>csq022-c017</x:v>
      </x:c>
      <x:c r="B645" s="13" t="str">
        <x:v>csq022</x:v>
      </x:c>
      <x:c r="C645" s="21" t="n">
        <x:v>17</x:v>
      </x:c>
      <x:c r="D645" s="20" t="str">
        <x:v>2</x:v>
      </x:c>
      <x:c r="E645" s="20" t="str"/>
      <x:c r="F645" s="20" t="str">
        <x:f>IF(E645="",D645,E645)</x:f>
        <x:v>2</x:v>
      </x:c>
      <x:c r="G645" s="13" t="str">
        <x:v>Hammer and Anvil: Toward a Theory of Backdoors in Federated Learning</x:v>
      </x:c>
      <x:c r="H645" s="13" t="n">
        <x:v>1</x:v>
      </x:c>
      <x:c r="I645" s="22" t="n">
        <x:v>0.027598020555767037</x:v>
      </x:c>
      <x:c r="J645" s="13" t="n">
        <x:v>2</x:v>
      </x:c>
      <x:c r="K645" s="19" t="str">
        <x:v>What security and privacy attacks against federated learning have been demonstrated, and which proposed defenses remain limited under adaptive attackers?</x:v>
      </x:c>
      <x:c r="L645" s="19" t="str">
        <x:v>Fenaux et al.
Our full-information adaptive adversary knows: the aggregation
algorithm, its parameters, and the benign updates submitted by
all other clients before it has to submit its own, for every epoch.
Our adversary can freely collude with the other malicious clients it
controls and can adapt to the benign updates submitted by the other
clients. Mirroring cryptographic scheme design, a defense robust
against our full-information adaptive adversary would implicitly
be robust against any attacker with more realistic assumptions.
We empirically validate our principled theoretical framework
in two steps: (1) We design principled adaptive attacks against 13
single-typed and non-principled combined defenses [6, 16, 21, 33,
39, 40, 45, 57, 61, 72, 73] following our theoretical framework. Our
adaptive attacks break these defenses withat most fourmalicious</x:v>
      </x:c>
      <x:c r="M645" s="19" t="str">
        <x:v>该段包含可直接回答问题的方法、指标、比较或研究发现。</x:v>
      </x:c>
      <x:c r="N645" s="13" t="str">
        <x:v>http://arxiv.org/abs/2509.08089v2</x:v>
      </x:c>
    </x:row>
    <x:row r="646" ht="58" customHeight="1">
      <x:c r="A646" s="13" t="str">
        <x:v>csq022-c018</x:v>
      </x:c>
      <x:c r="B646" s="13" t="str">
        <x:v>csq022</x:v>
      </x:c>
      <x:c r="C646" s="21" t="n">
        <x:v>18</x:v>
      </x:c>
      <x:c r="D646" s="20" t="str">
        <x:v>1</x:v>
      </x:c>
      <x:c r="E646" s="20" t="str"/>
      <x:c r="F646" s="20" t="str">
        <x:f>IF(E646="",D646,E646)</x:f>
        <x:v>1</x:v>
      </x:c>
      <x:c r="G646" s="13" t="str">
        <x:v>Integrating Identity-Based Identification against Adaptive Adversaries in Federated Learning</x:v>
      </x:c>
      <x:c r="H646" s="13" t="n">
        <x:v>0</x:v>
      </x:c>
      <x:c r="I646" s="22" t="n">
        <x:v>0.01639344262295082</x:v>
      </x:c>
      <x:c r="J646" s="13" t="n">
        <x:v>1</x:v>
      </x:c>
      <x:c r="K646" s="19" t="str">
        <x:v>What security and privacy attacks against federated learning have been demonstrated, and which proposed defenses remain limited under adaptive attackers?</x:v>
      </x:c>
      <x:c r="L646" s="19" t="str">
        <x:v>the privacy of clients datasets [13], [14]. On top of that,
the fact that the local models must be transferred from the
clients to either other clients or the aggregator means that
attacks against privacy and integrity of FL models may be
both external and internal. Consequently, this has prompted
the research community to further advance the field of FL
security such that the aforementioned threats would have
been prevented. To list a few, some of the leading defensive
mechanisms adopted by researchers in FL security are: (1)
Secure Aggregation [15], which in most cases attempts to
use statistical approaches in order to filter the poisoned local
models out of the aggregation such that the global model is
left unaffected, (2) Homomorphic Encryption [16], allowing
for mathematical operations to be performed over ciphertext
such that only the client will have access to the plaintext, (3)</x:v>
      </x:c>
      <x:c r="M646" s="19" t="str">
        <x:v>该段提供相关背景或侧面信息，但没有直接回答问题核心。</x:v>
      </x:c>
      <x:c r="N646" s="13" t="str">
        <x:v>http://arxiv.org/abs/2504.03077v1</x:v>
      </x:c>
    </x:row>
    <x:row r="647" ht="58" customHeight="1">
      <x:c r="A647" s="13" t="str">
        <x:v>csq022-c019</x:v>
      </x:c>
      <x:c r="B647" s="13" t="str">
        <x:v>csq022</x:v>
      </x:c>
      <x:c r="C647" s="21" t="n">
        <x:v>19</x:v>
      </x:c>
      <x:c r="D647" s="20" t="str">
        <x:v>2</x:v>
      </x:c>
      <x:c r="E647" s="20" t="str"/>
      <x:c r="F647" s="20" t="str">
        <x:f>IF(E647="",D647,E647)</x:f>
        <x:v>2</x:v>
      </x:c>
      <x:c r="G647" s="13" t="str">
        <x:v>On Evaluating the Poisoning Robustness of Federated Learning under Local Differential Privacy</x:v>
      </x:c>
      <x:c r="H647" s="13" t="n">
        <x:v>11</x:v>
      </x:c>
      <x:c r="I647" s="22" t="n">
        <x:v>0.016129032258064516</x:v>
      </x:c>
      <x:c r="J647" s="13" t="n">
        <x:v>1</x:v>
      </x:c>
      <x:c r="K647" s="19" t="str">
        <x:v>What security and privacy attacks against federated learning have been demonstrated, and which proposed defenses remain limited under adaptive attackers?</x:v>
      </x:c>
      <x:c r="L647" s="19" t="str">
        <x:v>compromised clients
Various defense mechanisms have been proposed in recent
studies, with most strategies implemented during the aggrega-
tion process. Through evaluating the performance of uploaded
local models, the central server can defend against attacks
on federated learning by discarding low-quality models [32].
Moreover, Zhou et al. [48] enhanced system robustness by
increasing the feature-space distance between different classes
and introduced a malicious center detection method to defend
against poisoning attacks. As a well-accepted privacy standard,
differential privacy has inspired the development of various
schemes designed to protect users from malicious attacks
targeting federated learning [49]–[51]. Lyu et al. [49] pointed
out that differential privacy can resist poisoning attacks by
adding noise to either the data or the gradients. Yang et</x:v>
      </x:c>
      <x:c r="M647" s="19" t="str">
        <x:v>该段包含可直接回答问题的方法、指标、比较或研究发现。</x:v>
      </x:c>
      <x:c r="N647" s="13" t="str">
        <x:v>http://arxiv.org/abs/2509.05265v1</x:v>
      </x:c>
    </x:row>
    <x:row r="648" ht="58" customHeight="1">
      <x:c r="A648" s="13" t="str">
        <x:v>csq022-c020</x:v>
      </x:c>
      <x:c r="B648" s="13" t="str">
        <x:v>csq022</x:v>
      </x:c>
      <x:c r="C648" s="21" t="n">
        <x:v>20</x:v>
      </x:c>
      <x:c r="D648" s="20" t="str">
        <x:v>2</x:v>
      </x:c>
      <x:c r="E648" s="20" t="str"/>
      <x:c r="F648" s="20" t="str">
        <x:f>IF(E648="",D648,E648)</x:f>
        <x:v>2</x:v>
      </x:c>
      <x:c r="G648" s="13" t="str">
        <x:v>Avoid Adversarial Adaption in Federated Learning by Multi-Metric Investigations</x:v>
      </x:c>
      <x:c r="H648" s="13" t="n">
        <x:v>0</x:v>
      </x:c>
      <x:c r="I648" s="22" t="n">
        <x:v>0.016129032258064516</x:v>
      </x:c>
      <x:c r="J648" s="13" t="n">
        <x:v>1</x:v>
      </x:c>
      <x:c r="K648" s="19" t="str">
        <x:v>What security and privacy attacks against federated learning have been demonstrated, and which proposed defenses remain limited under adaptive attackers?</x:v>
      </x:c>
      <x:c r="L648" s="19" t="str">
        <x:v>soned model updates, creating a complex multi-objective optimiza-
tion problem for adaptive attackers. In our extensive evaluation
featuring nine backdoors and three datasets, MESAS consistently
detects even strong adaptive attackers. Furthermore, MESAS out-
performs existing defenses in distinguishing backdoors from data
distribution-related distortions within and across clients. MESAS is
the first defense robust against strong adaptive adversaries, effec-
tive in real-world data scenarios, with an average overhead of just
24.37 seconds.
1 INTRODUCTION
Federated Learning (FL) enables the collaborative training of a
Deep Neural Network (DNN) among multiple clients [ 58]. Each
client trains a DNN locally on its own data, incorporating the
knowledge from the data into the model parameters. Only the
changes in the trained model parameters are then transmitted</x:v>
      </x:c>
      <x:c r="M648" s="19" t="str">
        <x:v>该段包含可直接回答问题的方法、指标、比较或研究发现。</x:v>
      </x:c>
      <x:c r="N648" s="13" t="str">
        <x:v>http://arxiv.org/abs/2306.03600v2</x:v>
      </x:c>
    </x:row>
    <x:row r="649" ht="58" customHeight="1">
      <x:c r="A649" s="13" t="str">
        <x:v>csq022-c021</x:v>
      </x:c>
      <x:c r="B649" s="13" t="str">
        <x:v>csq022</x:v>
      </x:c>
      <x:c r="C649" s="21" t="n">
        <x:v>21</x:v>
      </x:c>
      <x:c r="D649" s="20" t="str">
        <x:v>0</x:v>
      </x:c>
      <x:c r="E649" s="20" t="str"/>
      <x:c r="F649" s="20" t="str">
        <x:f>IF(E649="",D649,E649)</x:f>
        <x:v>0</x:v>
      </x:c>
      <x:c r="G649" s="13" t="str">
        <x:v>Integrating Identity-Based Identification against Adaptive Adversaries in Federated Learning</x:v>
      </x:c>
      <x:c r="H649" s="13" t="n">
        <x:v>8</x:v>
      </x:c>
      <x:c r="I649" s="22" t="n">
        <x:v>0.015873015873015872</x:v>
      </x:c>
      <x:c r="J649" s="13" t="n">
        <x:v>1</x:v>
      </x:c>
      <x:c r="K649" s="19" t="str">
        <x:v>What security and privacy attacks against federated learning have been demonstrated, and which proposed defenses remain limited under adaptive attackers?</x:v>
      </x:c>
      <x:c r="L649" s="19" t="str">
        <x:v>10724265
[23] J. Zhang, H. Zhu, F. Wang, J. Zhao, Q. Xu, and
H. Li, “Security and Privacy Threats to Federated Learning:
Issues, Methods, and Challenges,” Security and Communi-
cation Networks , vol. 2022, no. 1, p. 2886795, 2022,
_eprint: https://onlinelibrary.wiley.com/doi/pdf/10.1155/2022/2886795.
[Online]. Available: https://onlinelibrary.wiley.com/doi/abs/10.1155/
2022/2886795
[24] J. Wen, Z. Zhang, Y . Lan, Z. Cui, J. Cai, and W. Zhang, “A survey on
federated learning: challenges and applications,” International Journal
of Machine Learning and Cybernetics , vol. 14, no. 2, pp. 513–535, Feb.
2023. [Online]. Available: https://doi.org/10.1007/s13042-022-01647-y
[25] X. Zhang, Q. Liu, Z. Ba, Y . Hong, T. Zheng, F. Lin, L. Lu,
and K. Ren, “FLTracer: Accurate Poisoning Attack Provenance in
Federated Learning,” IEEE Transactions on Information Forensics</x:v>
      </x:c>
      <x:c r="M649" s="19" t="str">
        <x:v>该段为无关内容、泛泛提及或参考文献片段，不能作为回答证据。</x:v>
      </x:c>
      <x:c r="N649" s="13" t="str">
        <x:v>http://arxiv.org/abs/2504.03077v1</x:v>
      </x:c>
    </x:row>
    <x:row r="650" ht="58" customHeight="1">
      <x:c r="A650" s="13" t="str">
        <x:v>csq022-c022</x:v>
      </x:c>
      <x:c r="B650" s="13" t="str">
        <x:v>csq022</x:v>
      </x:c>
      <x:c r="C650" s="21" t="n">
        <x:v>22</x:v>
      </x:c>
      <x:c r="D650" s="20" t="str">
        <x:v>0</x:v>
      </x:c>
      <x:c r="E650" s="20" t="str"/>
      <x:c r="F650" s="20" t="str">
        <x:f>IF(E650="",D650,E650)</x:f>
        <x:v>0</x:v>
      </x:c>
      <x:c r="G650" s="13" t="str">
        <x:v>CrowdGuard: Federated Backdoor Detection in Federated Learning</x:v>
      </x:c>
      <x:c r="H650" s="13" t="n">
        <x:v>14</x:v>
      </x:c>
      <x:c r="I650" s="22" t="n">
        <x:v>0.015873015873015872</x:v>
      </x:c>
      <x:c r="J650" s="13" t="n">
        <x:v>1</x:v>
      </x:c>
      <x:c r="K650" s="19" t="str">
        <x:v>What security and privacy attacks against federated learning have been demonstrated, and which proposed defenses remain limited under adaptive attackers?</x:v>
      </x:c>
      <x:c r="L650" s="19" t="str">
        <x:v>[60] Fan Mo, Hamed Haddadi, Kleomenis Katevas, Eduard Marin, Diego
Perino, and Nicolas Kourtellis. Ppfl: privacy-preserving federated
learning with trusted execution environments. In Annual International
Conference on Mobile Systems, Applications, and Services , 2021.
[61] Luis Mu ˜noz-Gonz´alez, Kenneth T. Co, and Emil C. Lupu. Byzantine-
Robust Federated Machine Learning through Adaptive Model Averag-
ing. In arXiv preprint:1909.05125, 2019.
[62] Mohammad Naseri, Jamie Hayes, and Emiliano De Cristofaro. Local
and central differential privacy for robustness and privacy in federated
learning. In NDSS, 2022.
[63] Milad Nasr, Reza Shokri, and Amir Houmansadr. Comprehensive pri-
vacy analysis of deep learning: Passive and active white-box inference
attacks against centralized and federated learning. In IEEE S&amp;P. IEEE,
2019.</x:v>
      </x:c>
      <x:c r="M650" s="19" t="str">
        <x:v>该段为无关内容、泛泛提及或参考文献片段，不能作为回答证据。</x:v>
      </x:c>
      <x:c r="N650" s="13" t="str">
        <x:v>http://arxiv.org/abs/2210.07714v3</x:v>
      </x:c>
    </x:row>
    <x:row r="651" ht="58" customHeight="1">
      <x:c r="A651" s="13" t="str">
        <x:v>csq022-c023</x:v>
      </x:c>
      <x:c r="B651" s="13" t="str">
        <x:v>csq022</x:v>
      </x:c>
      <x:c r="C651" s="21" t="n">
        <x:v>23</x:v>
      </x:c>
      <x:c r="D651" s="20" t="str">
        <x:v>1</x:v>
      </x:c>
      <x:c r="E651" s="20" t="str"/>
      <x:c r="F651" s="20" t="str">
        <x:f>IF(E651="",D651,E651)</x:f>
        <x:v>1</x:v>
      </x:c>
      <x:c r="G651" s="13" t="str">
        <x:v>Defending the Edge: Representative-Attention Defense against Backdoor Attacks in Federated Learning</x:v>
      </x:c>
      <x:c r="H651" s="13" t="n">
        <x:v>2</x:v>
      </x:c>
      <x:c r="I651" s="22" t="n">
        <x:v>0.015625</x:v>
      </x:c>
      <x:c r="J651" s="13" t="n">
        <x:v>1</x:v>
      </x:c>
      <x:c r="K651" s="19" t="str">
        <x:v>What security and privacy attacks against federated learning have been demonstrated, and which proposed defenses remain limited under adaptive attackers?</x:v>
      </x:c>
      <x:c r="L651" s="19" t="str">
        <x:v>contributions. Other recent works that falls under this
category include FedAvgCKA [24], frequency analysis
method [25], out-of-distribution data detection [26], feder-
ated detection [27], and certified robustness [28].
However, these approaches face fundamental limi-
tations. Defenses like FLTrust and FedAvgCKA [24]
that measure client similarity, are vulnerable to adaptive
optimization. As illustrated in Fig. 1, attackers can craft
updates that maximize centered kernel alignment (CKA)
similarity or cosine distance while maintaining backdoor
effectiveness [7], exploiting the single-metric nature of
these defenses. Clustering methods fail when attackers
position malicious representations within benign clusters
through careful adversarial crafting. Fig. 2 demonstrates
this coordinate adaptation vulnerability, where malicious
clients (red) embed within benign clusters (blue), defeating</x:v>
      </x:c>
      <x:c r="M651" s="19" t="str">
        <x:v>该段提供相关背景或侧面信息，但没有直接回答问题核心。</x:v>
      </x:c>
      <x:c r="N651" s="13" t="str">
        <x:v>http://arxiv.org/abs/2505.10297v3</x:v>
      </x:c>
    </x:row>
    <x:row r="652" ht="58" customHeight="1">
      <x:c r="A652" s="13" t="str">
        <x:v>csq022-c024</x:v>
      </x:c>
      <x:c r="B652" s="13" t="str">
        <x:v>csq022</x:v>
      </x:c>
      <x:c r="C652" s="21" t="n">
        <x:v>24</x:v>
      </x:c>
      <x:c r="D652" s="20" t="str">
        <x:v>0</x:v>
      </x:c>
      <x:c r="E652" s="20" t="str"/>
      <x:c r="F652" s="20" t="str">
        <x:f>IF(E652="",D652,E652)</x:f>
        <x:v>0</x:v>
      </x:c>
      <x:c r="G652" s="13" t="str">
        <x:v>Avoid Adversarial Adaption in Federated Learning by Multi-Metric Investigations</x:v>
      </x:c>
      <x:c r="H652" s="13" t="n">
        <x:v>15</x:v>
      </x:c>
      <x:c r="I652" s="22" t="n">
        <x:v>0.015625</x:v>
      </x:c>
      <x:c r="J652" s="13" t="n">
        <x:v>1</x:v>
      </x:c>
      <x:c r="K652" s="19" t="str">
        <x:v>What security and privacy attacks against federated learning have been demonstrated, and which proposed defenses remain limited under adaptive attackers?</x:v>
      </x:c>
      <x:c r="L652" s="19" t="str">
        <x:v>Krauß, et al.
arXiv:1910.06044 (2019).
[106] Zhibo Wang, Mengkai Song, Zhifei Zhang, Yang Song, Qian Wang, and Hairong
Qi. 2019. Beyond Inferring Class Representatives: User-Level Privacy Leakage
From Federated Learning. INFOCOM (2019).
[107] Zhaoxian Wu, Qing Ling, Tianyi Chen, and Georgios B. Giannakis. 2020. Feder-
ated Variance-Reduced Stochastic Gradient Descent With Robustness to Byzan-
tine Attacks. IEEE Transactions on Signal Processing (2020).
[108] Geming Xia, Jian Chen, Chaodong Yu, and Jun Ma. 2023. Poisoning Attacks in
Federated Learning: A Survey. IEEE Access (2023).
[109] Chulin Xie, Keli Huang, Pin-Yu Chen, and Bo Li. 2020. DBA: Distributed
Backdoor Attacks against Federated Learning. ICLR (2020).
[110] Cong Xie, Oluwasanmi Koyejo, and Indranil Gupta. 2020. Fall of Empires:
Breaking Byzantine-tolerant SGD by Inner Product Manipulation. UAI (2020).</x:v>
      </x:c>
      <x:c r="M652" s="19" t="str">
        <x:v>该段为无关内容、泛泛提及或参考文献片段，不能作为回答证据。</x:v>
      </x:c>
      <x:c r="N652" s="13" t="str">
        <x:v>http://arxiv.org/abs/2306.03600v2</x:v>
      </x:c>
    </x:row>
    <x:row r="653" ht="58" customHeight="1">
      <x:c r="A653" s="13" t="str">
        <x:v>csq022-c025</x:v>
      </x:c>
      <x:c r="B653" s="13" t="str">
        <x:v>csq022</x:v>
      </x:c>
      <x:c r="C653" s="21" t="n">
        <x:v>25</x:v>
      </x:c>
      <x:c r="D653" s="20" t="str">
        <x:v>2</x:v>
      </x:c>
      <x:c r="E653" s="20" t="str"/>
      <x:c r="F653" s="20" t="str">
        <x:f>IF(E653="",D653,E653)</x:f>
        <x:v>2</x:v>
      </x:c>
      <x:c r="G653" s="13" t="str">
        <x:v>On Evaluating the Poisoning Robustness of Federated Learning under Local Differential Privacy</x:v>
      </x:c>
      <x:c r="H653" s="13" t="n">
        <x:v>1</x:v>
      </x:c>
      <x:c r="I653" s="22" t="n">
        <x:v>0.015151515151515152</x:v>
      </x:c>
      <x:c r="J653" s="13" t="n">
        <x:v>1</x:v>
      </x:c>
      <x:c r="K653" s="19" t="str">
        <x:v>What security and privacy attacks against federated learning have been demonstrated, and which proposed defenses remain limited under adaptive attackers?</x:v>
      </x:c>
      <x:c r="L653" s="19" t="str">
        <x:v>of the attacker and the modes of attack. Additionally,
we introduce adaptive attacks for scenarios where robust
aggregation is employed in LDP federated learning.
•We evaluate the robustness of state-of-the-art LDP feder-
ated learning protocols by launching our proposed attacks
on three representative protocols across three datasets
under various settings. Experimental results demonstrate
that our attacks substantially outperform baseline meth-
ods in terms of effectiveness, shedding light on factors
influencing the robustness of LDP-FL protocols.
II. PRELIMINARIES
A. Federated Learning
Federated Learning enables multiple entities to collabora-
tively train a model while keeping data decentralized. Suppose
there areNclients, each holding a private local dataset. A
central server coordinates the training of a global model by
leveraging the computational resources of the clients without</x:v>
      </x:c>
      <x:c r="M653" s="19" t="str">
        <x:v>该段包含可直接回答问题的方法、指标、比较或研究发现。</x:v>
      </x:c>
      <x:c r="N653" s="13" t="str">
        <x:v>http://arxiv.org/abs/2509.05265v1</x:v>
      </x:c>
    </x:row>
    <x:row r="654" ht="58" customHeight="1">
      <x:c r="A654" s="13" t="str">
        <x:v>csq022-c026</x:v>
      </x:c>
      <x:c r="B654" s="13" t="str">
        <x:v>csq022</x:v>
      </x:c>
      <x:c r="C654" s="21" t="n">
        <x:v>26</x:v>
      </x:c>
      <x:c r="D654" s="20" t="str">
        <x:v>0</x:v>
      </x:c>
      <x:c r="E654" s="20" t="str"/>
      <x:c r="F654" s="20" t="str">
        <x:f>IF(E654="",D654,E654)</x:f>
        <x:v>0</x:v>
      </x:c>
      <x:c r="G654" s="13" t="str">
        <x:v>Avoid Adversarial Adaption in Federated Learning by Multi-Metric Investigations</x:v>
      </x:c>
      <x:c r="H654" s="13" t="n">
        <x:v>13</x:v>
      </x:c>
      <x:c r="I654" s="22" t="n">
        <x:v>0.015151515151515152</x:v>
      </x:c>
      <x:c r="J654" s="13" t="n">
        <x:v>1</x:v>
      </x:c>
      <x:c r="K654" s="19" t="str">
        <x:v>What security and privacy attacks against federated learning have been demonstrated, and which proposed defenses remain limited under adaptive attackers?</x:v>
      </x:c>
      <x:c r="L654" s="19" t="str">
        <x:v>[7] Arjun Nitin Bhagoji, Supriyo Chakraborty, Prateek Mittal, and Seraphin Calo.
2019. Analyzing Federated Learning through an Adversarial Lens. ICML (2019).
[8] Battista Biggio, Blaine Nelson, and Pavel Laskov. 2012. Poisoning Attacks
against Support Vector Machine. ICML (2012).
[9] Peva Blanchard, El Mahdi El Mhamdi, Rachid Guerraoui, and Julien Stainer.
2017. Machine Learning with Adversaries: Byzantine Tolerant Gradient Descent.
NIPS (2017).
[10] Nicholas Boucher, Ilia Shumailov, Ross Anderson, and Nicolas Papernot. 2022.
Bad characters: Imperceptible NLP attacks. IEEE S&amp;P (2022).
[11] California State Legislature. 2018. California Consumer Privacy Act.
https://leginfo.legislature.ca.gov/faces/billTextClient.xhtml?bill_id=
201720180SB1121.
[12] Di Cao, Shan Chang, Zhijian Lin, Guohua Liu, and Donghong Sun. 2019. Under-</x:v>
      </x:c>
      <x:c r="M654" s="19" t="str">
        <x:v>该段为无关内容、泛泛提及或参考文献片段，不能作为回答证据。</x:v>
      </x:c>
      <x:c r="N654" s="13" t="str">
        <x:v>http://arxiv.org/abs/2306.03600v2</x:v>
      </x:c>
    </x:row>
    <x:row r="655" ht="58" customHeight="1">
      <x:c r="A655" s="13" t="str">
        <x:v>csq022-c027</x:v>
      </x:c>
      <x:c r="B655" s="13" t="str">
        <x:v>csq022</x:v>
      </x:c>
      <x:c r="C655" s="21" t="n">
        <x:v>27</x:v>
      </x:c>
      <x:c r="D655" s="20" t="str">
        <x:v>1</x:v>
      </x:c>
      <x:c r="E655" s="20" t="str"/>
      <x:c r="F655" s="20" t="str">
        <x:f>IF(E655="",D655,E655)</x:f>
        <x:v>1</x:v>
      </x:c>
      <x:c r="G655" s="13" t="str">
        <x:v>Krum Federated Chain (KFC): Using blockchain to defend against adversarial attacks in Federated Learning</x:v>
      </x:c>
      <x:c r="H655" s="13" t="n">
        <x:v>0</x:v>
      </x:c>
      <x:c r="I655" s="22" t="n">
        <x:v>0.015151515151515152</x:v>
      </x:c>
      <x:c r="J655" s="13" t="n">
        <x:v>1</x:v>
      </x:c>
      <x:c r="K655" s="19" t="str">
        <x:v>What security and privacy attacks against federated learning have been demonstrated, and which proposed defenses remain limited under adaptive attackers?</x:v>
      </x:c>
      <x:c r="L655" s="19" t="str">
        <x:v>ABSTRACT
Federated Learning presents a nascent approach to machine learning, enabling collaborative model
training across decentralized devices while safeguarding data privacy. However, its distributed
nature renders it susceptible to adversarial attacks. Integrating blockchain technology with Federated
Learning offers a promising avenue to enhance security and integrity. In this paper, we tackle the
potential of blockchain in defending Federated Learning against adversarial attacks. First, we test
Proof of Federated Learning, a well known consensus mechanism designed ad-hoc to federated
contexts, as a defense mechanism demonstrating its efficacy against Byzantine and backdoor attacks
when at least one miner remains uncompromised. Second, we propose Krum Federated Chain, a
novel defense strategy combining Krum and Proof of Federated Learning, valid to defend against</x:v>
      </x:c>
      <x:c r="M655" s="19" t="str">
        <x:v>该段提供相关背景或侧面信息，但没有直接回答问题核心。</x:v>
      </x:c>
      <x:c r="N655" s="13" t="str">
        <x:v>http://arxiv.org/abs/2502.06917v1</x:v>
      </x:c>
    </x:row>
    <x:row r="656" ht="58" customHeight="1">
      <x:c r="A656" s="13" t="str">
        <x:v>csq022-c028</x:v>
      </x:c>
      <x:c r="B656" s="13" t="str">
        <x:v>csq022</x:v>
      </x:c>
      <x:c r="C656" s="21" t="n">
        <x:v>28</x:v>
      </x:c>
      <x:c r="D656" s="20" t="str">
        <x:v>2</x:v>
      </x:c>
      <x:c r="E656" s="20" t="str"/>
      <x:c r="F656" s="20" t="str">
        <x:f>IF(E656="",D656,E656)</x:f>
        <x:v>2</x:v>
      </x:c>
      <x:c r="G656" s="13" t="str">
        <x:v>Integrating Identity-Based Identification against Adaptive Adversaries in Federated Learning</x:v>
      </x:c>
      <x:c r="H656" s="13" t="n">
        <x:v>2</x:v>
      </x:c>
      <x:c r="I656" s="22" t="n">
        <x:v>0.014925373134328358</x:v>
      </x:c>
      <x:c r="J656" s="13" t="n">
        <x:v>1</x:v>
      </x:c>
      <x:c r="K656" s="19" t="str">
        <x:v>What security and privacy attacks against federated learning have been demonstrated, and which proposed defenses remain limited under adaptive attackers?</x:v>
      </x:c>
      <x:c r="L656" s="19" t="str">
        <x:v>Adaptive adversaries are often omitted when discussing
trustworthy AI, their lack of presence in recent review articles
such as [28] make it apparent that this issue has not gathered
as much attention as of yet. That is despite the presence
of other works in the direction of adaptive defences [29],
although after initially surveying the field, adaptiveness in
FL is most often addressed in the context of training and
communication optimisation [30], [31], with only a handful
of works concentrating on exploring this threat and potential
defence approaches [32], [33].
Generally, works in related domains which concentrate on
attacks and defences for FL systems commonly assume that
most of the clients are benign [21], operating on a constraint
that the maximum number of malicious clients is no higher
than ⌈ N
2 ⌉ −1. The presence of this assumption is especially</x:v>
      </x:c>
      <x:c r="M656" s="19" t="str">
        <x:v>该段包含可直接回答问题的方法、指标、比较或研究发现。</x:v>
      </x:c>
      <x:c r="N656" s="13" t="str">
        <x:v>http://arxiv.org/abs/2504.03077v1</x:v>
      </x:c>
    </x:row>
    <x:row r="657" ht="58" customHeight="1">
      <x:c r="A657" s="13" t="str">
        <x:v>csq022-c029</x:v>
      </x:c>
      <x:c r="B657" s="13" t="str">
        <x:v>csq022</x:v>
      </x:c>
      <x:c r="C657" s="21" t="n">
        <x:v>29</x:v>
      </x:c>
      <x:c r="D657" s="20" t="str">
        <x:v>0</x:v>
      </x:c>
      <x:c r="E657" s="20" t="str"/>
      <x:c r="F657" s="20" t="str">
        <x:f>IF(E657="",D657,E657)</x:f>
        <x:v>0</x:v>
      </x:c>
      <x:c r="G657" s="13" t="str">
        <x:v>Integrating Identity-Based Identification against Adaptive Adversaries in Federated Learning</x:v>
      </x:c>
      <x:c r="H657" s="13" t="n">
        <x:v>8</x:v>
      </x:c>
      <x:c r="I657" s="22" t="n">
        <x:v>0.014705882352941176</x:v>
      </x:c>
      <x:c r="J657" s="13" t="n">
        <x:v>1</x:v>
      </x:c>
      <x:c r="K657" s="19" t="str">
        <x:v>What security and privacy attacks against federated learning have been demonstrated, and which proposed defenses remain limited under adaptive attackers?</x:v>
      </x:c>
      <x:c r="L657" s="19" t="str">
        <x:v>Federated Learning,” IEEE Transactions on Information Forensics
and Security , vol. 19, pp. 9534–9549, 2024, conference Name: IEEE
Transactions on Information Forensics and Security. [Online]. Available:
https://ieeexplore.ieee.org/abstract/document/10549523
[26] C. Hu, Y . Liu, M. Zhang, and Z. Yang, “Defense-Guided Adaptive
Attack on Byzantine-Robust Federated Learning,” in Frontiers in Cyber
Security, B. Chen, X. Fu, and M. Huang, Eds. Singapore: Springer
Nature, 2024, pp. 105–119.
[27] J. Gao, B. Hou, X. Guo, Z. Liu, Y . Zhang, K. Chen, and J. Li,
“Secure Aggregation is Insecure: Category Inference Attack on
Federated Learning,” IEEE Transactions on Dependable and Secure
Computing, vol. 20, no. 1, pp. 147–160, Jan. 2023, conference Name:
IEEE Transactions on Dependable and Secure Computing. [Online].
Available: https://ieeexplore.ieee.org/abstract/document/9618806</x:v>
      </x:c>
      <x:c r="M657" s="19" t="str">
        <x:v>该段为无关内容、泛泛提及或参考文献片段，不能作为回答证据。</x:v>
      </x:c>
      <x:c r="N657" s="13" t="str">
        <x:v>http://arxiv.org/abs/2504.03077v1</x:v>
      </x:c>
    </x:row>
    <x:row r="658" ht="58" customHeight="1">
      <x:c r="A658" s="13" t="str">
        <x:v>csq022-c030</x:v>
      </x:c>
      <x:c r="B658" s="13" t="str">
        <x:v>csq022</x:v>
      </x:c>
      <x:c r="C658" s="21" t="n">
        <x:v>30</x:v>
      </x:c>
      <x:c r="D658" s="20" t="str">
        <x:v>0</x:v>
      </x:c>
      <x:c r="E658" s="20" t="str"/>
      <x:c r="F658" s="20" t="str">
        <x:f>IF(E658="",D658,E658)</x:f>
        <x:v>0</x:v>
      </x:c>
      <x:c r="G658" s="13" t="str">
        <x:v>On Evaluating the Poisoning Robustness of Federated Learning under Local Differential Privacy</x:v>
      </x:c>
      <x:c r="H658" s="13" t="n">
        <x:v>12</x:v>
      </x:c>
      <x:c r="I658" s="22" t="n">
        <x:v>0.014705882352941176</x:v>
      </x:c>
      <x:c r="J658" s="13" t="n">
        <x:v>1</x:v>
      </x:c>
      <x:c r="K658" s="19" t="str">
        <x:v>What security and privacy attacks against federated learning have been demonstrated, and which proposed defenses remain limited under adaptive attackers?</x:v>
      </x:c>
      <x:c r="L658" s="19" t="str">
        <x:v>2023. [Online]. Available: https://doi.org/10.14778/3579075.3579081
[9] M. Nasr, R. Shokri, and A. Houmansadr, “Comprehensive privacy
analysis of deep learning: Passive and active white-box inference attacks
against centralized and federated learning,” in2019 IEEE symposium on
security and privacy (SP). IEEE, 2019, pp. 739–753.
[10] C. Hu and B. Li, “Maskcrypt: Federated learning with selective ho-
momorphic encryption,”IEEE Transactions on Dependable and Secure
Computing, vol. 22, no. 1, pp. 221–233, 2025.
[11] D. Ye, S. Shen, T. Zhu, B. Liu, and W. Zhou, “One parameter de-
fense—defending against data inference attacks via differential privacy,”
IEEE Transactions on Information Forensics and Security, vol. 17, pp.
1466–1480, 2022.
[12] F. Kato, L. Xiong, S. Takagi, Y . Cao, and M. Yoshikawa, “Uldp-fl:
Federated learning with across-silo user-level differential privacy,”Proc.</x:v>
      </x:c>
      <x:c r="M658" s="19" t="str">
        <x:v>该段为无关内容、泛泛提及或参考文献片段，不能作为回答证据。</x:v>
      </x:c>
      <x:c r="N658" s="13" t="str">
        <x:v>http://arxiv.org/abs/2509.05265v1</x:v>
      </x:c>
    </x:row>
    <x:row r="659" ht="58" customHeight="1">
      <x:c r="A659" s="13" t="str">
        <x:v>csq023-c001</x:v>
      </x:c>
      <x:c r="B659" s="13" t="str">
        <x:v>csq023</x:v>
      </x:c>
      <x:c r="C659" s="21" t="n">
        <x:v>1</x:v>
      </x:c>
      <x:c r="D659" s="20" t="str">
        <x:v>2</x:v>
      </x:c>
      <x:c r="E659" s="20" t="str"/>
      <x:c r="F659" s="20" t="str">
        <x:f>IF(E659="",D659,E659)</x:f>
        <x:v>2</x:v>
      </x:c>
      <x:c r="G659" s="13" t="str">
        <x:v>PSearch: Search-based Patch Generation in the Era of LLM-based Automated Program Repair</x:v>
      </x:c>
      <x:c r="H659" s="13" t="n">
        <x:v>0</x:v>
      </x:c>
      <x:c r="I659" s="22" t="n">
        <x:v>0.04839549075403121</x:v>
      </x:c>
      <x:c r="J659" s="13" t="n">
        <x:v>3</x:v>
      </x:c>
      <x:c r="K659" s="19" t="str">
        <x:v>What are the main neural and large-language-model-based approaches to automated program repair, and how do they generate and validate patches?</x:v>
      </x:c>
      <x:c r="L659" s="19" t="str">
        <x:v>Search-based Patch Generation in the Era of LLM-based Automated Program
Repair. In.ACM, New York, NY, USA, 13 pages. https://doi.org/10.1145/
nnnnnnn.nnnnnnn
1 Introduction
Automated Program Repair (APR) [54] aims to automatically locate
software defects and generate fixes that restore program correctness.
A typical APR workflow involves generating candidate patches
and validating them against available tests, followed by manual
inspection to determine whether the patch is genuinely correct.
Traditional APR techniques can be generally classified into three
categories: template-based [27, 28], heuristic-based [17, 34], and
constraint-based [11, 44] methods. Among them, template-based
APR has long been regarded as one of the most effective paradigms,
but its dependence on predefined transformation templates limits
its ability to handle previously unseen bugs.</x:v>
      </x:c>
      <x:c r="M659" s="19" t="str">
        <x:v>该段包含可直接回答问题的方法、指标、比较或研究发现。</x:v>
      </x:c>
      <x:c r="N659" s="13" t="str">
        <x:v>http://arxiv.org/abs/2507.01827v5</x:v>
      </x:c>
    </x:row>
    <x:row r="660" ht="58" customHeight="1">
      <x:c r="A660" s="13" t="str">
        <x:v>csq023-c002</x:v>
      </x:c>
      <x:c r="B660" s="13" t="str">
        <x:v>csq023</x:v>
      </x:c>
      <x:c r="C660" s="21" t="n">
        <x:v>2</x:v>
      </x:c>
      <x:c r="D660" s="20" t="str">
        <x:v>2</x:v>
      </x:c>
      <x:c r="E660" s="20" t="str"/>
      <x:c r="F660" s="20" t="str">
        <x:f>IF(E660="",D660,E660)</x:f>
        <x:v>2</x:v>
      </x:c>
      <x:c r="G660" s="13" t="str">
        <x:v>Hybrid Automated Program Repair by Combining Large Language Models and Program Analysis</x:v>
      </x:c>
      <x:c r="H660" s="13" t="n">
        <x:v>1</x:v>
      </x:c>
      <x:c r="I660" s="22" t="n">
        <x:v>0.047371031746031744</x:v>
      </x:c>
      <x:c r="J660" s="13" t="n">
        <x:v>3</x:v>
      </x:c>
      <x:c r="K660" s="19" t="str">
        <x:v>What are the main neural and large-language-model-based approaches to automated program repair, and how do they generate and validate patches?</x:v>
      </x:c>
      <x:c r="L660" s="19" t="str">
        <x:v>ness and generality of G IANT REPAIR , providing new insights
for future research in the field of APR. The results highlight
the potential for better utilization of LLM outputs for improved
APR. To sum up, this paper makes the following major
contributions.
• An innovative automated program repair technique that
leverages the capabilities of LLMs and context-aware
patch refinement.
• A novel patch generation method that extracts patch
skeleton from LLM-generated patches to confine the
patch space for better APR.
• A comprehensive evaluation in two application scenarios,
and the experimental results confirm the effectiveness and
generalizability of our approach.
• We have open-sourced our implementations and all ex-
perimental data to facilitate future research in this field.
https://github.com/Feng-Jay/GiantRepair
II. M OTIVATING EXAMPLES</x:v>
      </x:c>
      <x:c r="M660" s="19" t="str">
        <x:v>该段包含可直接回答问题的方法、指标、比较或研究发现。</x:v>
      </x:c>
      <x:c r="N660" s="13" t="str">
        <x:v>http://arxiv.org/abs/2406.00992v2</x:v>
      </x:c>
    </x:row>
    <x:row r="661" ht="58" customHeight="1">
      <x:c r="A661" s="13" t="str">
        <x:v>csq023-c003</x:v>
      </x:c>
      <x:c r="B661" s="13" t="str">
        <x:v>csq023</x:v>
      </x:c>
      <x:c r="C661" s="21" t="n">
        <x:v>3</x:v>
      </x:c>
      <x:c r="D661" s="20" t="str">
        <x:v>0</x:v>
      </x:c>
      <x:c r="E661" s="20" t="str"/>
      <x:c r="F661" s="20" t="str">
        <x:f>IF(E661="",D661,E661)</x:f>
        <x:v>0</x:v>
      </x:c>
      <x:c r="G661" s="13" t="str">
        <x:v>A Survey of Learning-based Automated Program Repair</x:v>
      </x:c>
      <x:c r="H661" s="13" t="n">
        <x:v>60</x:v>
      </x:c>
      <x:c r="I661" s="22" t="n">
        <x:v>0.04675081813931744</x:v>
      </x:c>
      <x:c r="J661" s="13" t="n">
        <x:v>3</x:v>
      </x:c>
      <x:c r="K661" s="19" t="str">
        <x:v>What are the main neural and large-language-model-based approaches to automated program repair, and how do they generate and validate patches?</x:v>
      </x:c>
      <x:c r="L661" s="19" t="str">
        <x:v>A Survey of Learning-based Automated Program Repair 1:61
[66] Yaojie Hu, Xingjian Shi, Qiang Zhou, and Lee Pike. 2022. Fix Bugs with Transformer through a Neural-symbolic Edit
Grammar. arXiv preprint arXiv:2204.06643 (2022).
[67] Kai Huang, Su Yang, Hongyu Sun, Chengyi Sun, Xuejun Li, and Yuqing Zhang. 2022. Repairing Security Vulnerabili-
ties Using Pre-trained Programming Language Models. In 2022 52nd Annual IEEE/IFIP International Conference on
Dependable Systems and Networks Workshops (DSN-W’22) . IEEE, 111–116.
[68] Shan Huang, Xiao Zhou, and Sang Chin. 2021. Application of Seq2seq Models on Code Correction. Frontiers in
artificial intelligence (FRAI) 4 (2021), 590215.
[69] Hamel Husain, Ho-Hsiang Wu, Tiferet Gazit, Miltiadis Allamanis, and Marc Brockschmidt. 2019. Codesearchnet
challenge: Evaluating the State of Semantic Code Search. arXiv preprint arXiv:1909.09436 (2019).</x:v>
      </x:c>
      <x:c r="M661" s="19" t="str">
        <x:v>该段为无关内容、泛泛提及或参考文献片段，不能作为回答证据。</x:v>
      </x:c>
      <x:c r="N661" s="13" t="str">
        <x:v>http://arxiv.org/abs/2301.03270v3</x:v>
      </x:c>
    </x:row>
    <x:row r="662" ht="58" customHeight="1">
      <x:c r="A662" s="13" t="str">
        <x:v>csq023-c004</x:v>
      </x:c>
      <x:c r="B662" s="13" t="str">
        <x:v>csq023</x:v>
      </x:c>
      <x:c r="C662" s="21" t="n">
        <x:v>4</x:v>
      </x:c>
      <x:c r="D662" s="20" t="str">
        <x:v>0</x:v>
      </x:c>
      <x:c r="E662" s="20" t="str"/>
      <x:c r="F662" s="20" t="str">
        <x:f>IF(E662="",D662,E662)</x:f>
        <x:v>0</x:v>
      </x:c>
      <x:c r="G662" s="13" t="str">
        <x:v>PSearch: Search-based Patch Generation in the Era of LLM-based Automated Program Repair</x:v>
      </x:c>
      <x:c r="H662" s="13" t="n">
        <x:v>11</x:v>
      </x:c>
      <x:c r="I662" s="22" t="n">
        <x:v>0.04547511312217195</x:v>
      </x:c>
      <x:c r="J662" s="13" t="n">
        <x:v>3</x:v>
      </x:c>
      <x:c r="K662" s="19" t="str">
        <x:v>What are the main neural and large-language-model-based approaches to automated program repair, and how do they generate and validate patches?</x:v>
      </x:c>
      <x:c r="L662" s="19" t="str">
        <x:v>[16] Kai Huang, Jian Zhang, Xiangxin Meng, and Yang Liu. 2025. Template-Guided
Program Repair in the Era of Large Language Models.. InICSE. 1895–1907.
[17] Jiajun Jiang, Yingfei Xiong, Hongyu Zhang, Qing Gao, and Xiangqun Chen.
2018. Shaping program repair space with existing patches and similar code. In
Proceedings of the 27th ACM SIGSOFT international symposium on software testing
and analysis. 298–309.
[18] Jiajun Jiang, Zijie Zhao, Zhirui Ye, Bo Wang, Hongyu Zhang, and Junjie Chen.
2023. Enhancing Redundancy-based Automated Program Repair by Fine-grained
Pattern Mining.arXiv preprint arXiv:2312.15955(2023).
[19] Nan Jiang, Kevin Liu, Thibaud Lutellier, and Lin Tan. 2023. Impact of code lan-
guage models on automated program repair. In2023 IEEE/ACM 45th International
Conference on Software Engineering (ICSE). IEEE, 1430–1442.</x:v>
      </x:c>
      <x:c r="M662" s="19" t="str">
        <x:v>该段为无关内容、泛泛提及或参考文献片段，不能作为回答证据。</x:v>
      </x:c>
      <x:c r="N662" s="13" t="str">
        <x:v>http://arxiv.org/abs/2507.01827v5</x:v>
      </x:c>
    </x:row>
    <x:row r="663" ht="58" customHeight="1">
      <x:c r="A663" s="13" t="str">
        <x:v>csq023-c005</x:v>
      </x:c>
      <x:c r="B663" s="13" t="str">
        <x:v>csq023</x:v>
      </x:c>
      <x:c r="C663" s="21" t="n">
        <x:v>5</x:v>
      </x:c>
      <x:c r="D663" s="20" t="str">
        <x:v>2</x:v>
      </x:c>
      <x:c r="E663" s="20" t="str"/>
      <x:c r="F663" s="20" t="str">
        <x:f>IF(E663="",D663,E663)</x:f>
        <x:v>2</x:v>
      </x:c>
      <x:c r="G663" s="13" t="str">
        <x:v>Conversational Automated Program Repair</x:v>
      </x:c>
      <x:c r="H663" s="13" t="n">
        <x:v>0</x:v>
      </x:c>
      <x:c r="I663" s="22" t="n">
        <x:v>0.031754032258064516</x:v>
      </x:c>
      <x:c r="J663" s="13" t="n">
        <x:v>2</x:v>
      </x:c>
      <x:c r="K663" s="19" t="str">
        <x:v>What are the main neural and large-language-model-based approaches to automated program repair, and how do they generate and validate patches?</x:v>
      </x:c>
      <x:c r="L663" s="19" t="str">
        <x:v>CONVERSATIONAL AUTOMATED PROGRAM REPAIR
Chunqiu Steven Xia, Lingming Zhang
University of Illinois at Urbana-Champaign
{chunqiu2, lingming }@illinois.edu
ABSTRACT
Automated Program Repair (APR) can help developers automatically generate
patches for bugs. Due to the impressive performance obtained using Large Pre-
Trained Language Models (LLMs) on many code related tasks, researchers have
started to directly use LLMs for APR. However, prior approaches simply repeat-
edly sample the LLM given the same constructed input/prompt created from the
original buggy code, which not only leads to generating the same incorrect patches
repeatedly but also miss the critical information in testcases. To address these lim-
itations, we propose conversational APR, a new paradigm for program repair that
alternates between patch generation and validation in a conversational manner.</x:v>
      </x:c>
      <x:c r="M663" s="19" t="str">
        <x:v>该段包含可直接回答问题的方法、指标、比较或研究发现。</x:v>
      </x:c>
      <x:c r="N663" s="13" t="str">
        <x:v>http://arxiv.org/abs/2301.13246v1</x:v>
      </x:c>
    </x:row>
    <x:row r="664" ht="58" customHeight="1">
      <x:c r="A664" s="13" t="str">
        <x:v>csq023-c006</x:v>
      </x:c>
      <x:c r="B664" s="13" t="str">
        <x:v>csq023</x:v>
      </x:c>
      <x:c r="C664" s="21" t="n">
        <x:v>6</x:v>
      </x:c>
      <x:c r="D664" s="20" t="str">
        <x:v>0</x:v>
      </x:c>
      <x:c r="E664" s="20" t="str"/>
      <x:c r="F664" s="20" t="str">
        <x:f>IF(E664="",D664,E664)</x:f>
        <x:v>0</x:v>
      </x:c>
      <x:c r="G664" s="13" t="str">
        <x:v>Boosting Redundancy-based Automated Program Repair by Fine-grained Pattern Mining</x:v>
      </x:c>
      <x:c r="H664" s="13" t="n">
        <x:v>12</x:v>
      </x:c>
      <x:c r="I664" s="22" t="n">
        <x:v>0.029957522915269395</x:v>
      </x:c>
      <x:c r="J664" s="13" t="n">
        <x:v>2</x:v>
      </x:c>
      <x:c r="K664" s="19" t="str">
        <x:v>What are the main neural and large-language-model-based approaches to automated program repair, and how do they generate and validate patches?</x:v>
      </x:c>
      <x:c r="L664" s="19" t="str">
        <x:v>[73] T. Lutellier, H. V . Pham, L. Pang, Y . Li, M. Wei, and L. Tan, “Coconut:
combining context-aware neural translation models using ensemble for
program repair,” inProceedings of the 29th ACM SIGSOFT international
symposium on software testing and analysis , 2020, pp. 101–114.
[74] H. Ye, M. Martinez, and M. Monperrus, “Neural program repair with
execution-based backpropagation,” in Proceedings of the 44th Interna-
tional Conference on Software Engineering , 2022, pp. 1506–1518.
[75] Z. Fan, X. Gao, A. Roychoudhury, and S. H. Tan, “Automated repair
of programs from large language models,” in Proceedings of the 45th
International Conference on Software Engineering , 2023.
[76] J. A. Prenner, H. Babii, and R. Robbes, “Can openai’s codex fix bugs?
an evaluation on quixbugs,” in Proceedings of the Third International
Workshop on Automated Program Repair , 2022, pp. 69–75.</x:v>
      </x:c>
      <x:c r="M664" s="19" t="str">
        <x:v>该段为无关内容、泛泛提及或参考文献片段，不能作为回答证据。</x:v>
      </x:c>
      <x:c r="N664" s="13" t="str">
        <x:v>http://arxiv.org/abs/2312.15955v3</x:v>
      </x:c>
    </x:row>
    <x:row r="665" ht="58" customHeight="1">
      <x:c r="A665" s="13" t="str">
        <x:v>csq023-c007</x:v>
      </x:c>
      <x:c r="B665" s="13" t="str">
        <x:v>csq023</x:v>
      </x:c>
      <x:c r="C665" s="21" t="n">
        <x:v>7</x:v>
      </x:c>
      <x:c r="D665" s="20" t="str">
        <x:v>0</x:v>
      </x:c>
      <x:c r="E665" s="20" t="str"/>
      <x:c r="F665" s="20" t="str">
        <x:f>IF(E665="",D665,E665)</x:f>
        <x:v>0</x:v>
      </x:c>
      <x:c r="G665" s="13" t="str">
        <x:v>Copiloting the Copilots: Fusing Large Language Models with Completion Engines for Automated Program Repair</x:v>
      </x:c>
      <x:c r="H665" s="13" t="n">
        <x:v>12</x:v>
      </x:c>
      <x:c r="I665" s="22" t="n">
        <x:v>0.029138513513513514</x:v>
      </x:c>
      <x:c r="J665" s="13" t="n">
        <x:v>2</x:v>
      </x:c>
      <x:c r="K665" s="19" t="str">
        <x:v>What are the main neural and large-language-model-based approaches to automated program repair, and how do they generate and validate patches?</x:v>
      </x:c>
      <x:c r="L665" s="19" t="str">
        <x:v>Context-Aware Patch Generation for Better Automated Program Repair. InPro-
ceedings of the 40th International Conference on Software Engineering (Gothenburg,
Sweden) (ICSE ’18). Association for Computing Machinery, New York, NY, USA,
1–11. https://doi.org/10.1145/3180155.3180233
[64] Chunqiu Steven Xia, Yifeng Ding, and Lingming Zhang. 2023. Revisiting the
Plastic Surgery Hypothesis via Large Language Models. arXiv:2303.10494 [cs.SE]
[65] Chunqiu Steven Xia, Matteo Paltenghi, Jia Le Tian, Michael Pradel, and
Lingming Zhang. 2023. Universal Fuzzing via Large Language Models.
arXiv:2308.04748 [cs.SE]
[66] Chunqiu Steven Xia, Yuxiang Wei, and Lingming Zhang. 2023. Automated
Program Repair in the Era of Large Pre-Trained Language Models. In Proceedings
of the 45th International Conference on Software Engineering (Melbourne, Victoria,</x:v>
      </x:c>
      <x:c r="M665" s="19" t="str">
        <x:v>该段为无关内容、泛泛提及或参考文献片段，不能作为回答证据。</x:v>
      </x:c>
      <x:c r="N665" s="13" t="str">
        <x:v>http://arxiv.org/abs/2309.00608v3</x:v>
      </x:c>
    </x:row>
    <x:row r="666" ht="58" customHeight="1">
      <x:c r="A666" s="13" t="str">
        <x:v>csq023-c008</x:v>
      </x:c>
      <x:c r="B666" s="13" t="str">
        <x:v>csq023</x:v>
      </x:c>
      <x:c r="C666" s="21" t="n">
        <x:v>8</x:v>
      </x:c>
      <x:c r="D666" s="20" t="str">
        <x:v>2</x:v>
      </x:c>
      <x:c r="E666" s="20" t="str"/>
      <x:c r="F666" s="20" t="str">
        <x:f>IF(E666="",D666,E666)</x:f>
        <x:v>2</x:v>
      </x:c>
      <x:c r="G666" s="13" t="str">
        <x:v>Hybrid Automated Program Repair by Combining Large Language Models and Program Analysis</x:v>
      </x:c>
      <x:c r="H666" s="13" t="n">
        <x:v>0</x:v>
      </x:c>
      <x:c r="I666" s="22" t="n">
        <x:v>0.028577260665441927</x:v>
      </x:c>
      <x:c r="J666" s="13" t="n">
        <x:v>2</x:v>
      </x:c>
      <x:c r="K666" s="19" t="str">
        <x:v>What are the main neural and large-language-model-based approaches to automated program repair, and how do they generate and validate patches?</x:v>
      </x:c>
      <x:c r="L666" s="19" t="str">
        <x:v>Hybrid Automated Program Repair by Combining
Large Language Models and Program Analysis
Fengjie Li 1, Jiajun Jiang 1, Jiajun Sun 1 and Hongyu Zhang 2
1College of Intelligence and Computing, Tianjin University, China
2School of Big Data and Software Engineering, Chongqing University, China
fengjie@tju.edu.cn, jiangjiajun@tju.edu.cn, sjjtianjin@tju.edu.cn, hyzhang@cqu.edu.cn
Abstract—Automated Program Repair (APR) has garnered sig-
nificant attention due to its potential to streamline the bug repair
process for human developers. Recently, LLM-based APR meth-
ods have shown promise in repairing real-world bugs. However,
existing APR methods often utilize patches generated by LLMs
without further optimization, resulting in reduced effectiveness
due to the lack of program-specific knowledge. Furthermore, the
evaluations of these APR methods have typically been conducted</x:v>
      </x:c>
      <x:c r="M666" s="19" t="str">
        <x:v>该段包含可直接回答问题的方法、指标、比较或研究发现。</x:v>
      </x:c>
      <x:c r="N666" s="13" t="str">
        <x:v>http://arxiv.org/abs/2406.00992v2</x:v>
      </x:c>
    </x:row>
    <x:row r="667" ht="58" customHeight="1">
      <x:c r="A667" s="13" t="str">
        <x:v>csq023-c009</x:v>
      </x:c>
      <x:c r="B667" s="13" t="str">
        <x:v>csq023</x:v>
      </x:c>
      <x:c r="C667" s="21" t="n">
        <x:v>9</x:v>
      </x:c>
      <x:c r="D667" s="20" t="str">
        <x:v>0</x:v>
      </x:c>
      <x:c r="E667" s="20" t="str"/>
      <x:c r="F667" s="20" t="str">
        <x:f>IF(E667="",D667,E667)</x:f>
        <x:v>0</x:v>
      </x:c>
      <x:c r="G667" s="13" t="str">
        <x:v>A Survey of Learning-based Automated Program Repair</x:v>
      </x:c>
      <x:c r="H667" s="13" t="n">
        <x:v>67</x:v>
      </x:c>
      <x:c r="I667" s="22" t="n">
        <x:v>0.027783137179239824</x:v>
      </x:c>
      <x:c r="J667" s="13" t="n">
        <x:v>2</x:v>
      </x:c>
      <x:c r="K667" s="19" t="str">
        <x:v>What are the main neural and large-language-model-based approaches to automated program repair, and how do they generate and validate patches?</x:v>
      </x:c>
      <x:c r="L667" s="19" t="str">
        <x:v>Automated Patch Correctness Prediction via Pre-trained Language Model. arXiv preprint arXiv:2301.12453 (2023).
[235] Quanjun Zhang, Chunrong Fang, Bowen Yu, Weisong Sun, Tongke Zhang, and Zhenyu Chen. 2023. Pre-Trained
Model-Based Automated Software Vulnerability Repair: How Far are We?IEEE Transactions on Dependable and Secure
Computing (2023).
[236] Quanjun Zhang, Chunrong Fang, Tongke Zhang, Weisong Sun, Bowen Yu, and Zhenyu Chen. 2023. GAMMA:
Revisiting Template-based Automated Program Repair via Mask Prediction. In Proceedings of the 38th IEEE/ACM
International Conference on Automated Software Engineering . 1–13.
[237] Quanjun Zhang, Tongke Zhang, Juan Zhai, Chunrong Fang, Bowen Yu, Weisong Sun, and Zhenyu Chen. 2023. A
Critical Review of Large Language Model on Software Engineering: An Example from ChatGPT and Automated
Program Repair. arXiv preprint arXiv:2310.08879 (2023).</x:v>
      </x:c>
      <x:c r="M667" s="19" t="str">
        <x:v>该段为无关内容、泛泛提及或参考文献片段，不能作为回答证据。</x:v>
      </x:c>
      <x:c r="N667" s="13" t="str">
        <x:v>http://arxiv.org/abs/2301.03270v3</x:v>
      </x:c>
    </x:row>
    <x:row r="668" ht="58" customHeight="1">
      <x:c r="A668" s="13" t="str">
        <x:v>csq023-c010</x:v>
      </x:c>
      <x:c r="B668" s="13" t="str">
        <x:v>csq023</x:v>
      </x:c>
      <x:c r="C668" s="21" t="n">
        <x:v>10</x:v>
      </x:c>
      <x:c r="D668" s="20" t="str">
        <x:v>0</x:v>
      </x:c>
      <x:c r="E668" s="20" t="str"/>
      <x:c r="F668" s="20" t="str">
        <x:f>IF(E668="",D668,E668)</x:f>
        <x:v>0</x:v>
      </x:c>
      <x:c r="G668" s="13" t="str">
        <x:v>Towards Practical and Useful Automated Program Repair for Debugging</x:v>
      </x:c>
      <x:c r="H668" s="13" t="n">
        <x:v>4</x:v>
      </x:c>
      <x:c r="I668" s="22" t="n">
        <x:v>0.027417840375586856</x:v>
      </x:c>
      <x:c r="J668" s="13" t="n">
        <x:v>2</x:v>
      </x:c>
      <x:c r="K668" s="19" t="str">
        <x:v>What are the main neural and large-language-model-based approaches to automated program repair, and how do they generate and validate patches?</x:v>
      </x:c>
      <x:c r="L668" s="19" t="str">
        <x:v>Conference on Automated Software Engineering (ASE) . IEEE, 1162–1174.
[11] Kai Huang, Zhengzi Xu, Su Yang, Hongyu Sun, Xuejun Li, Zheng Yan, and Yuqing
Zhang. 2023. A survey on automated program repair techniques. arXiv preprint
arXiv:2303.18184 (2023).
[12] Jiajun Jiang, Yingfei Xiong, Hongyu Zhang, Qing Gao, and Xiangqun Chen.
2018. Shaping program repair space with existing patches and similar code. In
Proceedings of ACM 27th SIGSOFT International Symposium on Software Testing
and Analysis (ISSTA). ACM, 298–309.
[13] Nan Jiang, Kevin Liu, Thibaud Lutellier, and Lin Tan. 2023. Impact of code
language models on automated program repair. arXiv preprint arXiv:2302.05020
(2023).
[14] Nan Jiang, Thibaud Lutellier, and Lin Tan. 2021. CURE: Code-aware neural
machine translation for automatic program repair. In Proceedings of IEEE/ACM</x:v>
      </x:c>
      <x:c r="M668" s="19" t="str">
        <x:v>该段为无关内容、泛泛提及或参考文献片段，不能作为回答证据。</x:v>
      </x:c>
      <x:c r="N668" s="13" t="str">
        <x:v>http://arxiv.org/abs/2407.08958v1</x:v>
      </x:c>
    </x:row>
    <x:row r="669" ht="58" customHeight="1">
      <x:c r="A669" s="13" t="str">
        <x:v>csq023-c011</x:v>
      </x:c>
      <x:c r="B669" s="13" t="str">
        <x:v>csq023</x:v>
      </x:c>
      <x:c r="C669" s="21" t="n">
        <x:v>11</x:v>
      </x:c>
      <x:c r="D669" s="20" t="str">
        <x:v>2</x:v>
      </x:c>
      <x:c r="E669" s="20" t="str"/>
      <x:c r="F669" s="20" t="str">
        <x:f>IF(E669="",D669,E669)</x:f>
        <x:v>2</x:v>
      </x:c>
      <x:c r="G669" s="13" t="str">
        <x:v>Assessing the Latent Automated Program Repair Capabilities of Large Language Models using Round-Trip Translation</x:v>
      </x:c>
      <x:c r="H669" s="13" t="n">
        <x:v>3</x:v>
      </x:c>
      <x:c r="I669" s="22" t="n">
        <x:v>0.01639344262295082</x:v>
      </x:c>
      <x:c r="J669" s="13" t="n">
        <x:v>1</x:v>
      </x:c>
      <x:c r="K669" s="19" t="str">
        <x:v>What are the main neural and large-language-model-based approaches to automated program repair, and how do they generate and validate patches?</x:v>
      </x:c>
      <x:c r="L669" s="19" t="str">
        <x:v>programs in the target language [56]. Ray et al. [54] observed bugs to be deviations that manifest as unnaturalnoise
which increases entropy in otherwise predictable and repetitive natural code. This observation has been used to address
various tasks, such as APR [65], vulnerability identification [12], and patch ranking [28, 31].
2.3 Language Models for Automated Program Repair
Interpreting APR as a translation from buggy to fixed sequences further stimulated the use of language models [15, 26].
Early models used RNN and LSTM architectures that cannot handle long-range dependencies and scale poorly [79].
Transformers [66] addressed these challenges and are now the prevalent choice. Transformers for APR and other SE
tasks have evolved by incorporating new representations [22], new loss functions [24], and increasing their size [71].</x:v>
      </x:c>
      <x:c r="M669" s="19" t="str">
        <x:v>该段包含可直接回答问题的方法、指标、比较或研究发现。</x:v>
      </x:c>
      <x:c r="N669" s="13" t="str">
        <x:v>http://arxiv.org/abs/2401.07994v2</x:v>
      </x:c>
    </x:row>
    <x:row r="670" ht="58" customHeight="1">
      <x:c r="A670" s="13" t="str">
        <x:v>csq023-c012</x:v>
      </x:c>
      <x:c r="B670" s="13" t="str">
        <x:v>csq023</x:v>
      </x:c>
      <x:c r="C670" s="21" t="n">
        <x:v>12</x:v>
      </x:c>
      <x:c r="D670" s="20" t="str">
        <x:v>2</x:v>
      </x:c>
      <x:c r="E670" s="20" t="str"/>
      <x:c r="F670" s="20" t="str">
        <x:f>IF(E670="",D670,E670)</x:f>
        <x:v>2</x:v>
      </x:c>
      <x:c r="G670" s="13" t="str">
        <x:v>Hybrid Automated Program Repair by Combining Large Language Models and Program Analysis</x:v>
      </x:c>
      <x:c r="H670" s="13" t="n">
        <x:v>5</x:v>
      </x:c>
      <x:c r="I670" s="22" t="n">
        <x:v>0.01639344262295082</x:v>
      </x:c>
      <x:c r="J670" s="13" t="n">
        <x:v>1</x:v>
      </x:c>
      <x:c r="K670" s="19" t="str">
        <x:v>What are the main neural and large-language-model-based approaches to automated program repair, and how do they generate and validate patches?</x:v>
      </x:c>
      <x:c r="L670" s="19" t="str">
        <x:v>the higher the rank of the patch. Subsequently, for each LLM-
generated patch, G IANT REPAIR constructs candidate patches
using the patch instantiation process introduced earlier. Finally,
GIANT REPAIR executes the associated test cases after apply-
ing each patch and identifies the ones that pass all the test cases
as plausible patches, in line with existing studies [20], [27],
[29], [38], [39]. In this process, G IANT REPAIR utilizes the
ExpressAPR [46] framework for managing the test running.
Consistent with existing studies [20], [27], [29], [38], [39], a
patch is deemed correct only if it is semantically equivalent to
the developer patch, as determined through manual inspection.
IV. E XPERIMENTAL SETUP
A. Research Questions
In this paper, we aim to answer the following research
questions for evaluating the effectiveness of G IANT REPAIR .</x:v>
      </x:c>
      <x:c r="M670" s="19" t="str">
        <x:v>该段包含可直接回答问题的方法、指标、比较或研究发现。</x:v>
      </x:c>
      <x:c r="N670" s="13" t="str">
        <x:v>http://arxiv.org/abs/2406.00992v2</x:v>
      </x:c>
    </x:row>
    <x:row r="671" ht="58" customHeight="1">
      <x:c r="A671" s="13" t="str">
        <x:v>csq023-c013</x:v>
      </x:c>
      <x:c r="B671" s="13" t="str">
        <x:v>csq023</x:v>
      </x:c>
      <x:c r="C671" s="21" t="n">
        <x:v>13</x:v>
      </x:c>
      <x:c r="D671" s="20" t="str">
        <x:v>0</x:v>
      </x:c>
      <x:c r="E671" s="20" t="str"/>
      <x:c r="F671" s="20" t="str">
        <x:f>IF(E671="",D671,E671)</x:f>
        <x:v>0</x:v>
      </x:c>
      <x:c r="G671" s="13" t="str">
        <x:v>InferFix: End-to-End Program Repair with LLMs</x:v>
      </x:c>
      <x:c r="H671" s="13" t="n">
        <x:v>9</x:v>
      </x:c>
      <x:c r="I671" s="22" t="n">
        <x:v>0.01639344262295082</x:v>
      </x:c>
      <x:c r="J671" s="13" t="n">
        <x:v>1</x:v>
      </x:c>
      <x:c r="K671" s="19" t="str">
        <x:v>What are the main neural and large-language-model-based approaches to automated program repair, and how do they generate and validate patches?</x:v>
      </x:c>
      <x:c r="L671" s="19" t="str">
        <x:v>Ruiqi Zhong, Wen-tau Yih, Luke Zettlemoyer, and Mike Lewis. 2022. InCoder:
A Generative Model for Code Infilling and Synthesis. https://doi.org/10.48550/
ARXIV.2204.05999
[13] Jiajun Jiang, Yingfei Xiong, Hongyu Zhang, Qing Gao, and Xiangqun Chen.
2018. Shaping program repair space with existing patches and similar code. In
Proceedings of the 27th ACM SIGSOFT international symposium on software testing
and analysis. 298–309.
[14] Nan Jiang, Thibaud Lutellier, and Lin Tan. 2021. Cure: Code-aware neural machine
translation for automatic program repair. In 2021 IEEE/ACM 43rd International
Conference on Software Engineering (ICSE) . IEEE, 1161–1173.
[15] Harshit Joshi, José Cambronero, Sumit Gulwani, Vu Le, Ivan Radicek, and Gust
Verbruggen. 2022. Repair Is Nearly Generation: Multilingual Program Repair
with LLMs. https://doi.org/10.48550/ARXIV.2208.11640</x:v>
      </x:c>
      <x:c r="M671" s="19" t="str">
        <x:v>该段为无关内容、泛泛提及或参考文献片段，不能作为回答证据。</x:v>
      </x:c>
      <x:c r="N671" s="13" t="str">
        <x:v>http://arxiv.org/abs/2303.07263v1</x:v>
      </x:c>
    </x:row>
    <x:row r="672" ht="58" customHeight="1">
      <x:c r="A672" s="13" t="str">
        <x:v>csq023-c014</x:v>
      </x:c>
      <x:c r="B672" s="13" t="str">
        <x:v>csq023</x:v>
      </x:c>
      <x:c r="C672" s="21" t="n">
        <x:v>14</x:v>
      </x:c>
      <x:c r="D672" s="20" t="str">
        <x:v>2</x:v>
      </x:c>
      <x:c r="E672" s="20" t="str"/>
      <x:c r="F672" s="20" t="str">
        <x:f>IF(E672="",D672,E672)</x:f>
        <x:v>2</x:v>
      </x:c>
      <x:c r="G672" s="13" t="str">
        <x:v>A Survey of Learning-based Automated Program Repair</x:v>
      </x:c>
      <x:c r="H672" s="13" t="n">
        <x:v>6</x:v>
      </x:c>
      <x:c r="I672" s="22" t="n">
        <x:v>0.015625</x:v>
      </x:c>
      <x:c r="J672" s="13" t="n">
        <x:v>1</x:v>
      </x:c>
      <x:c r="K672" s="19" t="str">
        <x:v>What are the main neural and large-language-model-based approaches to automated program repair, and how do they generate and validate patches?</x:v>
      </x:c>
      <x:c r="L672" s="19" t="str">
        <x:v>being the correct fix):𝑃(𝑌|𝑋) = Î𝑚
𝑖=1𝑃(𝑦𝑖|𝑦1,...,𝑦 𝑖−1;𝑥1,...,𝑥 𝑛).
In other words, the objective of an NMT repair model is to learn the mapping between a buggy
code snippet𝑋 and a fixed code snippet𝑌 . Then the parameters of the model are updated by using
the training dataset, so as to optimize the mapping (i.e., maximizing the conditional probability𝑃).
In the literature, recurrent neural network architecture (RNN) is widely used in existing learning-
based APR techniques [27, 58, 183, 184]. Besides, researchers use long short-term memory (LSTM)
architecture to capture the long-distance dependencies among code sequences [23, 130]. Recently,
ACM Trans. Softw. Eng. Methodol., Vol. 0, No. 0, Article 1. Publication date: 2023.</x:v>
      </x:c>
      <x:c r="M672" s="19" t="str">
        <x:v>该段包含可直接回答问题的方法、指标、比较或研究发现。</x:v>
      </x:c>
      <x:c r="N672" s="13" t="str">
        <x:v>http://arxiv.org/abs/2301.03270v3</x:v>
      </x:c>
    </x:row>
    <x:row r="673" ht="58" customHeight="1">
      <x:c r="A673" s="13" t="str">
        <x:v>csq023-c015</x:v>
      </x:c>
      <x:c r="B673" s="13" t="str">
        <x:v>csq023</x:v>
      </x:c>
      <x:c r="C673" s="21" t="n">
        <x:v>15</x:v>
      </x:c>
      <x:c r="D673" s="20" t="str">
        <x:v>1</x:v>
      </x:c>
      <x:c r="E673" s="20" t="str"/>
      <x:c r="F673" s="20" t="str">
        <x:f>IF(E673="",D673,E673)</x:f>
        <x:v>1</x:v>
      </x:c>
      <x:c r="G673" s="13" t="str">
        <x:v>Enhancing Automated Program Repair via Faulty Token Localization and Quality-Aware Patch Refinement</x:v>
      </x:c>
      <x:c r="H673" s="13" t="n">
        <x:v>0</x:v>
      </x:c>
      <x:c r="I673" s="22" t="n">
        <x:v>0.015384615384615385</x:v>
      </x:c>
      <x:c r="J673" s="13" t="n">
        <x:v>1</x:v>
      </x:c>
      <x:c r="K673" s="19" t="str">
        <x:v>What are the main neural and large-language-model-based approaches to automated program repair, and how do they generate and validate patches?</x:v>
      </x:c>
      <x:c r="L673" s="19" t="str">
        <x:v>intensive undertaking, imposing substantial burdens on development teams. Industry reports
indicate that annual expenditures on bug detection and remediation exceed billions of dollars [4],
with developers allocating approximately 50% of their time to debugging and error correction
activities [3, 21, 39]. In response to these challenges, Automatic Program Repair (APR) has emerged
as a promising paradigm, offering automated patch generation to address software defects.
With the rapid advancement of large language models (LLMs), recent research has shown that
they are highly effective for automated program repair. Trained on massive corpora of natural
language and source code, LLMs exhibit strong capabilities in understanding program semantics,
reasoning about code behavior, and generating meaningful edits. Recent studies [16, 24, 28, 34, 35]</x:v>
      </x:c>
      <x:c r="M673" s="19" t="str">
        <x:v>该段提供相关背景或侧面信息，但没有直接回答问题核心。</x:v>
      </x:c>
      <x:c r="N673" s="13" t="str">
        <x:v>http://arxiv.org/abs/2511.18001v1</x:v>
      </x:c>
    </x:row>
    <x:row r="674" ht="58" customHeight="1">
      <x:c r="A674" s="13" t="str">
        <x:v>csq023-c016</x:v>
      </x:c>
      <x:c r="B674" s="13" t="str">
        <x:v>csq023</x:v>
      </x:c>
      <x:c r="C674" s="21" t="n">
        <x:v>16</x:v>
      </x:c>
      <x:c r="D674" s="20" t="str">
        <x:v>0</x:v>
      </x:c>
      <x:c r="E674" s="20" t="str"/>
      <x:c r="F674" s="20" t="str">
        <x:f>IF(E674="",D674,E674)</x:f>
        <x:v>0</x:v>
      </x:c>
      <x:c r="G674" s="13" t="str">
        <x:v>PSearch: Search-based Patch Generation in the Era of LLM-based Automated Program Repair</x:v>
      </x:c>
      <x:c r="H674" s="13" t="n">
        <x:v>11</x:v>
      </x:c>
      <x:c r="I674" s="22" t="n">
        <x:v>0.015384615384615385</x:v>
      </x:c>
      <x:c r="J674" s="13" t="n">
        <x:v>1</x:v>
      </x:c>
      <x:c r="K674" s="19" t="str">
        <x:v>What are the main neural and large-language-model-based approaches to automated program repair, and how do they generate and validate patches?</x:v>
      </x:c>
      <x:c r="L674" s="19" t="str">
        <x:v>July 21 - 26, 2014, Corina S. Pasareanu and Darko Marinov (Eds.). ACM, 437–440.
doi:10.1145/2610384.2628055
[23] Ummay Kulsum, Haotian Zhu, Bowen Xu, and Marcelo d’Amorim. 2024. A case
study of llm for automated vulnerability repair: Assessing impact of reasoning and
patch validation feedback. InProceedings of the 1st ACM International Conference
on AI-Powered Software. 103–111.
[24] Fengjie Li, Jiajun Jiang, Jiajun Sun, and Hongyu Zhang. 2025. Hybrid automated
program repair by combining large language models and program analysis.ACM
Transactions on Software Engineering and Methodology34, 7 (2025), 1–28.
[25] Xueyang Li, Shangqing Liu, Ruitao Feng, Guozhu Meng, Xiaofei Xie, Kai Chen,
and Yang Liu. 2022. TransRepair: Context-aware Program Repair for Compila-
tion Errors. In37th IEEE/ACM International Conference on Automated Software
Engineering, ASE. 1–13.</x:v>
      </x:c>
      <x:c r="M674" s="19" t="str">
        <x:v>该段为无关内容、泛泛提及或参考文献片段，不能作为回答证据。</x:v>
      </x:c>
      <x:c r="N674" s="13" t="str">
        <x:v>http://arxiv.org/abs/2507.01827v5</x:v>
      </x:c>
    </x:row>
    <x:row r="675" ht="58" customHeight="1">
      <x:c r="A675" s="13" t="str">
        <x:v>csq023-c017</x:v>
      </x:c>
      <x:c r="B675" s="13" t="str">
        <x:v>csq023</x:v>
      </x:c>
      <x:c r="C675" s="21" t="n">
        <x:v>17</x:v>
      </x:c>
      <x:c r="D675" s="20" t="str">
        <x:v>1</x:v>
      </x:c>
      <x:c r="E675" s="20" t="str"/>
      <x:c r="F675" s="20" t="str">
        <x:f>IF(E675="",D675,E675)</x:f>
        <x:v>1</x:v>
      </x:c>
      <x:c r="G675" s="13" t="str">
        <x:v>Assessing the Latent Automated Program Repair Capabilities of Large Language Models using Round-Trip Translation</x:v>
      </x:c>
      <x:c r="H675" s="13" t="n">
        <x:v>0</x:v>
      </x:c>
      <x:c r="I675" s="22" t="n">
        <x:v>0.015151515151515152</x:v>
      </x:c>
      <x:c r="J675" s="13" t="n">
        <x:v>1</x:v>
      </x:c>
      <x:c r="K675" s="19" t="str">
        <x:v>What are the main neural and large-language-model-based approaches to automated program repair, and how do they generate and validate patches?</x:v>
      </x:c>
      <x:c r="L675" s="19" t="str">
        <x:v>significant amount of developers’ time and impede their progress in building new features [9, 44]. Automated program
repair (APR) aims to fix errors in source code with minimal human involvement, thus reducing code maintenance
needs and releasing resources for creative code writing. With the advent of language models trained on source code,
learning-based methods that use generative and translation models to fix bugs have started to compete with traditional
heuristic and constraint-based approaches for APR [34, 43].
Large Language Models (LLMs) trained on vast amounts of natural language and source code have pushed many
fields away from traditional techniques and common heuristics, including the field of software engineering. Nowadays,
LLMs are able to generate code, create documentation, and locate bugs [13]. They have also been empirically proven to</x:v>
      </x:c>
      <x:c r="M675" s="19" t="str">
        <x:v>该段提供相关背景或侧面信息，但没有直接回答问题核心。</x:v>
      </x:c>
      <x:c r="N675" s="13" t="str">
        <x:v>http://arxiv.org/abs/2401.07994v2</x:v>
      </x:c>
    </x:row>
    <x:row r="676" ht="58" customHeight="1">
      <x:c r="A676" s="13" t="str">
        <x:v>csq023-c018</x:v>
      </x:c>
      <x:c r="B676" s="13" t="str">
        <x:v>csq023</x:v>
      </x:c>
      <x:c r="C676" s="21" t="n">
        <x:v>18</x:v>
      </x:c>
      <x:c r="D676" s="20" t="str">
        <x:v>0</x:v>
      </x:c>
      <x:c r="E676" s="20" t="str"/>
      <x:c r="F676" s="20" t="str">
        <x:f>IF(E676="",D676,E676)</x:f>
        <x:v>0</x:v>
      </x:c>
      <x:c r="G676" s="13" t="str">
        <x:v>A Survey of Learning-based Automated Program Repair</x:v>
      </x:c>
      <x:c r="H676" s="13" t="n">
        <x:v>65</x:v>
      </x:c>
      <x:c r="I676" s="22" t="n">
        <x:v>0.015151515151515152</x:v>
      </x:c>
      <x:c r="J676" s="13" t="n">
        <x:v>1</x:v>
      </x:c>
      <x:c r="K676" s="19" t="str">
        <x:v>What are the main neural and large-language-model-based approaches to automated program repair, and how do they generate and validate patches?</x:v>
      </x:c>
      <x:c r="L676" s="19" t="str">
        <x:v>1:66 Quanjun Zhang, Chunrong Fang, Yuxiang Ma, Weisong Sun, and Zhenyu Chen
[176] Yu Tang, Long Zhou, Ambrosio Blanco, Shujie Liu, Furu Wei, Ming Zhou, and Muyun Yang. 2021. Grammar-based
Patches Generation for Automated Program Repair. In Findings of the Association for Computational Linguistics:
ACL-IJCNLP 2021. 1300–1305.
[177] Yida Tao, Jindae Kim, Sunghun Kim, and Chang Xu. 2014. Automatically Generated Patches As Debugging Aids:
A Human Study. In Proceedings of the 22nd ACM SIGSOFT International Symposium on Foundations of Software
Engineering (FSE’14). 64–74.
[178] Haoye Tian, Yinghua Li, Weiguo Pian, Abdoul Kader Kabore, Kui Liu, Andrew Habib, Jacques Klein, and Tegawendé F
Bissyandé. 2022. Predicting Patch Correctness Based on the Similarity of Failing Test Cases. ACM Transactions on
Software Engineering and Methodology (TOSEM) 31, 4 (2022), 1–30.</x:v>
      </x:c>
      <x:c r="M676" s="19" t="str">
        <x:v>该段为无关内容、泛泛提及或参考文献片段，不能作为回答证据。</x:v>
      </x:c>
      <x:c r="N676" s="13" t="str">
        <x:v>http://arxiv.org/abs/2301.03270v3</x:v>
      </x:c>
    </x:row>
    <x:row r="677" ht="58" customHeight="1">
      <x:c r="A677" s="13" t="str">
        <x:v>csq023-c019</x:v>
      </x:c>
      <x:c r="B677" s="13" t="str">
        <x:v>csq023</x:v>
      </x:c>
      <x:c r="C677" s="21" t="n">
        <x:v>19</x:v>
      </x:c>
      <x:c r="D677" s="20" t="str">
        <x:v>2</x:v>
      </x:c>
      <x:c r="E677" s="20" t="str"/>
      <x:c r="F677" s="20" t="str">
        <x:f>IF(E677="",D677,E677)</x:f>
        <x:v>2</x:v>
      </x:c>
      <x:c r="G677" s="13" t="str">
        <x:v>Copiloting the Copilots: Fusing Large Language Models with Completion Engines for Automated Program Repair</x:v>
      </x:c>
      <x:c r="H677" s="13" t="n">
        <x:v>2</x:v>
      </x:c>
      <x:c r="I677" s="22" t="n">
        <x:v>0.015151515151515152</x:v>
      </x:c>
      <x:c r="J677" s="13" t="n">
        <x:v>1</x:v>
      </x:c>
      <x:c r="K677" s="19" t="str">
        <x:v>What are the main neural and large-language-model-based approaches to automated program repair, and how do they generate and validate patches?</x:v>
      </x:c>
      <x:c r="L677" s="19" t="str">
        <x:v>Copiloting the Copilots: Fusing Large Language Models with Completion Engines for Automated Program Repair ESEC/FSE ’23, December 3–9, 2023, San Francisco, CA, USA
2.0 single-line bugs fixed respectively with 30 more combined
fixes across both datasets compared to the previous best baseline.
Our further evaluation shows that Repilot consistently improves
the validity and correctness of the generated patches with a
limited overhead (7% for CodeT5 and negligible for InCoder).
2 BACKGROUND AND RELATED WORK
2.1 Large Language Models for Code
Recent advances in Natural Language Processing (NLP) have em-
powered the idea of using Large Language Models (LLMs) that are
pre-trained on enormous corpora of natural language and code for
various code-related tasks [4, 5, 10, 38, 70]. LLMs are based on the
transformer architecture [59] that can be categorized into encoder-</x:v>
      </x:c>
      <x:c r="M677" s="19" t="str">
        <x:v>该段包含可直接回答问题的方法、指标、比较或研究发现。</x:v>
      </x:c>
      <x:c r="N677" s="13" t="str">
        <x:v>http://arxiv.org/abs/2309.00608v3</x:v>
      </x:c>
    </x:row>
    <x:row r="678" ht="58" customHeight="1">
      <x:c r="A678" s="13" t="str">
        <x:v>csq023-c020</x:v>
      </x:c>
      <x:c r="B678" s="13" t="str">
        <x:v>csq023</x:v>
      </x:c>
      <x:c r="C678" s="21" t="n">
        <x:v>20</x:v>
      </x:c>
      <x:c r="D678" s="20" t="str">
        <x:v>2</x:v>
      </x:c>
      <x:c r="E678" s="20" t="str"/>
      <x:c r="F678" s="20" t="str">
        <x:f>IF(E678="",D678,E678)</x:f>
        <x:v>2</x:v>
      </x:c>
      <x:c r="G678" s="13" t="str">
        <x:v>PSearch: Search-based Patch Generation in the Era of LLM-based Automated Program Repair</x:v>
      </x:c>
      <x:c r="H678" s="13" t="n">
        <x:v>0</x:v>
      </x:c>
      <x:c r="I678" s="22" t="n">
        <x:v>0.015151515151515152</x:v>
      </x:c>
      <x:c r="J678" s="13" t="n">
        <x:v>1</x:v>
      </x:c>
      <x:c r="K678" s="19" t="str">
        <x:v>What are the main neural and large-language-model-based approaches to automated program repair, and how do they generate and validate patches?</x:v>
      </x:c>
      <x:c r="L678" s="19" t="str">
        <x:v>PSearch: Search-based Patch Generation in the Era of LLM-based
Automated Program Repair
Haichuan Hu
huhaichuan2024@gmail.com
Nanjing University of Science and Technology
Nanjing, China
Ye Shang
yeshang@smail.nju.edu.cn
Nanjing University
Nanjing, China
Weifeng Sun
weifeng.sun@cqu.edu.cn
Singapore Management University
Singapore
Quanjun Zhang∗
quanjunzhang@njust.edu.cn
Nanjing University of Science and Technology
Nanjing, China
Abstract
Large Language Models (LLMs) have substantially advanced Auto-
mated Program Repair (APR), yet most existing LLM-based APR
methods still rely on trial-and-error to generate patches. Such a
strategy explores candidate patches in a weakly structured manner,
making it difficult to assess the future potential of search directions
and allocate search budget effectively. To address this limitation, we
proposePSearch, a search-based patch generation framework for</x:v>
      </x:c>
      <x:c r="M678" s="19" t="str">
        <x:v>该段包含可直接回答问题的方法、指标、比较或研究发现。</x:v>
      </x:c>
      <x:c r="N678" s="13" t="str">
        <x:v>http://arxiv.org/abs/2507.01827v5</x:v>
      </x:c>
    </x:row>
    <x:row r="679" ht="58" customHeight="1">
      <x:c r="A679" s="13" t="str">
        <x:v>csq023-c021</x:v>
      </x:c>
      <x:c r="B679" s="13" t="str">
        <x:v>csq023</x:v>
      </x:c>
      <x:c r="C679" s="21" t="n">
        <x:v>21</x:v>
      </x:c>
      <x:c r="D679" s="20" t="str">
        <x:v>2</x:v>
      </x:c>
      <x:c r="E679" s="20" t="str"/>
      <x:c r="F679" s="20" t="str">
        <x:f>IF(E679="",D679,E679)</x:f>
        <x:v>2</x:v>
      </x:c>
      <x:c r="G679" s="13" t="str">
        <x:v>Hybrid Automated Program Repair by Combining Large Language Models and Program Analysis</x:v>
      </x:c>
      <x:c r="H679" s="13" t="n">
        <x:v>5</x:v>
      </x:c>
      <x:c r="I679" s="22" t="n">
        <x:v>0.014925373134328358</x:v>
      </x:c>
      <x:c r="J679" s="13" t="n">
        <x:v>1</x:v>
      </x:c>
      <x:c r="K679" s="19" t="str">
        <x:v>What are the main neural and large-language-model-based approaches to automated program repair, and how do they generate and validate patches?</x:v>
      </x:c>
      <x:c r="L679" s="19" t="str">
        <x:v>GAMMA 2023 ASE SimFix 2018 ISSTA
Repilot 2023 FSE CapGen 2018 ICSE
AlphaRepair 2022 FSE SketchFix 2018 ICSE
Hanabi 2022 TOSEM JAID 2017 ASE
SelfAPR 2022 ASE jGenProg 2017 ESE
Recoder 2021 FSE jKali 2016 ISSTA
CURE 2021 ICSE jMutRepair 2016 ISSTA
FixMiner 2020 ESE NOPOL 2016 TSE
C. Baselines and Metrics
To answer RQ1, we selected four commonly-used LLMs
as the baselines, including two general-purpose LLMs (GPT-
3.5 Turbo [47], [48] and Llama-2 [49]) and two code-specific
LLMs (StarCoder [50] and CodeLlama [51]), all of which
have been used in diverse software engineering tasks [52],
[53] and demonstrated to be effective, including automated
program repair [40], [41].
To answer RQ2, we mainly compared G IANT REPAIR with
the ten latest and best-performing APRs due to the space
limit, including four LLM-based APRs (FitRepair [20], Repi-</x:v>
      </x:c>
      <x:c r="M679" s="19" t="str">
        <x:v>该段包含可直接回答问题的方法、指标、比较或研究发现。</x:v>
      </x:c>
      <x:c r="N679" s="13" t="str">
        <x:v>http://arxiv.org/abs/2406.00992v2</x:v>
      </x:c>
    </x:row>
    <x:row r="680" ht="58" customHeight="1">
      <x:c r="A680" s="13" t="str">
        <x:v>csq023-c022</x:v>
      </x:c>
      <x:c r="B680" s="13" t="str">
        <x:v>csq023</x:v>
      </x:c>
      <x:c r="C680" s="21" t="n">
        <x:v>22</x:v>
      </x:c>
      <x:c r="D680" s="20" t="str">
        <x:v>2</x:v>
      </x:c>
      <x:c r="E680" s="20" t="str"/>
      <x:c r="F680" s="20" t="str">
        <x:f>IF(E680="",D680,E680)</x:f>
        <x:v>2</x:v>
      </x:c>
      <x:c r="G680" s="13" t="str">
        <x:v>A Survey of Learning-based Automated Program Repair</x:v>
      </x:c>
      <x:c r="H680" s="13" t="n">
        <x:v>6</x:v>
      </x:c>
      <x:c r="I680" s="22" t="n">
        <x:v>0.014925373134328358</x:v>
      </x:c>
      <x:c r="J680" s="13" t="n">
        <x:v>1</x:v>
      </x:c>
      <x:c r="K680" s="19" t="str">
        <x:v>What are the main neural and large-language-model-based approaches to automated program repair, and how do they generate and validate patches?</x:v>
      </x:c>
      <x:c r="L680" s="19" t="str">
        <x:v>program under repair to replace the buggy expression.
• Pattern-based repair techniques . These techniques usually design certain repair templates by
manually analyzing specific software bugs and generating patches by applying such templates
to buggy code snippets [85, 106, 107]. For example, TBar [107] revisits the effectiveness of
pattern-based APR techniques by systematically summarizing a variety of repair patterns
from the literature.
In addition to the above traditional APR techniques, researchers attempt to fix software bugs
enriched by DL techniques due to the large-scale open-source source code repositories [184, 242].
Such learning-based techniques have demonstrated promising results and are getting growing
attention recently, which is the focus of our work (introduced in Section 3.2).
3.2 Neural Machine Translation</x:v>
      </x:c>
      <x:c r="M680" s="19" t="str">
        <x:v>该段包含可直接回答问题的方法、指标、比较或研究发现。</x:v>
      </x:c>
      <x:c r="N680" s="13" t="str">
        <x:v>http://arxiv.org/abs/2301.03270v3</x:v>
      </x:c>
    </x:row>
    <x:row r="681" ht="58" customHeight="1">
      <x:c r="A681" s="13" t="str">
        <x:v>csq023-c023</x:v>
      </x:c>
      <x:c r="B681" s="13" t="str">
        <x:v>csq023</x:v>
      </x:c>
      <x:c r="C681" s="21" t="n">
        <x:v>23</x:v>
      </x:c>
      <x:c r="D681" s="20" t="str">
        <x:v>0</x:v>
      </x:c>
      <x:c r="E681" s="20" t="str"/>
      <x:c r="F681" s="20" t="str">
        <x:f>IF(E681="",D681,E681)</x:f>
        <x:v>0</x:v>
      </x:c>
      <x:c r="G681" s="13" t="str">
        <x:v>A Survey of Learning-based Automated Program Repair</x:v>
      </x:c>
      <x:c r="H681" s="13" t="n">
        <x:v>59</x:v>
      </x:c>
      <x:c r="I681" s="22" t="n">
        <x:v>0.014925373134328358</x:v>
      </x:c>
      <x:c r="J681" s="13" t="n">
        <x:v>1</x:v>
      </x:c>
      <x:c r="K681" s="19" t="str">
        <x:v>What are the main neural and large-language-model-based approaches to automated program repair, and how do they generate and validate patches?</x:v>
      </x:c>
      <x:c r="L681" s="19" t="str">
        <x:v>[63] Hideaki Hata, Emad Shihab, and Graham Neubig. 2018. Learning to Generate Corrective Patches Using Neural
Machine Translation. arXiv preprint arXiv:1812.07170 (2018).
[64] Vincent J Hellendoorn, Charles Sutton, Rishabh Singh, Petros Maniatis, and David Bieber. 2019. Global Relational
Models of Source Code. In International Conference on Learning Representations (ICLR’19) .
[65] Yang Hu, Umair Z Ahmed, Sergey Mechtaev, Ben Leong, and Abhik Roychoudhury. 2019. Re-factoring based Program
Repair Applied to Programming Assignments. In 2019 34th IEEE/ACM International Conference on Automated Software
Engineering (ASE). IEEE, 388–398.
ACM Trans. Softw. Eng. Methodol., Vol. 0, No. 0, Article 1. Publication date: 2023.</x:v>
      </x:c>
      <x:c r="M681" s="19" t="str">
        <x:v>该段为无关内容、泛泛提及或参考文献片段，不能作为回答证据。</x:v>
      </x:c>
      <x:c r="N681" s="13" t="str">
        <x:v>http://arxiv.org/abs/2301.03270v3</x:v>
      </x:c>
    </x:row>
    <x:row r="682" ht="58" customHeight="1">
      <x:c r="A682" s="13" t="str">
        <x:v>csq023-c024</x:v>
      </x:c>
      <x:c r="B682" s="13" t="str">
        <x:v>csq023</x:v>
      </x:c>
      <x:c r="C682" s="21" t="n">
        <x:v>24</x:v>
      </x:c>
      <x:c r="D682" s="20" t="str">
        <x:v>0</x:v>
      </x:c>
      <x:c r="E682" s="20" t="str"/>
      <x:c r="F682" s="20" t="str">
        <x:f>IF(E682="",D682,E682)</x:f>
        <x:v>0</x:v>
      </x:c>
      <x:c r="G682" s="13" t="str">
        <x:v>A Survey of Learning-based Automated Program Repair</x:v>
      </x:c>
      <x:c r="H682" s="13" t="n">
        <x:v>61</x:v>
      </x:c>
      <x:c r="I682" s="22" t="n">
        <x:v>0.014925373134328358</x:v>
      </x:c>
      <x:c r="J682" s="13" t="n">
        <x:v>1</x:v>
      </x:c>
      <x:c r="K682" s="19" t="str">
        <x:v>What are the main neural and large-language-model-based approaches to automated program repair, and how do they generate and validate patches?</x:v>
      </x:c>
      <x:c r="L682" s="19" t="str">
        <x:v>1:62 Quanjun Zhang, Chunrong Fang, Yuxiang Ma, Weisong Sun, and Zhenyu Chen
[88] Sumith Kulal, Panupong Pasupat, Kartik Chandra, Mina Lee, Oded Padon, Alex Aiken, and Percy S Liang. 2019. Spoc:
Search-based Pseudocode to Code. Advances in Neural Information Processing Systems 32 (2019).
[89] Márk Lajkó, Viktor Csuvik, and László Vidács. 2022. Towards Javascript Program Repair with Generative Pre-trained
Transformer (gpt-2). In 2022 IEEE/ACM International Workshop on Automated Program Repair (APR’22) . IEEE, 61–68.
[90] Xuan-Bach D Le, Lingfeng Bao, David Lo, Xin Xia, Shanping Li, and Corina Pasareanu. 2019. On Reliability of
Patch Correctness Assessment. In Proceedings of the 41st IEEE/ACM International Conference on Software Engineering
(ICSE’19). IEEE, 524–535.
[91] Claire Le Goues, Michael Dewey-Vogt, Stephanie Forrest, and Westley Weimer. 2012. A Systematic Study of Automated</x:v>
      </x:c>
      <x:c r="M682" s="19" t="str">
        <x:v>该段为无关内容、泛泛提及或参考文献片段，不能作为回答证据。</x:v>
      </x:c>
      <x:c r="N682" s="13" t="str">
        <x:v>http://arxiv.org/abs/2301.03270v3</x:v>
      </x:c>
    </x:row>
    <x:row r="683" ht="58" customHeight="1">
      <x:c r="A683" s="13" t="str">
        <x:v>csq023-c025</x:v>
      </x:c>
      <x:c r="B683" s="13" t="str">
        <x:v>csq023</x:v>
      </x:c>
      <x:c r="C683" s="21" t="n">
        <x:v>25</x:v>
      </x:c>
      <x:c r="D683" s="20" t="str">
        <x:v>2</x:v>
      </x:c>
      <x:c r="E683" s="20" t="str"/>
      <x:c r="F683" s="20" t="str">
        <x:f>IF(E683="",D683,E683)</x:f>
        <x:v>2</x:v>
      </x:c>
      <x:c r="G683" s="13" t="str">
        <x:v>Hybrid Automated Program Repair by Combining Large Language Models and Program Analysis</x:v>
      </x:c>
      <x:c r="H683" s="13" t="n">
        <x:v>9</x:v>
      </x:c>
      <x:c r="I683" s="22" t="n">
        <x:v>0.014705882352941176</x:v>
      </x:c>
      <x:c r="J683" s="13" t="n">
        <x:v>1</x:v>
      </x:c>
      <x:c r="K683" s="19" t="str">
        <x:v>What are the main neural and large-language-model-based approaches to automated program repair, and how do they generate and validate patches?</x:v>
      </x:c>
      <x:c r="L683" s="19" t="str">
        <x:v>four CodeT5 [75] to generate patches. Different from FitRe-
pair, G IANT REPAIR selects and abstracts the modifications
in LLM-generated patches to generate patches. Consequently,
GIANT REPAIR can fix more complex bugs.
VIII. C ONCLUSION
In this paper, we have proposed G IANT REPAIR , a novel
automated program repair approach. Specifically, G IANT RE-
PAIR leverages LLM-generated patches for patch skeleton
construction and constraining the patch space, and then in-
corporates a context-aware skeleton instantiation process for
generating high-quality patches tailored to specific programs.
10</x:v>
      </x:c>
      <x:c r="M683" s="19" t="str">
        <x:v>该段包含可直接回答问题的方法、指标、比较或研究发现。</x:v>
      </x:c>
      <x:c r="N683" s="13" t="str">
        <x:v>http://arxiv.org/abs/2406.00992v2</x:v>
      </x:c>
    </x:row>
    <x:row r="684" ht="58" customHeight="1">
      <x:c r="A684" s="13" t="str">
        <x:v>csq023-c026</x:v>
      </x:c>
      <x:c r="B684" s="13" t="str">
        <x:v>csq023</x:v>
      </x:c>
      <x:c r="C684" s="21" t="n">
        <x:v>26</x:v>
      </x:c>
      <x:c r="D684" s="20" t="str">
        <x:v>2</x:v>
      </x:c>
      <x:c r="E684" s="20" t="str"/>
      <x:c r="F684" s="20" t="str">
        <x:f>IF(E684="",D684,E684)</x:f>
        <x:v>2</x:v>
      </x:c>
      <x:c r="G684" s="13" t="str">
        <x:v>A Survey of Learning-based Automated Program Repair</x:v>
      </x:c>
      <x:c r="H684" s="13" t="n">
        <x:v>16</x:v>
      </x:c>
      <x:c r="I684" s="22" t="n">
        <x:v>0.014705882352941176</x:v>
      </x:c>
      <x:c r="J684" s="13" t="n">
        <x:v>1</x:v>
      </x:c>
      <x:c r="K684" s="19" t="str">
        <x:v>What are the main neural and large-language-model-based approaches to automated program repair, and how do they generate and validate patches?</x:v>
      </x:c>
      <x:c r="L684" s="19" t="str">
        <x:v>A Survey of Learning-based Automated Program Repair 1:17
CODIT then employs a tree-based model to learn the structural changes in the form of a sequence
of grammar, which is finally used to predict the fixed code sequence with a standard Seq2Seq model.
Model Architecture. Most NMT-based APR models treat patch generation as a machine translation
from buggy code to a fixed one. However, such models could not capture the information of code
structures and suffer from handling the context of the code. Tree-based encoders consider the
structure features of source code, such as AST. For example, DLFix [ 98] represents source code
as ASTs and employs tree-based RNN models to encode the context tree and sub-changed trees.
Besides, Devlin et al. [38] encode the AST with a sequential bidirectional LSTM by enumerating a
depth-first traversal of the nodes.</x:v>
      </x:c>
      <x:c r="M684" s="19" t="str">
        <x:v>该段包含可直接回答问题的方法、指标、比较或研究发现。</x:v>
      </x:c>
      <x:c r="N684" s="13" t="str">
        <x:v>http://arxiv.org/abs/2301.03270v3</x:v>
      </x:c>
    </x:row>
    <x:row r="685" ht="58" customHeight="1">
      <x:c r="A685" s="13" t="str">
        <x:v>csq023-c027</x:v>
      </x:c>
      <x:c r="B685" s="13" t="str">
        <x:v>csq023</x:v>
      </x:c>
      <x:c r="C685" s="21" t="n">
        <x:v>27</x:v>
      </x:c>
      <x:c r="D685" s="20" t="str">
        <x:v>2</x:v>
      </x:c>
      <x:c r="E685" s="20" t="str"/>
      <x:c r="F685" s="20" t="str">
        <x:f>IF(E685="",D685,E685)</x:f>
        <x:v>2</x:v>
      </x:c>
      <x:c r="G685" s="13" t="str">
        <x:v>Towards Practical and Useful Automated Program Repair for Debugging</x:v>
      </x:c>
      <x:c r="H685" s="13" t="n">
        <x:v>2</x:v>
      </x:c>
      <x:c r="I685" s="22" t="n">
        <x:v>0.014705882352941176</x:v>
      </x:c>
      <x:c r="J685" s="13" t="n">
        <x:v>1</x:v>
      </x:c>
      <x:c r="K685" s="19" t="str">
        <x:v>What are the main neural and large-language-model-based approaches to automated program repair, and how do they generate and validate patches?</x:v>
      </x:c>
      <x:c r="L685" s="19" t="str">
        <x:v>Towards Practical and Useful Automated Program Repair
for Debugging SE 2030, November 2024, Puerto Galinàs (Brazil)
Buggy Program
Developer
1. Problem Specification
Problem Specification2. Test-Free Fault Localization
Repair Locations3. Patch Generation
Patches
4. Program Re-execution-Free Patch Validation
PatchesforPreview
5. Patch Presentation
ValidatedPatches
•LLM-Based Local Repair•Tailored Strategy-Driven Global Repair
Integrated Development Environment (IDE) 
Figure 1: An overview of the PracAPR repair system.
choose a patch for a preview, which highlights the code before and
after the repair with differences, and ask ROSE to make the repair.
More details can be found in [33, 34].
We evaluated the effectiveness and utility of ROSE with a repair
experiment and a user study. Our results showed that ROSE’s test-
free fault localization and patch validation are highly effective:</x:v>
      </x:c>
      <x:c r="M685" s="19" t="str">
        <x:v>该段包含可直接回答问题的方法、指标、比较或研究发现。</x:v>
      </x:c>
      <x:c r="N685" s="13" t="str">
        <x:v>http://arxiv.org/abs/2407.08958v1</x:v>
      </x:c>
    </x:row>
    <x:row r="686" ht="58" customHeight="1">
      <x:c r="A686" s="13" t="str">
        <x:v>csq023-c028</x:v>
      </x:c>
      <x:c r="B686" s="13" t="str">
        <x:v>csq023</x:v>
      </x:c>
      <x:c r="C686" s="21" t="n">
        <x:v>28</x:v>
      </x:c>
      <x:c r="D686" s="20" t="str">
        <x:v>0</x:v>
      </x:c>
      <x:c r="E686" s="20" t="str"/>
      <x:c r="F686" s="20" t="str">
        <x:f>IF(E686="",D686,E686)</x:f>
        <x:v>0</x:v>
      </x:c>
      <x:c r="G686" s="13" t="str">
        <x:v>A Survey of Learning-based Automated Program Repair</x:v>
      </x:c>
      <x:c r="H686" s="13" t="n">
        <x:v>66</x:v>
      </x:c>
      <x:c r="I686" s="22" t="n">
        <x:v>0.014492753623188406</x:v>
      </x:c>
      <x:c r="J686" s="13" t="n">
        <x:v>1</x:v>
      </x:c>
      <x:c r="K686" s="19" t="str">
        <x:v>What are the main neural and large-language-model-based approaches to automated program repair, and how do they generate and validate patches?</x:v>
      </x:c>
      <x:c r="L686" s="19" t="str">
        <x:v>[205] Liwei Wu, Fei Li, Youhua Wu, and Tao Zheng. 2020. Ggf: A Graph-based Method for Programming Language Syntax
Error Correction. In Proceedings of the 28th International Conference on Program Comprehension . 139–148.
[206] Yi Wu, Nan Jiang, Hung Viet Pham, Thibaud Lutellier, Jordan Davis, Lin Tan, Petr Babkin, and Sameena Shah. 2023.
How Effective Are Neural Networks for Fixing Security Vulnerabilities. In Proceedings of the 32nd ACM SIGSOFT
International Symposium on Software Testing and Analysis . 1282–1294.
[207] Chunqiu Steven Xia, Yifeng Ding, and Lingming Zhang. 2023. Revisiting the Plastic Surgery Hypothesis via Large
Language Models. arXiv preprint arXiv:2303.10494 (2023).
[208] Chunqiu Steven Xia, Yuxiang Wei, and Lingming Zhang. 2022. Practical Program Repair in the Era of Large Pre-trained
Language Models. arXiv preprint arXiv:2210.14179 (2022).</x:v>
      </x:c>
      <x:c r="M686" s="19" t="str">
        <x:v>该段为无关内容、泛泛提及或参考文献片段，不能作为回答证据。</x:v>
      </x:c>
      <x:c r="N686" s="13" t="str">
        <x:v>http://arxiv.org/abs/2301.03270v3</x:v>
      </x:c>
    </x:row>
    <x:row r="687" ht="58" customHeight="1">
      <x:c r="A687" s="13" t="str">
        <x:v>csq023-c029</x:v>
      </x:c>
      <x:c r="B687" s="13" t="str">
        <x:v>csq023</x:v>
      </x:c>
      <x:c r="C687" s="21" t="n">
        <x:v>29</x:v>
      </x:c>
      <x:c r="D687" s="20" t="str">
        <x:v>2</x:v>
      </x:c>
      <x:c r="E687" s="20" t="str"/>
      <x:c r="F687" s="20" t="str">
        <x:f>IF(E687="",D687,E687)</x:f>
        <x:v>2</x:v>
      </x:c>
      <x:c r="G687" s="13" t="str">
        <x:v>Towards Practical and Useful Automated Program Repair for Debugging</x:v>
      </x:c>
      <x:c r="H687" s="13" t="n">
        <x:v>0</x:v>
      </x:c>
      <x:c r="I687" s="22" t="n">
        <x:v>0.014492753623188406</x:v>
      </x:c>
      <x:c r="J687" s="13" t="n">
        <x:v>1</x:v>
      </x:c>
      <x:c r="K687" s="19" t="str">
        <x:v>What are the main neural and large-language-model-based approaches to automated program repair, and how do they generate and validate patches?</x:v>
      </x:c>
      <x:c r="L687" s="19" t="str">
        <x:v>strategy-driven global repair, and program re-execution-free patch
validation based on simulated trace comparison to suggest repairs.
By having PracAPR, we hope to take a significant step towards
making APR useful and an everyday part of debugging.
ACM Reference Format:
Qi Xin, Haojun Wu, Steven P. Reiss, and Jifeng Xuan. 2024. Towards Practical
and Useful Automated Program Repair for Debugging. In Proceedings of
International Workshop on Software Engineering in 2030 (SE 2030). ACM, New
York, NY, USA, 6 pages. https://doi.org/10.1145/nnnnnnn.nnnnnnn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x:v>
      </x:c>
      <x:c r="M687" s="19" t="str">
        <x:v>该段包含可直接回答问题的方法、指标、比较或研究发现。</x:v>
      </x:c>
      <x:c r="N687" s="13" t="str">
        <x:v>http://arxiv.org/abs/2407.08958v1</x:v>
      </x:c>
    </x:row>
    <x:row r="688" ht="58" customHeight="1">
      <x:c r="A688" s="13" t="str">
        <x:v>csq023-c030</x:v>
      </x:c>
      <x:c r="B688" s="13" t="str">
        <x:v>csq023</x:v>
      </x:c>
      <x:c r="C688" s="21" t="n">
        <x:v>30</x:v>
      </x:c>
      <x:c r="D688" s="20" t="str">
        <x:v>2</x:v>
      </x:c>
      <x:c r="E688" s="20" t="str"/>
      <x:c r="F688" s="20" t="str">
        <x:f>IF(E688="",D688,E688)</x:f>
        <x:v>2</x:v>
      </x:c>
      <x:c r="G688" s="13" t="str">
        <x:v>A Survey of Learning-based Automated Program Repair</x:v>
      </x:c>
      <x:c r="H688" s="13" t="n">
        <x:v>0</x:v>
      </x:c>
      <x:c r="I688" s="22" t="n">
        <x:v>0.014285714285714285</x:v>
      </x:c>
      <x:c r="J688" s="13" t="n">
        <x:v>1</x:v>
      </x:c>
      <x:c r="K688" s="19" t="str">
        <x:v>What are the main neural and large-language-model-based approaches to automated program repair, and how do they generate and validate patches?</x:v>
      </x:c>
      <x:c r="L688" s="19" t="str">
        <x:v>1
A Survey of Learning-based Automated Program Repair
QUANJUN ZHANG, State Key Laboratory for Novel Software Technology, Nanjing University, China
CHUNRONG FANG∗, State Key Laboratory for Novel Software Technology, Nanjing University, China
YUXIANG MA, State Key Laboratory for Novel Software Technology, Nanjing University, China
WEISONG SUN, State Key Laboratory for Novel Software Technology, Nanjing University, China
ZHENYU CHEN∗, State Key Laboratory for Novel Software Technology, Nanjing University, China
Automated program repair (APR) aims to fix software bugs automatically and plays a crucial role in software
development and maintenance. With the recent advances in deep learning (DL), an increasing number of APR
techniques have been proposed to leverage neural networks to learn bug-fixing patterns from massive open-</x:v>
      </x:c>
      <x:c r="M688" s="19" t="str">
        <x:v>该段包含可直接回答问题的方法、指标、比较或研究发现。</x:v>
      </x:c>
      <x:c r="N688" s="13" t="str">
        <x:v>http://arxiv.org/abs/2301.03270v3</x:v>
      </x:c>
    </x:row>
    <x:row r="689" ht="58" customHeight="1">
      <x:c r="A689" s="13" t="str">
        <x:v>csq024-c001</x:v>
      </x:c>
      <x:c r="B689" s="13" t="str">
        <x:v>csq024</x:v>
      </x:c>
      <x:c r="C689" s="21" t="n">
        <x:v>1</x:v>
      </x:c>
      <x:c r="D689" s="20" t="str">
        <x:v>2</x:v>
      </x:c>
      <x:c r="E689" s="20" t="str"/>
      <x:c r="F689" s="20" t="str">
        <x:f>IF(E689="",D689,E689)</x:f>
        <x:v>2</x:v>
      </x:c>
      <x:c r="G689" s="13" t="str">
        <x:v>CodeScore: Evaluating Code Generation by Learning Code Execution</x:v>
      </x:c>
      <x:c r="H689" s="13" t="n">
        <x:v>2</x:v>
      </x:c>
      <x:c r="I689" s="22" t="n">
        <x:v>0.0630968737648454</x:v>
      </x:c>
      <x:c r="J689" s="13" t="n">
        <x:v>4</x:v>
      </x:c>
      <x:c r="K689" s="19" t="str">
        <x:v>How do execution-based, test-based, and model-based evaluation approaches for code generation compare?</x:v>
      </x:c>
      <x:c r="L689" s="19" t="str">
        <x:v>input, which assists models in learning code execution and predicting an estimate of execution
PassRatio.3
• We construct three code evaluation datasets based on public benchmark datasets in code
generation, called APPS-Eval, MBPP-Eval, and HE-Eval, respectively. Each task of them
contains an NL description, several reference codes, 10+ generated codes, and 100+ test
cases.4
• CodeScore substantially outperforms match-based CEMs and LLM-based EMs, and achieves
state-of-the-art performance on multiple code evaluation datasets.
2 BACKGROUND &amp; RELATED WORK
In this section, we first introduce code generation, and then discuss code evaluation based on three
types of EMs, including Match-based CEMs, Execution-based CEMs, and LLM-based EMs.
2.1 Code Generation
Code generation technology can automatically generate source code for software, achieving the</x:v>
      </x:c>
      <x:c r="M689" s="19" t="str">
        <x:v>该段包含可直接回答问题的方法、指标、比较或研究发现。</x:v>
      </x:c>
      <x:c r="N689" s="13" t="str">
        <x:v>http://arxiv.org/abs/2301.09043v4</x:v>
      </x:c>
    </x:row>
    <x:row r="690" ht="58" customHeight="1">
      <x:c r="A690" s="13" t="str">
        <x:v>csq024-c002</x:v>
      </x:c>
      <x:c r="B690" s="13" t="str">
        <x:v>csq024</x:v>
      </x:c>
      <x:c r="C690" s="21" t="n">
        <x:v>2</x:v>
      </x:c>
      <x:c r="D690" s="20" t="str">
        <x:v>2</x:v>
      </x:c>
      <x:c r="E690" s="20" t="str"/>
      <x:c r="F690" s="20" t="str">
        <x:f>IF(E690="",D690,E690)</x:f>
        <x:v>2</x:v>
      </x:c>
      <x:c r="G690" s="13" t="str">
        <x:v>CodeScore: Evaluating Code Generation by Learning Code Execution</x:v>
      </x:c>
      <x:c r="H690" s="13" t="n">
        <x:v>3</x:v>
      </x:c>
      <x:c r="I690" s="22" t="n">
        <x:v>0.062119801754268796</x:v>
      </x:c>
      <x:c r="J690" s="13" t="n">
        <x:v>4</x:v>
      </x:c>
      <x:c r="K690" s="19" t="str">
        <x:v>How do execution-based, test-based, and model-based evaluation approaches for code generation compare?</x:v>
      </x:c>
      <x:c r="L690" s="19" t="str">
        <x:v>Copilot [5], significantly enhancing the efficiency of developers. Assessing the quality of generated
code has remained a critical problem in the development of code generation technology, directly
influencing its advancement and evolution.
2.2 Code Evaluation
Match-based CEMs. Besides these commonly used BLEU [39], Accuracy, and CodeBLEU [48],
some niche CEMs [41] are also applied to code evaluation, e.g., METEOR [3], ROUGE [30], and
CrystalBLEU [12]. However, these aforementioned match-based CEMs merely measure the surface-
level differences in code and do not take into account the functional correctness of the generated
code.
Execution-based CEMs. They attempt to handle these issues by running tests for generated
code to verify its functional correctness [ 17, 18, 25]. However, they come with several caveats:</x:v>
      </x:c>
      <x:c r="M690" s="19" t="str">
        <x:v>该段包含可直接回答问题的方法、指标、比较或研究发现。</x:v>
      </x:c>
      <x:c r="N690" s="13" t="str">
        <x:v>http://arxiv.org/abs/2301.09043v4</x:v>
      </x:c>
    </x:row>
    <x:row r="691" ht="58" customHeight="1">
      <x:c r="A691" s="13" t="str">
        <x:v>csq024-c003</x:v>
      </x:c>
      <x:c r="B691" s="13" t="str">
        <x:v>csq024</x:v>
      </x:c>
      <x:c r="C691" s="21" t="n">
        <x:v>3</x:v>
      </x:c>
      <x:c r="D691" s="20" t="str">
        <x:v>2</x:v>
      </x:c>
      <x:c r="E691" s="20" t="str"/>
      <x:c r="F691" s="20" t="str">
        <x:f>IF(E691="",D691,E691)</x:f>
        <x:v>2</x:v>
      </x:c>
      <x:c r="G691" s="13" t="str">
        <x:v>Execution-based Evaluation for Data Science Code Generation Models</x:v>
      </x:c>
      <x:c r="H691" s="13" t="n">
        <x:v>1</x:v>
      </x:c>
      <x:c r="I691" s="22" t="n">
        <x:v>0.047891458495966696</x:v>
      </x:c>
      <x:c r="J691" s="13" t="n">
        <x:v>3</x:v>
      </x:c>
      <x:c r="K691" s="19" t="str">
        <x:v>How do execution-based, test-based, and model-based evaluation approaches for code generation compare?</x:v>
      </x:c>
      <x:c r="L691" s="19" t="str">
        <x:v>high-quality problems with sufﬁcient code context
and human-written natural language (NL) to de-
scribe tasks as the testset. With ExeDS, we can
evaluate execution correctness by comparing out-
puts from generated code with desirable outputs.
We experiment with 5 existing code generation
models on ExeDS to identify their execution per-
formance. Experiment results show that (1) models
with high/low surface-form scores do not necessar-
ily generate execution-correct code – for example,
while Codex (Chen et al., 2021a) is low in BLEU,
it achieves high execution scores. (2) Execution-
based metrics can better capture code errors which
might be helpful for model improvements.
2 Related Works
Data science (DS) refers to the practice of analyz-
ing data and acquiring insights with computational
methods (Donoho, 2017). With the goal to im-
prove productivity, there are increasing interests in</x:v>
      </x:c>
      <x:c r="M691" s="19" t="str">
        <x:v>该段包含可直接回答问题的方法、指标、比较或研究发现。</x:v>
      </x:c>
      <x:c r="N691" s="13" t="str">
        <x:v>http://arxiv.org/abs/2211.09374v1</x:v>
      </x:c>
    </x:row>
    <x:row r="692" ht="58" customHeight="1">
      <x:c r="A692" s="13" t="str">
        <x:v>csq024-c004</x:v>
      </x:c>
      <x:c r="B692" s="13" t="str">
        <x:v>csq024</x:v>
      </x:c>
      <x:c r="C692" s="21" t="n">
        <x:v>4</x:v>
      </x:c>
      <x:c r="D692" s="20" t="str">
        <x:v>2</x:v>
      </x:c>
      <x:c r="E692" s="20" t="str"/>
      <x:c r="F692" s="20" t="str">
        <x:f>IF(E692="",D692,E692)</x:f>
        <x:v>2</x:v>
      </x:c>
      <x:c r="G692" s="13" t="str">
        <x:v>Execution-based Evaluation for Data Science Code Generation Models</x:v>
      </x:c>
      <x:c r="H692" s="13" t="n">
        <x:v>0</x:v>
      </x:c>
      <x:c r="I692" s="22" t="n">
        <x:v>0.0471386476426799</x:v>
      </x:c>
      <x:c r="J692" s="13" t="n">
        <x:v>3</x:v>
      </x:c>
      <x:c r="K692" s="19" t="str">
        <x:v>How do execution-based, test-based, and model-based evaluation approaches for code generation compare?</x:v>
      </x:c>
      <x:c r="L692" s="19" t="str">
        <x:v>due to the lack of an evaluation dataset that di-
rectly supports execution-based model evalua-
tion, existing work relies on code surface form
similarity metrics (e.g., BLEU, CodeBLEU)
for model selection, which can be inaccurate.
To remedy this, we introduce ExeDS, an evalu-
ation dataset for execution evaluation for data
science code generation tasks. ExeDS con-
tains a set of 534 problems from Jupyter Note-
books, each consisting of code context, task
description, reference program, and the de-
sired execution output. With ExeDS, we eval-
uate the execution performance of ﬁve state-
of-the-art code generation models that have
achieved high surface-form evaluation scores.
Our experiments show that models with high
surface-form scores do not necessarily per-
form well on execution metrics, and execution-
based metrics can better capture model code
generation errors. 1
1 Introduction</x:v>
      </x:c>
      <x:c r="M692" s="19" t="str">
        <x:v>该段包含可直接回答问题的方法、指标、比较或研究发现。</x:v>
      </x:c>
      <x:c r="N692" s="13" t="str">
        <x:v>http://arxiv.org/abs/2211.09374v1</x:v>
      </x:c>
    </x:row>
    <x:row r="693" ht="58" customHeight="1">
      <x:c r="A693" s="13" t="str">
        <x:v>csq024-c005</x:v>
      </x:c>
      <x:c r="B693" s="13" t="str">
        <x:v>csq024</x:v>
      </x:c>
      <x:c r="C693" s="21" t="n">
        <x:v>5</x:v>
      </x:c>
      <x:c r="D693" s="20" t="str">
        <x:v>2</x:v>
      </x:c>
      <x:c r="E693" s="20" t="str"/>
      <x:c r="F693" s="20" t="str">
        <x:f>IF(E693="",D693,E693)</x:f>
        <x:v>2</x:v>
      </x:c>
      <x:c r="G693" s="13" t="str">
        <x:v>Execution-based Evaluation for Data Science Code Generation Models</x:v>
      </x:c>
      <x:c r="H693" s="13" t="n">
        <x:v>1</x:v>
      </x:c>
      <x:c r="I693" s="22" t="n">
        <x:v>0.04327731092436975</x:v>
      </x:c>
      <x:c r="J693" s="13" t="n">
        <x:v>3</x:v>
      </x:c>
      <x:c r="K693" s="19" t="str">
        <x:v>How do execution-based, test-based, and model-based evaluation approaches for code generation compare?</x:v>
      </x:c>
      <x:c r="L693" s="19" t="str">
        <x:v>et al., 2018), unﬁnished code (Iyer et al., 2018;
Dataset # Domain Evaluation
APPS (Hendrycks et al., 2021) 10,000 SE Unit Test
MBPP (Austin et al., 2021) 974 SE Unit Test
HumanEval (Chen et al., 2021a) 164 SE Unit Test
DSP (Chandel et al., 2022) 1,139 DS Unit Test
JuiCe (Agashe et al., 2019) 1,981 DS Surface Form
PlotCoder (Chen et al., 2021b) 894 DS Surface Form
ExeDS(ours) 534 DS Output Match
Table 1: Comparisons of code generation testsets.
Lu et al., 2021), and input-output examples (Polo-
sukhin and Skidanov, 2018; Zavershynskyi et al.,
2018). However, surface form metrics are unable
to assess code as programmers, who focus on the
functionality and execution correctness in practice.
Consequently, recent works turn to execution-
based metrics instead, where the code would be
correct if it passes a set of unit tests deﬁned by
humans (Roziere et al., 2020; Kulal et al., 2019;</x:v>
      </x:c>
      <x:c r="M693" s="19" t="str">
        <x:v>该段包含可直接回答问题的方法、指标、比较或研究发现。</x:v>
      </x:c>
      <x:c r="N693" s="13" t="str">
        <x:v>http://arxiv.org/abs/2211.09374v1</x:v>
      </x:c>
    </x:row>
    <x:row r="694" ht="58" customHeight="1">
      <x:c r="A694" s="13" t="str">
        <x:v>csq024-c006</x:v>
      </x:c>
      <x:c r="B694" s="13" t="str">
        <x:v>csq024</x:v>
      </x:c>
      <x:c r="C694" s="21" t="n">
        <x:v>6</x:v>
      </x:c>
      <x:c r="D694" s="20" t="str">
        <x:v>2</x:v>
      </x:c>
      <x:c r="E694" s="20" t="str"/>
      <x:c r="F694" s="20" t="str">
        <x:f>IF(E694="",D694,E694)</x:f>
        <x:v>2</x:v>
      </x:c>
      <x:c r="G694" s="13" t="str">
        <x:v>CodeBenchGen: Creating Scalable Execution-based Code Generation Benchmarks</x:v>
      </x:c>
      <x:c r="H694" s="13" t="n">
        <x:v>0</x:v>
      </x:c>
      <x:c r="I694" s="22" t="n">
        <x:v>0.04278701778701779</x:v>
      </x:c>
      <x:c r="J694" s="13" t="n">
        <x:v>3</x:v>
      </x:c>
      <x:c r="K694" s="19" t="str">
        <x:v>How do execution-based, test-based, and model-based evaluation approaches for code generation compare?</x:v>
      </x:c>
      <x:c r="L694" s="19" t="str">
        <x:v>CODE BENCH GEN: C REATING SCALABLE
EXECUTION -BASED CODE GENERATION BENCHMARKS
Yiqing Xie1 Alex Xie1 Divyanshu Sheth1 Pengfei Liu2 Daniel Fried1 Carolyn Ros´e1
1Carnegie Mellon University 2Shanghai Jiao Tong University
ABSTRACT
To adequately test modern code generation systems, evaluation benchmarks must
execute and test the code generated by the system. However, these execution
and testing requirements have largely limited benchmarks to settings where code
is easily executable or has human-written tests. To facilitate evaluation of code
generation systems across diverse scenarios, we present CODE BENCH GEN, a
framework to create scalable execution-based benchmarks from naturally occur-
ring code sources. Specifically, we leverage a large language model (LLM) to
sandbox arbitrary pieces of code into evaluation examples, including test cases</x:v>
      </x:c>
      <x:c r="M694" s="19" t="str">
        <x:v>该段包含可直接回答问题的方法、指标、比较或研究发现。</x:v>
      </x:c>
      <x:c r="N694" s="13" t="str">
        <x:v>http://arxiv.org/abs/2404.00566v4</x:v>
      </x:c>
    </x:row>
    <x:row r="695" ht="58" customHeight="1">
      <x:c r="A695" s="13" t="str">
        <x:v>csq024-c007</x:v>
      </x:c>
      <x:c r="B695" s="13" t="str">
        <x:v>csq024</x:v>
      </x:c>
      <x:c r="C695" s="21" t="n">
        <x:v>7</x:v>
      </x:c>
      <x:c r="D695" s="20" t="str">
        <x:v>2</x:v>
      </x:c>
      <x:c r="E695" s="20" t="str"/>
      <x:c r="F695" s="20" t="str">
        <x:f>IF(E695="",D695,E695)</x:f>
        <x:v>2</x:v>
      </x:c>
      <x:c r="G695" s="13" t="str">
        <x:v>CodeScore: Evaluating Code Generation by Learning Code Execution</x:v>
      </x:c>
      <x:c r="H695" s="13" t="n">
        <x:v>8</x:v>
      </x:c>
      <x:c r="I695" s="22" t="n">
        <x:v>0.04214759535655058</x:v>
      </x:c>
      <x:c r="J695" s="13" t="n">
        <x:v>3</x:v>
      </x:c>
      <x:c r="K695" s="19" t="str">
        <x:v>How do execution-based, test-based, and model-based evaluation approaches for code generation compare?</x:v>
      </x:c>
      <x:c r="L695" s="19" t="str">
        <x:v>CodeScore: Evaluating Code Generation by Learning Code Execution Conference acronym ’XX, June 03–05, 2018, Woodstock, NY
• HE-Eval has 4,221 test examples. Each task typically includes 1 NL, 1 RefCode, and 26
GenCode, with average token lengths of 61.9 for NL, 24.4 for RefCode, and 41.6 for GenCode.
Extended test cases average 108 per task, compared to the original 8. The AvgPassRatio for
the test set is 0.3695, while Pass@1 is 0.1591.
4.1.2 Baselines. We select typical match-based CEMs, LLM-based EMs, and execution-based CEMs
as baselines. We present each type of EMs as below.
Match-based CEMs include BLEU [39], Exact Matching Accuracy (Accuracy), CodeBLEU [48],
and CrystalBLEU [12], specifically:
• BLEU [39] is calculated based on n-gram, and the fluency and correctness of generated code
are expressed by calculating the proportion of n consecutive tokens in the correct code, where</x:v>
      </x:c>
      <x:c r="M695" s="19" t="str">
        <x:v>该段包含可直接回答问题的方法、指标、比较或研究发现。</x:v>
      </x:c>
      <x:c r="N695" s="13" t="str">
        <x:v>http://arxiv.org/abs/2301.09043v4</x:v>
      </x:c>
    </x:row>
    <x:row r="696" ht="58" customHeight="1">
      <x:c r="A696" s="13" t="str">
        <x:v>csq024-c008</x:v>
      </x:c>
      <x:c r="B696" s="13" t="str">
        <x:v>csq024</x:v>
      </x:c>
      <x:c r="C696" s="21" t="n">
        <x:v>8</x:v>
      </x:c>
      <x:c r="D696" s="20" t="str">
        <x:v>2</x:v>
      </x:c>
      <x:c r="E696" s="20" t="str"/>
      <x:c r="F696" s="20" t="str">
        <x:f>IF(E696="",D696,E696)</x:f>
        <x:v>2</x:v>
      </x:c>
      <x:c r="G696" s="13" t="str">
        <x:v>Execution-based Evaluation for Data Science Code Generation Models</x:v>
      </x:c>
      <x:c r="H696" s="13" t="n">
        <x:v>4</x:v>
      </x:c>
      <x:c r="I696" s="22" t="n">
        <x:v>0.03252247488101534</x:v>
      </x:c>
      <x:c r="J696" s="13" t="n">
        <x:v>2</x:v>
      </x:c>
      <x:c r="K696" s="19" t="str">
        <x:v>How do execution-based, test-based, and model-based evaluation approaches for code generation compare?</x:v>
      </x:c>
      <x:c r="L696" s="19" t="str">
        <x:v>unclear whether is applicable to general software
code. Fourth, our execution-based automatic eval-
uation is more time-consuming to compute and
evaluate than other surface-form metrics like EM,
BLEU. At last, evaluating generated code is far dif-
ferent from evaluating natural languages. The ﬁnal
goal of code generation is to generate execution
and functional correct code. Though with many
limitation, our work could be a pilot study which
provides insights and possible solutions on how to
better evaluate code generation models.
References
Rajas Agashe, Srinivasan Iyer, and Luke Zettlemoyer.
2019. JuICe: A large scale distantly supervised
dataset for open domain context-based code gener-
ation. In Proceedings of the 2019 Conference on
Empirical Methods in Natural Language Processing</x:v>
      </x:c>
      <x:c r="M696" s="19" t="str">
        <x:v>该段包含可直接回答问题的方法、指标、比较或研究发现。</x:v>
      </x:c>
      <x:c r="N696" s="13" t="str">
        <x:v>http://arxiv.org/abs/2211.09374v1</x:v>
      </x:c>
    </x:row>
    <x:row r="697" ht="58" customHeight="1">
      <x:c r="A697" s="13" t="str">
        <x:v>csq024-c009</x:v>
      </x:c>
      <x:c r="B697" s="13" t="str">
        <x:v>csq024</x:v>
      </x:c>
      <x:c r="C697" s="21" t="n">
        <x:v>9</x:v>
      </x:c>
      <x:c r="D697" s="20" t="str">
        <x:v>2</x:v>
      </x:c>
      <x:c r="E697" s="20" t="str"/>
      <x:c r="F697" s="20" t="str">
        <x:f>IF(E697="",D697,E697)</x:f>
        <x:v>2</x:v>
      </x:c>
      <x:c r="G697" s="13" t="str">
        <x:v>Execution-based Evaluation for Data Science Code Generation Models</x:v>
      </x:c>
      <x:c r="H697" s="13" t="n">
        <x:v>0</x:v>
      </x:c>
      <x:c r="I697" s="22" t="n">
        <x:v>0.029857397504456328</x:v>
      </x:c>
      <x:c r="J697" s="13" t="n">
        <x:v>2</x:v>
      </x:c>
      <x:c r="K697" s="19" t="str">
        <x:v>How do execution-based, test-based, and model-based evaluation approaches for code generation compare?</x:v>
      </x:c>
      <x:c r="L697" s="19" t="str">
        <x:v>Execution-based Evaluation for Data Science Code Generation Models
Junjie Huang1∗, Chenglong Wang3, Jipeng Zhang 5∗, Cong Yan3, Haotian Cui 6∗,
Jeevana Priya Inala3, Colin Clement 4, Nan Duan 2, Jianfeng Gao 3
1 Beihang University 2 Microsoft Research Asia 3Microsoft Research Redmond
4 Microsoft 5 Hong Kong University of Science and Technology 6 Toronto University
1huangjunjie@buaa.edu.cn,
2,3,4{chenwang,coyan,janala,coclemen,nanduan,jfgao}@microsoft.com
5jzhanggr@connect.ust.hk, 6ht.cui@mail.utoronto.ca
Abstract
Code generation models can beneﬁt data scien-
tists’ productivity by automatically generating
code from context and text descriptions. An
important measure of the modeling progress is
whether a model can generate code that can
correctly execute to solve the task. However,
due to the lack of an evaluation dataset that di-
rectly supports execution-based model evalua-</x:v>
      </x:c>
      <x:c r="M697" s="19" t="str">
        <x:v>该段包含可直接回答问题的方法、指标、比较或研究发现。</x:v>
      </x:c>
      <x:c r="N697" s="13" t="str">
        <x:v>http://arxiv.org/abs/2211.09374v1</x:v>
      </x:c>
    </x:row>
    <x:row r="698" ht="58" customHeight="1">
      <x:c r="A698" s="13" t="str">
        <x:v>csq024-c010</x:v>
      </x:c>
      <x:c r="B698" s="13" t="str">
        <x:v>csq024</x:v>
      </x:c>
      <x:c r="C698" s="21" t="n">
        <x:v>10</x:v>
      </x:c>
      <x:c r="D698" s="20" t="str">
        <x:v>0</x:v>
      </x:c>
      <x:c r="E698" s="20" t="str"/>
      <x:c r="F698" s="20" t="str">
        <x:f>IF(E698="",D698,E698)</x:f>
        <x:v>0</x:v>
      </x:c>
      <x:c r="G698" s="13" t="str">
        <x:v>DOCE: Finding the Sweet Spot for Execution-Based Code Generation</x:v>
      </x:c>
      <x:c r="H698" s="13" t="n">
        <x:v>11</x:v>
      </x:c>
      <x:c r="I698" s="22" t="n">
        <x:v>0.02964426877470356</x:v>
      </x:c>
      <x:c r="J698" s="13" t="n">
        <x:v>2</x:v>
      </x:c>
      <x:c r="K698" s="19" t="str">
        <x:v>How do execution-based, test-based, and model-based evaluation approaches for code generation compare?</x:v>
      </x:c>
      <x:c r="L698" s="19" t="str">
        <x:v>Zhiruo Wang, Shuyan Zhou, Daniel Fried, and Graham
Neubig. 2023b. Execution-based evaluation for open-
domain code generation. In Findings of the Associ-
ation for Computational Linguistics: EMNLP 2023,
Singapore, December 6-10, 2023, pages 1271–1290.
Association for Computational Linguistics.
Tianyi Zhang, Tao Yu, Tatsunori Hashimoto, Mike
Lewis, Wen-Tau Yih, Daniel Fried, and Sida Wang.
2023. Coder reviewer reranking for code genera-
tion. In International Conference on Machine Learn-
ing, ICML 2023, 23-29 July 2023, Honolulu, Hawaii,
USA, volume 202 of Proceedings of Machine Learn-
ing Research, pages 41832–41846. PMLR.
Lily Zhong, Zilong Wang, and Jingbo Shang. 2024.
LDB: A large language model debugger via ver-
ifying runtime execution step-by-step. CoRR,
abs/2402.16906.
Shuyan Zhou, Uri Alon, Sumit Agarwal, and Graham
Neubig. 2023. Codebertscore: Evaluating code gen-</x:v>
      </x:c>
      <x:c r="M698" s="19" t="str">
        <x:v>该段为无关内容、泛泛提及或参考文献片段，不能作为回答证据。</x:v>
      </x:c>
      <x:c r="N698" s="13" t="str">
        <x:v>http://arxiv.org/abs/2408.13745v4</x:v>
      </x:c>
    </x:row>
    <x:row r="699" ht="58" customHeight="1">
      <x:c r="A699" s="13" t="str">
        <x:v>csq024-c011</x:v>
      </x:c>
      <x:c r="B699" s="13" t="str">
        <x:v>csq024</x:v>
      </x:c>
      <x:c r="C699" s="21" t="n">
        <x:v>11</x:v>
      </x:c>
      <x:c r="D699" s="20" t="str">
        <x:v>2</x:v>
      </x:c>
      <x:c r="E699" s="20" t="str"/>
      <x:c r="F699" s="20" t="str">
        <x:f>IF(E699="",D699,E699)</x:f>
        <x:v>2</x:v>
      </x:c>
      <x:c r="G699" s="13" t="str">
        <x:v>HumanEvo: An Evolution-aware Benchmark for More Realistic Evaluation of Repository-level Code Generation</x:v>
      </x:c>
      <x:c r="H699" s="13" t="n">
        <x:v>0</x:v>
      </x:c>
      <x:c r="I699" s="22" t="n">
        <x:v>0.029571646010002173</x:v>
      </x:c>
      <x:c r="J699" s="13" t="n">
        <x:v>2</x:v>
      </x:c>
      <x:c r="K699" s="19" t="str">
        <x:v>How do execution-based, test-based, and model-based evaluation approaches for code generation compare?</x:v>
      </x:c>
      <x:c r="L699" s="19" t="str">
        <x:v>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
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
aware code generation toolbox to facilitate future research. The
replication package including source code and datasets is avail-</x:v>
      </x:c>
      <x:c r="M699" s="19" t="str">
        <x:v>该段包含可直接回答问题的方法、指标、比较或研究发现。</x:v>
      </x:c>
      <x:c r="N699" s="13" t="str">
        <x:v>http://arxiv.org/abs/2406.06918v2</x:v>
      </x:c>
    </x:row>
    <x:row r="700" ht="58" customHeight="1">
      <x:c r="A700" s="13" t="str">
        <x:v>csq024-c012</x:v>
      </x:c>
      <x:c r="B700" s="13" t="str">
        <x:v>csq024</x:v>
      </x:c>
      <x:c r="C700" s="21" t="n">
        <x:v>12</x:v>
      </x:c>
      <x:c r="D700" s="20" t="str">
        <x:v>2</x:v>
      </x:c>
      <x:c r="E700" s="20" t="str"/>
      <x:c r="F700" s="20" t="str">
        <x:f>IF(E700="",D700,E700)</x:f>
        <x:v>2</x:v>
      </x:c>
      <x:c r="G700" s="13" t="str">
        <x:v>CodeScore: Evaluating Code Generation by Learning Code Execution</x:v>
      </x:c>
      <x:c r="H700" s="13" t="n">
        <x:v>0</x:v>
      </x:c>
      <x:c r="I700" s="22" t="n">
        <x:v>0.0288981288981289</x:v>
      </x:c>
      <x:c r="J700" s="13" t="n">
        <x:v>2</x:v>
      </x:c>
      <x:c r="K700" s="19" t="str">
        <x:v>How do execution-based, test-based, and model-based evaluation approaches for code generation compare?</x:v>
      </x:c>
      <x:c r="L700" s="19" t="str">
        <x:v>multiple code evaluation datasets demonstrate that CodeScore absolutely improves up to 58.87% correlation
with functional correctness compared to other CEMs, achieves state-of-the-art performance, and effectively
handles three input formats.
CCS Concepts: • Software and its engineering→ Software creation and management ; • Computing
methodologies→ Artificial intelligence.
Additional Key Words and Phrases: Code Evaluation, Code Pre-trained Language Model, Code Generation.
ACM Reference Format:
Yihong Dong, Jiazheng Ding, Xue Jiang, Ge Li, Zhuo Li, and Zhi Jin. 2023. CodeScore: Evaluating Code
Generation by Learning Code Execution. In Proceedings of Make sure to enter the correct conference title
from your rights confirmation email (Conference acronym ’XX). ACM, New York, NY, USA, 22 pages. https:
//doi.org/XXXXXXX.XXXXXXX
1 INTRODUCTION</x:v>
      </x:c>
      <x:c r="M700" s="19" t="str">
        <x:v>该段包含可直接回答问题的方法、指标、比较或研究发现。</x:v>
      </x:c>
      <x:c r="N700" s="13" t="str">
        <x:v>http://arxiv.org/abs/2301.09043v4</x:v>
      </x:c>
    </x:row>
    <x:row r="701" ht="58" customHeight="1">
      <x:c r="A701" s="13" t="str">
        <x:v>csq024-c013</x:v>
      </x:c>
      <x:c r="B701" s="13" t="str">
        <x:v>csq024</x:v>
      </x:c>
      <x:c r="C701" s="21" t="n">
        <x:v>13</x:v>
      </x:c>
      <x:c r="D701" s="20" t="str">
        <x:v>2</x:v>
      </x:c>
      <x:c r="E701" s="20" t="str"/>
      <x:c r="F701" s="20" t="str">
        <x:f>IF(E701="",D701,E701)</x:f>
        <x:v>2</x:v>
      </x:c>
      <x:c r="G701" s="13" t="str">
        <x:v>Execution-based Evaluation for Data Science Code Generation Models</x:v>
      </x:c>
      <x:c r="H701" s="13" t="n">
        <x:v>4</x:v>
      </x:c>
      <x:c r="I701" s="22" t="n">
        <x:v>0.028594771241830064</x:v>
      </x:c>
      <x:c r="J701" s="13" t="n">
        <x:v>2</x:v>
      </x:c>
      <x:c r="K701" s="19" t="str">
        <x:v>How do execution-based, test-based, and model-based evaluation approaches for code generation compare?</x:v>
      </x:c>
      <x:c r="L701" s="19" t="str">
        <x:v>code generation models on ExeDS, we ﬁnd mod-
els that achieve high surface-form scores do not
necessarily produce execution correct code, and
execution-based metrics could capture more de-
tailed code generation errors. We expect our efforts
to attract more attention to code execution correct-
ness and generating executable code.
Limitations
Firstly, only the test set examples have high quality
of human annotation and veriﬁcation. Thus the
training set might be too noising to train a robust
code generation model. Secondly, the execution
metric is insufﬁcient to show other information like
semantic relatedness, variable naming, and API
usages, which are also important in evaluating a
good code. Thirdly, our datasets and metrics fo-
cus on Python code in data science domain. It’s
unclear whether is applicable to general software
code. Fourth, our execution-based automatic eval-</x:v>
      </x:c>
      <x:c r="M701" s="19" t="str">
        <x:v>该段包含可直接回答问题的方法、指标、比较或研究发现。</x:v>
      </x:c>
      <x:c r="N701" s="13" t="str">
        <x:v>http://arxiv.org/abs/2211.09374v1</x:v>
      </x:c>
    </x:row>
    <x:row r="702" ht="58" customHeight="1">
      <x:c r="A702" s="13" t="str">
        <x:v>csq024-c014</x:v>
      </x:c>
      <x:c r="B702" s="13" t="str">
        <x:v>csq024</x:v>
      </x:c>
      <x:c r="C702" s="21" t="n">
        <x:v>14</x:v>
      </x:c>
      <x:c r="D702" s="20" t="str">
        <x:v>0</x:v>
      </x:c>
      <x:c r="E702" s="20" t="str"/>
      <x:c r="F702" s="20" t="str">
        <x:f>IF(E702="",D702,E702)</x:f>
        <x:v>0</x:v>
      </x:c>
      <x:c r="G702" s="13" t="str">
        <x:v>CodeBenchGen: Creating Scalable Execution-based Code Generation Benchmarks</x:v>
      </x:c>
      <x:c r="H702" s="13" t="n">
        <x:v>12</x:v>
      </x:c>
      <x:c r="I702" s="22" t="n">
        <x:v>0.028370221327967807</x:v>
      </x:c>
      <x:c r="J702" s="13" t="n">
        <x:v>2</x:v>
      </x:c>
      <x:c r="K702" s="19" t="str">
        <x:v>How do execution-based, test-based, and model-based evaluation approaches for code generation compare?</x:v>
      </x:c>
      <x:c r="L702" s="19" t="str">
        <x:v>Herbert A. Simon. Experiments with a heuristic compiler. J. ACM, 1963. URL https://doi.
org/10.1145/321186.321192.
Michele Tufano, Dawn Drain, Alexey Svyatkovskiy, Shao Kun Deng, and Neel Sundaresan. Unit test
case generation with transformers and focal context, 2021.
Guan Wang, Sijie Cheng, Xianyuan Zhan, Xiangang Li, Sen Song, and Yang Liu. Openchat:
Advancing open-source language models with mixed-quality data. In The Twelfth International
Conference on Learning Representations, 2024. URL https://openreview.net/forum?
id=AOJyfhWYHf.
Zhiruo Wang, Shuyan Zhou, Daniel Fried, and Graham Neubig. Execution-based evaluation for open-
domain code generation. In Findings of the Association for Computational Linguistics: EMNLP
2023. Association for Computational Linguistics, 2023. URL https://aclanthology.
org/2023.findings-emnlp.89.</x:v>
      </x:c>
      <x:c r="M702" s="19" t="str">
        <x:v>该段为无关内容、泛泛提及或参考文献片段，不能作为回答证据。</x:v>
      </x:c>
      <x:c r="N702" s="13" t="str">
        <x:v>http://arxiv.org/abs/2404.00566v4</x:v>
      </x:c>
    </x:row>
    <x:row r="703" ht="58" customHeight="1">
      <x:c r="A703" s="13" t="str">
        <x:v>csq024-c015</x:v>
      </x:c>
      <x:c r="B703" s="13" t="str">
        <x:v>csq024</x:v>
      </x:c>
      <x:c r="C703" s="21" t="n">
        <x:v>15</x:v>
      </x:c>
      <x:c r="D703" s="20" t="str">
        <x:v>2</x:v>
      </x:c>
      <x:c r="E703" s="20" t="str"/>
      <x:c r="F703" s="20" t="str">
        <x:f>IF(E703="",D703,E703)</x:f>
        <x:v>2</x:v>
      </x:c>
      <x:c r="G703" s="13" t="str">
        <x:v>CodeScore: Evaluating Code Generation by Learning Code Execution</x:v>
      </x:c>
      <x:c r="H703" s="13" t="n">
        <x:v>0</x:v>
      </x:c>
      <x:c r="I703" s="22" t="n">
        <x:v>0.027783137179239824</x:v>
      </x:c>
      <x:c r="J703" s="13" t="n">
        <x:v>2</x:v>
      </x:c>
      <x:c r="K703" s="19" t="str">
        <x:v>How do execution-based, test-based, and model-based evaluation approaches for code generation compare?</x:v>
      </x:c>
      <x:c r="L703" s="19" t="str">
        <x:v>CodeScore: Evaluating Code Generation by Learning Code
Execution
YIHONG DONG, JIAZHENG DING, XUE JIANG, GE LI ∗, ZHUO LI, and ZHI JIN, Key
Laboratory of High Confidence Software Technologies (Peking University), Ministry of Education; School of
Computer Science, Peking University, Beijing, China
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x:v>
      </x:c>
      <x:c r="M703" s="19" t="str">
        <x:v>该段包含可直接回答问题的方法、指标、比较或研究发现。</x:v>
      </x:c>
      <x:c r="N703" s="13" t="str">
        <x:v>http://arxiv.org/abs/2301.09043v4</x:v>
      </x:c>
    </x:row>
    <x:row r="704" ht="58" customHeight="1">
      <x:c r="A704" s="13" t="str">
        <x:v>csq024-c016</x:v>
      </x:c>
      <x:c r="B704" s="13" t="str">
        <x:v>csq024</x:v>
      </x:c>
      <x:c r="C704" s="21" t="n">
        <x:v>16</x:v>
      </x:c>
      <x:c r="D704" s="20" t="str">
        <x:v>2</x:v>
      </x:c>
      <x:c r="E704" s="20" t="str"/>
      <x:c r="F704" s="20" t="str">
        <x:f>IF(E704="",D704,E704)</x:f>
        <x:v>2</x:v>
      </x:c>
      <x:c r="G704" s="13" t="str">
        <x:v>LEVER: Learning to Verify Language-to-Code Generation with Execution</x:v>
      </x:c>
      <x:c r="H704" s="13" t="n">
        <x:v>0</x:v>
      </x:c>
      <x:c r="I704" s="22" t="n">
        <x:v>0.01639344262295082</x:v>
      </x:c>
      <x:c r="J704" s="13" t="n">
        <x:v>1</x:v>
      </x:c>
      <x:c r="K704" s="19" t="str">
        <x:v>How do execution-based, test-based, and model-based evaluation approaches for code generation compare?</x:v>
      </x:c>
      <x:c r="L704" s="19" t="str">
        <x:v>LEVER : Learning to Verify Language-to-Code Generation with Execution
Ansong Ni 1 † Srini Iyer 2 Dragomir Radev 1 Ves Stoyanov2 Wen-tau Yih2 Sida I. Wang 2 * Xi Victoria Lin 2 *
Abstract
The advent of large language models trained on
code (code LLMs) has led to significant progress
in language-to-code generation. State-of-the-art
approaches in this area combine LLM decoding
with sample pruning and reranking using test
cases or heuristics based on the execution re-
sults. However, it is challenging to obtain test
cases for many real-world language-to-code ap-
plications, and heuristics cannot well capture the
semantic features of the execution results, such as
data type and value range, which often indicates
the correctness of the program. In this work, we
propose LEVER , a simple approach to improve
language-to-code generation by learning to ver-</x:v>
      </x:c>
      <x:c r="M704" s="19" t="str">
        <x:v>该段包含可直接回答问题的方法、指标、比较或研究发现。</x:v>
      </x:c>
      <x:c r="N704" s="13" t="str">
        <x:v>http://arxiv.org/abs/2302.08468v3</x:v>
      </x:c>
    </x:row>
    <x:row r="705" ht="58" customHeight="1">
      <x:c r="A705" s="13" t="str">
        <x:v>csq024-c017</x:v>
      </x:c>
      <x:c r="B705" s="13" t="str">
        <x:v>csq024</x:v>
      </x:c>
      <x:c r="C705" s="21" t="n">
        <x:v>17</x:v>
      </x:c>
      <x:c r="D705" s="20" t="str">
        <x:v>2</x:v>
      </x:c>
      <x:c r="E705" s="20" t="str"/>
      <x:c r="F705" s="20" t="str">
        <x:f>IF(E705="",D705,E705)</x:f>
        <x:v>2</x:v>
      </x:c>
      <x:c r="G705" s="13" t="str">
        <x:v>COFFE: A Code Efficiency Benchmark for Code Generation</x:v>
      </x:c>
      <x:c r="H705" s="13" t="n">
        <x:v>1</x:v>
      </x:c>
      <x:c r="I705" s="22" t="n">
        <x:v>0.016129032258064516</x:v>
      </x:c>
      <x:c r="J705" s="13" t="n">
        <x:v>1</x:v>
      </x:c>
      <x:c r="K705" s="19" t="str">
        <x:v>How do execution-based, test-based, and model-based evaluation approaches for code generation compare?</x:v>
      </x:c>
      <x:c r="L705" s="19" t="str">
        <x:v>FSE012:2 Yun Peng, Jun Wan, Yichen Li, and Xiaoxue Ren
many researchers. Researchers have proposed different approaches to make use of LLMs on code
generation via prompting engineering [10, 58, 70, 74, 94], multiple-agent cooperation [29, 30, 32,
80, 87, 92], and retrieval augmentation [50, 67, 77, 90, 95].
To facilitate the evaluation of code generation, many benchmarks such as HumanEval [ 8],
MBPP [5], CodeContests [43], and APPS [28] are proposed to evaluate the correctness of generated
code solutions, and we refer them as correctness benchmarks. These benchmarks include coding
tasks drafted by experienced developers [5, 8] or collected from coding competitions [28, 43], with
several test cases for each problem to examine the correctness of LLM-generated code solutions.
With the correctness benchmarks, researchers can thoroughly study and further improve the ability</x:v>
      </x:c>
      <x:c r="M705" s="19" t="str">
        <x:v>该段包含可直接回答问题的方法、指标、比较或研究发现。</x:v>
      </x:c>
      <x:c r="N705" s="13" t="str">
        <x:v>http://arxiv.org/abs/2502.02827v1</x:v>
      </x:c>
    </x:row>
    <x:row r="706" ht="58" customHeight="1">
      <x:c r="A706" s="13" t="str">
        <x:v>csq024-c018</x:v>
      </x:c>
      <x:c r="B706" s="13" t="str">
        <x:v>csq024</x:v>
      </x:c>
      <x:c r="C706" s="21" t="n">
        <x:v>18</x:v>
      </x:c>
      <x:c r="D706" s="20" t="str">
        <x:v>2</x:v>
      </x:c>
      <x:c r="E706" s="20" t="str"/>
      <x:c r="F706" s="20" t="str">
        <x:f>IF(E706="",D706,E706)</x:f>
        <x:v>2</x:v>
      </x:c>
      <x:c r="G706" s="13" t="str">
        <x:v>CodeScore: Evaluating Code Generation by Learning Code Execution</x:v>
      </x:c>
      <x:c r="H706" s="13" t="n">
        <x:v>1</x:v>
      </x:c>
      <x:c r="I706" s="22" t="n">
        <x:v>0.016129032258064516</x:v>
      </x:c>
      <x:c r="J706" s="13" t="n">
        <x:v>1</x:v>
      </x:c>
      <x:c r="K706" s="19" t="str">
        <x:v>How do execution-based, test-based, and model-based evaluation approaches for code generation compare?</x:v>
      </x:c>
      <x:c r="L706" s="19" t="str">
        <x:v>[5, 7, 8, 14, 29], which are fundamentally dependent on exceptional code comprehension. Excellent
code comprehension is a crucial element for facilitating code evaluation. We hypothesize that LLMs
pre-trained on code possess the ability to evaluate code. However, due to the training strategy
of predicting the next token according to context, they lack awareness of evaluating code for
functional correctness. Our objective is to instruct LLMs to evaluate code effectively in terms of
functional correctness.
Another issue that requires resolution is that the existing match-based CEMs are exclusively
confined to the Ref-only (consider only reference code) input format. This restriction presents three
inherent disadvantages. First, for any code generation task, the correct solutions are not finite, but</x:v>
      </x:c>
      <x:c r="M706" s="19" t="str">
        <x:v>该段包含可直接回答问题的方法、指标、比较或研究发现。</x:v>
      </x:c>
      <x:c r="N706" s="13" t="str">
        <x:v>http://arxiv.org/abs/2301.09043v4</x:v>
      </x:c>
    </x:row>
    <x:row r="707" ht="58" customHeight="1">
      <x:c r="A707" s="13" t="str">
        <x:v>csq024-c019</x:v>
      </x:c>
      <x:c r="B707" s="13" t="str">
        <x:v>csq024</x:v>
      </x:c>
      <x:c r="C707" s="21" t="n">
        <x:v>19</x:v>
      </x:c>
      <x:c r="D707" s="20" t="str">
        <x:v>2</x:v>
      </x:c>
      <x:c r="E707" s="20" t="str"/>
      <x:c r="F707" s="20" t="str">
        <x:f>IF(E707="",D707,E707)</x:f>
        <x:v>2</x:v>
      </x:c>
      <x:c r="G707" s="13" t="str">
        <x:v>CodeScore: Evaluating Code Generation by Learning Code Execution</x:v>
      </x:c>
      <x:c r="H707" s="13" t="n">
        <x:v>1</x:v>
      </x:c>
      <x:c r="I707" s="22" t="n">
        <x:v>0.015873015873015872</x:v>
      </x:c>
      <x:c r="J707" s="13" t="n">
        <x:v>1</x:v>
      </x:c>
      <x:c r="K707" s="19" t="str">
        <x:v>How do execution-based, test-based, and model-based evaluation approaches for code generation compare?</x:v>
      </x:c>
      <x:c r="L707" s="19" t="str">
        <x:v>code relationships, because code is mainly evaluated based on functional correctness rather than
exact/fuzzy match to reference code, and match-based CEMs cannot account for the large and
complex space of code functionally equivalent to reference code [20]. For example, in Fig. 1, code (a)
and code (b) have a much higher similarity of tokens or structures than code (c). However, through
execution, we realize that code (a) and code (c) are different renderings of the same function. By
contrast, the execution result of code (b) differs dramatically from both other codes, and code (b)
even fails to compile. As a result, merely measuring the similarity of token/structure is insufficient
for code evaluation.
LLMs pre-trained on code have demonstrated outstanding results in code generation tasks
[5, 7, 8, 14, 29], which are fundamentally dependent on exceptional code comprehension. Excellent</x:v>
      </x:c>
      <x:c r="M707" s="19" t="str">
        <x:v>该段包含可直接回答问题的方法、指标、比较或研究发现。</x:v>
      </x:c>
      <x:c r="N707" s="13" t="str">
        <x:v>http://arxiv.org/abs/2301.09043v4</x:v>
      </x:c>
    </x:row>
    <x:row r="708" ht="58" customHeight="1">
      <x:c r="A708" s="13" t="str">
        <x:v>csq024-c020</x:v>
      </x:c>
      <x:c r="B708" s="13" t="str">
        <x:v>csq024</x:v>
      </x:c>
      <x:c r="C708" s="21" t="n">
        <x:v>20</x:v>
      </x:c>
      <x:c r="D708" s="20" t="str">
        <x:v>2</x:v>
      </x:c>
      <x:c r="E708" s="20" t="str"/>
      <x:c r="F708" s="20" t="str">
        <x:f>IF(E708="",D708,E708)</x:f>
        <x:v>2</x:v>
      </x:c>
      <x:c r="G708" s="13" t="str">
        <x:v>CodeScore: Evaluating Code Generation by Learning Code Execution</x:v>
      </x:c>
      <x:c r="H708" s="13" t="n">
        <x:v>10</x:v>
      </x:c>
      <x:c r="I708" s="22" t="n">
        <x:v>0.015873015873015872</x:v>
      </x:c>
      <x:c r="J708" s="13" t="n">
        <x:v>1</x:v>
      </x:c>
      <x:c r="K708" s="19" t="str">
        <x:v>How do execution-based, test-based, and model-based evaluation approaches for code generation compare?</x:v>
      </x:c>
      <x:c r="L708" s="19" t="str">
        <x:v>CodeScore: Evaluating Code Generation by Learning Code Execution Conference acronym ’XX, June 03–05, 2018, Woodstock, NY
Table 3. Correlation comparison of functional correctness on APPS-Eval dataset.
Method Value 𝜏↑ 𝑟𝑠↑ 𝑟𝑝↑ MAE↓ Execution Time↓
Match-based CEM
BLEU [39] 0.0094 0.1055 0.1156 0.0959 0.1164 1.0 ×(26.0s)
Accuracy 0.0001 0.0079 0.0095 0.0196 - 0.1 ×
CodeBLEU [48] 0.2337 0.1035 0.1533 0.1085 0.2005 7.8 ×
CrystalBLEU [12] 0.0242 0.0906 0.1347 0.0887 0.1709 0.3 ×
LLM-based EM
BERTScore [63] 0.8629 0.0916 0.1375 0.0718 0.6874 56.7 ×
COMET [46] 0.0165 0.0904 0.1126 0.1187 0.1751 84.0 ×
CodeBERTScore [67] 0.7583 0.1219 0.1801 0.1323 0.5885 27.8 ×
CodeScore
Ref-only (g+r)
UniCE withL𝑅𝑒𝑓 0.1996 0.4760 0.6473 0.6620 0.1202 33.7×UniCE withL𝑈𝑛𝑖 0.1977 0.5033 0.6693 0.6929 0.1128
NL-only (g+n)</x:v>
      </x:c>
      <x:c r="M708" s="19" t="str">
        <x:v>该段包含可直接回答问题的方法、指标、比较或研究发现。</x:v>
      </x:c>
      <x:c r="N708" s="13" t="str">
        <x:v>http://arxiv.org/abs/2301.09043v4</x:v>
      </x:c>
    </x:row>
    <x:row r="709" ht="58" customHeight="1">
      <x:c r="A709" s="13" t="str">
        <x:v>csq024-c021</x:v>
      </x:c>
      <x:c r="B709" s="13" t="str">
        <x:v>csq024</x:v>
      </x:c>
      <x:c r="C709" s="21" t="n">
        <x:v>21</x:v>
      </x:c>
      <x:c r="D709" s="20" t="str">
        <x:v>2</x:v>
      </x:c>
      <x:c r="E709" s="20" t="str"/>
      <x:c r="F709" s="20" t="str">
        <x:f>IF(E709="",D709,E709)</x:f>
        <x:v>2</x:v>
      </x:c>
      <x:c r="G709" s="13" t="str">
        <x:v>LEVER: Learning to Verify Language-to-Code Generation with Execution</x:v>
      </x:c>
      <x:c r="H709" s="13" t="n">
        <x:v>8</x:v>
      </x:c>
      <x:c r="I709" s="22" t="n">
        <x:v>0.015625</x:v>
      </x:c>
      <x:c r="J709" s="13" t="n">
        <x:v>1</x:v>
      </x:c>
      <x:c r="K709" s="19" t="str">
        <x:v>How do execution-based, test-based, and model-based evaluation approaches for code generation compare?</x:v>
      </x:c>
      <x:c r="L709" s="19" t="str">
        <x:v>grams in LEVER . However, the execution of the programs
depends on at least one set of inputs (e.g., arguments for a
function) and adequate execution context (e.g., databases),
which may not be provided for certain applications. More-
over, we can not always assume that model-generated pro-
grams are safe to execute. In addition, we PASS@1 as the
main evaluation metric in the experiments. While it is ideal
for applications such as text-to-SQL and math reasoning
where the users are only looking for answers to their ques-
tions, metrics as PASS@k or N@k could provide different
perspectives for general programming tasks as MBPP.
8. Conclusion
We propose LEVER , a simple approach for improving code
LLMs on language-to-code tasks, by learning separate ver-
ification models to judge the correctness of the generated
programs, taking their execution results into consideration.</x:v>
      </x:c>
      <x:c r="M709" s="19" t="str">
        <x:v>该段包含可直接回答问题的方法、指标、比较或研究发现。</x:v>
      </x:c>
      <x:c r="N709" s="13" t="str">
        <x:v>http://arxiv.org/abs/2302.08468v3</x:v>
      </x:c>
    </x:row>
    <x:row r="710" ht="58" customHeight="1">
      <x:c r="A710" s="13" t="str">
        <x:v>csq024-c022</x:v>
      </x:c>
      <x:c r="B710" s="13" t="str">
        <x:v>csq024</x:v>
      </x:c>
      <x:c r="C710" s="21" t="n">
        <x:v>22</x:v>
      </x:c>
      <x:c r="D710" s="20" t="str">
        <x:v>0</x:v>
      </x:c>
      <x:c r="E710" s="20" t="str"/>
      <x:c r="F710" s="20" t="str">
        <x:f>IF(E710="",D710,E710)</x:f>
        <x:v>0</x:v>
      </x:c>
      <x:c r="G710" s="13" t="str">
        <x:v>HumanEvo: An Evolution-aware Benchmark for More Realistic Evaluation of Repository-level Code Generation</x:v>
      </x:c>
      <x:c r="H710" s="13" t="n">
        <x:v>11</x:v>
      </x:c>
      <x:c r="I710" s="22" t="n">
        <x:v>0.015625</x:v>
      </x:c>
      <x:c r="J710" s="13" t="n">
        <x:v>1</x:v>
      </x:c>
      <x:c r="K710" s="19" t="str">
        <x:v>How do execution-based, test-based, and model-based evaluation approaches for code generation compare?</x:v>
      </x:c>
      <x:c r="L710" s="19" t="str">
        <x:v>[32] M. Chen, J. Tworek, H. Jun, Q. Yuan, H. P. d. O. Pinto, J. Kaplan,
H. Edwards, Y . Burda, N. Joseph, G. Brockman et al., “Evaluating large
language models trained on code,” arXiv preprint arXiv:2107.03374 ,
2021.
[33] Y . Li, D. Choi, J. Chung, N. Kushman, J. Schrittwieser, R. Leblond,
T. Eccles, J. Keeling, F. Gimeno, A. Dal Lago, T. Hubert, P. Choy,
C. de Masson d’Autume, I. Babuschkin, X. Chen, P.-S. Huang, J. Welbl,
S. Gowal, A. Cherepanov, J. Molloy, D. J. Mankowitz, E. Suther-
land Robson, P. Kohli, N. de Freitas, K. Kavukcuoglu, and O. Vinyals,
“Competition-level code generation with alphacode,” p. 1092–1097,
Dec. 2022.
[34] X. Du, M. Liu, K. Wang, H. Wang, J. Liu, Y . Chen, J. Feng, C. Sha,
X. Peng, and Y . Lou, “Classeval: A manually-crafted benchmark for
evaluating llms on class-level code generation,” 2023.</x:v>
      </x:c>
      <x:c r="M710" s="19" t="str">
        <x:v>该段为无关内容、泛泛提及或参考文献片段，不能作为回答证据。</x:v>
      </x:c>
      <x:c r="N710" s="13" t="str">
        <x:v>http://arxiv.org/abs/2406.06918v2</x:v>
      </x:c>
    </x:row>
    <x:row r="711" ht="58" customHeight="1">
      <x:c r="A711" s="13" t="str">
        <x:v>csq024-c023</x:v>
      </x:c>
      <x:c r="B711" s="13" t="str">
        <x:v>csq024</x:v>
      </x:c>
      <x:c r="C711" s="21" t="n">
        <x:v>23</x:v>
      </x:c>
      <x:c r="D711" s="20" t="str">
        <x:v>0</x:v>
      </x:c>
      <x:c r="E711" s="20" t="str"/>
      <x:c r="F711" s="20" t="str">
        <x:f>IF(E711="",D711,E711)</x:f>
        <x:v>0</x:v>
      </x:c>
      <x:c r="G711" s="13" t="str">
        <x:v>COFFE: A Code Efficiency Benchmark for Code Generation</x:v>
      </x:c>
      <x:c r="H711" s="13" t="n">
        <x:v>21</x:v>
      </x:c>
      <x:c r="I711" s="22" t="n">
        <x:v>0.015384615384615385</x:v>
      </x:c>
      <x:c r="J711" s="13" t="n">
        <x:v>1</x:v>
      </x:c>
      <x:c r="K711" s="19" t="str">
        <x:v>How do execution-based, test-based, and model-based evaluation approaches for code generation compare?</x:v>
      </x:c>
      <x:c r="L711" s="19" t="str">
        <x:v>Learning Code Preference via Synthetic Evolution. arXiv:2410.03837 [cs.LG] https://arxiv.org/abs/2410.03837
[45] Jiawei Liu, Chunqiu Steven Xia, Yuyao Wang, and LINGMING ZHANG. 2023. Is Your Code Generated by ChatGPT
Really Correct? Rigorous Evaluation of Large Language Models for Code Generation. In Thirty-seventh Conference on
Neural Information Processing Systems . https://openreview.net/forum?id=1qvx610Cu7
[46] Jiawei Liu, Chunqiu Steven Xia, Yuyao Wang, and Lingming Zhang. 2023. The MBPP Plus benchmark. https:
//github.com/evalplus/evalplus/releases/tag/v0.2.1 https://github.com/evalplus/evalplus/releases/tag/v0.2.1.
[47] Jiawei Liu, Chunqiu Steven Xia, Yuyao Wang, and LINGMING ZHANG. 2024. EvalPlus Leaderboard. https:
//evalplus.github.io/leaderboard.html https://evalplus.github.io/leaderboard.html.</x:v>
      </x:c>
      <x:c r="M711" s="19" t="str">
        <x:v>该段为无关内容、泛泛提及或参考文献片段，不能作为回答证据。</x:v>
      </x:c>
      <x:c r="N711" s="13" t="str">
        <x:v>http://arxiv.org/abs/2502.02827v1</x:v>
      </x:c>
    </x:row>
    <x:row r="712" ht="58" customHeight="1">
      <x:c r="A712" s="13" t="str">
        <x:v>csq024-c024</x:v>
      </x:c>
      <x:c r="B712" s="13" t="str">
        <x:v>csq024</x:v>
      </x:c>
      <x:c r="C712" s="21" t="n">
        <x:v>24</x:v>
      </x:c>
      <x:c r="D712" s="20" t="str">
        <x:v>2</x:v>
      </x:c>
      <x:c r="E712" s="20" t="str"/>
      <x:c r="F712" s="20" t="str">
        <x:f>IF(E712="",D712,E712)</x:f>
        <x:v>2</x:v>
      </x:c>
      <x:c r="G712" s="13" t="str">
        <x:v>COFFE: A Code Efficiency Benchmark for Code Generation</x:v>
      </x:c>
      <x:c r="H712" s="13" t="n">
        <x:v>1</x:v>
      </x:c>
      <x:c r="I712" s="22" t="n">
        <x:v>0.015151515151515152</x:v>
      </x:c>
      <x:c r="J712" s="13" t="n">
        <x:v>1</x:v>
      </x:c>
      <x:c r="K712" s="19" t="str">
        <x:v>How do execution-based, test-based, and model-based evaluation approaches for code generation compare?</x:v>
      </x:c>
      <x:c r="L712" s="19" t="str">
        <x:v>to a lot of CWE issues [13]. Recent work [44, 48, 69, 75] on LLM-based code generation steps further
to generate correct and efficient code. They directly adopt existing correctness benchmarks and
measure the execution time of LLM-generated code solutions to determine the time efficiency. We
argue that current correctness benchmarks are not suitable for time efficiency evaluation for the
following challenges:
• Challenge 1: Existing correctness test cases cannot well distinguish the time efficiency
of different code solutions. Test cases in correctness benchmarks usually have small inputs since
they aim to cover most corner cases to detect potential logical errors in code solutions. However,
such test cases can hardly distinguish the time efficiency of different code solutions since code with</x:v>
      </x:c>
      <x:c r="M712" s="19" t="str">
        <x:v>该段包含可直接回答问题的方法、指标、比较或研究发现。</x:v>
      </x:c>
      <x:c r="N712" s="13" t="str">
        <x:v>http://arxiv.org/abs/2502.02827v1</x:v>
      </x:c>
    </x:row>
    <x:row r="713" ht="58" customHeight="1">
      <x:c r="A713" s="13" t="str">
        <x:v>csq024-c025</x:v>
      </x:c>
      <x:c r="B713" s="13" t="str">
        <x:v>csq024</x:v>
      </x:c>
      <x:c r="C713" s="21" t="n">
        <x:v>25</x:v>
      </x:c>
      <x:c r="D713" s="20" t="str">
        <x:v>2</x:v>
      </x:c>
      <x:c r="E713" s="20" t="str"/>
      <x:c r="F713" s="20" t="str">
        <x:f>IF(E713="",D713,E713)</x:f>
        <x:v>2</x:v>
      </x:c>
      <x:c r="G713" s="13" t="str">
        <x:v>CodeScore: Evaluating Code Generation by Learning Code Execution</x:v>
      </x:c>
      <x:c r="H713" s="13" t="n">
        <x:v>12</x:v>
      </x:c>
      <x:c r="I713" s="22" t="n">
        <x:v>0.015151515151515152</x:v>
      </x:c>
      <x:c r="J713" s="13" t="n">
        <x:v>1</x:v>
      </x:c>
      <x:c r="K713" s="19" t="str">
        <x:v>How do execution-based, test-based, and model-based evaluation approaches for code generation compare?</x:v>
      </x:c>
      <x:c r="L713" s="19" t="str">
        <x:v>CodeScore: Evaluating Code Generation by Learning Code Execution Conference acronym ’XX, June 03–05, 2018, Woodstock, NY
Remarkably, CodeScore continues to achieve the best correlation compared to other match-based
CEMs and LLM-based EMs in these two settings.
Table 5. Correlation comparison of functional correctness with different base models on HE-Eval dataset.
Method Value 𝜏↑ 𝑟𝑠↑ 𝑟𝑝↑ MAE↓ Execution Time↓
CodeScore(UniCE withL𝑈𝑛𝑖)
UniXcoder 0.4731 0.4997 0.6597 0.6486 0.2179 1.00 ×
CodeBert 0.4809 0.4675 0.6236 0.5622 0.2344 0.98 ×
CodeGraphBert 0.4597 0.5073 0.6728 0.6480 0.2281 1.07 ×
We conduct the experiments of UniCE based on different code pre-trained models, including
CodeBert, CodeGraphBert, and UniXcoder. The results of the experiments are presented in Table 5.
We did not observe obvious biases when choosing different base models. One trend we observed is</x:v>
      </x:c>
      <x:c r="M713" s="19" t="str">
        <x:v>该段包含可直接回答问题的方法、指标、比较或研究发现。</x:v>
      </x:c>
      <x:c r="N713" s="13" t="str">
        <x:v>http://arxiv.org/abs/2301.09043v4</x:v>
      </x:c>
    </x:row>
    <x:row r="714" ht="58" customHeight="1">
      <x:c r="A714" s="13" t="str">
        <x:v>csq024-c026</x:v>
      </x:c>
      <x:c r="B714" s="13" t="str">
        <x:v>csq024</x:v>
      </x:c>
      <x:c r="C714" s="21" t="n">
        <x:v>26</x:v>
      </x:c>
      <x:c r="D714" s="20" t="str">
        <x:v>0</x:v>
      </x:c>
      <x:c r="E714" s="20" t="str"/>
      <x:c r="F714" s="20" t="str">
        <x:f>IF(E714="",D714,E714)</x:f>
        <x:v>0</x:v>
      </x:c>
      <x:c r="G714" s="13" t="str">
        <x:v>HumanEvo: An Evolution-aware Benchmark for More Realistic Evaluation of Repository-level Code Generation</x:v>
      </x:c>
      <x:c r="H714" s="13" t="n">
        <x:v>11</x:v>
      </x:c>
      <x:c r="I714" s="22" t="n">
        <x:v>0.015151515151515152</x:v>
      </x:c>
      <x:c r="J714" s="13" t="n">
        <x:v>1</x:v>
      </x:c>
      <x:c r="K714" s="19" t="str">
        <x:v>How do execution-based, test-based, and model-based evaluation approaches for code generation compare?</x:v>
      </x:c>
      <x:c r="L714" s="19" t="str">
        <x:v>Z. Fang et al., “Deveval: Evaluating code generation in practical software
projects,” arXiv preprint arXiv:2401.06401 , 2024.
[16] OpenAI, “Gpt-4 technical report,” 2024.
[17] E. Nijkamp, B. Pang, H. Hayashi, L. Tu, H. Wang, Y . Zhou, S. Savarese,
and C. Xiong, “Codegen: An open large language model for code with
multi-turn program synthesis,” in The Eleventh International Conference
on Learning Representations , 2023.
[18] D. Fried, A. Aghajanyan, J. Lin, S. Wang, E. Wallace, F. Shi, R. Zhong,
S. Yih, L. Zettlemoyer, and M. Lewis, “Incoder: A generative model for
code infilling and synthesis,” in The Eleventh International Conference
on Learning Representations , 2023.
[19] M. C. et al., “Evaluating large language models trained on code,” 2021.
[20] Y . Hao, G. Li, Y . Liu, X. Miao, H. Zong, S. Jiang, Y . Liu, and H. Wei,
“Aixbench: A code generation benchmark dataset,” 2022.</x:v>
      </x:c>
      <x:c r="M714" s="19" t="str">
        <x:v>该段为无关内容、泛泛提及或参考文献片段，不能作为回答证据。</x:v>
      </x:c>
      <x:c r="N714" s="13" t="str">
        <x:v>http://arxiv.org/abs/2406.06918v2</x:v>
      </x:c>
    </x:row>
    <x:row r="715" ht="58" customHeight="1">
      <x:c r="A715" s="13" t="str">
        <x:v>csq024-c027</x:v>
      </x:c>
      <x:c r="B715" s="13" t="str">
        <x:v>csq024</x:v>
      </x:c>
      <x:c r="C715" s="21" t="n">
        <x:v>27</x:v>
      </x:c>
      <x:c r="D715" s="20" t="str">
        <x:v>0</x:v>
      </x:c>
      <x:c r="E715" s="20" t="str"/>
      <x:c r="F715" s="20" t="str">
        <x:f>IF(E715="",D715,E715)</x:f>
        <x:v>0</x:v>
      </x:c>
      <x:c r="G715" s="13" t="str">
        <x:v>COFFE: A Code Efficiency Benchmark for Code Generation</x:v>
      </x:c>
      <x:c r="H715" s="13" t="n">
        <x:v>17</x:v>
      </x:c>
      <x:c r="I715" s="22" t="n">
        <x:v>0.014925373134328358</x:v>
      </x:c>
      <x:c r="J715" s="13" t="n">
        <x:v>1</x:v>
      </x:c>
      <x:c r="K715" s="19" t="str">
        <x:v>How do execution-based, test-based, and model-based evaluation approaches for code generation compare?</x:v>
      </x:c>
      <x:c r="L715" s="19" t="str">
        <x:v>FSE012:18 Yun Peng, Jun Wan, Yichen Li, and Xiaoxue Ren
as AlphaCode [43], CodeT5 [82], CodeRL [40], CodeT5+ [81] are directly trained on large code
corpus and obtain good performance on code generation. Recently, decoder-only models such as
Codex [9], CodeGen [59, 60], InCoder [22], CodeGeeX [93], SantaCoder [2], StarCoder [42, 52],
WizardCoder [53], CodeLlama [71], MagicCoder [84], DeepSeek-Coder [26] show superior perfor-
mance than encoder-decoder models on code generation. Besides, some general LLMs trained on
multiple types of data, such as Llama3[54], Llama3.1 [55], GPT-3.5 [61], GPT-4 [62] also demonstrate
competitive or even better performance compared with code LLMs.
8.2 Code Generation Benchmarks
Correctness Benchmarks. There are many benchmarks designed for the correctness evaluation</x:v>
      </x:c>
      <x:c r="M715" s="19" t="str">
        <x:v>该段为无关内容、泛泛提及或参考文献片段，不能作为回答证据。</x:v>
      </x:c>
      <x:c r="N715" s="13" t="str">
        <x:v>http://arxiv.org/abs/2502.02827v1</x:v>
      </x:c>
    </x:row>
    <x:row r="716" ht="58" customHeight="1">
      <x:c r="A716" s="13" t="str">
        <x:v>csq024-c028</x:v>
      </x:c>
      <x:c r="B716" s="13" t="str">
        <x:v>csq024</x:v>
      </x:c>
      <x:c r="C716" s="21" t="n">
        <x:v>28</x:v>
      </x:c>
      <x:c r="D716" s="20" t="str">
        <x:v>2</x:v>
      </x:c>
      <x:c r="E716" s="20" t="str"/>
      <x:c r="F716" s="20" t="str">
        <x:f>IF(E716="",D716,E716)</x:f>
        <x:v>2</x:v>
      </x:c>
      <x:c r="G716" s="13" t="str">
        <x:v>CodeScore: Evaluating Code Generation by Learning Code Execution</x:v>
      </x:c>
      <x:c r="H716" s="13" t="n">
        <x:v>3</x:v>
      </x:c>
      <x:c r="I716" s="22" t="n">
        <x:v>0.014925373134328358</x:v>
      </x:c>
      <x:c r="J716" s="13" t="n">
        <x:v>1</x:v>
      </x:c>
      <x:c r="K716" s="19" t="str">
        <x:v>How do execution-based, test-based, and model-based evaluation approaches for code generation compare?</x:v>
      </x:c>
      <x:c r="L716" s="19" t="str">
        <x:v>costly, slow, and insecure, which are often unavailable or ineffective in real-world scenarios.
LLM-based EMs. Effective evaluation of generated results is hard for both text and code genera-
tion. They likewise face the same issue of poor evaluation metrics (EMs). A recent popular trend in
evaluating text generation is the design of automatic EMs based on LLMs. A part of LLM-based
EMs [44, 45, 56] follows COMET [ 46] to learn high-quality human judgments of training data,
which is a problem for code evaluation to obtain. Another part relies on LLM extracting token
embeddings to calculate scores like BERTScore [63], such as [47, 51, 61, 64]. A concurrent work
named CodeBERTScore [67] tries to use the same way as BERTScore with LLM pre-trained on code.
However, they do not teach LLMs to learn code evaluation effectively, in other words, LLMs are</x:v>
      </x:c>
      <x:c r="M716" s="19" t="str">
        <x:v>该段包含可直接回答问题的方法、指标、比较或研究发现。</x:v>
      </x:c>
      <x:c r="N716" s="13" t="str">
        <x:v>http://arxiv.org/abs/2301.09043v4</x:v>
      </x:c>
    </x:row>
    <x:row r="717" ht="58" customHeight="1">
      <x:c r="A717" s="13" t="str">
        <x:v>csq024-c029</x:v>
      </x:c>
      <x:c r="B717" s="13" t="str">
        <x:v>csq024</x:v>
      </x:c>
      <x:c r="C717" s="21" t="n">
        <x:v>29</x:v>
      </x:c>
      <x:c r="D717" s="20" t="str">
        <x:v>2</x:v>
      </x:c>
      <x:c r="E717" s="20" t="str"/>
      <x:c r="F717" s="20" t="str">
        <x:f>IF(E717="",D717,E717)</x:f>
        <x:v>2</x:v>
      </x:c>
      <x:c r="G717" s="13" t="str">
        <x:v>Execution-Based Evaluation for Open-Domain Code Generation</x:v>
      </x:c>
      <x:c r="H717" s="13" t="n">
        <x:v>0</x:v>
      </x:c>
      <x:c r="I717" s="22" t="n">
        <x:v>0.014925373134328358</x:v>
      </x:c>
      <x:c r="J717" s="13" t="n">
        <x:v>1</x:v>
      </x:c>
      <x:c r="K717" s="19" t="str">
        <x:v>How do execution-based, test-based, and model-based evaluation approaches for code generation compare?</x:v>
      </x:c>
      <x:c r="L717" s="19" t="str">
        <x:v>for canonical code solutions (Chen et al., 2021;
Austin et al., 2021; Lai et al., 2022; Huang et al.,
2022). The correctness of model predictions is
then evaluated by seeing if generated code passes
the test cases (Chen et al., 2021). Compared to
execution-free metrics such as text match against
reference solutions, execution-based methods more
rigorously assess the functional correctness of code
(Hendrycks et al., 2021; Chen et al., 2021).
1https://github.com/zorazrw/odex
However, most resources with execution sup-
port only apply to closed-domain code, that only
use Python built-in functions (Chen et al., 2021;
Hendrycks et al., 2021; Austin et al., 2021; Li et al.,
2022; Haluptzok et al., 2022) or speciﬁc libraries in
data science domains (Lai et al., 2022; Huang et al.,
2022). This focus on closed-domain problems di-
verges substantially from natural open-domain pro-</x:v>
      </x:c>
      <x:c r="M717" s="19" t="str">
        <x:v>该段包含可直接回答问题的方法、指标、比较或研究发现。</x:v>
      </x:c>
      <x:c r="N717" s="13" t="str">
        <x:v>http://arxiv.org/abs/2212.10481v2</x:v>
      </x:c>
    </x:row>
    <x:row r="718" ht="58" customHeight="1">
      <x:c r="A718" s="13" t="str">
        <x:v>csq024-c030</x:v>
      </x:c>
      <x:c r="B718" s="13" t="str">
        <x:v>csq024</x:v>
      </x:c>
      <x:c r="C718" s="21" t="n">
        <x:v>30</x:v>
      </x:c>
      <x:c r="D718" s="20" t="str">
        <x:v>2</x:v>
      </x:c>
      <x:c r="E718" s="20" t="str"/>
      <x:c r="F718" s="20" t="str">
        <x:f>IF(E718="",D718,E718)</x:f>
        <x:v>2</x:v>
      </x:c>
      <x:c r="G718" s="13" t="str">
        <x:v>COFFE: A Code Efficiency Benchmark for Code Generation</x:v>
      </x:c>
      <x:c r="H718" s="13" t="n">
        <x:v>2</x:v>
      </x:c>
      <x:c r="I718" s="22" t="n">
        <x:v>0.014705882352941176</x:v>
      </x:c>
      <x:c r="J718" s="13" t="n">
        <x:v>1</x:v>
      </x:c>
      <x:c r="K718" s="19" t="str">
        <x:v>How do execution-based, test-based, and model-based evaluation approaches for code generation compare?</x:v>
      </x:c>
      <x:c r="L718" s="19" t="str">
        <x:v>• We propose STGen, the first LLM-based stressful test case generation approach that employs
contract validation and test cases with expression and generator functions inputs to improve
accuracy.
• We introduce a novel metric efficient@k, based on stable CPU instruction count measurement,
to evaluate the correctness and time efficiency of the LLM-generated code solutions.
Proc. ACM Softw. Eng., Vol. 2, No. FSE, Article FSE012. Publication date: July 2025.</x:v>
      </x:c>
      <x:c r="M718" s="19" t="str">
        <x:v>该段包含可直接回答问题的方法、指标、比较或研究发现。</x:v>
      </x:c>
      <x:c r="N718" s="13" t="str">
        <x:v>http://arxiv.org/abs/2502.02827v1</x:v>
      </x:c>
    </x:row>
    <x:row r="719" ht="58" customHeight="1">
      <x:c r="A719" s="13" t="str">
        <x:v>csq025-c001</x:v>
      </x:c>
      <x:c r="B719" s="13" t="str">
        <x:v>csq025</x:v>
      </x:c>
      <x:c r="C719" s="21" t="n">
        <x:v>1</x:v>
      </x:c>
      <x:c r="D719" s="20" t="str">
        <x:v>2</x:v>
      </x:c>
      <x:c r="E719" s="20" t="str"/>
      <x:c r="F719" s="20" t="str">
        <x:f>IF(E719="",D719,E719)</x:f>
        <x:v>2</x:v>
      </x:c>
      <x:c r="G719" s="13" t="str">
        <x:v>Vulnerability Detection with Code Language Models: How Far Are We?</x:v>
      </x:c>
      <x:c r="H719" s="13" t="n">
        <x:v>0</x:v>
      </x:c>
      <x:c r="I719" s="22" t="n">
        <x:v>0.058281881497731274</x:v>
      </x:c>
      <x:c r="J719" s="13" t="n">
        <x:v>4</x:v>
      </x:c>
      <x:c r="K719" s="19" t="str">
        <x:v>Which datasets and evaluation protocols are used for machine-learning-based source-code vulnerability detection, and which forms of data leakage can inflate reported performance?</x:v>
      </x:c>
      <x:c r="L719" s="19" t="str">
        <x:v>software security necessitates a rigorous validation of their
training and evaluation frameworks against the challenges of
real-world software development. In particular, we scrutinize
the datasets used to train code LMs and the benchmarks and
metrics used to evaluate their effectiveness at vulnerability
detection.
Limitation of existing datasets and benchmarks. First,
we meticulously analyze existing VD benchmarks [5, 8–11],
examining data collection methods, label accuracy, and preva-
lence of data duplication. Our investigation reveals critical data
quality problems, that impact their effectiveness for training
and their suitability for evaluating code LMs.
Noisy labels: In VD literature, researchers typically la-
bel datasets either automatically or manually. Most large
datasets [4, 5, 9] use automatic labeling because manual</x:v>
      </x:c>
      <x:c r="M719" s="19" t="str">
        <x:v>该段包含可直接回答问题的方法、指标、比较或研究发现。</x:v>
      </x:c>
      <x:c r="N719" s="13" t="str">
        <x:v>http://arxiv.org/abs/2403.18624v2</x:v>
      </x:c>
    </x:row>
    <x:row r="720" ht="58" customHeight="1">
      <x:c r="A720" s="13" t="str">
        <x:v>csq025-c002</x:v>
      </x:c>
      <x:c r="B720" s="13" t="str">
        <x:v>csq025</x:v>
      </x:c>
      <x:c r="C720" s="21" t="n">
        <x:v>2</x:v>
      </x:c>
      <x:c r="D720" s="20" t="str">
        <x:v>2</x:v>
      </x:c>
      <x:c r="E720" s="20" t="str"/>
      <x:c r="F720" s="20" t="str">
        <x:f>IF(E720="",D720,E720)</x:f>
        <x:v>2</x:v>
      </x:c>
      <x:c r="G720" s="13" t="str">
        <x:v>Vulnerability Detection with Code Language Models: How Far Are We?</x:v>
      </x:c>
      <x:c r="H720" s="13" t="n">
        <x:v>3</x:v>
      </x:c>
      <x:c r="I720" s="22" t="n">
        <x:v>0.04918032786885246</x:v>
      </x:c>
      <x:c r="J720" s="13" t="n">
        <x:v>3</x:v>
      </x:c>
      <x:c r="K720" s="19" t="str">
        <x:v>Which datasets and evaluation protocols are used for machine-learning-based source-code vulnerability detection, and which forms of data leakage can inflate reported performance?</x:v>
      </x:c>
      <x:c r="L720" s="19" t="str">
        <x:v>of leakage: code copy and time travel. Realistic evaluation
of vulnerability detection models requires no data leakage
to ensure their performances are reasonably measured. We
study the data leakage issue of four most frequently used
vulnerability benchmarks: BigVul, CVEFixes, CodeXGLUE,
and DiverseVul, and they have been used by more than ten
code-LM-based vulnerability detection models as training and
evaluation material [5–7, 19, 22–27].
Data Splits. To study the data leakage issue specifically in
the setting of fine-tuning for vulnerability detection, we need
to create the train/validation/test splits. For CodeXGLUE, we
directly take the original split from the benchmark [28]. For
BigVul, we take the public split [29] used by [6, 7, 27]. For
CVEFixes and DiverseVul, we follow the methodology intro-
duced in [5] to randomly split the data with 80%/10%/10%.</x:v>
      </x:c>
      <x:c r="M720" s="19" t="str">
        <x:v>该段包含可直接回答问题的方法、指标、比较或研究发现。</x:v>
      </x:c>
      <x:c r="N720" s="13" t="str">
        <x:v>http://arxiv.org/abs/2403.18624v2</x:v>
      </x:c>
    </x:row>
    <x:row r="721" ht="58" customHeight="1">
      <x:c r="A721" s="13" t="str">
        <x:v>csq025-c003</x:v>
      </x:c>
      <x:c r="B721" s="13" t="str">
        <x:v>csq025</x:v>
      </x:c>
      <x:c r="C721" s="21" t="n">
        <x:v>3</x:v>
      </x:c>
      <x:c r="D721" s="20" t="str">
        <x:v>2</x:v>
      </x:c>
      <x:c r="E721" s="20" t="str"/>
      <x:c r="F721" s="20" t="str">
        <x:f>IF(E721="",D721,E721)</x:f>
        <x:v>2</x:v>
      </x:c>
      <x:c r="G721" s="13" t="str">
        <x:v>Vulnerability Detection with Code Language Models: How Far Are We?</x:v>
      </x:c>
      <x:c r="H721" s="13" t="n">
        <x:v>3</x:v>
      </x:c>
      <x:c r="I721" s="22" t="n">
        <x:v>0.048131080389144903</x:v>
      </x:c>
      <x:c r="J721" s="13" t="n">
        <x:v>3</x:v>
      </x:c>
      <x:c r="K721" s="19" t="str">
        <x:v>Which datasets and evaluation protocols are used for machine-learning-based source-code vulnerability detection, and which forms of data leakage can inflate reported performance?</x:v>
      </x:c>
      <x:c r="L721" s="19" t="str">
        <x:v>changed to make the fix consistent.
The most accurate dataset from prior work is SVEN, which
has only 803 vulnerable functions (total ∼1.6k of vulnerable
and non-vulnerable functions) across nine CWEs. In compar-
ison, the other noisy datasets from Table I are much larger.
Previous works have used different noisy datasets to fine-tune
code LMs. Code LMs trained with these noisy datasets cannot
be trusted for realistic deployment. When nearly half of the
vulnerable samples in the training data have a wrong label,
the quality of the trained model is rather concerning [21].
Due to the space limit, we provide a more detailed label
error analysis in the Supplementary Material I.A.
C. Data Leakage
Data leakage has been identified as a significant issue in
the area of machine learning for code. We consider two types
of leakage: code copy and time travel. Realistic evaluation</x:v>
      </x:c>
      <x:c r="M721" s="19" t="str">
        <x:v>该段包含可直接回答问题的方法、指标、比较或研究发现。</x:v>
      </x:c>
      <x:c r="N721" s="13" t="str">
        <x:v>http://arxiv.org/abs/2403.18624v2</x:v>
      </x:c>
    </x:row>
    <x:row r="722" ht="58" customHeight="1">
      <x:c r="A722" s="13" t="str">
        <x:v>csq025-c004</x:v>
      </x:c>
      <x:c r="B722" s="13" t="str">
        <x:v>csq025</x:v>
      </x:c>
      <x:c r="C722" s="21" t="n">
        <x:v>4</x:v>
      </x:c>
      <x:c r="D722" s="20" t="str">
        <x:v>2</x:v>
      </x:c>
      <x:c r="E722" s="20" t="str"/>
      <x:c r="F722" s="20" t="str">
        <x:f>IF(E722="",D722,E722)</x:f>
        <x:v>2</x:v>
      </x:c>
      <x:c r="G722" s="13" t="str">
        <x:v>Vulnerability Detection with Code Language Models: How Far Are We?</x:v>
      </x:c>
      <x:c r="H722" s="13" t="n">
        <x:v>0</x:v>
      </x:c>
      <x:c r="I722" s="22" t="n">
        <x:v>0.04762704813108039</x:v>
      </x:c>
      <x:c r="J722" s="13" t="n">
        <x:v>3</x:v>
      </x:c>
      <x:c r="K722" s="19" t="str">
        <x:v>Which datasets and evaluation protocols are used for machine-learning-based source-code vulnerability detection, and which forms of data leakage can inflate reported performance?</x:v>
      </x:c>
      <x:c r="L722" s="19" t="str">
        <x:v>uation methods used with these datasets are not representative
of real-world vulnerability detection.
To address these challenges, we introduce P RIME VUL, a new
dataset for training and evaluating code LMs for vulnerability
detection. P RIME VUL incorporates a novel set of data labeling
techniques that achieve comparable label accuracy to human-
verified benchmarks while significantly expanding the dataset. It
also implements a rigorous data de-duplication and chronological
data splitting strategy to mitigate data leakage issues, alongside
introducing more realistic evaluation metrics and settings. This
comprehensive approach aims to provide a more accurate assess-
ment of code LMs’ performance in real-world conditions.
Evaluating code LMs on P RIME VUL reveals that existing
benchmarks significantly overestimate the performance of these</x:v>
      </x:c>
      <x:c r="M722" s="19" t="str">
        <x:v>该段包含可直接回答问题的方法、指标、比较或研究发现。</x:v>
      </x:c>
      <x:c r="N722" s="13" t="str">
        <x:v>http://arxiv.org/abs/2403.18624v2</x:v>
      </x:c>
    </x:row>
    <x:row r="723" ht="58" customHeight="1">
      <x:c r="A723" s="13" t="str">
        <x:v>csq025-c005</x:v>
      </x:c>
      <x:c r="B723" s="13" t="str">
        <x:v>csq025</x:v>
      </x:c>
      <x:c r="C723" s="21" t="n">
        <x:v>5</x:v>
      </x:c>
      <x:c r="D723" s="20" t="str">
        <x:v>2</x:v>
      </x:c>
      <x:c r="E723" s="20" t="str"/>
      <x:c r="F723" s="20" t="str">
        <x:f>IF(E723="",D723,E723)</x:f>
        <x:v>2</x:v>
      </x:c>
      <x:c r="G723" s="13" t="str">
        <x:v>Vulnerability Detection with Code Language Models: How Far Are We?</x:v>
      </x:c>
      <x:c r="H723" s="13" t="n">
        <x:v>3</x:v>
      </x:c>
      <x:c r="I723" s="22" t="n">
        <x:v>0.04688263125763126</x:v>
      </x:c>
      <x:c r="J723" s="13" t="n">
        <x:v>3</x:v>
      </x:c>
      <x:c r="K723" s="19" t="str">
        <x:v>Which datasets and evaluation protocols are used for machine-learning-based source-code vulnerability detection, and which forms of data leakage can inflate reported performance?</x:v>
      </x:c>
      <x:c r="L723" s="19" t="str">
        <x:v>CVEFixes and DiverseVul, we follow the methodology intro-
duced in [5] to randomly split the data with 80%/10%/10%.
1) Code Copy: One main reason for leakage is data dupli-
cation [30] since code data is highly repetitive [31, 32], and
LMs are known to be good at memorizing the code text [33].
Specifically, leaking exact copies across the training and eval-
uation set will inevitably inflate the evaluation performance.
Experiments. We study the exact copy of vulnerable func-
tions. To identify the code copy, we exhaustively compare the
vulnerable functions in the test set to all training samples. We
normalize the formatting characters in the code samples to
eliminate its noisy effect and then identify the exact copy if
two strings are identical after the normalization.
TABLE II: The statistics of data duplication in existing vul-
nerability detection benchmarks.</x:v>
      </x:c>
      <x:c r="M723" s="19" t="str">
        <x:v>该段包含可直接回答问题的方法、指标、比较或研究发现。</x:v>
      </x:c>
      <x:c r="N723" s="13" t="str">
        <x:v>http://arxiv.org/abs/2403.18624v2</x:v>
      </x:c>
    </x:row>
    <x:row r="724" ht="58" customHeight="1">
      <x:c r="A724" s="13" t="str">
        <x:v>csq025-c006</x:v>
      </x:c>
      <x:c r="B724" s="13" t="str">
        <x:v>csq025</x:v>
      </x:c>
      <x:c r="C724" s="21" t="n">
        <x:v>6</x:v>
      </x:c>
      <x:c r="D724" s="20" t="str">
        <x:v>2</x:v>
      </x:c>
      <x:c r="E724" s="20" t="str"/>
      <x:c r="F724" s="20" t="str">
        <x:f>IF(E724="",D724,E724)</x:f>
        <x:v>2</x:v>
      </x:c>
      <x:c r="G724" s="13" t="str">
        <x:v>Vulnerability Detection with Code Language Models: How Far Are We?</x:v>
      </x:c>
      <x:c r="H724" s="13" t="n">
        <x:v>1</x:v>
      </x:c>
      <x:c r="I724" s="22" t="n">
        <x:v>0.04526926877470356</x:v>
      </x:c>
      <x:c r="J724" s="13" t="n">
        <x:v>3</x:v>
      </x:c>
      <x:c r="K724" s="19" t="str">
        <x:v>Which datasets and evaluation protocols are used for machine-learning-based source-code vulnerability detection, and which forms of data leakage can inflate reported performance?</x:v>
      </x:c>
      <x:c r="L724" s="19" t="str">
        <x:v>security vulnerabilities.
Data duplication: Furthermore, data duplication is preva-
lent in these datasets. Our analysis identified significant levels
of exact copies and cloned vulnerabilities within the datasets.
This is particularly problematic when one copy appears in the
training set and another copy in the testing set, as performance
metrics become unrepresentative of real-world performance
and misrepresent the model’s ability to generalize to unseen
data. We found that up to 18.9% test samples are leaked from
the train set in some benchmarks.
Limitation in existing evaluation metrics. Besides the data
quality issue, the evaluation metrics used by current bench-
marks fail to capture the practical utility of models at VD.
Accuracy: Many benchmarks report accuracy scores,
but accuracy is not an appropriate metric for vulnerability</x:v>
      </x:c>
      <x:c r="M724" s="19" t="str">
        <x:v>该段包含可直接回答问题的方法、指标、比较或研究发现。</x:v>
      </x:c>
      <x:c r="N724" s="13" t="str">
        <x:v>http://arxiv.org/abs/2403.18624v2</x:v>
      </x:c>
    </x:row>
    <x:row r="725" ht="58" customHeight="1">
      <x:c r="A725" s="13" t="str">
        <x:v>csq025-c007</x:v>
      </x:c>
      <x:c r="B725" s="13" t="str">
        <x:v>csq025</x:v>
      </x:c>
      <x:c r="C725" s="21" t="n">
        <x:v>7</x:v>
      </x:c>
      <x:c r="D725" s="20" t="str">
        <x:v>2</x:v>
      </x:c>
      <x:c r="E725" s="20" t="str"/>
      <x:c r="F725" s="20" t="str">
        <x:f>IF(E725="",D725,E725)</x:f>
        <x:v>2</x:v>
      </x:c>
      <x:c r="G725" s="13" t="str">
        <x:v>A Survey on Automated Software Vulnerability Detection Using Machine Learning and Deep Learning</x:v>
      </x:c>
      <x:c r="H725" s="13" t="n">
        <x:v>12</x:v>
      </x:c>
      <x:c r="I725" s="22" t="n">
        <x:v>0.044882896049597755</x:v>
      </x:c>
      <x:c r="J725" s="13" t="n">
        <x:v>3</x:v>
      </x:c>
      <x:c r="K725" s="19" t="str">
        <x:v>Which datasets and evaluation protocols are used for machine-learning-based source-code vulnerability detection, and which forms of data leakage can inflate reported performance?</x:v>
      </x:c>
      <x:c r="L725" s="19" t="str">
        <x:v>of DL models [121]. In this section, we examine data used in vulnerability detection studies and
conducted a comprehensive analysis of the steps of data source, data type, and data representation.
4.2.1 RQ2.1. What are the sources of datasets? One of the main challenges in ML/DL-based software
vulnerability detection is the insufficient amount of data available for training operations [24, 92].
Consequently, there exists a gap in research on how to obtain sufficient datasets to facilitate the
training of ML/DL models for software security vulnerability detection. To this end, we analyze
the sources of datasets in the studied 67 primary studies. Our analysis reveals that datasets for
this purpose can be broadly classified into three categories, i.e., Benchmark, Collected, and Hybrid
sources. Benchmark contains standardized datasets used to evaluate the performance of vulnerability</x:v>
      </x:c>
      <x:c r="M725" s="19" t="str">
        <x:v>该段包含可直接回答问题的方法、指标、比较或研究发现。</x:v>
      </x:c>
      <x:c r="N725" s="13" t="str">
        <x:v>http://arxiv.org/abs/2306.11673v1</x:v>
      </x:c>
    </x:row>
    <x:row r="726" ht="58" customHeight="1">
      <x:c r="A726" s="13" t="str">
        <x:v>csq025-c008</x:v>
      </x:c>
      <x:c r="B726" s="13" t="str">
        <x:v>csq025</x:v>
      </x:c>
      <x:c r="C726" s="21" t="n">
        <x:v>8</x:v>
      </x:c>
      <x:c r="D726" s="20" t="str">
        <x:v>2</x:v>
      </x:c>
      <x:c r="E726" s="20" t="str"/>
      <x:c r="F726" s="20" t="str">
        <x:f>IF(E726="",D726,E726)</x:f>
        <x:v>2</x:v>
      </x:c>
      <x:c r="G726" s="13" t="str">
        <x:v>Vulnerability Detection with Code Language Models: How Far Are We?</x:v>
      </x:c>
      <x:c r="H726" s="13" t="n">
        <x:v>1</x:v>
      </x:c>
      <x:c r="I726" s="22" t="n">
        <x:v>0.04449701914433053</x:v>
      </x:c>
      <x:c r="J726" s="13" t="n">
        <x:v>3</x:v>
      </x:c>
      <x:c r="K726" s="19" t="str">
        <x:v>Which datasets and evaluation protocols are used for machine-learning-based source-code vulnerability detection, and which forms of data leakage can inflate reported performance?</x:v>
      </x:c>
      <x:c r="L726" s="19" t="str">
        <x:v>of the real-world performance of these tools. First, we sug-
gest splitting samples chronologically to reflect the evolution
of both vulnerabilities and coding patterns. Chronological
splitting also reduces the risks of data leakage. Second, we
introduce the Vulnerability Detection Score (VD-S), a novel
metric designed to measure how well vulnerability detectors
will perform in practice. VD-S measures the false negative
rate, after the detector has been tuned to ensure the false
positive rate is below a fixed threshold (e.g., 0.5%). Finally, we
introduce a pair-wise evaluation method to assess the model’s
ability to distinguish between a vulnerable code sample and
its benign (fixed) counterpart, offering deeper insights into
models’ vulnerability understanding.
Effectiveness of Code LMs in realistic vulnerability detec-
tion. We evaluate seven code LMs with varied sizes, including</x:v>
      </x:c>
      <x:c r="M726" s="19" t="str">
        <x:v>该段包含可直接回答问题的方法、指标、比较或研究发现。</x:v>
      </x:c>
      <x:c r="N726" s="13" t="str">
        <x:v>http://arxiv.org/abs/2403.18624v2</x:v>
      </x:c>
    </x:row>
    <x:row r="727" ht="58" customHeight="1">
      <x:c r="A727" s="13" t="str">
        <x:v>csq025-c009</x:v>
      </x:c>
      <x:c r="B727" s="13" t="str">
        <x:v>csq025</x:v>
      </x:c>
      <x:c r="C727" s="21" t="n">
        <x:v>9</x:v>
      </x:c>
      <x:c r="D727" s="20" t="str">
        <x:v>2</x:v>
      </x:c>
      <x:c r="E727" s="20" t="str"/>
      <x:c r="F727" s="20" t="str">
        <x:f>IF(E727="",D727,E727)</x:f>
        <x:v>2</x:v>
      </x:c>
      <x:c r="G727" s="13" t="str">
        <x:v>Vulnerability Detection with Code Language Models: How Far Are We?</x:v>
      </x:c>
      <x:c r="H727" s="13" t="n">
        <x:v>4</x:v>
      </x:c>
      <x:c r="I727" s="22" t="n">
        <x:v>0.043979386626445446</x:v>
      </x:c>
      <x:c r="J727" s="13" t="n">
        <x:v>3</x:v>
      </x:c>
      <x:c r="K727" s="19" t="str">
        <x:v>Which datasets and evaluation protocols are used for machine-learning-based source-code vulnerability detection, and which forms of data leakage can inflate reported performance?</x:v>
      </x:c>
      <x:c r="L727" s="19" t="str">
        <x:v>In addition, after manual analysis, we find that many code
samples from the same commit (example 2) were randomly
separated into train, validation, and test sets. This commit fixes
multiple occurrences of the same CVE in different functions,
in the same way. In general, developers tend to fix similar
issues altogether before merging the changes into the main
branch. However, training and testing with samples from the
same commit is unrealistic and leaks information from the test
time to the training time. In a realistic setting, the models are
trained on the historical data to predict future samples.
D. Evaluation in Practical Settings
Nearly all code-LM-based vulnerability detection models
use accuracy and F1 score for evaluation. Accuracy measures
the proportion of correctly predicted samples (both vulnerable
and benign) out of all samples, capturing overall model</x:v>
      </x:c>
      <x:c r="M727" s="19" t="str">
        <x:v>该段包含可直接回答问题的方法、指标、比较或研究发现。</x:v>
      </x:c>
      <x:c r="N727" s="13" t="str">
        <x:v>http://arxiv.org/abs/2403.18624v2</x:v>
      </x:c>
    </x:row>
    <x:row r="728" ht="58" customHeight="1">
      <x:c r="A728" s="13" t="str">
        <x:v>csq025-c010</x:v>
      </x:c>
      <x:c r="B728" s="13" t="str">
        <x:v>csq025</x:v>
      </x:c>
      <x:c r="C728" s="21" t="n">
        <x:v>10</x:v>
      </x:c>
      <x:c r="D728" s="20" t="str">
        <x:v>2</x:v>
      </x:c>
      <x:c r="E728" s="20" t="str"/>
      <x:c r="F728" s="20" t="str">
        <x:f>IF(E728="",D728,E728)</x:f>
        <x:v>2</x:v>
      </x:c>
      <x:c r="G728" s="13" t="str">
        <x:v>Vulnerability Detection with Code Language Models: How Far Are We?</x:v>
      </x:c>
      <x:c r="H728" s="13" t="n">
        <x:v>0</x:v>
      </x:c>
      <x:c r="I728" s="22" t="n">
        <x:v>0.042373737373737376</x:v>
      </x:c>
      <x:c r="J728" s="13" t="n">
        <x:v>3</x:v>
      </x:c>
      <x:c r="K728" s="19" t="str">
        <x:v>Which datasets and evaluation protocols are used for machine-learning-based source-code vulnerability detection, and which forms of data leakage can inflate reported performance?</x:v>
      </x:c>
      <x:c r="L728" s="19" t="str">
        <x:v>Vulnerability Detection with Code Language
Models: How Far Are We?
Yangruibo Ding†, Yanjun Fu ♢, Omniyyah Ibrahim ♮, Chawin Sitawarin ‡, Xinyun Chen ∇
Basel Alomair ♮,∗, David Wagner ‡, Baishakhi Ray †, Yizheng Chen ♢
†Columbia University
∗University of Washington
♮King Abdulaziz City for Science and Technology
∇Google DeepMind
‡UC Berkeley
♢University of Maryland
Abstract—In the context of the rising interest in code language
models (code LMs) and vulnerability detection, we study the
effectiveness of code LMs for detecting vulnerabilities. Our
analysis reveals significant shortcomings in existing vulnerability
datasets, including poor data quality, low label accuracy, and high
duplication rates, leading to unreliable model performance in
realistic vulnerability detection scenarios. Additionally, the eval-
uation methods used with these datasets are not representative</x:v>
      </x:c>
      <x:c r="M728" s="19" t="str">
        <x:v>该段包含可直接回答问题的方法、指标、比较或研究发现。</x:v>
      </x:c>
      <x:c r="N728" s="13" t="str">
        <x:v>http://arxiv.org/abs/2403.18624v2</x:v>
      </x:c>
    </x:row>
    <x:row r="729" ht="58" customHeight="1">
      <x:c r="A729" s="13" t="str">
        <x:v>csq025-c011</x:v>
      </x:c>
      <x:c r="B729" s="13" t="str">
        <x:v>csq025</x:v>
      </x:c>
      <x:c r="C729" s="21" t="n">
        <x:v>11</x:v>
      </x:c>
      <x:c r="D729" s="20" t="str">
        <x:v>2</x:v>
      </x:c>
      <x:c r="E729" s="20" t="str"/>
      <x:c r="F729" s="20" t="str">
        <x:f>IF(E729="",D729,E729)</x:f>
        <x:v>2</x:v>
      </x:c>
      <x:c r="G729" s="13" t="str">
        <x:v>VulBERTa: Simplified Source Code Pre-Training for Vulnerability Detection</x:v>
      </x:c>
      <x:c r="H729" s="13" t="n">
        <x:v>4</x:v>
      </x:c>
      <x:c r="I729" s="22" t="n">
        <x:v>0.030834914611005692</x:v>
      </x:c>
      <x:c r="J729" s="13" t="n">
        <x:v>2</x:v>
      </x:c>
      <x:c r="K729" s="19" t="str">
        <x:v>Which datasets and evaluation protocols are used for machine-learning-based source-code vulnerability detection, and which forms of data leakage can inflate reported performance?</x:v>
      </x:c>
      <x:c r="L729" s="19" t="str">
        <x:v>detection, we have selected a number of datasets which
security researchers have compiled in order to evaluate their
respective vulnerability detection approaches.
1) Vuldeepecker: The Vuldeepecker dataset is a vulnerabil-
ity detection dataset introduced in [3]. It consists of real-world
samples from the National Vulnerability Database (NVD) [33]
and synthetic samples from the Software Assurance Reference
Dataset (SARD) [34] project. These two projects are actively
maintained by the National Institute of Standards and Tech-
nology (NIST). This dataset is frequently used as a bench-
mark dataset to evaluate vulnerability detection techniques for
C/C++ source code.
2) Draper: This is the same dataset we described in Section
IV-A2, however for ﬁne-tuning we include the (binary) labels.
This dataset was checked by three static analysers and labelled
by a team of security experts.</x:v>
      </x:c>
      <x:c r="M729" s="19" t="str">
        <x:v>该段包含可直接回答问题的方法、指标、比较或研究发现。</x:v>
      </x:c>
      <x:c r="N729" s="13" t="str">
        <x:v>http://arxiv.org/abs/2205.12424v1</x:v>
      </x:c>
    </x:row>
    <x:row r="730" ht="58" customHeight="1">
      <x:c r="A730" s="13" t="str">
        <x:v>csq025-c012</x:v>
      </x:c>
      <x:c r="B730" s="13" t="str">
        <x:v>csq025</x:v>
      </x:c>
      <x:c r="C730" s="21" t="n">
        <x:v>12</x:v>
      </x:c>
      <x:c r="D730" s="20" t="str">
        <x:v>2</x:v>
      </x:c>
      <x:c r="E730" s="20" t="str"/>
      <x:c r="F730" s="20" t="str">
        <x:f>IF(E730="",D730,E730)</x:f>
        <x:v>2</x:v>
      </x:c>
      <x:c r="G730" s="13" t="str">
        <x:v>A Survey on Automated Software Vulnerability Detection Using Machine Learning and Deep Learning</x:v>
      </x:c>
      <x:c r="H730" s="13" t="n">
        <x:v>12</x:v>
      </x:c>
      <x:c r="I730" s="22" t="n">
        <x:v>0.03009207275993712</x:v>
      </x:c>
      <x:c r="J730" s="13" t="n">
        <x:v>2</x:v>
      </x:c>
      <x:c r="K730" s="19" t="str">
        <x:v>Which datasets and evaluation protocols are used for machine-learning-based source-code vulnerability detection, and which forms of data leakage can inflate reported performance?</x:v>
      </x:c>
      <x:c r="L730" s="19" t="str">
        <x:v>sources. Benchmark contains standardized datasets used to evaluate the performance of vulnerability
detection methods and techniques [32, 33, 55, 60, 62, 64, 72, 95, 98, 109, 116, 123, 134, 138, 144, 145,
150, 161].
Benchmark datasets for software vulnerability detection are often built from three main sources.
The first source of data is collecting code snippets from open sources. This can include open-source
software projects [67], public vulnerability databases [11], and bug repositories [14]. The goal is
to gather a diverse set of programs or code snippets that represent different application domains,
J. ACM, Vol. 37, No. 4, Article 111. Publication date: August 2018.</x:v>
      </x:c>
      <x:c r="M730" s="19" t="str">
        <x:v>该段包含可直接回答问题的方法、指标、比较或研究发现。</x:v>
      </x:c>
      <x:c r="N730" s="13" t="str">
        <x:v>http://arxiv.org/abs/2306.11673v1</x:v>
      </x:c>
    </x:row>
    <x:row r="731" ht="58" customHeight="1">
      <x:c r="A731" s="13" t="str">
        <x:v>csq025-c013</x:v>
      </x:c>
      <x:c r="B731" s="13" t="str">
        <x:v>csq025</x:v>
      </x:c>
      <x:c r="C731" s="21" t="n">
        <x:v>13</x:v>
      </x:c>
      <x:c r="D731" s="20" t="str">
        <x:v>2</x:v>
      </x:c>
      <x:c r="E731" s="20" t="str"/>
      <x:c r="F731" s="20" t="str">
        <x:f>IF(E731="",D731,E731)</x:f>
        <x:v>2</x:v>
      </x:c>
      <x:c r="G731" s="13" t="str">
        <x:v>Leveraging Self-Paced Learning for Software Vulnerability Detection</x:v>
      </x:c>
      <x:c r="H731" s="13" t="n">
        <x:v>9</x:v>
      </x:c>
      <x:c r="I731" s="22" t="n">
        <x:v>0.03007688828584351</x:v>
      </x:c>
      <x:c r="J731" s="13" t="n">
        <x:v>2</x:v>
      </x:c>
      <x:c r="K731" s="19" t="str">
        <x:v>Which datasets and evaluation protocols are used for machine-learning-based source-code vulnerability detection, and which forms of data leakage can inflate reported performance?</x:v>
      </x:c>
      <x:c r="L731" s="19" t="str">
        <x:v>4.2 Datasets
We build the experimental datasets through three steps: (1) dataset selection, (2) processing, and (3)
splitting. Table 1 shows the basic information of each dataset.
Step 1: Dataset Selection.We select three most commonly used datasets and devise a new one to
investigate the usefulness of SPLVD in practice.
• BigVul[ 14] consists of 180K source code from 348 open-source projects. Its key features
include: (1) inclusion of both vulnerable and patched code; (2) coverage of 11 types of
vulnerabilities in C/C++,e.g., buffer and integer overflows; (3) provision of code change
difference analysis. However, researchers have identified incorrect labels in this dataset.
• Devign[ 72] consists of 27K source code from four open-source projects, such as FFmpeg
and QEMU, and includes over, labelled through a cross-validation process based on security-</x:v>
      </x:c>
      <x:c r="M731" s="19" t="str">
        <x:v>该段包含可直接回答问题的方法、指标、比较或研究发现。</x:v>
      </x:c>
      <x:c r="N731" s="13" t="str">
        <x:v>http://arxiv.org/abs/2511.09212v1</x:v>
      </x:c>
    </x:row>
    <x:row r="732" ht="58" customHeight="1">
      <x:c r="A732" s="13" t="str">
        <x:v>csq025-c014</x:v>
      </x:c>
      <x:c r="B732" s="13" t="str">
        <x:v>csq025</x:v>
      </x:c>
      <x:c r="C732" s="21" t="n">
        <x:v>14</x:v>
      </x:c>
      <x:c r="D732" s="20" t="str">
        <x:v>2</x:v>
      </x:c>
      <x:c r="E732" s="20" t="str"/>
      <x:c r="F732" s="20" t="str">
        <x:f>IF(E732="",D732,E732)</x:f>
        <x:v>2</x:v>
      </x:c>
      <x:c r="G732" s="13" t="str">
        <x:v>VulBERTa: Simplified Source Code Pre-Training for Vulnerability Detection</x:v>
      </x:c>
      <x:c r="H732" s="13" t="n">
        <x:v>4</x:v>
      </x:c>
      <x:c r="I732" s="22" t="n">
        <x:v>0.029910714285714284</x:v>
      </x:c>
      <x:c r="J732" s="13" t="n">
        <x:v>2</x:v>
      </x:c>
      <x:c r="K732" s="19" t="str">
        <x:v>Which datasets and evaluation protocols are used for machine-learning-based source-code vulnerability detection, and which forms of data leakage can inflate reported performance?</x:v>
      </x:c>
      <x:c r="L732" s="19" t="str">
        <x:v>This dataset was checked by three static analysers and labelled
by a team of security experts.
3) REVEAL: The REVEAL dataset is a real-world software
vulnerability detection dataset introduced in [25] in response
to existing datasets that contain lots of data duplication and
unrealistic distribution of vulnerable classes. This dataset is a
binary detection dataset consisting of source code from two
open-source projects: Linux Debian kernel and Chromium.
4) muVuldeepecker (MVD): The muVuldeepecker dataset is
a multiclass vulnerability detection dataset introduced in [5].
It is remarkably similar to the Vuldeepecker dataset as this
dataset also comes from the NVD and SARD. However, the
main difference is that this dataset consists of code gadgets
instead of the usual function-level source code.
5) Devign: The Devign dataset is a real-world software</x:v>
      </x:c>
      <x:c r="M732" s="19" t="str">
        <x:v>该段包含可直接回答问题的方法、指标、比较或研究发现。</x:v>
      </x:c>
      <x:c r="N732" s="13" t="str">
        <x:v>http://arxiv.org/abs/2205.12424v1</x:v>
      </x:c>
    </x:row>
    <x:row r="733" ht="58" customHeight="1">
      <x:c r="A733" s="13" t="str">
        <x:v>csq025-c015</x:v>
      </x:c>
      <x:c r="B733" s="13" t="str">
        <x:v>csq025</x:v>
      </x:c>
      <x:c r="C733" s="21" t="n">
        <x:v>15</x:v>
      </x:c>
      <x:c r="D733" s="20" t="str">
        <x:v>2</x:v>
      </x:c>
      <x:c r="E733" s="20" t="str"/>
      <x:c r="F733" s="20" t="str">
        <x:f>IF(E733="",D733,E733)</x:f>
        <x:v>2</x:v>
      </x:c>
      <x:c r="G733" s="13" t="str">
        <x:v>Leveraging Self-Paced Learning for Software Vulnerability Detection</x:v>
      </x:c>
      <x:c r="H733" s="13" t="n">
        <x:v>21</x:v>
      </x:c>
      <x:c r="I733" s="22" t="n">
        <x:v>0.02862400327131466</x:v>
      </x:c>
      <x:c r="J733" s="13" t="n">
        <x:v>2</x:v>
      </x:c>
      <x:c r="K733" s="19" t="str">
        <x:v>Which datasets and evaluation protocols are used for machine-learning-based source-code vulnerability detection, and which forms of data leakage can inflate reported performance?</x:v>
      </x:c>
      <x:c r="L733" s="19" t="str">
        <x:v>data from OpenHarmony to improve industrial representativeness. Some constructed datasets (e.g.,
NVD [45]) are not selected because the purpose of SPLVD is to improve the usability of vulnerability
detection models; therefore, open-source datasets are more capable of testing the performance of
SPLVD. For evaluation metrics, we select the five most common metrics in vulnerability detection. In
the ablation study, to further compare the improvement in the detection performance of the model
on high-confidence source code achieved through self-paced learning, we introduce the evaluation
metric𝑇𝑜𝑝𝑁𝐹 1. To maintain the completeness of VulGPT, we select the two best approaches
proposed within it as baselines. In addition, in RQ2 we do not compare SPLVD with Starcoder2.
This is mainly because its detection results on BigVul are poor, with an F1 of 0 in many CWE</x:v>
      </x:c>
      <x:c r="M733" s="19" t="str">
        <x:v>该段包含可直接回答问题的方法、指标、比较或研究发现。</x:v>
      </x:c>
      <x:c r="N733" s="13" t="str">
        <x:v>http://arxiv.org/abs/2511.09212v1</x:v>
      </x:c>
    </x:row>
    <x:row r="734" ht="58" customHeight="1">
      <x:c r="A734" s="13" t="str">
        <x:v>csq025-c016</x:v>
      </x:c>
      <x:c r="B734" s="13" t="str">
        <x:v>csq025</x:v>
      </x:c>
      <x:c r="C734" s="21" t="n">
        <x:v>16</x:v>
      </x:c>
      <x:c r="D734" s="20" t="str">
        <x:v>2</x:v>
      </x:c>
      <x:c r="E734" s="20" t="str"/>
      <x:c r="F734" s="20" t="str">
        <x:f>IF(E734="",D734,E734)</x:f>
        <x:v>2</x:v>
      </x:c>
      <x:c r="G734" s="13" t="str">
        <x:v>Feature Engineering-Based Detection of Buffer Overflow Vulnerability in Source Code Using Neural Networks</x:v>
      </x:c>
      <x:c r="H734" s="13" t="n">
        <x:v>8</x:v>
      </x:c>
      <x:c r="I734" s="22" t="n">
        <x:v>0.028577260665441927</x:v>
      </x:c>
      <x:c r="J734" s="13" t="n">
        <x:v>2</x:v>
      </x:c>
      <x:c r="K734" s="19" t="str">
        <x:v>Which datasets and evaluation protocols are used for machine-learning-based source-code vulnerability detection, and which forms of data leakage can inflate reported performance?</x:v>
      </x:c>
      <x:c r="L734" s="19" t="str">
        <x:v>Behzadan et al. 
[40] 
Vulnerability detection Source code No 94.72% 
(Accuracy) 
No 
Our 
Model 
Proposed Vulnerability detection Source code Yes 95% (Accuracy) Yes 
achieves the highest accuracy of 95% compared to the previ - 
ous works. Moreover, we contribute to efficient measurement 
analysis and perform an in -depth analysis of the features that 
were not considered in previous studies. This comprehensive 
approach allows us to better understand the factors influencing 
the performance of vulnerability detection models and develop 
more effective methods for detecting security vulnerabilities in 
source code. 
VI. CONCLUSION 
Our research aims to detect implementation vulnerabil ities 
early in the development cycle by leveraging the power of 
neural networks. We have collected a large dataset of open - 
source C and C++ code and developed a scalable and efficient</x:v>
      </x:c>
      <x:c r="M734" s="19" t="str">
        <x:v>该段包含可直接回答问题的方法、指标、比较或研究发现。</x:v>
      </x:c>
      <x:c r="N734" s="13" t="str">
        <x:v>http://arxiv.org/abs/2306.07981v1</x:v>
      </x:c>
    </x:row>
    <x:row r="735" ht="58" customHeight="1">
      <x:c r="A735" s="13" t="str">
        <x:v>csq025-c017</x:v>
      </x:c>
      <x:c r="B735" s="13" t="str">
        <x:v>csq025</x:v>
      </x:c>
      <x:c r="C735" s="21" t="n">
        <x:v>17</x:v>
      </x:c>
      <x:c r="D735" s="20" t="str">
        <x:v>2</x:v>
      </x:c>
      <x:c r="E735" s="20" t="str"/>
      <x:c r="F735" s="20" t="str">
        <x:f>IF(E735="",D735,E735)</x:f>
        <x:v>2</x:v>
      </x:c>
      <x:c r="G735" s="13" t="str">
        <x:v>SoK: Understanding (New) Security Issues Across AI4Code Use Cases</x:v>
      </x:c>
      <x:c r="H735" s="13" t="n">
        <x:v>3</x:v>
      </x:c>
      <x:c r="I735" s="22" t="n">
        <x:v>0.02857142857142857</x:v>
      </x:c>
      <x:c r="J735" s="13" t="n">
        <x:v>2</x:v>
      </x:c>
      <x:c r="K735" s="19" t="str">
        <x:v>Which datasets and evaluation protocols are used for machine-learning-based source-code vulnerability detection, and which forms of data leakage can inflate reported performance?</x:v>
      </x:c>
      <x:c r="L735" s="19" t="str">
        <x:v>datasets overfit to frequent CWEs, robustness collapses un-
der simple obfuscations, and security-relevant signals diverge
from standard accuracy metrics.
3.2 Security Dimensions
The security and privacy landscape of bug and vulnerability
detection systems reveals a dual challenge: detection models
themselves become targets of attack, while their reliance on
sensitive codebases exposes new privacy risks. As in other ar-
eas of code intelligence, adversaries exploit both training and
inference phases, and technical choices in detection pipelines
open up characteristic weaknesses.
The threat taxonomyspans multiple axes.Training-time
threatsinclude data poisoning [ 42, 69], where maliciously
crafted examples bias model behavior to systematically miss
specific vulnerability types.Inference-time threats[ 77, 102,
124] manifest as adversarial code modifications (e.g., vari-</x:v>
      </x:c>
      <x:c r="M735" s="19" t="str">
        <x:v>该段包含可直接回答问题的方法、指标、比较或研究发现。</x:v>
      </x:c>
      <x:c r="N735" s="13" t="str">
        <x:v>http://arxiv.org/abs/2512.18456v1</x:v>
      </x:c>
    </x:row>
    <x:row r="736" ht="58" customHeight="1">
      <x:c r="A736" s="13" t="str">
        <x:v>csq025-c018</x:v>
      </x:c>
      <x:c r="B736" s="13" t="str">
        <x:v>csq025</x:v>
      </x:c>
      <x:c r="C736" s="21" t="n">
        <x:v>18</x:v>
      </x:c>
      <x:c r="D736" s="20" t="str">
        <x:v>0</x:v>
      </x:c>
      <x:c r="E736" s="20" t="str"/>
      <x:c r="F736" s="20" t="str">
        <x:f>IF(E736="",D736,E736)</x:f>
        <x:v>0</x:v>
      </x:c>
      <x:c r="G736" s="13" t="str">
        <x:v>VulBERTa: Simplified Source Code Pre-Training for Vulnerability Detection</x:v>
      </x:c>
      <x:c r="H736" s="13" t="n">
        <x:v>7</x:v>
      </x:c>
      <x:c r="I736" s="22" t="n">
        <x:v>0.028169014084507043</x:v>
      </x:c>
      <x:c r="J736" s="13" t="n">
        <x:v>2</x:v>
      </x:c>
      <x:c r="K736" s="19" t="str">
        <x:v>Which datasets and evaluation protocols are used for machine-learning-based source-code vulnerability detection, and which forms of data leakage can inflate reported performance?</x:v>
      </x:c>
      <x:c r="L736" s="19" t="str">
        <x:v>[37] S. Lu et al., “Codexglue: A machine learning benchmark dataset for
code understanding and generation,” CoRR, vol. abs/2102.04664, 2021.
[38] W. Ahmad, S. Chakraborty, B. Ray, and K.-W. Chang, “Uniﬁed pre-
training for program understanding and generation,” in Proceedings of
the 2021 Conference of the North American Chapter of the Association
for Computational Linguistics: Human Language Technologies . Asso-
ciation for Computational Linguistics, Jun. 2021, pp. 2655–2668.
[39] D. Coimbra, S. Reis, R. Abreu, C. P ˘as˘areanu, and H. Erdogmus, “On
using distributed representations of source code for the detection of c
security vulnerabilities,” 2021.
[40] Y . Zhuang, S. Suneja, V . Thost, G. Domeniconi, A. Morari, and
J. Laredo, “Software vulnerability detection via deep learning over
disaggregated code graph representation,” 2021.</x:v>
      </x:c>
      <x:c r="M736" s="19" t="str">
        <x:v>该段为无关内容、泛泛提及或参考文献片段，不能作为回答证据。</x:v>
      </x:c>
      <x:c r="N736" s="13" t="str">
        <x:v>http://arxiv.org/abs/2205.12424v1</x:v>
      </x:c>
    </x:row>
    <x:row r="737" ht="58" customHeight="1">
      <x:c r="A737" s="13" t="str">
        <x:v>csq025-c019</x:v>
      </x:c>
      <x:c r="B737" s="13" t="str">
        <x:v>csq025</x:v>
      </x:c>
      <x:c r="C737" s="21" t="n">
        <x:v>19</x:v>
      </x:c>
      <x:c r="D737" s="20" t="str">
        <x:v>2</x:v>
      </x:c>
      <x:c r="E737" s="20" t="str"/>
      <x:c r="F737" s="20" t="str">
        <x:f>IF(E737="",D737,E737)</x:f>
        <x:v>2</x:v>
      </x:c>
      <x:c r="G737" s="13" t="str">
        <x:v>A Survey on Automated Software Vulnerability Detection Using Machine Learning and Deep Learning</x:v>
      </x:c>
      <x:c r="H737" s="13" t="n">
        <x:v>16</x:v>
      </x:c>
      <x:c r="I737" s="22" t="n">
        <x:v>0.028006267136701922</x:v>
      </x:c>
      <x:c r="J737" s="13" t="n">
        <x:v>2</x:v>
      </x:c>
      <x:c r="K737" s="19" t="str">
        <x:v>Which datasets and evaluation protocols are used for machine-learning-based source-code vulnerability detection, and which forms of data leakage can inflate reported performance?</x:v>
      </x:c>
      <x:c r="L737" s="19" t="str">
        <x:v>A Survey on Automated Software Vulnerability Detection Using Machine Learning and Deep Learning 111:17
Code
70.1%
Repository
25.4%
Hybrid
4.5%
Fig. 4. The type of datasets in primary studies.
Table 7. Data types of datasets involved in primary studies.
Category Data Type #Studies Total References
Code-based Source code 42 47 [17, 30–33, 36, 38, 42, 49, 55, 62,
64, 72, 82, 84, 86–88, 90, 91, 95, 97,
98, 107, 108, 124, 128, 134, 138, 140,
143, 144, 146, 150, 152, 153, 156–
161]
Binary code 5 [61, 76, 109, 116, 145]
Repository-based Code change 8 13 [25, 35, 45, 58, 85, 94, 118, 154]
Commit 5 [110, 113, 114, 120, 147]
Hybrid Source Code+Code change 3 7 [28, 79, 136]
Commits+Code Change 2 [60, 123]
Commits+Bug reports 1 [155]
Bug report+Commits+Emails1 [24]
SUM - - 67(67) -
Figure 4 shows the distribution of the data types in primary studies. We can observe that the</x:v>
      </x:c>
      <x:c r="M737" s="19" t="str">
        <x:v>该段包含可直接回答问题的方法、指标、比较或研究发现。</x:v>
      </x:c>
      <x:c r="N737" s="13" t="str">
        <x:v>http://arxiv.org/abs/2306.11673v1</x:v>
      </x:c>
    </x:row>
    <x:row r="738" ht="58" customHeight="1">
      <x:c r="A738" s="13" t="str">
        <x:v>csq025-c020</x:v>
      </x:c>
      <x:c r="B738" s="13" t="str">
        <x:v>csq025</x:v>
      </x:c>
      <x:c r="C738" s="21" t="n">
        <x:v>20</x:v>
      </x:c>
      <x:c r="D738" s="20" t="str">
        <x:v>2</x:v>
      </x:c>
      <x:c r="E738" s="20" t="str"/>
      <x:c r="F738" s="20" t="str">
        <x:f>IF(E738="",D738,E738)</x:f>
        <x:v>2</x:v>
      </x:c>
      <x:c r="G738" s="13" t="str">
        <x:v>VulBERTa: Simplified Source Code Pre-Training for Vulnerability Detection</x:v>
      </x:c>
      <x:c r="H738" s="13" t="n">
        <x:v>0</x:v>
      </x:c>
      <x:c r="I738" s="22" t="n">
        <x:v>0.02666666666666667</x:v>
      </x:c>
      <x:c r="J738" s="13" t="n">
        <x:v>2</x:v>
      </x:c>
      <x:c r="K738" s="19" t="str">
        <x:v>Which datasets and evaluation protocols are used for machine-learning-based source-code vulnerability detection, and which forms of data leakage can inflate reported performance?</x:v>
      </x:c>
      <x:c r="L738" s="19" t="str">
        <x:v>datasets (Vuldeepecker, Draper, REVEAL and muVuldeepecker)
and benchmarks (CodeXGLUE and D2A). The evaluation results
show that VulBERTa achieves state-of-the-art performance and
outperforms existing approaches across different datasets, despite
its conceptual simplicity, and limited cost in terms of size of
training data and number of model parameters.
Index Terms—Vulnerability detection, Software vulnerabilites,
Pre-training, Deep learning, Representation learning.
I. I NTRODUCTION
MITRE [1] reports an increase in the number of software
CVEs submitted yearly since 2016, reﬂecting the increased
threat to the overall security of the software ecosystem.
Accordingly, there has been a steady growth of research in
software vulnerability detection over the years [2], across
the spectrum of vulnerability detection approaches such as
static analysis, dynamic analysis and machine learning-based</x:v>
      </x:c>
      <x:c r="M738" s="19" t="str">
        <x:v>该段包含可直接回答问题的方法、指标、比较或研究发现。</x:v>
      </x:c>
      <x:c r="N738" s="13" t="str">
        <x:v>http://arxiv.org/abs/2205.12424v1</x:v>
      </x:c>
    </x:row>
    <x:row r="739" ht="58" customHeight="1">
      <x:c r="A739" s="13" t="str">
        <x:v>csq025-c021</x:v>
      </x:c>
      <x:c r="B739" s="13" t="str">
        <x:v>csq025</x:v>
      </x:c>
      <x:c r="C739" s="21" t="n">
        <x:v>21</x:v>
      </x:c>
      <x:c r="D739" s="20" t="str">
        <x:v>2</x:v>
      </x:c>
      <x:c r="E739" s="20" t="str"/>
      <x:c r="F739" s="20" t="str">
        <x:f>IF(E739="",D739,E739)</x:f>
        <x:v>2</x:v>
      </x:c>
      <x:c r="G739" s="13" t="str">
        <x:v>Leveraging Self-Paced Learning for Software Vulnerability Detection</x:v>
      </x:c>
      <x:c r="H739" s="13" t="n">
        <x:v>10</x:v>
      </x:c>
      <x:c r="I739" s="22" t="n">
        <x:v>0.01639344262295082</x:v>
      </x:c>
      <x:c r="J739" s="13" t="n">
        <x:v>1</x:v>
      </x:c>
      <x:c r="K739" s="19" t="str">
        <x:v>Which datasets and evaluation protocols are used for machine-learning-based source-code vulnerability detection, and which forms of data leakage can inflate reported performance?</x:v>
      </x:c>
      <x:c r="L739" s="19" t="str">
        <x:v>4.4 Evaluation Metrics
Following prior work [ 5, 10, 32], we employ five metrics to evaluate each approach: Accuracy
(𝐴𝐶𝐶), Precision (𝑃), Recall (𝑅), F1 (𝐹 1), and Matthews Correlation Coefficient (𝑀𝐶𝐶).𝑇𝑃 denotes
the number of vulnerable source code that are detected as vulnerable, 𝐹𝑃 denotes the number
of source code that are not vulnerable but are detected as vulnerable, 𝑇𝑁 denotes the number
of source code that are non-vulnerable and are detected as not vulnerable, and 𝐹𝑁 denotes the
number of vulnerable source code that are detected as non-vulnerable.
• Accuracy(𝐴𝑐𝑐= 𝑇𝑃+𝑇𝑁
𝑇𝑃+𝑇𝑁+𝐹𝑃+𝐹𝑁 ) measures the proportion of correctly classified source code
among all source code.
• Precision(𝑃= 𝑇𝑃
𝑇𝑃+𝐹𝑃 ) measures the proportion of correctly predicted vulnerable source
code among all source code predicted as vulnerable.
• Recall(𝑅= 𝑇𝑃</x:v>
      </x:c>
      <x:c r="M739" s="19" t="str">
        <x:v>该段包含可直接回答问题的方法、指标、比较或研究发现。</x:v>
      </x:c>
      <x:c r="N739" s="13" t="str">
        <x:v>http://arxiv.org/abs/2511.09212v1</x:v>
      </x:c>
    </x:row>
    <x:row r="740" ht="58" customHeight="1">
      <x:c r="A740" s="13" t="str">
        <x:v>csq025-c022</x:v>
      </x:c>
      <x:c r="B740" s="13" t="str">
        <x:v>csq025</x:v>
      </x:c>
      <x:c r="C740" s="21" t="n">
        <x:v>22</x:v>
      </x:c>
      <x:c r="D740" s="20" t="str">
        <x:v>2</x:v>
      </x:c>
      <x:c r="E740" s="20" t="str"/>
      <x:c r="F740" s="20" t="str">
        <x:f>IF(E740="",D740,E740)</x:f>
        <x:v>2</x:v>
      </x:c>
      <x:c r="G740" s="13" t="str">
        <x:v>Leveraging Self-Paced Learning for Software Vulnerability Detection</x:v>
      </x:c>
      <x:c r="H740" s="13" t="n">
        <x:v>10</x:v>
      </x:c>
      <x:c r="I740" s="22" t="n">
        <x:v>0.016129032258064516</x:v>
      </x:c>
      <x:c r="J740" s="13" t="n">
        <x:v>1</x:v>
      </x:c>
      <x:c r="K740" s="19" t="str">
        <x:v>Which datasets and evaluation protocols are used for machine-learning-based source-code vulnerability detection, and which forms of data leakage can inflate reported performance?</x:v>
      </x:c>
      <x:c r="L740" s="19" t="str">
        <x:v>code among all source code predicted as vulnerable.
• Recall(𝑅= 𝑇𝑃
𝑇𝑃+𝐹𝑁 ) measures the proportion of correctly predicted vulnerable source code
among all actual vulnerable source code.
• F1(𝐹 1 = 2×𝑃×𝑅
𝑃+𝑅 ) considers both accuracy and recall rate, reflecting the balance between
detecting vulnerabilities and avoiding false positives.
, Vol. 1, No. 1, Article . Publication date: November 2025.</x:v>
      </x:c>
      <x:c r="M740" s="19" t="str">
        <x:v>该段包含可直接回答问题的方法、指标、比较或研究发现。</x:v>
      </x:c>
      <x:c r="N740" s="13" t="str">
        <x:v>http://arxiv.org/abs/2511.09212v1</x:v>
      </x:c>
    </x:row>
    <x:row r="741" ht="58" customHeight="1">
      <x:c r="A741" s="13" t="str">
        <x:v>csq025-c023</x:v>
      </x:c>
      <x:c r="B741" s="13" t="str">
        <x:v>csq025</x:v>
      </x:c>
      <x:c r="C741" s="21" t="n">
        <x:v>23</x:v>
      </x:c>
      <x:c r="D741" s="20" t="str">
        <x:v>1</x:v>
      </x:c>
      <x:c r="E741" s="20" t="str"/>
      <x:c r="F741" s="20" t="str">
        <x:f>IF(E741="",D741,E741)</x:f>
        <x:v>1</x:v>
      </x:c>
      <x:c r="G741" s="13" t="str">
        <x:v>A Survey on Automated Software Vulnerability Detection Using Machine Learning and Deep Learning</x:v>
      </x:c>
      <x:c r="H741" s="13" t="n">
        <x:v>1</x:v>
      </x:c>
      <x:c r="I741" s="22" t="n">
        <x:v>0.015625</x:v>
      </x:c>
      <x:c r="J741" s="13" t="n">
        <x:v>1</x:v>
      </x:c>
      <x:c r="K741" s="19" t="str">
        <x:v>Which datasets and evaluation protocols are used for machine-learning-based source-code vulnerability detection, and which forms of data leakage can inflate reported performance?</x:v>
      </x:c>
      <x:c r="L741" s="19" t="str">
        <x:v>on the prediction errors, using optimization techniques such as gradient descent. Evaluation and
validation: Once the training is finished, the model’s performance is evaluated using a separate
test dataset. Various metrics such as accuracy, precision, recall, and F1 score are calculated to assess
the model’s effectiveness in detecting vulnerabilities. The model may also be validated against
real-world vulnerabilities to measure its practical utility.
Although many studies have utilized ML/DL to detect software vulnerabilities, there has not
been a comprehensive review to consolidate the various approaches and characteristics of these
techniques. Conducting such a systematic survey would be beneficial for practitioners and re-
searchers to gain a better understanding of the current state-of-the-art tools for vulnerability</x:v>
      </x:c>
      <x:c r="M741" s="19" t="str">
        <x:v>该段提供相关背景或侧面信息，但没有直接回答问题核心。</x:v>
      </x:c>
      <x:c r="N741" s="13" t="str">
        <x:v>http://arxiv.org/abs/2306.11673v1</x:v>
      </x:c>
    </x:row>
    <x:row r="742" ht="58" customHeight="1">
      <x:c r="A742" s="13" t="str">
        <x:v>csq025-c024</x:v>
      </x:c>
      <x:c r="B742" s="13" t="str">
        <x:v>csq025</x:v>
      </x:c>
      <x:c r="C742" s="21" t="n">
        <x:v>24</x:v>
      </x:c>
      <x:c r="D742" s="20" t="str">
        <x:v>2</x:v>
      </x:c>
      <x:c r="E742" s="20" t="str"/>
      <x:c r="F742" s="20" t="str">
        <x:f>IF(E742="",D742,E742)</x:f>
        <x:v>2</x:v>
      </x:c>
      <x:c r="G742" s="13" t="str">
        <x:v>VulBERTa: Simplified Source Code Pre-Training for Vulnerability Detection</x:v>
      </x:c>
      <x:c r="H742" s="13" t="n">
        <x:v>4</x:v>
      </x:c>
      <x:c r="I742" s="22" t="n">
        <x:v>0.015384615384615385</x:v>
      </x:c>
      <x:c r="J742" s="13" t="n">
        <x:v>1</x:v>
      </x:c>
      <x:c r="K742" s="19" t="str">
        <x:v>Which datasets and evaluation protocols are used for machine-learning-based source-code vulnerability detection, and which forms of data leakage can inflate reported performance?</x:v>
      </x:c>
      <x:c r="L742" s="19" t="str">
        <x:v>instead of the usual function-level source code.
5) Devign: The Devign dataset is a real-world software
vulnerability detection dataset initially introduced in [6]. This
dataset consists of function-level C/C++ source code from two
popular open-source software projects, QEMU and FFmpeg.
The labelling and veriﬁcation have been done manually by a
team of security researchers over a two-round process.
6) D2A: The D2A dataset is a real-world vulnerability
detection dataset curated and introduced by the IBM Research
team [26]. This dataset consists of several open-source soft-
ware projects like FFmpeg, httpd, Libav, LibTIFF, Nginx and
OpenSSL. It was created using a differential analysis technique
to label issues reported by static analysers.
V. S OFTWARE VULNERABILITY DETECTION
In this Section we describe how we pre-train the VulBERTa
model, build ﬁne-tuned VulBERTa-MLP and VulBERTa-CNN</x:v>
      </x:c>
      <x:c r="M742" s="19" t="str">
        <x:v>该段包含可直接回答问题的方法、指标、比较或研究发现。</x:v>
      </x:c>
      <x:c r="N742" s="13" t="str">
        <x:v>http://arxiv.org/abs/2205.12424v1</x:v>
      </x:c>
    </x:row>
    <x:row r="743" ht="58" customHeight="1">
      <x:c r="A743" s="13" t="str">
        <x:v>csq025-c025</x:v>
      </x:c>
      <x:c r="B743" s="13" t="str">
        <x:v>csq025</x:v>
      </x:c>
      <x:c r="C743" s="21" t="n">
        <x:v>25</x:v>
      </x:c>
      <x:c r="D743" s="20" t="str">
        <x:v>2</x:v>
      </x:c>
      <x:c r="E743" s="20" t="str"/>
      <x:c r="F743" s="20" t="str">
        <x:f>IF(E743="",D743,E743)</x:f>
        <x:v>2</x:v>
      </x:c>
      <x:c r="G743" s="13" t="str">
        <x:v>Leveraging Self-Paced Learning for Software Vulnerability Detection</x:v>
      </x:c>
      <x:c r="H743" s="13" t="n">
        <x:v>12</x:v>
      </x:c>
      <x:c r="I743" s="22" t="n">
        <x:v>0.015384615384615385</x:v>
      </x:c>
      <x:c r="J743" s="13" t="n">
        <x:v>1</x:v>
      </x:c>
      <x:c r="K743" s="19" t="str">
        <x:v>Which datasets and evaluation protocols are used for machine-learning-based source-code vulnerability detection, and which forms of data leakage can inflate reported performance?</x:v>
      </x:c>
      <x:c r="L743" s="19" t="str">
        <x:v>between vulnerable source code and non-vulnerable source code. Another representative phenom-
enon is that certain models (e.g., StarCoder2) achieved extremely high Recall (99.8%) on Devign but
at the cost of very low Precision, resulting in a very low𝑀𝐶𝐶 value. This further highlights the
necessity of balancing both Precision and Recall in vulnerability detection tasks.
Table 3. The Overall Performance of Nine Approaches
Approach BigVul Devign ReVeal
𝐴𝑐𝑐 𝑃 𝑅 𝑀𝐶𝐶 𝐹1𝐴𝑐𝑐 𝑃 𝑅 𝑀𝐶𝐶 𝐹1𝐴𝑐𝑐 𝑃 𝑅 𝑀𝐶𝐶 𝐹1
CodeT5 0.980 0.889 0.756 0.810 0.817 0.649 0.632 0.552 0.288 0.590 0.902 0.504 0.286 0.331 0.365
CodeBERT 0.978 0.886 0.709 0.781 0.788 0.618 0.693 0.292 0.232 0.4110.9050.569 0.147 0.255 0.234
UniXcoder 0.982 0.907 0.767 0.825 0.831 0.6600.6530.543 0.309 0.593 0.904 0.553 0.116 0.222 0.192
StarCoder2 0.953 0.889 0.035 0.171 0.067 0.457 0.4560.998-0.012 0.626 0.9020.6250.022 0.105 0.043</x:v>
      </x:c>
      <x:c r="M743" s="19" t="str">
        <x:v>该段包含可直接回答问题的方法、指标、比较或研究发现。</x:v>
      </x:c>
      <x:c r="N743" s="13" t="str">
        <x:v>http://arxiv.org/abs/2511.09212v1</x:v>
      </x:c>
    </x:row>
    <x:row r="744" ht="58" customHeight="1">
      <x:c r="A744" s="13" t="str">
        <x:v>csq025-c026</x:v>
      </x:c>
      <x:c r="B744" s="13" t="str">
        <x:v>csq025</x:v>
      </x:c>
      <x:c r="C744" s="21" t="n">
        <x:v>26</x:v>
      </x:c>
      <x:c r="D744" s="20" t="str">
        <x:v>2</x:v>
      </x:c>
      <x:c r="E744" s="20" t="str"/>
      <x:c r="F744" s="20" t="str">
        <x:f>IF(E744="",D744,E744)</x:f>
        <x:v>2</x:v>
      </x:c>
      <x:c r="G744" s="13" t="str">
        <x:v>A Survey on Automated Software Vulnerability Detection Using Machine Learning and Deep Learning</x:v>
      </x:c>
      <x:c r="H744" s="13" t="n">
        <x:v>15</x:v>
      </x:c>
      <x:c r="I744" s="22" t="n">
        <x:v>0.015151515151515152</x:v>
      </x:c>
      <x:c r="J744" s="13" t="n">
        <x:v>1</x:v>
      </x:c>
      <x:c r="K744" s="19" t="str">
        <x:v>Which datasets and evaluation protocols are used for machine-learning-based source-code vulnerability detection, and which forms of data leakage can inflate reported performance?</x:v>
      </x:c>
      <x:c r="L744" s="19" t="str">
        <x:v>1 Github 14 [24, 25, 28, 35, 45, 85, 94, 110, 113, 114, 118, 120, 154, 155]
2 Jira 2 [24, 155]
3 CVE 2 [24, 159]
4 Bugzilla 2 [24, 155]
6 Others 2 [60, 61]
- SUM 22 (17) -
can be used to train and test vulnerability detection models. This data can be particularly useful for
detecting new and emerging vulnerabilities that may not be covered by benchmark datasets. Jira,
CVE, and Bugzilla come after with 2 primary studies for each. Overall, there are 17 unique primary
studies that use collected sources of data for software vulnerability detection.
4.2.2 RQ2.2. What are the types of software vulnerability detection datasets used in prior studies?
When it comes to detecting software vulnerabilities, datasets can have varying data types, e.g.,
existing software vulnerability detection models can find vulnerabilities in source code or commits.</x:v>
      </x:c>
      <x:c r="M744" s="19" t="str">
        <x:v>该段包含可直接回答问题的方法、指标、比较或研究发现。</x:v>
      </x:c>
      <x:c r="N744" s="13" t="str">
        <x:v>http://arxiv.org/abs/2306.11673v1</x:v>
      </x:c>
    </x:row>
    <x:row r="745" ht="58" customHeight="1">
      <x:c r="A745" s="13" t="str">
        <x:v>csq025-c027</x:v>
      </x:c>
      <x:c r="B745" s="13" t="str">
        <x:v>csq025</x:v>
      </x:c>
      <x:c r="C745" s="21" t="n">
        <x:v>27</x:v>
      </x:c>
      <x:c r="D745" s="20" t="str">
        <x:v>1</x:v>
      </x:c>
      <x:c r="E745" s="20" t="str"/>
      <x:c r="F745" s="20" t="str">
        <x:f>IF(E745="",D745,E745)</x:f>
        <x:v>1</x:v>
      </x:c>
      <x:c r="G745" s="13" t="str">
        <x:v>Leveraging Self-Paced Learning for Software Vulnerability Detection</x:v>
      </x:c>
      <x:c r="H745" s="13" t="n">
        <x:v>11</x:v>
      </x:c>
      <x:c r="I745" s="22" t="n">
        <x:v>0.015151515151515152</x:v>
      </x:c>
      <x:c r="J745" s="13" t="n">
        <x:v>1</x:v>
      </x:c>
      <x:c r="K745" s="19" t="str">
        <x:v>Which datasets and evaluation protocols are used for machine-learning-based source-code vulnerability detection, and which forms of data leakage can inflate reported performance?</x:v>
      </x:c>
      <x:c r="L745" s="19" t="str">
        <x:v>NVIDIA GeForce RTX 4090 GPU and 1 vCPU Intel(R) Xeon(R) Gold 6459C.
5 Result and Analysis
This section reports on results and analysis to answer research questions.
5.1 RQ1: Overall Performance
Setup.This experiment is evaluated on the standard test sets of three commonly used vulnerability
detection datasets (BigVul, Devign, and ReVeal), comparing eight representative baselines with
SPLVD. Five evaluation metrics are adopted: Accuracy (𝐴𝑐𝑐), Precision (𝑃), Recall (𝑅), Matthews
Correlation Coefficient (𝑀𝐶𝐶), and F1 (𝐹 1), with F1 serving as the primary comparison metric.
We compare with eight baseline approaches, which can be broadly classified into three categories:
using pre-trained models (CodeT5, CodeBERT, and UniXcoder), using Lora [23] to fine-tune large
language models (StarCoder2), and the state-of-the-art approaches from related works (VulGPT,</x:v>
      </x:c>
      <x:c r="M745" s="19" t="str">
        <x:v>该段提供相关背景或侧面信息，但没有直接回答问题核心。</x:v>
      </x:c>
      <x:c r="N745" s="13" t="str">
        <x:v>http://arxiv.org/abs/2511.09212v1</x:v>
      </x:c>
    </x:row>
    <x:row r="746" ht="58" customHeight="1">
      <x:c r="A746" s="13" t="str">
        <x:v>csq025-c028</x:v>
      </x:c>
      <x:c r="B746" s="13" t="str">
        <x:v>csq025</x:v>
      </x:c>
      <x:c r="C746" s="21" t="n">
        <x:v>28</x:v>
      </x:c>
      <x:c r="D746" s="20" t="str">
        <x:v>2</x:v>
      </x:c>
      <x:c r="E746" s="20" t="str"/>
      <x:c r="F746" s="20" t="str">
        <x:f>IF(E746="",D746,E746)</x:f>
        <x:v>2</x:v>
      </x:c>
      <x:c r="G746" s="13" t="str">
        <x:v>Vulnerability Detection with Code Language Models: How Far Are We?</x:v>
      </x:c>
      <x:c r="H746" s="13" t="n">
        <x:v>5</x:v>
      </x:c>
      <x:c r="I746" s="22" t="n">
        <x:v>0.014925373134328358</x:v>
      </x:c>
      <x:c r="J746" s="13" t="n">
        <x:v>1</x:v>
      </x:c>
      <x:c r="K746" s="19" t="str">
        <x:v>Which datasets and evaluation protocols are used for machine-learning-based source-code vulnerability detection, and which forms of data leakage can inflate reported performance?</x:v>
      </x:c>
      <x:c r="L746" s="19" t="str">
        <x:v>Train 5,574 178,853 4,354 4,354
Dev 699 24,731 562 562
Test 695 25,216 564 564
IV. N EW EVALUATION GUIDELINES
As discussed in Section II-C, we need new methods to prop-
erly evaluate vulnerability detection models in deployment
settings. This section proposes new evaluation guidelines.
A. Temporal Splits
To minimize the data leakage issue and formulate a realistic
train-evaluate setup for vulnerability detection, we split the
train/validation/test set of PRIME VUL according to the commit
date of the samples. Concretely, we find the original commit
for each sample and collect the time of that commit, tying
it with the sample. Then, we sort the samples according to
the commit, where the oldest 80% will be the train set, 10%
in the middle will be the validation set, and the most recent
10% will be the test set. We also make sure that the samples</x:v>
      </x:c>
      <x:c r="M746" s="19" t="str">
        <x:v>该段包含可直接回答问题的方法、指标、比较或研究发现。</x:v>
      </x:c>
      <x:c r="N746" s="13" t="str">
        <x:v>http://arxiv.org/abs/2403.18624v2</x:v>
      </x:c>
    </x:row>
    <x:row r="747" ht="58" customHeight="1">
      <x:c r="A747" s="13" t="str">
        <x:v>csq025-c029</x:v>
      </x:c>
      <x:c r="B747" s="13" t="str">
        <x:v>csq025</x:v>
      </x:c>
      <x:c r="C747" s="21" t="n">
        <x:v>29</x:v>
      </x:c>
      <x:c r="D747" s="20" t="str">
        <x:v>2</x:v>
      </x:c>
      <x:c r="E747" s="20" t="str"/>
      <x:c r="F747" s="20" t="str">
        <x:f>IF(E747="",D747,E747)</x:f>
        <x:v>2</x:v>
      </x:c>
      <x:c r="G747" s="13" t="str">
        <x:v>A Survey on Automated Software Vulnerability Detection Using Machine Learning and Deep Learning</x:v>
      </x:c>
      <x:c r="H747" s="13" t="n">
        <x:v>14</x:v>
      </x:c>
      <x:c r="I747" s="22" t="n">
        <x:v>0.014705882352941176</x:v>
      </x:c>
      <x:c r="J747" s="13" t="n">
        <x:v>1</x:v>
      </x:c>
      <x:c r="K747" s="19" t="str">
        <x:v>Which datasets and evaluation protocols are used for machine-learning-based source-code vulnerability detection, and which forms of data leakage can inflate reported performance?</x:v>
      </x:c>
      <x:c r="L747" s="19" t="str">
        <x:v>A Survey on Automated Software Vulnerability Detection Using Machine Learning and Deep Learning 111:15
Benchmark
65.7%
Collected
25.4% Hybrid
9%
Fig. 3. The source of the datasets used in primary study papers.
The distribution of dataset sources in the primary studies is illustrated in figure 3. As we can
see, 65.7% of primary studies have utilized Benchmark datasets for software vulnerability detection.
The rationale behind this trend is that benchmark datasets are readily accessible to all researchers
and can facilitate the reproducibility of prior studies. Researchers often used Collected datasets
in evaluating the proposed ML or DL-based security vulnerability detection models. According
to our observation, 25.4% of studies build vulnerability detection models using collected datasets.
There are a couple of reasons, first of all, open-source repositories like GitHub contain a vast</x:v>
      </x:c>
      <x:c r="M747" s="19" t="str">
        <x:v>该段包含可直接回答问题的方法、指标、比较或研究发现。</x:v>
      </x:c>
      <x:c r="N747" s="13" t="str">
        <x:v>http://arxiv.org/abs/2306.11673v1</x:v>
      </x:c>
    </x:row>
    <x:row r="748" ht="58" customHeight="1">
      <x:c r="A748" s="13" t="str">
        <x:v>csq025-c030</x:v>
      </x:c>
      <x:c r="B748" s="13" t="str">
        <x:v>csq025</x:v>
      </x:c>
      <x:c r="C748" s="21" t="n">
        <x:v>30</x:v>
      </x:c>
      <x:c r="D748" s="20" t="str">
        <x:v>2</x:v>
      </x:c>
      <x:c r="E748" s="20" t="str"/>
      <x:c r="F748" s="20" t="str">
        <x:f>IF(E748="",D748,E748)</x:f>
        <x:v>2</x:v>
      </x:c>
      <x:c r="G748" s="13" t="str">
        <x:v>VulBERTa: Simplified Source Code Pre-Training for Vulnerability Detection</x:v>
      </x:c>
      <x:c r="H748" s="13" t="n">
        <x:v>4</x:v>
      </x:c>
      <x:c r="I748" s="22" t="n">
        <x:v>0.014705882352941176</x:v>
      </x:c>
      <x:c r="J748" s="13" t="n">
        <x:v>1</x:v>
      </x:c>
      <x:c r="K748" s="19" t="str">
        <x:v>Which datasets and evaluation protocols are used for machine-learning-based source-code vulnerability detection, and which forms of data leakage can inflate reported performance?</x:v>
      </x:c>
      <x:c r="L748" s="19" t="str">
        <x:v>work for each dataset. This way, we can perform a fairer
comparison. The metrics are true negatives (TN), false neg-
atives (FN), true positives (TP), false positives (FP), accuracy,
precision, recall, F1-score, Receiver Operating Characteristic
area under the curve (ROC-AUC), precision-recall AUC (PR-
AUC), and Matthews Correlation Coefﬁcient (MCC).
3) Baselines methods: In the performance evaluation, we
compare VulBERTa with two baselines techniques on top of
existing approaches for each dataset. These two baselines are
widely used to analyse sequence-based input for vulnerability
detection and have been used for example in [6] and [17].
(i) Baseline-BiLSTM: This technique is a variation of
LSTM, which implements a two layers Bi-directional LSTM
[36] and several fully-connected layers to learn from sequences
of source code for vulnerability detection. The bi-directional</x:v>
      </x:c>
      <x:c r="M748" s="19" t="str">
        <x:v>该段包含可直接回答问题的方法、指标、比较或研究发现。</x:v>
      </x:c>
      <x:c r="N748" s="13" t="str">
        <x:v>http://arxiv.org/abs/2205.12424v1</x:v>
      </x:c>
    </x:row>
    <x:row r="749" ht="58" customHeight="1">
      <x:c r="A749" s="13" t="str">
        <x:v>csq026-c001</x:v>
      </x:c>
      <x:c r="B749" s="13" t="str">
        <x:v>csq026</x:v>
      </x:c>
      <x:c r="C749" s="21" t="n">
        <x:v>1</x:v>
      </x:c>
      <x:c r="D749" s="20" t="str">
        <x:v>1</x:v>
      </x:c>
      <x:c r="E749" s="20" t="str"/>
      <x:c r="F749" s="20" t="str">
        <x:f>IF(E749="",D749,E749)</x:f>
        <x:v>1</x:v>
      </x:c>
      <x:c r="G749" s="13" t="str">
        <x:v>One Tool Is Enough: Reinforcement Learning for Repository-Level LLM Agents</x:v>
      </x:c>
      <x:c r="H749" s="13" t="n">
        <x:v>0</x:v>
      </x:c>
      <x:c r="I749" s="22" t="n">
        <x:v>0.07859845462636922</x:v>
      </x:c>
      <x:c r="J749" s="13" t="n">
        <x:v>5</x:v>
      </x:c>
      <x:c r="K749" s="19" t="str">
        <x:v>What limitations have been reported for large-language-model agents on repository-level software engineering tasks, especially in localization, long-context reasoning, testing, and reproducibility?</x:v>
      </x:c>
      <x:c r="L749" s="19" t="str">
        <x:v>has become a common paradigm for expanding their capa-
bilities (Shen, 2024; Yuan et al., 2024; Lu et al., 2024). In
the domain of software engineering (SWE), although LLM
agents can effectively handle simple programming tasks
(Hui et al., 2024; Guo et al., 2024a), their ability to operate
on large-scale software repositories remains limited. SWE-
bench (Jimenez et al., 2023) currently serves as the most
comprehensive benchmark for evaluating whether LLMs
can resolve real-world GitHub issues. All pretrained LLMs
cannot process the whole repository directly due to context
limits (Yang et al., 2024b). While SWE-Agent (Jimenez
et al., 2023) provides moderate gains, it remains far from
enabling robust repository-level reasoning.
Most existing agents rely on test-time scaling applied di-
rectly to pretrained LLMs (Liu et al., 2024c; Chen et al.,</x:v>
      </x:c>
      <x:c r="M749" s="19" t="str">
        <x:v>该段提供相关背景或侧面信息，但没有直接回答问题核心。</x:v>
      </x:c>
      <x:c r="N749" s="13" t="str">
        <x:v>http://arxiv.org/abs/2512.20957v6</x:v>
      </x:c>
    </x:row>
    <x:row r="750" ht="58" customHeight="1">
      <x:c r="A750" s="13" t="str">
        <x:v>csq026-c002</x:v>
      </x:c>
      <x:c r="B750" s="13" t="str">
        <x:v>csq026</x:v>
      </x:c>
      <x:c r="C750" s="21" t="n">
        <x:v>2</x:v>
      </x:c>
      <x:c r="D750" s="20" t="str">
        <x:v>1</x:v>
      </x:c>
      <x:c r="E750" s="20" t="str"/>
      <x:c r="F750" s="20" t="str">
        <x:f>IF(E750="",D750,E750)</x:f>
        <x:v>1</x:v>
      </x:c>
      <x:c r="G750" s="13" t="str">
        <x:v>RepoAudit: An Autonomous LLM-Agent for Repository-Level Code Auditing</x:v>
      </x:c>
      <x:c r="H750" s="13" t="n">
        <x:v>0</x:v>
      </x:c>
      <x:c r="I750" s="22" t="n">
        <x:v>0.0741773679484706</x:v>
      </x:c>
      <x:c r="J750" s="13" t="n">
        <x:v>5</x:v>
      </x:c>
      <x:c r="K750" s="19" t="str">
        <x:v>What limitations have been reported for large-language-model agents on repository-level software engineering tasks, especially in localization, long-context reasoning, testing, and reproducibility?</x:v>
      </x:c>
      <x:c r="L750" s="19" t="str">
        <x:v>arXiv:2501.18160v3  [cs.SE]  29 May 2025
REPOAUDIT : An Autonomous LLM-Agent for Repository-Level Code Auditing
Jinyao Guo∗ 1 Chengpeng Wang∗ 1 Xiangzhe Xu 1 Zian Su 1 Xiangyu Zhang 1
Abstract
Code auditing is the process of reviewing code
with the aim of identifying bugs. Large Language
Models (LLMs) have demonstrated promising ca-
pabilities for this task without requiring compi-
lation, while also supporting user-friendly cus-
tomization. However, auditing a code repository
with LLMs poses significant challenges: limited
context windows and hallucinations can degrade
the quality of bug reports, and analyzing large-
scale repositories incurs substantial time and to-
ken costs, hindering efficiency and scalability.
This work introduces an LLM-based agent, RE-
POAUDIT , designed to perform autonomous
repository-level code auditing. Equipped with
agent memory, REPOAUDIT explores the code-</x:v>
      </x:c>
      <x:c r="M750" s="19" t="str">
        <x:v>该段提供相关背景或侧面信息，但没有直接回答问题核心。</x:v>
      </x:c>
      <x:c r="N750" s="13" t="str">
        <x:v>http://arxiv.org/abs/2501.18160v3</x:v>
      </x:c>
    </x:row>
    <x:row r="751" ht="58" customHeight="1">
      <x:c r="A751" s="13" t="str">
        <x:v>csq026-c003</x:v>
      </x:c>
      <x:c r="B751" s="13" t="str">
        <x:v>csq026</x:v>
      </x:c>
      <x:c r="C751" s="21" t="n">
        <x:v>3</x:v>
      </x:c>
      <x:c r="D751" s="20" t="str">
        <x:v>2</x:v>
      </x:c>
      <x:c r="E751" s="20" t="str"/>
      <x:c r="F751" s="20" t="str">
        <x:f>IF(E751="",D751,E751)</x:f>
        <x:v>2</x:v>
      </x:c>
      <x:c r="G751" s="13" t="str">
        <x:v>SWE-Synth: Synthesizing Verifiable Bug-Fix Data to Enable Large Language Models in Resolving Real-World Bugs</x:v>
      </x:c>
      <x:c r="H751" s="13" t="n">
        <x:v>0</x:v>
      </x:c>
      <x:c r="I751" s="22" t="n">
        <x:v>0.06478893337698204</x:v>
      </x:c>
      <x:c r="J751" s="13" t="n">
        <x:v>4</x:v>
      </x:c>
      <x:c r="K751" s="19" t="str">
        <x:v>What limitations have been reported for large-language-model agents on repository-level software engineering tasks, especially in localization, long-context reasoning, testing, and reproducibility?</x:v>
      </x:c>
      <x:c r="L751" s="19" t="str">
        <x:v>1. Introduction
Large language models (LLMs) have made significant strides in automating software engineering
(SE) tasks, from code generation (Bui et al., 2023; Chen et al., 2021; Li et al., 2022b; Manh et al.,
2023; To et al., 2023; Wang et al., 2023; Wei et al., 2023; Zhuo et al., 2024) to bug fixing (Jimenez
et al., 2023; Xia et al., 2024a) and test synthesis (Chen et al., 2022; He et al., 2025; Li et al., 2024).
Recent efforts have explored the development of LLM-based agents that can autonomously navigate
repositories, localize bugs, generate patches, and verify correctness (Jain et al., 2024; Liu et al., 2024a;
Nguyen et al., 2024a; Phan et al., 2024; Yang et al., 2024b). These agent-based approaches promise
to scale software engineering workflows, but they require training data that is both high-quality and
task-aligned.</x:v>
      </x:c>
      <x:c r="M751" s="19" t="str">
        <x:v>该段包含可直接回答问题的方法、指标、比较或研究发现。</x:v>
      </x:c>
      <x:c r="N751" s="13" t="str">
        <x:v>http://arxiv.org/abs/2504.14757v2</x:v>
      </x:c>
    </x:row>
    <x:row r="752" ht="58" customHeight="1">
      <x:c r="A752" s="13" t="str">
        <x:v>csq026-c004</x:v>
      </x:c>
      <x:c r="B752" s="13" t="str">
        <x:v>csq026</x:v>
      </x:c>
      <x:c r="C752" s="21" t="n">
        <x:v>4</x:v>
      </x:c>
      <x:c r="D752" s="20" t="str">
        <x:v>2</x:v>
      </x:c>
      <x:c r="E752" s="20" t="str"/>
      <x:c r="F752" s="20" t="str">
        <x:f>IF(E752="",D752,E752)</x:f>
        <x:v>2</x:v>
      </x:c>
      <x:c r="G752" s="13" t="str">
        <x:v>PAGENT: Learning to Patch Software Engineering Agents</x:v>
      </x:c>
      <x:c r="H752" s="13" t="n">
        <x:v>0</x:v>
      </x:c>
      <x:c r="I752" s="22" t="n">
        <x:v>0.047379032258064516</x:v>
      </x:c>
      <x:c r="J752" s="13" t="n">
        <x:v>3</x:v>
      </x:c>
      <x:c r="K752" s="19" t="str">
        <x:v>What limitations have been reported for large-language-model agents on repository-level software engineering tasks, especially in localization, long-context reasoning, testing, and reproducibility?</x:v>
      </x:c>
      <x:c r="L752" s="19" t="str">
        <x:v>from the top three agents in our study.PAGENT could fix 29 of the
127 failed patches.
KEYWORDS
Automatic Software Engineering, Issue Resolution, Static Analysis,
Large Language Models
1 INTRODUCTION
Software issue resolution requires the creation of a correct patch
[3, 33]. As software complexity grows, the increasing volume and
diversity of reported issues challenge traditional manual resolution,
which is time-intensive and error-prone. This has driven inter-
est in LLM-powered agents for automating issue resolution [ 5–
7, 9, 10, 15, 29, 34]. Despite their potential, existing agent-based
methods often fail to resolve a significant portion of issues effec-
tively [7, 11]. However, little is known about the underlying reasons
for these failures. What are the root causes of unresolved issues of
agents? In this paper, we conduct an empirical study to investi-</x:v>
      </x:c>
      <x:c r="M752" s="19" t="str">
        <x:v>该段包含可直接回答问题的方法、指标、比较或研究发现。</x:v>
      </x:c>
      <x:c r="N752" s="13" t="str">
        <x:v>http://arxiv.org/abs/2506.17772v1</x:v>
      </x:c>
    </x:row>
    <x:row r="753" ht="58" customHeight="1">
      <x:c r="A753" s="13" t="str">
        <x:v>csq026-c005</x:v>
      </x:c>
      <x:c r="B753" s="13" t="str">
        <x:v>csq026</x:v>
      </x:c>
      <x:c r="C753" s="21" t="n">
        <x:v>5</x:v>
      </x:c>
      <x:c r="D753" s="20" t="str">
        <x:v>2</x:v>
      </x:c>
      <x:c r="E753" s="20" t="str"/>
      <x:c r="F753" s="20" t="str">
        <x:f>IF(E753="",D753,E753)</x:f>
        <x:v>2</x:v>
      </x:c>
      <x:c r="G753" s="13" t="str">
        <x:v>PAGENT: Learning to Patch Software Engineering Agents</x:v>
      </x:c>
      <x:c r="H753" s="13" t="n">
        <x:v>0</x:v>
      </x:c>
      <x:c r="I753" s="22" t="n">
        <x:v>0.045928030303030304</x:v>
      </x:c>
      <x:c r="J753" s="13" t="n">
        <x:v>3</x:v>
      </x:c>
      <x:c r="K753" s="19" t="str">
        <x:v>What limitations have been reported for large-language-model agents on repository-level software engineering tasks, especially in localization, long-context reasoning, testing, and reproducibility?</x:v>
      </x:c>
      <x:c r="L753" s="19" t="str">
        <x:v>agents? In this paper, we conduct an empirical study to investi-
gate the underlying reasons behind failed patches generated by
LLM-based agents for issue resolution. We seek to identify and un-
derstand the root causes of these failures, provide critical insights
into the shortcomings of existing approaches, and inform the pos-
sible directions to enhance LLM-based agents for issue resolution.
Our study is based on the SWE-Bench Lite dataset [14], which
provides a comprehensive benchmark for evaluating agent-based
issue resolution approaches due to its diverse projects, issue types,
and real-world complexity. We systematically collected and an-
alyzed data from seven state-of-the-art models available on the
SWE-bench Lite leaderboard and the Moatless EvalTool platform
[24] including AutoCodeRover(GPT-4o) [34], Agentless (GPT-4o)</x:v>
      </x:c>
      <x:c r="M753" s="19" t="str">
        <x:v>该段包含可直接回答问题的方法、指标、比较或研究发现。</x:v>
      </x:c>
      <x:c r="N753" s="13" t="str">
        <x:v>http://arxiv.org/abs/2506.17772v1</x:v>
      </x:c>
    </x:row>
    <x:row r="754" ht="58" customHeight="1">
      <x:c r="A754" s="13" t="str">
        <x:v>csq026-c006</x:v>
      </x:c>
      <x:c r="B754" s="13" t="str">
        <x:v>csq026</x:v>
      </x:c>
      <x:c r="C754" s="21" t="n">
        <x:v>6</x:v>
      </x:c>
      <x:c r="D754" s="20" t="str">
        <x:v>2</x:v>
      </x:c>
      <x:c r="E754" s="20" t="str"/>
      <x:c r="F754" s="20" t="str">
        <x:f>IF(E754="",D754,E754)</x:f>
        <x:v>2</x:v>
      </x:c>
      <x:c r="G754" s="13" t="str">
        <x:v>ML-Bench: Evaluating Large Language Models and Agents for Machine Learning Tasks on Repository-Level Code</x:v>
      </x:c>
      <x:c r="H754" s="13" t="n">
        <x:v>1</x:v>
      </x:c>
      <x:c r="I754" s="22" t="n">
        <x:v>0.045084103293058515</x:v>
      </x:c>
      <x:c r="J754" s="13" t="n">
        <x:v>3</x:v>
      </x:c>
      <x:c r="K754" s="19" t="str">
        <x:v>What limitations have been reported for large-language-model agents on repository-level software engineering tasks, especially in localization, long-context reasoning, testing, and reproducibility?</x:v>
      </x:c>
      <x:c r="L754" s="19" t="str">
        <x:v>1 Introduction
Large Language Models (LLMs) like GPT-4 have demonstrated remarkable prowess, reaffirming their
state-of-the-art status on function-level code generation within widely recognized benchmarks such
as HumanEval, MBPP, and APPS [Austin et al., 2021, Chen et al., 2021, Hendrycks et al., 2021b, Li
et al., 2022]. Nevertheless, their capability wanes at the repository scale, which poses the multifaceted
challenge of processing extensive contexts and navigating the intricate web of file interdependencies.
This reveals the first gap in benchmarking - the absence of thorough assessments to test LLMs’
abilities in complex repository-level deployment tasks, such as interacting with functions in different
files. Moreover, the emergence of recent AI agents capable of executing and iteratively refining code</x:v>
      </x:c>
      <x:c r="M754" s="19" t="str">
        <x:v>该段包含可直接回答问题的方法、指标、比较或研究发现。</x:v>
      </x:c>
      <x:c r="N754" s="13" t="str">
        <x:v>http://arxiv.org/abs/2311.09835v5</x:v>
      </x:c>
    </x:row>
    <x:row r="755" ht="58" customHeight="1">
      <x:c r="A755" s="13" t="str">
        <x:v>csq026-c007</x:v>
      </x:c>
      <x:c r="B755" s="13" t="str">
        <x:v>csq026</x:v>
      </x:c>
      <x:c r="C755" s="21" t="n">
        <x:v>7</x:v>
      </x:c>
      <x:c r="D755" s="20" t="str">
        <x:v>2</x:v>
      </x:c>
      <x:c r="E755" s="20" t="str"/>
      <x:c r="F755" s="20" t="str">
        <x:f>IF(E755="",D755,E755)</x:f>
        <x:v>2</x:v>
      </x:c>
      <x:c r="G755" s="13" t="str">
        <x:v>PAGENT: Learning to Patch Software Engineering Agents</x:v>
      </x:c>
      <x:c r="H755" s="13" t="n">
        <x:v>0</x:v>
      </x:c>
      <x:c r="I755" s="22" t="n">
        <x:v>0.04437621202327084</x:v>
      </x:c>
      <x:c r="J755" s="13" t="n">
        <x:v>3</x:v>
      </x:c>
      <x:c r="K755" s="19" t="str">
        <x:v>What limitations have been reported for large-language-model agents on repository-level software engineering tasks, especially in localization, long-context reasoning, testing, and reproducibility?</x:v>
      </x:c>
      <x:c r="L755" s="19" t="str">
        <x:v>arXiv:2506.17772v1  [cs.SE]  21 Jun 2025
PAGENT: Learning to Patch Software Engineering Agents
Haoran Xue
hrx00@yorku.ca
York University
North York, Ontario, Canada
Gias Uddin
guddin@yorku.ca
York University
North York, Ontario, Canada
Song Wang
wangsong@yorku.ca
York University
North York, Ontario, Canada
ABSTRACT
LLM Agents produce patches automatically to resolve an issue.
However, they can generate inaccurate patches. Little is known
about the root causes behind those failed patches or how those
could be fixed. In this paper, we report an empirical study of the
failed patches generated by seven top LLM code agents. We col-
lected 114 issues from the SWE-bench Lite dataset that remained
unresolved across the agents. The seven agents produced a total of
769 failed patches for those issues, which we checked with a com-
bination of GPT-4o and manual analysis. We present a taxonomy</x:v>
      </x:c>
      <x:c r="M755" s="19" t="str">
        <x:v>该段包含可直接回答问题的方法、指标、比较或研究发现。</x:v>
      </x:c>
      <x:c r="N755" s="13" t="str">
        <x:v>http://arxiv.org/abs/2506.17772v1</x:v>
      </x:c>
    </x:row>
    <x:row r="756" ht="58" customHeight="1">
      <x:c r="A756" s="13" t="str">
        <x:v>csq026-c008</x:v>
      </x:c>
      <x:c r="B756" s="13" t="str">
        <x:v>csq026</x:v>
      </x:c>
      <x:c r="C756" s="21" t="n">
        <x:v>8</x:v>
      </x:c>
      <x:c r="D756" s="20" t="str">
        <x:v>2</x:v>
      </x:c>
      <x:c r="E756" s="20" t="str"/>
      <x:c r="F756" s="20" t="str">
        <x:f>IF(E756="",D756,E756)</x:f>
        <x:v>2</x:v>
      </x:c>
      <x:c r="G756" s="13" t="str">
        <x:v>SyncMind: Measuring Agent Out-of-Sync Recovery in Collaborative Software Engineering</x:v>
      </x:c>
      <x:c r="H756" s="13" t="n">
        <x:v>0</x:v>
      </x:c>
      <x:c r="I756" s="22" t="n">
        <x:v>0.04413529939476644</x:v>
      </x:c>
      <x:c r="J756" s="13" t="n">
        <x:v>3</x:v>
      </x:c>
      <x:c r="K756" s="19" t="str">
        <x:v>What limitations have been reported for large-language-model agents on repository-level software engineering tasks, especially in localization, long-context reasoning, testing, and reproducibility?</x:v>
      </x:c>
      <x:c r="L756" s="19" t="str">
        <x:v>language model (LLM) agents in collabora-
tive software engineering (CSE). Based on
SyncMind, we create SyncBench, a bench-
mark featuring 24,332 instances of agent out-
of-sync scenarios in real-world CSE derived
from 21 popular GitHub repositories with ex-
ecutable verification tests. Experiments on
SyncBench uncover critical insights into exist-
ing LLM agents’ capabilities and limitations.
Besides substantial performance gaps among
agents (from Llama-3.1 agents ≤ 3.33% to
Claude-3.5-Sonnet ≥ 28.18%), their consis-
tently low collaboration willingness ( ≤ 4.86%)
suggests fundamental limitations of existing
LLM in CSE. However, when collaboration oc-
curs, it positively correlates with out-of-sync
recovery success. Minimal performance dif-
ferences in agents’ resource-aware out-of-sync
recoveries further reveal their significant lack
1University of Illinois Urbana-Champaign 2All Hands</x:v>
      </x:c>
      <x:c r="M756" s="19" t="str">
        <x:v>该段包含可直接回答问题的方法、指标、比较或研究发现。</x:v>
      </x:c>
      <x:c r="N756" s="13" t="str">
        <x:v>http://arxiv.org/abs/2502.06994v2</x:v>
      </x:c>
    </x:row>
    <x:row r="757" ht="58" customHeight="1">
      <x:c r="A757" s="13" t="str">
        <x:v>csq026-c009</x:v>
      </x:c>
      <x:c r="B757" s="13" t="str">
        <x:v>csq026</x:v>
      </x:c>
      <x:c r="C757" s="21" t="n">
        <x:v>9</x:v>
      </x:c>
      <x:c r="D757" s="20" t="str">
        <x:v>2</x:v>
      </x:c>
      <x:c r="E757" s="20" t="str"/>
      <x:c r="F757" s="20" t="str">
        <x:f>IF(E757="",D757,E757)</x:f>
        <x:v>2</x:v>
      </x:c>
      <x:c r="G757" s="13" t="str">
        <x:v>AInsteinBench: Benchmarking Coding Agents on Scientific Repositories</x:v>
      </x:c>
      <x:c r="H757" s="13" t="n">
        <x:v>7</x:v>
      </x:c>
      <x:c r="I757" s="22" t="n">
        <x:v>0.04111153406928055</x:v>
      </x:c>
      <x:c r="J757" s="13" t="n">
        <x:v>3</x:v>
      </x:c>
      <x:c r="K757" s="19" t="str">
        <x:v>What limitations have been reported for large-language-model agents on repository-level software engineering tasks, especially in localization, long-context reasoning, testing, and reproducibility?</x:v>
      </x:c>
      <x:c r="L757" s="19" t="str">
        <x:v>command-line interface. This setup enables the agent to inspect files, modify code, install packages, and
run tests in a reproducible, sandboxed environment. The agent follows a plan–act loop: first, it gathers
information (e.g., searching the codebase, inspecting test failures), then proposes concrete edits. After each
edit, the agent invokes custom reproduction scripts, analyzes failures, and iteratively refines its patch, ensuring
it produces changes that robustly pass the repository’s tests.
Models.We evaluate a diverse set of state-of-the-art large language models, spanning both proprietary and
open-source models. Specifically, we include GPT-4o, GPT-5.1, GPT-5-high, Claude 4.5 Sonnet, Claude
4.5 Opus, Grok-4, Gemini 3 Pro, Gemini 2.5 Pro, and Doubao Seed 1.8. We additionally report results for
open-source models Kimi K2, GLM 4.6, and DeepSeek V3.</x:v>
      </x:c>
      <x:c r="M757" s="19" t="str">
        <x:v>该段包含可直接回答问题的方法、指标、比较或研究发现。</x:v>
      </x:c>
      <x:c r="N757" s="13" t="str">
        <x:v>http://arxiv.org/abs/2512.21373v1</x:v>
      </x:c>
    </x:row>
    <x:row r="758" ht="58" customHeight="1">
      <x:c r="A758" s="13" t="str">
        <x:v>csq026-c010</x:v>
      </x:c>
      <x:c r="B758" s="13" t="str">
        <x:v>csq026</x:v>
      </x:c>
      <x:c r="C758" s="21" t="n">
        <x:v>10</x:v>
      </x:c>
      <x:c r="D758" s="20" t="str">
        <x:v>2</x:v>
      </x:c>
      <x:c r="E758" s="20" t="str"/>
      <x:c r="F758" s="20" t="str">
        <x:f>IF(E758="",D758,E758)</x:f>
        <x:v>2</x:v>
      </x:c>
      <x:c r="G758" s="13" t="str">
        <x:v>ML-Bench: Evaluating Large Language Models and Agents for Machine Learning Tasks on Repository-Level Code</x:v>
      </x:c>
      <x:c r="H758" s="13" t="n">
        <x:v>0</x:v>
      </x:c>
      <x:c r="I758" s="22" t="n">
        <x:v>0.03128054740957967</x:v>
      </x:c>
      <x:c r="J758" s="13" t="n">
        <x:v>2</x:v>
      </x:c>
      <x:c r="K758" s="19" t="str">
        <x:v>What limitations have been reported for large-language-model agents on repository-level software engineering tasks, especially in localization, long-context reasoning, testing, and reproducibility?</x:v>
      </x:c>
      <x:c r="L758" s="19" t="str">
        <x:v>ML-B ENCH : Evaluating Large Language
Models and Agents for Machine Learning Tasks on
Repository-Level Code
Xiangru Tang∗♠ Yuliang Liu∗ ∗♣Zefan Cai∗♡ Yanjun Shao∗♠ Junjie Lu♣ Yichi Zhang♡
Zexuan Deng♣ Helan Hu♡ Kaikai An♡ Ruijun Huang Shuzheng Si ♡ Sheng Chen♣
Haozhe Zhao♡ Liang Chen♡ Yan Wang Tianyu Liu ♡ Zhiwei Jiang♣ Baobao Chang♡
Yin Fang Yujia Qin Wangchunshu Zhou Yilun Zhao ♠ Arman Cohan♠ Mark Gerstein♠
♠ Yale University ♣ Nanjing University ♡ Peking University
xiangru.tang@yale.edu, pi@gersteinlab.org
Abstract
Despite Large Language Models (LLMs) like GPT-4 achieving impressive results
in function-level code generation, they struggle with repository-scale code under-
standing (e.g., coming up with the right arguments for calling routines), requiring
a deeper comprehension of complex file interactions. Also, recently, people have</x:v>
      </x:c>
      <x:c r="M758" s="19" t="str">
        <x:v>该段包含可直接回答问题的方法、指标、比较或研究发现。</x:v>
      </x:c>
      <x:c r="N758" s="13" t="str">
        <x:v>http://arxiv.org/abs/2311.09835v5</x:v>
      </x:c>
    </x:row>
    <x:row r="759" ht="58" customHeight="1">
      <x:c r="A759" s="13" t="str">
        <x:v>csq026-c011</x:v>
      </x:c>
      <x:c r="B759" s="13" t="str">
        <x:v>csq026</x:v>
      </x:c>
      <x:c r="C759" s="21" t="n">
        <x:v>11</x:v>
      </x:c>
      <x:c r="D759" s="20" t="str">
        <x:v>2</x:v>
      </x:c>
      <x:c r="E759" s="20" t="str"/>
      <x:c r="F759" s="20" t="str">
        <x:f>IF(E759="",D759,E759)</x:f>
        <x:v>2</x:v>
      </x:c>
      <x:c r="G759" s="13" t="str">
        <x:v>One Tool Is Enough: Reinforcement Learning for Repository-Level LLM Agents</x:v>
      </x:c>
      <x:c r="H759" s="13" t="n">
        <x:v>0</x:v>
      </x:c>
      <x:c r="I759" s="22" t="n">
        <x:v>0.030090497737556562</x:v>
      </x:c>
      <x:c r="J759" s="13" t="n">
        <x:v>2</x:v>
      </x:c>
      <x:c r="K759" s="19" t="str">
        <x:v>What limitations have been reported for large-language-model agents on repository-level software engineering tasks, especially in localization, long-context reasoning, testing, and reproducibility?</x:v>
      </x:c>
      <x:c r="L759" s="19" t="str">
        <x:v>Most existing agents rely on test-time scaling applied di-
rectly to pretrained LLMs (Liu et al., 2024c; Chen et al.,
2025c; Schmidgall et al., 2025). In SWE tasks, tools are
essential rather than optional: real-world repositories are far
larger than the context window of current LLMs, making it
impossible to process an entire codebase in a single forward
pass. Agents must therefore iteratively invoke tools to re-
trieve partial information from the repository and interleave
natural-language reasoning with tool calls.
Mainstream LLM agents (Chen et al., 2025c; Liu et al.,
2025b; Xiang et al., 2025; Wang et al., 2023; Chen et al.,
2024) are rarely exposed to such agentic interaction patterns
during pretraining and typically acquire tool usage only
through few-shot prompting, which is insufficient for learn-
ing complex multi-step tool-chaining behaviors. Moreover,</x:v>
      </x:c>
      <x:c r="M759" s="19" t="str">
        <x:v>该段包含可直接回答问题的方法、指标、比较或研究发现。</x:v>
      </x:c>
      <x:c r="N759" s="13" t="str">
        <x:v>http://arxiv.org/abs/2512.20957v6</x:v>
      </x:c>
    </x:row>
    <x:row r="760" ht="58" customHeight="1">
      <x:c r="A760" s="13" t="str">
        <x:v>csq026-c012</x:v>
      </x:c>
      <x:c r="B760" s="13" t="str">
        <x:v>csq026</x:v>
      </x:c>
      <x:c r="C760" s="21" t="n">
        <x:v>12</x:v>
      </x:c>
      <x:c r="D760" s="20" t="str">
        <x:v>0</x:v>
      </x:c>
      <x:c r="E760" s="20" t="str"/>
      <x:c r="F760" s="20" t="str">
        <x:f>IF(E760="",D760,E760)</x:f>
        <x:v>0</x:v>
      </x:c>
      <x:c r="G760" s="13" t="str">
        <x:v>Unified Software Engineering Agent as AI Software Engineer</x:v>
      </x:c>
      <x:c r="H760" s="13" t="n">
        <x:v>11</x:v>
      </x:c>
      <x:c r="I760" s="22" t="n">
        <x:v>0.029957522915269395</x:v>
      </x:c>
      <x:c r="J760" s="13" t="n">
        <x:v>2</x:v>
      </x:c>
      <x:c r="K760" s="19" t="str">
        <x:v>What limitations have been reported for large-language-model agents on repository-level software engineering tasks, especially in localization, long-context reasoning, testing, and reproducibility?</x:v>
      </x:c>
      <x:c r="L760" s="19" t="str">
        <x:v>arXiv:2108.07732(2021).
[7] Islem Bouzenia, Premkumar Devanbu, and Michael Pradel. 2024. Repairagent: An
autonomous, llm-based agent for program repair.arXiv preprint arXiv:2403.17134
(2024).
[8] Islem Bouzenia and Michael Pradel. 2024. You Name It, I Run It: An LLM Agent
to Execute Tests of Arbitrary Projects.arXiv preprint arXiv:2412.10133(2024).
[9] Bradley Brown, Jordan Juravsky, Ryan Ehrlich, Ronald Clark, Quoc V Le, Christo-
pher Ré, and Azalia Mirhoseini. 2024. Large language monkeys: Scaling inference
compute with repeated sampling.arXiv preprint arXiv:2407.21787(2024).
[10] Dong Chen, Shaoxin Lin, Muhan Zeng, Daoguang Zan, Jian-Gang Wang, Anton
Cheshkov, Jun Sun, Hao Yu, Guoliang Dong, Artem Aliev, et al. 2024. CodeR: Issue
Resolving with Multi-Agent and Task Graphs.arXiv preprint arXiv:2406.01304
(2024).
[11] Mark Chen, Jerry Tworek, Heewoo Jun, Qiming Yuan, Henrique Ponde de</x:v>
      </x:c>
      <x:c r="M760" s="19" t="str">
        <x:v>该段为无关内容、泛泛提及或参考文献片段，不能作为回答证据。</x:v>
      </x:c>
      <x:c r="N760" s="13" t="str">
        <x:v>http://arxiv.org/abs/2506.14683v2</x:v>
      </x:c>
    </x:row>
    <x:row r="761" ht="58" customHeight="1">
      <x:c r="A761" s="13" t="str">
        <x:v>csq026-c013</x:v>
      </x:c>
      <x:c r="B761" s="13" t="str">
        <x:v>csq026</x:v>
      </x:c>
      <x:c r="C761" s="21" t="n">
        <x:v>13</x:v>
      </x:c>
      <x:c r="D761" s="20" t="str">
        <x:v>2</x:v>
      </x:c>
      <x:c r="E761" s="20" t="str"/>
      <x:c r="F761" s="20" t="str">
        <x:f>IF(E761="",D761,E761)</x:f>
        <x:v>2</x:v>
      </x:c>
      <x:c r="G761" s="13" t="str">
        <x:v>ML-Bench: Evaluating Large Language Models and Agents for Machine Learning Tasks on Repository-Level Code</x:v>
      </x:c>
      <x:c r="H761" s="13" t="n">
        <x:v>3</x:v>
      </x:c>
      <x:c r="I761" s="22" t="n">
        <x:v>0.029910714285714284</x:v>
      </x:c>
      <x:c r="J761" s="13" t="n">
        <x:v>2</x:v>
      </x:c>
      <x:c r="K761" s="19" t="str">
        <x:v>What limitations have been reported for large-language-model agents on repository-level software engineering tasks, especially in localization, long-context reasoning, testing, and reproducibility?</x:v>
      </x:c>
      <x:c r="L761" s="19" t="str">
        <x:v>used to assess and measure the task performance.
Criteria R EPOEVAL[Zhang et al., 2023] REPOBENCH[Liu et al., 2023] MLAGENTBENCH[Huang et al., 2024] SWE-BENCH[Jimenez et al., 2024] ML-BENCH(OURS)Repo. Understanding✓ ✓ ✗ ✓ ✓Doc. Understanding✗ ✗ ✓ ✗ ✓Cross-File Retrieval✗ ✓ ✓ ✓ ✓Package Installation✗ ✗ ✗ ✗ ✓Data Downloading✗ ✗ ✗ ✗ ✓Evaluation Similarity / Pass@K Similarity Test Accuracy Success Rate Pass@K / Success Rate# of Repositories 14 3,116 / 12 18# of Tasks 13,710 49,684 13 2,300 9,641
predominantly producing incorrect parameters or referencing non-existent files. Generating bash
scripts proved more challenging than generating Python code, pinpointing a capability bottleneck
in LLMs. A critical insight from our study is the urgent need for LLMs to comprehend the long
code context (the average length is around 150k tokens for the whole repository), not merely to</x:v>
      </x:c>
      <x:c r="M761" s="19" t="str">
        <x:v>该段包含可直接回答问题的方法、指标、比较或研究发现。</x:v>
      </x:c>
      <x:c r="N761" s="13" t="str">
        <x:v>http://arxiv.org/abs/2311.09835v5</x:v>
      </x:c>
    </x:row>
    <x:row r="762" ht="58" customHeight="1">
      <x:c r="A762" s="13" t="str">
        <x:v>csq026-c014</x:v>
      </x:c>
      <x:c r="B762" s="13" t="str">
        <x:v>csq026</x:v>
      </x:c>
      <x:c r="C762" s="21" t="n">
        <x:v>14</x:v>
      </x:c>
      <x:c r="D762" s="20" t="str">
        <x:v>1</x:v>
      </x:c>
      <x:c r="E762" s="20" t="str"/>
      <x:c r="F762" s="20" t="str">
        <x:f>IF(E762="",D762,E762)</x:f>
        <x:v>1</x:v>
      </x:c>
      <x:c r="G762" s="13" t="str">
        <x:v>PAGENT: Learning to Patch Software Engineering Agents</x:v>
      </x:c>
      <x:c r="H762" s="13" t="n">
        <x:v>9</x:v>
      </x:c>
      <x:c r="I762" s="22" t="n">
        <x:v>0.029273504273504274</x:v>
      </x:c>
      <x:c r="J762" s="13" t="n">
        <x:v>2</x:v>
      </x:c>
      <x:c r="K762" s="19" t="str">
        <x:v>What limitations have been reported for large-language-model agents on repository-level software engineering tasks, especially in localization, long-context reasoning, testing, and reproducibility?</x:v>
      </x:c>
      <x:c r="L762" s="19" t="str">
        <x:v>research in software engineering [5, 8, 9, 12, 17, 23, 29, 30, 32, 34],
aiming to automate the detection and correction of software defects
to enhance system reliability and reduce manual debugging efforts.
Recent advancements have introduced agent-based approaches that
leverage large language models (LLMs) to autonomously plan and
execute bug fixes. For instance, RepairAgent [4] utilizes an LLM to
gather information about bugs, generate repair strategies, and vali-
date fixes, demonstrating the potential of agents to handle complex
repair tasks with minimal human intervention. Another approach is
ChatRepair [31], which introduces a fully automated, conversation-
driven framework for program repair. Chatrepair interleaves patch
generation with immediate feedback, enabling dynamic interac-
tion between the agent and the codebase to iteratively refine fixes.</x:v>
      </x:c>
      <x:c r="M762" s="19" t="str">
        <x:v>该段提供相关背景或侧面信息，但没有直接回答问题核心。</x:v>
      </x:c>
      <x:c r="N762" s="13" t="str">
        <x:v>http://arxiv.org/abs/2506.17772v1</x:v>
      </x:c>
    </x:row>
    <x:row r="763" ht="58" customHeight="1">
      <x:c r="A763" s="13" t="str">
        <x:v>csq026-c015</x:v>
      </x:c>
      <x:c r="B763" s="13" t="str">
        <x:v>csq026</x:v>
      </x:c>
      <x:c r="C763" s="21" t="n">
        <x:v>15</x:v>
      </x:c>
      <x:c r="D763" s="20" t="str">
        <x:v>2</x:v>
      </x:c>
      <x:c r="E763" s="20" t="str"/>
      <x:c r="F763" s="20" t="str">
        <x:f>IF(E763="",D763,E763)</x:f>
        <x:v>2</x:v>
      </x:c>
      <x:c r="G763" s="13" t="str">
        <x:v>SWE-Synth: Synthesizing Verifiable Bug-Fix Data to Enable Large Language Models in Resolving Real-World Bugs</x:v>
      </x:c>
      <x:c r="H763" s="13" t="n">
        <x:v>18</x:v>
      </x:c>
      <x:c r="I763" s="22" t="n">
        <x:v>0.028850145288501453</x:v>
      </x:c>
      <x:c r="J763" s="13" t="n">
        <x:v>2</x:v>
      </x:c>
      <x:c r="K763" s="19" t="str">
        <x:v>What limitations have been reported for large-language-model agents on repository-level software engineering tasks, especially in localization, long-context reasoning, testing, and reproducibility?</x:v>
      </x:c>
      <x:c r="L763" s="19" t="str">
        <x:v>et al., 2023), building on advances in code understanding and representation learning (Bui, 2019;
Nguyen et al., 2024b; To et al., 2024). While effective on simple benchmarks, they rely heavily
on large-scale historical data and often suffer from generalization issues due to noise and lack of
structured reasoning.
LLMs have introduced a paradigm shift, enabling zero-shot repair capabilities from natural language or
code context (Xia and Zhang, 2022; Xia et al., 2023). This has inspired LLM-based agent frameworks
for APR that simulate human workflows with structured tool usage and reasoning (Antoniades et al.,
2025; Nguyen et al., 2024a; Phan et al., 2024; Wang et al., 2024a; Xia et al., 2024b; Yang et al., 2024b;
Zhang et al., 2024a; Örwall, 2024). Notable approaches include RepairAgent (Bouzenia et al., 2024),</x:v>
      </x:c>
      <x:c r="M763" s="19" t="str">
        <x:v>该段包含可直接回答问题的方法、指标、比较或研究发现。</x:v>
      </x:c>
      <x:c r="N763" s="13" t="str">
        <x:v>http://arxiv.org/abs/2504.14757v2</x:v>
      </x:c>
    </x:row>
    <x:row r="764" ht="58" customHeight="1">
      <x:c r="A764" s="13" t="str">
        <x:v>csq026-c016</x:v>
      </x:c>
      <x:c r="B764" s="13" t="str">
        <x:v>csq026</x:v>
      </x:c>
      <x:c r="C764" s="21" t="n">
        <x:v>16</x:v>
      </x:c>
      <x:c r="D764" s="20" t="str">
        <x:v>0</x:v>
      </x:c>
      <x:c r="E764" s="20" t="str"/>
      <x:c r="F764" s="20" t="str">
        <x:f>IF(E764="",D764,E764)</x:f>
        <x:v>0</x:v>
      </x:c>
      <x:c r="G764" s="13" t="str">
        <x:v>One Tool Is Enough: Reinforcement Learning for Repository-Level LLM Agents</x:v>
      </x:c>
      <x:c r="H764" s="13" t="n">
        <x:v>10</x:v>
      </x:c>
      <x:c r="I764" s="22" t="n">
        <x:v>0.028790389395194696</x:v>
      </x:c>
      <x:c r="J764" s="13" t="n">
        <x:v>2</x:v>
      </x:c>
      <x:c r="K764" s="19" t="str">
        <x:v>What limitations have been reported for large-language-model agents on repository-level software engineering tasks, especially in localization, long-context reasoning, testing, and reproducibility?</x:v>
      </x:c>
      <x:c r="L764" s="19" t="str">
        <x:v>One Tool Is Enough: Reinforcement Learning of LLM Agents for Repository-Level Code Navigation
Shen, Z. Llm with tools: A survey.arXiv preprint
arXiv:2409.18807, 2024.
Sohrabizadeh, A., Song, J., Liu, M., Roy, R., Lee, C.,
Raiman, J., and Catanzaro, B. Nemotron-cortexa: En-
hancing llm agents for software engineering tasks via
improved localization and solution diversity. InF orty-
second International Conference on Machine Learning.
Team, Q. Qwen2 technical report.arXiv preprint
arXiv:2407.10671, 2024.
Wang, J., Zan, D., Xin, S., Liu, S., Wu, Y ., and Shen,
K. Swe-mirror: Scaling issue-resolving datasets by
mirroring issues across repositories.arXiv preprint
arXiv:2509.08724, 2025a.
Wang, X., Li, C., Wang, Z., Bai, F., Luo, H., Zhang, J., Jojic,
N., Xing, E. P., and Hu, Z. Promptagent: Strategic plan-
ning with language models enables expert-level prompt</x:v>
      </x:c>
      <x:c r="M764" s="19" t="str">
        <x:v>该段为无关内容、泛泛提及或参考文献片段，不能作为回答证据。</x:v>
      </x:c>
      <x:c r="N764" s="13" t="str">
        <x:v>http://arxiv.org/abs/2512.20957v6</x:v>
      </x:c>
    </x:row>
    <x:row r="765" ht="58" customHeight="1">
      <x:c r="A765" s="13" t="str">
        <x:v>csq026-c017</x:v>
      </x:c>
      <x:c r="B765" s="13" t="str">
        <x:v>csq026</x:v>
      </x:c>
      <x:c r="C765" s="21" t="n">
        <x:v>17</x:v>
      </x:c>
      <x:c r="D765" s="20" t="str">
        <x:v>0</x:v>
      </x:c>
      <x:c r="E765" s="20" t="str"/>
      <x:c r="F765" s="20" t="str">
        <x:f>IF(E765="",D765,E765)</x:f>
        <x:v>0</x:v>
      </x:c>
      <x:c r="G765" s="13" t="str">
        <x:v>One Tool Is Enough: Reinforcement Learning for Repository-Level LLM Agents</x:v>
      </x:c>
      <x:c r="H765" s="13" t="n">
        <x:v>9</x:v>
      </x:c>
      <x:c r="I765" s="22" t="n">
        <x:v>0.028438886647841874</x:v>
      </x:c>
      <x:c r="J765" s="13" t="n">
        <x:v>2</x:v>
      </x:c>
      <x:c r="K765" s="19" t="str">
        <x:v>What limitations have been reported for large-language-model agents on repository-level software engineering tasks, especially in localization, long-context reasoning, testing, and reproducibility?</x:v>
      </x:c>
      <x:c r="L765" s="19" t="str">
        <x:v>One Tool Is Enough: Reinforcement Learning of LLM Agents for Repository-Level Code Navigation
Huang, X., Liu, W., Chen, X., Wang, X., Wang, H., Lian,
D., Wang, Y ., Tang, R., and Chen, E. Understanding
the planning of llm agents: A survey.arXiv preprint
arXiv:2402.02716, 2024.
Hui, B., Yang, J., Cui, Z., Yang, J., Liu, D., Zhang, L.,
Liu, T., Zhang, J., Yu, B., Lu, K., et al. Qwen2. 5-coder
technical report.arXiv preprint arXiv:2409.12186, 2024.
Jiang, Z., Ren, X., Yan, M., Jiang, W., Li, Y ., and
Liu, Z. Cosil: Software issue localization via llm-
driven code repository graph searching.arXiv preprint
arXiv:2503.22424, 2025.
Jimenez, C. E., Yang, J., Wettig, A., Yao, S., Pei, K., Press,
O., and Narasimhan, K. Swe-bench: Can language mod-
els resolve real-world github issues?arXiv preprint
arXiv:2310.06770, 2023.
Jin, B., Zeng, H., Yue, Z., Yoon, J., Arik, S., Wang, D.,</x:v>
      </x:c>
      <x:c r="M765" s="19" t="str">
        <x:v>该段为无关内容、泛泛提及或参考文献片段，不能作为回答证据。</x:v>
      </x:c>
      <x:c r="N765" s="13" t="str">
        <x:v>http://arxiv.org/abs/2512.20957v6</x:v>
      </x:c>
    </x:row>
    <x:row r="766" ht="58" customHeight="1">
      <x:c r="A766" s="13" t="str">
        <x:v>csq026-c018</x:v>
      </x:c>
      <x:c r="B766" s="13" t="str">
        <x:v>csq026</x:v>
      </x:c>
      <x:c r="C766" s="21" t="n">
        <x:v>18</x:v>
      </x:c>
      <x:c r="D766" s="20" t="str">
        <x:v>0</x:v>
      </x:c>
      <x:c r="E766" s="20" t="str"/>
      <x:c r="F766" s="20" t="str">
        <x:f>IF(E766="",D766,E766)</x:f>
        <x:v>0</x:v>
      </x:c>
      <x:c r="G766" s="13" t="str">
        <x:v>Unified Software Engineering Agent as AI Software Engineer</x:v>
      </x:c>
      <x:c r="H766" s="13" t="n">
        <x:v>11</x:v>
      </x:c>
      <x:c r="I766" s="22" t="n">
        <x:v>0.027984344422700584</x:v>
      </x:c>
      <x:c r="J766" s="13" t="n">
        <x:v>2</x:v>
      </x:c>
      <x:c r="K766" s="19" t="str">
        <x:v>What limitations have been reported for large-language-model agents on repository-level software engineering tasks, especially in localization, long-context reasoning, testing, and reproducibility?</x:v>
      </x:c>
      <x:c r="L766" s="19" t="str">
        <x:v>[18] Carlos E Jimenez, John Yang, Alexander Wettig, Shunyu Yao, Kexin Pei, Ofir Press,
and Karthik R Narasimhan. 2024. SWE-bench: Can Language Models Resolve
Real-world Github Issues?. InThe Twelfth International Conference on Learning
Representations. https://openreview.net/forum?id=VTF8yNQM66
[19] René Just, Darioush Jalali, and Michael D Ernst. 2014. Defects4J: A database of ex-
isting faults to enable controlled testing studies for Java programs. InProceedings
of the 2014 international symposium on software testing and analysis. 437–440.
[20] Shanchao Liang, Yiran Hu, Nan Jiang, and Lin Tan. 2024. Can Language Models
Replace Programmers? REPOCOD Says’ Not Yet’.arXiv preprint arXiv:2410.21647
(2024).
[21] Jiawei Liu, Chunqiu Steven Xia, Yuyao Wang, and Lingming Zhang. 2024. Is your
code generated by chatgpt really correct? rigorous evaluation of large language</x:v>
      </x:c>
      <x:c r="M766" s="19" t="str">
        <x:v>该段为无关内容、泛泛提及或参考文献片段，不能作为回答证据。</x:v>
      </x:c>
      <x:c r="N766" s="13" t="str">
        <x:v>http://arxiv.org/abs/2506.14683v2</x:v>
      </x:c>
    </x:row>
    <x:row r="767" ht="58" customHeight="1">
      <x:c r="A767" s="13" t="str">
        <x:v>csq026-c019</x:v>
      </x:c>
      <x:c r="B767" s="13" t="str">
        <x:v>csq026</x:v>
      </x:c>
      <x:c r="C767" s="21" t="n">
        <x:v>19</x:v>
      </x:c>
      <x:c r="D767" s="20" t="str">
        <x:v>2</x:v>
      </x:c>
      <x:c r="E767" s="20" t="str"/>
      <x:c r="F767" s="20" t="str">
        <x:f>IF(E767="",D767,E767)</x:f>
        <x:v>2</x:v>
      </x:c>
      <x:c r="G767" s="13" t="str">
        <x:v>InfCode-C++: Intent-Guided Semantic Retrieval and AST-Structured Search for C++ Issue Resolution</x:v>
      </x:c>
      <x:c r="H767" s="13" t="n">
        <x:v>1</x:v>
      </x:c>
      <x:c r="I767" s="22" t="n">
        <x:v>0.016129032258064516</x:v>
      </x:c>
      <x:c r="J767" s="13" t="n">
        <x:v>1</x:v>
      </x:c>
      <x:c r="K767" s="19" t="str">
        <x:v>What limitations have been reported for large-language-model agents on repository-level software engineering tasks, especially in localization, long-context reasoning, testing, and reproducibility?</x:v>
      </x:c>
      <x:c r="L767" s="19" t="str">
        <x:v>issue resolution is ambiguous context localization, particularly when the issue description lacks
precise artifacts such as a stack trace. This problem is exacerbated for non-crashing bugs, such
as logical errors or performance bottlenecks, where no immediate fault signal is available. Unlike
a crash bug which pinpoints a faulting location, these issues require the agent to deduce the
relevant code context from a natural language description alone. In a sprawling, million-line C++
codebase, this task becomes a “needle in a haystack” problem. Existing approaches [ 4–6] often
resort to rudimentary heuristics, attempting to guess relevant file, class, or function names based
on superficial lexical cues in the issue report. This approach is inefficient, unreliable, and frequently
retrieves irrelevant context, forcing the LLM to analyze hundreds or even thousands of lines of</x:v>
      </x:c>
      <x:c r="M767" s="19" t="str">
        <x:v>该段包含可直接回答问题的方法、指标、比较或研究发现。</x:v>
      </x:c>
      <x:c r="N767" s="13" t="str">
        <x:v>http://arxiv.org/abs/2511.16005v1</x:v>
      </x:c>
    </x:row>
    <x:row r="768" ht="58" customHeight="1">
      <x:c r="A768" s="13" t="str">
        <x:v>csq026-c020</x:v>
      </x:c>
      <x:c r="B768" s="13" t="str">
        <x:v>csq026</x:v>
      </x:c>
      <x:c r="C768" s="21" t="n">
        <x:v>20</x:v>
      </x:c>
      <x:c r="D768" s="20" t="str">
        <x:v>2</x:v>
      </x:c>
      <x:c r="E768" s="20" t="str"/>
      <x:c r="F768" s="20" t="str">
        <x:f>IF(E768="",D768,E768)</x:f>
        <x:v>2</x:v>
      </x:c>
      <x:c r="G768" s="13" t="str">
        <x:v>RepoAudit: An Autonomous LLM-Agent for Repository-Level Code Auditing</x:v>
      </x:c>
      <x:c r="H768" s="13" t="n">
        <x:v>0</x:v>
      </x:c>
      <x:c r="I768" s="22" t="n">
        <x:v>0.015873015873015872</x:v>
      </x:c>
      <x:c r="J768" s="13" t="n">
        <x:v>1</x:v>
      </x:c>
      <x:c r="K768" s="19" t="str">
        <x:v>What limitations have been reported for large-language-model agents on repository-level software engineering tasks, especially in localization, long-context reasoning, testing, and reproducibility?</x:v>
      </x:c>
      <x:c r="L768" s="19" t="str">
        <x:v>in complex, real-world scenarios.
Direct Prompting Hardly Works. A straightforward solu-
tion is to break down a repository into smaller pieces and
prompt the model with individual pieces. This approach
often falls short for non-local bugs, which may require rea-
soning across a large number of interconnected code snip-
pets spanning multiple functions, classes, and files. Even
with significant future advancements in model reasoning
capacity, the fundamental differences between programs
and natural language texts for which transformer models
were designed make LLMs insufficient for comprehensive
repository analysis. In particular, a code repository can be
conceptualized as an enormous graph, with nodes repre-
senting individual statements and edges capturing intricate
1</x:v>
      </x:c>
      <x:c r="M768" s="19" t="str">
        <x:v>该段包含可直接回答问题的方法、指标、比较或研究发现。</x:v>
      </x:c>
      <x:c r="N768" s="13" t="str">
        <x:v>http://arxiv.org/abs/2501.18160v3</x:v>
      </x:c>
    </x:row>
    <x:row r="769" ht="58" customHeight="1">
      <x:c r="A769" s="13" t="str">
        <x:v>csq026-c021</x:v>
      </x:c>
      <x:c r="B769" s="13" t="str">
        <x:v>csq026</x:v>
      </x:c>
      <x:c r="C769" s="21" t="n">
        <x:v>21</x:v>
      </x:c>
      <x:c r="D769" s="20" t="str">
        <x:v>0</x:v>
      </x:c>
      <x:c r="E769" s="20" t="str"/>
      <x:c r="F769" s="20" t="str">
        <x:f>IF(E769="",D769,E769)</x:f>
        <x:v>0</x:v>
      </x:c>
      <x:c r="G769" s="13" t="str">
        <x:v>Unified Software Engineering Agent as AI Software Engineer</x:v>
      </x:c>
      <x:c r="H769" s="13" t="n">
        <x:v>11</x:v>
      </x:c>
      <x:c r="I769" s="22" t="n">
        <x:v>0.015873015873015872</x:v>
      </x:c>
      <x:c r="J769" s="13" t="n">
        <x:v>1</x:v>
      </x:c>
      <x:c r="K769" s="19" t="str">
        <x:v>What limitations have been reported for large-language-model agents on repository-level software engineering tasks, especially in localization, long-context reasoning, testing, and reproducibility?</x:v>
      </x:c>
      <x:c r="L769" s="19" t="str">
        <x:v>Sanyam, Michele Tufano, and Satish Chandra. 2025. Evaluating Agent-based
Program Repair at Google.arXiv preprint arXiv:2501.07531(2025).
[29] Haifeng Ruan, Yuntong Zhang, and Abhik Roychoudhury. 2024. Specrover: Code
intent extraction via llms.arXiv preprint arXiv:2408.02232(2024).
[30] June Sallou, Thomas Durieux, and Annibale Panichella. 2024. Breaking the
silence: the threats of using llms in software engineering. InProceedings of the
2024 ACM/IEEE 44th International Conference on Software Engineering: New Ideas
and Emerging Results. 102–106.
[31] Davide Spadini, Fabio Palomba, Andy Zaidman, Magiel Bruntink, and Alberto
Bacchelli. 2018. On the relation of test smells to software code quality. In2018
IEEE international conference on software maintenance and evolution (ICSME).
IEEE, 1–12.
[32] Arie Van Deursen, Leon Moonen, Alex Van Den Bergh, and Gerard Kok. 2001.</x:v>
      </x:c>
      <x:c r="M769" s="19" t="str">
        <x:v>该段为无关内容、泛泛提及或参考文献片段，不能作为回答证据。</x:v>
      </x:c>
      <x:c r="N769" s="13" t="str">
        <x:v>http://arxiv.org/abs/2506.14683v2</x:v>
      </x:c>
    </x:row>
    <x:row r="770" ht="58" customHeight="1">
      <x:c r="A770" s="13" t="str">
        <x:v>csq026-c022</x:v>
      </x:c>
      <x:c r="B770" s="13" t="str">
        <x:v>csq026</x:v>
      </x:c>
      <x:c r="C770" s="21" t="n">
        <x:v>22</x:v>
      </x:c>
      <x:c r="D770" s="20" t="str">
        <x:v>1</x:v>
      </x:c>
      <x:c r="E770" s="20" t="str"/>
      <x:c r="F770" s="20" t="str">
        <x:f>IF(E770="",D770,E770)</x:f>
        <x:v>1</x:v>
      </x:c>
      <x:c r="G770" s="13" t="str">
        <x:v>Unified Software Engineering Agent as AI Software Engineer</x:v>
      </x:c>
      <x:c r="H770" s="13" t="n">
        <x:v>0</x:v>
      </x:c>
      <x:c r="I770" s="22" t="n">
        <x:v>0.015151515151515152</x:v>
      </x:c>
      <x:c r="J770" s="13" t="n">
        <x:v>1</x:v>
      </x:c>
      <x:c r="K770" s="19" t="str">
        <x:v>What limitations have been reported for large-language-model agents on repository-level software engineering tasks, especially in localization, long-context reasoning, testing, and reproducibility?</x:v>
      </x:c>
      <x:c r="L770" s="19" t="str">
        <x:v>foundation models, the software engineering community is distill-
ing known best practices for downstream tasks into amplifiers for
LLMs through agentic systems [39]. An LLM agent for software en-
gineering invokes various interfaces including testing and analysis
tools autonomously driven by an LLM reasoning agent.
While agentic systems inspire researchers [5, 39], start-ups [3,
26] and major companies [28, 33], we currently observe a strong spe-
cialization in the emerging technologies among the LLM agents for
software. Agentless [37] performs program repair, Large Language
Monkeys [9] produce unit tests, ExecutionAgent [ 8] performs a
project setup, and so forth. These specialized agents are reasonable
efforts, especially as they require specialized metrics and datasets.
However, with many agents comes the need to manage and main-</x:v>
      </x:c>
      <x:c r="M770" s="19" t="str">
        <x:v>该段提供相关背景或侧面信息，但没有直接回答问题核心。</x:v>
      </x:c>
      <x:c r="N770" s="13" t="str">
        <x:v>http://arxiv.org/abs/2506.14683v2</x:v>
      </x:c>
    </x:row>
    <x:row r="771" ht="58" customHeight="1">
      <x:c r="A771" s="13" t="str">
        <x:v>csq026-c023</x:v>
      </x:c>
      <x:c r="B771" s="13" t="str">
        <x:v>csq026</x:v>
      </x:c>
      <x:c r="C771" s="21" t="n">
        <x:v>23</x:v>
      </x:c>
      <x:c r="D771" s="20" t="str">
        <x:v>2</x:v>
      </x:c>
      <x:c r="E771" s="20" t="str"/>
      <x:c r="F771" s="20" t="str">
        <x:f>IF(E771="",D771,E771)</x:f>
        <x:v>2</x:v>
      </x:c>
      <x:c r="G771" s="13" t="str">
        <x:v>TENET: One Step Toward Test-Driven Development for Repository-Level Code Generation</x:v>
      </x:c>
      <x:c r="H771" s="13" t="n">
        <x:v>2</x:v>
      </x:c>
      <x:c r="I771" s="22" t="n">
        <x:v>0.014925373134328358</x:v>
      </x:c>
      <x:c r="J771" s="13" t="n">
        <x:v>1</x:v>
      </x:c>
      <x:c r="K771" s="19" t="str">
        <x:v>What limitations have been reported for large-language-model agents on repository-level software engineering tasks, especially in localization, long-context reasoning, testing, and reproducibility?</x:v>
      </x:c>
      <x:c r="L771" s="19" t="str">
        <x:v>ment, including fault localization and issue understanding. If
not, the RRW prompts the agent to retrieve additional context
and use interactive debugging to gather further insights. This
loop continues until the agent deems the evidence sufficient
for a fix, at which point it generates a candidate refinement.
The updated code is then validated using the THM-selected
tests. TENETstays in the RRW until all selected tests pass or
a maximum number of attempts is reached.
A. Test Harness Mechanism
Test cases can expose diverse usage scenarios of the target
function, serving as a form of specification enhancement be-
yond the function signature and docstring. However, dumping
the entire test suite to the LLM is infeasible due to two reasons.
•Effectiveness. Providing massive test cases can overwhelm
the LLM with long, complex prompts, increasing the cog-
nitive load of the model [2, 47].</x:v>
      </x:c>
      <x:c r="M771" s="19" t="str">
        <x:v>该段包含可直接回答问题的方法、指标、比较或研究发现。</x:v>
      </x:c>
      <x:c r="N771" s="13" t="str">
        <x:v>http://arxiv.org/abs/2509.24148v3</x:v>
      </x:c>
    </x:row>
    <x:row r="772" ht="58" customHeight="1">
      <x:c r="A772" s="13" t="str">
        <x:v>csq026-c024</x:v>
      </x:c>
      <x:c r="B772" s="13" t="str">
        <x:v>csq026</x:v>
      </x:c>
      <x:c r="C772" s="21" t="n">
        <x:v>24</x:v>
      </x:c>
      <x:c r="D772" s="20" t="str">
        <x:v>0</x:v>
      </x:c>
      <x:c r="E772" s="20" t="str"/>
      <x:c r="F772" s="20" t="str">
        <x:f>IF(E772="",D772,E772)</x:f>
        <x:v>0</x:v>
      </x:c>
      <x:c r="G772" s="13" t="str">
        <x:v>PAGENT: Learning to Patch Software Engineering Agents</x:v>
      </x:c>
      <x:c r="H772" s="13" t="n">
        <x:v>10</x:v>
      </x:c>
      <x:c r="I772" s="22" t="n">
        <x:v>0.014925373134328358</x:v>
      </x:c>
      <x:c r="J772" s="13" t="n">
        <x:v>1</x:v>
      </x:c>
      <x:c r="K772" s="19" t="str">
        <x:v>What limitations have been reported for large-language-model agents on repository-level software engineering tasks, especially in localization, long-context reasoning, testing, and reproducibility?</x:v>
      </x:c>
      <x:c r="L772" s="19" t="str">
        <x:v>Patches. arXiv:2502.05368 [cs.SE] https://arxiv.org/abs/2502.05368
[2] Anthropic. 2024. Claude 3.5 Sonnet. https://www.anthropic.com/news/claude-
3-5-sonnet Accessed: 2025-03-13.
[3] Tegawendé F. Bissyandé, David Lo, Lingxiao Jiang, Laurent Réveillère, Jacques
Klein, and Yves Le Traon. 2013. Got issues? Who cares about it? A large scale
investigation of issue trackers from GitHub. In 2013 IEEE 24th International
Symposium on Software Reliability Engineering (ISSRE) . 188–197. https://doi.org/
10.1109/ISSRE.2013.6698918
[4] Islem Bouzenia, Premkumar Devanbu, and Michael Pradel. 2024. RepairAgent:
An Autonomous, LLM-Based Agent for Program Repair. arXiv:2403.17134 [cs.SE]
https://arxiv.org/abs/2403.17134
[5] Dustin Byrne. 2024. AppMap: Specification for AppMap Clients. https://github.
com/getappmap/appmap Accessed: 2025-03-13.</x:v>
      </x:c>
      <x:c r="M772" s="19" t="str">
        <x:v>该段为无关内容、泛泛提及或参考文献片段，不能作为回答证据。</x:v>
      </x:c>
      <x:c r="N772" s="13" t="str">
        <x:v>http://arxiv.org/abs/2506.17772v1</x:v>
      </x:c>
    </x:row>
    <x:row r="773" ht="58" customHeight="1">
      <x:c r="A773" s="13" t="str">
        <x:v>csq026-c025</x:v>
      </x:c>
      <x:c r="B773" s="13" t="str">
        <x:v>csq026</x:v>
      </x:c>
      <x:c r="C773" s="21" t="n">
        <x:v>25</x:v>
      </x:c>
      <x:c r="D773" s="20" t="str">
        <x:v>2</x:v>
      </x:c>
      <x:c r="E773" s="20" t="str"/>
      <x:c r="F773" s="20" t="str">
        <x:f>IF(E773="",D773,E773)</x:f>
        <x:v>2</x:v>
      </x:c>
      <x:c r="G773" s="13" t="str">
        <x:v>TENET: One Step Toward Test-Driven Development for Repository-Level Code Generation</x:v>
      </x:c>
      <x:c r="H773" s="13" t="n">
        <x:v>0</x:v>
      </x:c>
      <x:c r="I773" s="22" t="n">
        <x:v>0.014705882352941176</x:v>
      </x:c>
      <x:c r="J773" s="13" t="n">
        <x:v>1</x:v>
      </x:c>
      <x:c r="K773" s="19" t="str">
        <x:v>What limitations have been reported for large-language-model agents on repository-level software engineering tasks, especially in localization, long-context reasoning, testing, and reproducibility?</x:v>
      </x:c>
      <x:c r="L773" s="19" t="str">
        <x:v>studies on automated code generation in TDD are largely
limited to standalone function generation [2–4, 16, 17]. Au-
tomating TDD in repository-level code generation remains
underexplored. Although the ultimate goal of AI-driven TDD
involves authoring new tests and the full ”test-implement-
refactor” cycle, a crucial step forward is enabling agents to
reliably utilize and satisfyexisting developer-writtentests.
This focused setting introduces several challenges.
First, unlike standalone functions, where tests directly in-
voke the target, software repositories contain large test suites
where tests reach the target function through long and indirect
call chains. How to strategically leverage these tests forspec-
ification enhancementto guide LLMs under computational
budgets remains an open question. Second, relevant context
is often scattered across the repository, and implementations</x:v>
      </x:c>
      <x:c r="M773" s="19" t="str">
        <x:v>该段包含可直接回答问题的方法、指标、比较或研究发现。</x:v>
      </x:c>
      <x:c r="N773" s="13" t="str">
        <x:v>http://arxiv.org/abs/2509.24148v3</x:v>
      </x:c>
    </x:row>
    <x:row r="774" ht="58" customHeight="1">
      <x:c r="A774" s="13" t="str">
        <x:v>csq026-c026</x:v>
      </x:c>
      <x:c r="B774" s="13" t="str">
        <x:v>csq026</x:v>
      </x:c>
      <x:c r="C774" s="21" t="n">
        <x:v>26</x:v>
      </x:c>
      <x:c r="D774" s="20" t="str">
        <x:v>2</x:v>
      </x:c>
      <x:c r="E774" s="20" t="str"/>
      <x:c r="F774" s="20" t="str">
        <x:f>IF(E774="",D774,E774)</x:f>
        <x:v>2</x:v>
      </x:c>
      <x:c r="G774" s="13" t="str">
        <x:v>One Tool Is Enough: Reinforcement Learning for Repository-Level LLM Agents</x:v>
      </x:c>
      <x:c r="H774" s="13" t="n">
        <x:v>11</x:v>
      </x:c>
      <x:c r="I774" s="22" t="n">
        <x:v>0.014705882352941176</x:v>
      </x:c>
      <x:c r="J774" s="13" t="n">
        <x:v>1</x:v>
      </x:c>
      <x:c r="K774" s="19" t="str">
        <x:v>What limitations have been reported for large-language-model agents on repository-level software engineering tasks, especially in localization, long-context reasoning, testing, and reproducibility?</x:v>
      </x:c>
      <x:c r="L774" s="19" t="str">
        <x:v>Multiple graph-level searching tools are equipped to the LLM for multi-hop reasoning.
OrcaLocaOrcaLoca (Yu et al., 2025b) is an LLM-based agent framework for software issue localization that performs
repository-level exploration via priority-based action scheduling. It incrementally decomposes file- and class-level searches
into fine-grained function-level actions with relevance scoring, while applying distance-aware context pruning on a code
graph to efficiently narrow down potential bug locations. Because we failed to reproduce the code of OrcaLoca, we did not
evaluate it on SWE-ben Pro, and we directly report the results (provided by Jiang et al. (2025)) on SWE-bench Verified.
RepoSearcherRepoSearcher (Ma et al., 2025) is an agent that first conducts file-level localization and then function-level</x:v>
      </x:c>
      <x:c r="M774" s="19" t="str">
        <x:v>该段包含可直接回答问题的方法、指标、比较或研究发现。</x:v>
      </x:c>
      <x:c r="N774" s="13" t="str">
        <x:v>http://arxiv.org/abs/2512.20957v6</x:v>
      </x:c>
    </x:row>
    <x:row r="775" ht="58" customHeight="1">
      <x:c r="A775" s="13" t="str">
        <x:v>csq026-c027</x:v>
      </x:c>
      <x:c r="B775" s="13" t="str">
        <x:v>csq026</x:v>
      </x:c>
      <x:c r="C775" s="21" t="n">
        <x:v>27</x:v>
      </x:c>
      <x:c r="D775" s="20" t="str">
        <x:v>2</x:v>
      </x:c>
      <x:c r="E775" s="20" t="str"/>
      <x:c r="F775" s="20" t="str">
        <x:f>IF(E775="",D775,E775)</x:f>
        <x:v>2</x:v>
      </x:c>
      <x:c r="G775" s="13" t="str">
        <x:v>AInsteinBench: Benchmarking Coding Agents on Scientific Repositories</x:v>
      </x:c>
      <x:c r="H775" s="13" t="n">
        <x:v>13</x:v>
      </x:c>
      <x:c r="I775" s="22" t="n">
        <x:v>0.014492753623188406</x:v>
      </x:c>
      <x:c r="J775" s="13" t="n">
        <x:v>1</x:v>
      </x:c>
      <x:c r="K775" s="19" t="str">
        <x:v>What limitations have been reported for large-language-model agents on repository-level software engineering tasks, especially in localization, long-context reasoning, testing, and reproducibility?</x:v>
      </x:c>
      <x:c r="L775" s="19" t="str">
        <x:v>5.3 Conclusion.
AInsteinBenchintroduces the first large-scale benchmark that evaluates LLM agents inside real, production
scientific software repositories. By grounding evaluation in executable environments, domain-specific failure
modes, and maintainer-authored fixes, the benchmark moves beyond abstract scientific reasoning and con-
ventional software-engineering tasks to assess whether models can function as genuine scientific computing
agents. Our results highlight both encouraging progress and persistent gaps, particularly where complex
spacial reasoning, hardware-level engineering, and cross-file reasoning are required. We hope this benchmark
serves as a foundation for future work on reliable, domain-aware agents capable of assisting scientific software
development at scale.
AInsteinBenchintroduces the first large-scale benchmark that evaluates LLM agents within real, produc-</x:v>
      </x:c>
      <x:c r="M775" s="19" t="str">
        <x:v>该段包含可直接回答问题的方法、指标、比较或研究发现。</x:v>
      </x:c>
      <x:c r="N775" s="13" t="str">
        <x:v>http://arxiv.org/abs/2512.21373v1</x:v>
      </x:c>
    </x:row>
    <x:row r="776" ht="58" customHeight="1">
      <x:c r="A776" s="13" t="str">
        <x:v>csq026-c028</x:v>
      </x:c>
      <x:c r="B776" s="13" t="str">
        <x:v>csq026</x:v>
      </x:c>
      <x:c r="C776" s="21" t="n">
        <x:v>28</x:v>
      </x:c>
      <x:c r="D776" s="20" t="str">
        <x:v>1</x:v>
      </x:c>
      <x:c r="E776" s="20" t="str"/>
      <x:c r="F776" s="20" t="str">
        <x:f>IF(E776="",D776,E776)</x:f>
        <x:v>1</x:v>
      </x:c>
      <x:c r="G776" s="13" t="str">
        <x:v>PAGENT: Learning to Patch Software Engineering Agents</x:v>
      </x:c>
      <x:c r="H776" s="13" t="n">
        <x:v>9</x:v>
      </x:c>
      <x:c r="I776" s="22" t="n">
        <x:v>0.014492753623188406</x:v>
      </x:c>
      <x:c r="J776" s="13" t="n">
        <x:v>1</x:v>
      </x:c>
      <x:c r="K776" s="19" t="str">
        <x:v>What limitations have been reported for large-language-model agents on repository-level software engineering tasks, especially in localization, long-context reasoning, testing, and reproducibility?</x:v>
      </x:c>
      <x:c r="L776" s="19" t="str">
        <x:v>act with the repository environment through actions like reading,
editing files, and running bash commands. These agent-based ap-
proaches signify a transformative shift in automated program repair,
leveraging the capabilities of LLMs to identify and analyze software
defects.
7.2 Patch Validation
In recent years, significant research has focused on automated
approaches for software issue resolution, particularly in patch gen-
eration and validation [16, 19, 25–27]. Analyzing the effectiveness
of patches generated by automated approaches is crucial for advanc-
ing software engineering solutions, as it provides direct evidence
of an agent’s problem-solving capabilities and reveals areas for
improvement [35]. A fundamental challenge in this domain was
highlighted by some researchers’ analysis of patch plausibility and
correctness across multiple automated program repair systems, in-</x:v>
      </x:c>
      <x:c r="M776" s="19" t="str">
        <x:v>该段提供相关背景或侧面信息，但没有直接回答问题核心。</x:v>
      </x:c>
      <x:c r="N776" s="13" t="str">
        <x:v>http://arxiv.org/abs/2506.17772v1</x:v>
      </x:c>
    </x:row>
    <x:row r="777" ht="58" customHeight="1">
      <x:c r="A777" s="13" t="str">
        <x:v>csq026-c029</x:v>
      </x:c>
      <x:c r="B777" s="13" t="str">
        <x:v>csq026</x:v>
      </x:c>
      <x:c r="C777" s="21" t="n">
        <x:v>29</x:v>
      </x:c>
      <x:c r="D777" s="20" t="str">
        <x:v>2</x:v>
      </x:c>
      <x:c r="E777" s="20" t="str"/>
      <x:c r="F777" s="20" t="str">
        <x:f>IF(E777="",D777,E777)</x:f>
        <x:v>2</x:v>
      </x:c>
      <x:c r="G777" s="13" t="str">
        <x:v>One Tool Is Enough: Reinforcement Learning for Repository-Level LLM Agents</x:v>
      </x:c>
      <x:c r="H777" s="13" t="n">
        <x:v>1</x:v>
      </x:c>
      <x:c r="I777" s="22" t="n">
        <x:v>0.014492753623188406</x:v>
      </x:c>
      <x:c r="J777" s="13" t="n">
        <x:v>1</x:v>
      </x:c>
      <x:c r="K777" s="19" t="str">
        <x:v>What limitations have been reported for large-language-model agents on repository-level software engineering tasks, especially in localization, long-context reasoning, testing, and reproducibility?</x:v>
      </x:c>
      <x:c r="L777" s="19" t="str">
        <x:v>expensive in terms of CPU resources for supervised train-
ing. To make training more tractable, we adopt a simplified
yet widely generalizable assignment:issue localization.
Prior work shows that a software issue becomes substan-
tially easier to resolve once the relevant functions and files
are correctly identified (Chen et al., 2025c; Ma et al., 2025;
Xia et al., 2024; Jiang et al., 2025). Since modern software
repositories contain a significant amount of code—far be-
yond any LLM’s context window—localization drastically
reduces the search space and improves downstream solv-
ability. Crucially, localization outputs a discrete set of paths,
enabling verifiable, string-level evaluation that is compatible
with scalable training frameworks such as SFT and RLVR
(string-level evaluation requires little resource).
Existing localization agents (Ma et al., 2025; Chen</x:v>
      </x:c>
      <x:c r="M777" s="19" t="str">
        <x:v>该段包含可直接回答问题的方法、指标、比较或研究发现。</x:v>
      </x:c>
      <x:c r="N777" s="13" t="str">
        <x:v>http://arxiv.org/abs/2512.20957v6</x:v>
      </x:c>
    </x:row>
    <x:row r="778" ht="58" customHeight="1">
      <x:c r="A778" s="13" t="str">
        <x:v>csq026-c030</x:v>
      </x:c>
      <x:c r="B778" s="13" t="str">
        <x:v>csq026</x:v>
      </x:c>
      <x:c r="C778" s="21" t="n">
        <x:v>30</x:v>
      </x:c>
      <x:c r="D778" s="20" t="str">
        <x:v>2</x:v>
      </x:c>
      <x:c r="E778" s="20" t="str"/>
      <x:c r="F778" s="20" t="str">
        <x:f>IF(E778="",D778,E778)</x:f>
        <x:v>2</x:v>
      </x:c>
      <x:c r="G778" s="13" t="str">
        <x:v>AInsteinBench: Benchmarking Coding Agents on Scientific Repositories</x:v>
      </x:c>
      <x:c r="H778" s="13" t="n">
        <x:v>13</x:v>
      </x:c>
      <x:c r="I778" s="22" t="n">
        <x:v>0.014285714285714285</x:v>
      </x:c>
      <x:c r="J778" s="13" t="n">
        <x:v>1</x:v>
      </x:c>
      <x:c r="K778" s="19" t="str">
        <x:v>What limitations have been reported for large-language-model agents on repository-level software engineering tasks, especially in localization, long-context reasoning, testing, and reproducibility?</x:v>
      </x:c>
      <x:c r="L778" s="19" t="str">
        <x:v>AInsteinBenchintroduces the first large-scale benchmark that evaluates LLM agents within real, produc-
tion scientific software repositories, grounded in executable environments, maintainer-authored fixes, and
domain-specific correctness criteria. By design, the benchmark moves beyond abstract scientific reasoning and
conventional software-engineering tasks, probing whether models can operate as genuine scientific computing
agents capable of respecting physical invariants, mathematical structure, and established community conven-
tions. Our results reveal both clear progress and persistent gaps, particularly when problems demand global
spatial reasoning, hardware-level engineering insight, or tightly coupled cross-file updates.
At the same time, the benchmark surfaces encouraging evidence that frontier models can succeed on nontrivial</x:v>
      </x:c>
      <x:c r="M778" s="19" t="str">
        <x:v>该段包含可直接回答问题的方法、指标、比较或研究发现。</x:v>
      </x:c>
      <x:c r="N778" s="13" t="str">
        <x:v>http://arxiv.org/abs/2512.21373v1</x:v>
      </x:c>
    </x:row>
    <x:row r="779" ht="58" customHeight="1">
      <x:c r="A779" s="13" t="str">
        <x:v>csq027-c001</x:v>
      </x:c>
      <x:c r="B779" s="13" t="str">
        <x:v>csq027</x:v>
      </x:c>
      <x:c r="C779" s="21" t="n">
        <x:v>1</x:v>
      </x:c>
      <x:c r="D779" s="20" t="str">
        <x:v>2</x:v>
      </x:c>
      <x:c r="E779" s="20" t="str"/>
      <x:c r="F779" s="20" t="str">
        <x:f>IF(E779="",D779,E779)</x:f>
        <x:v>2</x:v>
      </x:c>
      <x:c r="G779" s="13" t="str">
        <x:v>Benchmarking Learned Indexes</x:v>
      </x:c>
      <x:c r="H779" s="13" t="n">
        <x:v>0</x:v>
      </x:c>
      <x:c r="I779" s="22" t="n">
        <x:v>0.06185944563553672</x:v>
      </x:c>
      <x:c r="J779" s="13" t="n">
        <x:v>4</x:v>
      </x:c>
      <x:c r="K779" s="19" t="str">
        <x:v>What learned index structures have been proposed, and under which data distributions and update workloads do they outperform or underperform traditional indexes?</x:v>
      </x:c>
      <x:c r="L779" s="19" t="str">
        <x:v>Benchmarking Learned Indexes
Ryan Marcus 13, Andreas Kipf 1, Alexander van Renen 2, Mihail Stoian 2,
Sanchit Misra 3, Alfons Kemper 2, Thomas Neumann 2, Tim Kraska 1
1MIT CSAIL 2TUM 3Intel Labs
{ryanmarcus, kipf, kraska }@mit.edu {renen, stoian, kemper, neumann }@in.tum.de sanchit.misra@intel.com
ABSTRACT
Recent advancements in learned index structures propose
replacing existing index structures, like B-Trees, with ap-
proximate learned models. In this work, we present a uni-
ﬁed benchmark that compares well-tuned implementations
of three learned index structures against several state-of-the-
art “traditional” baselines. Using four real-world datasets,
we demonstrate that learned index structures can indeed
outperform non-learned indexes in read-only in-memory work-
loads over a dense array. We also investigate the impact of
caching, pipelining, dataset size, and key size. We study the</x:v>
      </x:c>
      <x:c r="M779" s="19" t="str">
        <x:v>该段包含可直接回答问题的方法、指标、比较或研究发现。</x:v>
      </x:c>
      <x:c r="N779" s="13" t="str">
        <x:v>http://arxiv.org/abs/2006.12804v2</x:v>
      </x:c>
    </x:row>
    <x:row r="780" ht="58" customHeight="1">
      <x:c r="A780" s="13" t="str">
        <x:v>csq027-c002</x:v>
      </x:c>
      <x:c r="B780" s="13" t="str">
        <x:v>csq027</x:v>
      </x:c>
      <x:c r="C780" s="21" t="n">
        <x:v>2</x:v>
      </x:c>
      <x:c r="D780" s="20" t="str">
        <x:v>0</x:v>
      </x:c>
      <x:c r="E780" s="20" t="str"/>
      <x:c r="F780" s="20" t="str">
        <x:f>IF(E780="",D780,E780)</x:f>
        <x:v>0</x:v>
      </x:c>
      <x:c r="G780" s="13" t="str">
        <x:v>Updatable Learned Indexes Meet Disk-Resident DBMS -- From Evaluations to Design Choices</x:v>
      </x:c>
      <x:c r="H780" s="13" t="n">
        <x:v>20</x:v>
      </x:c>
      <x:c r="I780" s="22" t="n">
        <x:v>0.06018257049749369</x:v>
      </x:c>
      <x:c r="J780" s="13" t="n">
        <x:v>4</x:v>
      </x:c>
      <x:c r="K780" s="19" t="str">
        <x:v>What learned index structures have been proposed, and under which data distributions and update workloads do they outperform or underperform traditional indexes?</x:v>
      </x:c>
      <x:c r="L780" s="19" t="str">
        <x:v>[6] Yifan Dai, Yien Xu, Aishwarya Ganesan, Ramnatthan Alagappan, Brian Kroth, Andrea C. Arpaci-Dusseau, and Remzi H.
Arpaci-Dusseau. 2020. From WiscKey to Bourbon: A Learned Index for Log-Structured Merge Trees. InOSDI. 155–171.
[7] Jialin Ding, Umar Farooq Minhas, Jia Yu, Chi Wang, Jaeyoung Do, Yinan Li, Hantian Zhang, Badrish Chandramouli,
Johannes Gehrke, Donald Kossmann, David B. Lomet, and Tim Kraska. 2020. ALEX: An Updatable Adaptive Learned
Index. In SIGMOD. 969–984.
[8] Jialin Ding, Vikram Nathan, Mohammad Alizadeh, and Tim Kraska. 2020. Tsunami: A Learned Multi-dimensional
Index for Correlated Data and Skewed Workloads. Proc. VLDB Endow. 14, 2 (2020), 74–86.
[9] Paolo Ferragina and Giorgio Vinciguerra. 2020. The PGM-index: a fully-dynamic compressed learned index with
provable worst-case bounds. Proc. VLDB Endow. 13, 8 (2020), 1162–1175.</x:v>
      </x:c>
      <x:c r="M780" s="19" t="str">
        <x:v>该段为无关内容、泛泛提及或参考文献片段，不能作为回答证据。</x:v>
      </x:c>
      <x:c r="N780" s="13" t="str">
        <x:v>http://arxiv.org/abs/2305.01237v1</x:v>
      </x:c>
    </x:row>
    <x:row r="781" ht="58" customHeight="1">
      <x:c r="A781" s="13" t="str">
        <x:v>csq027-c003</x:v>
      </x:c>
      <x:c r="B781" s="13" t="str">
        <x:v>csq027</x:v>
      </x:c>
      <x:c r="C781" s="21" t="n">
        <x:v>3</x:v>
      </x:c>
      <x:c r="D781" s="20" t="str">
        <x:v>2</x:v>
      </x:c>
      <x:c r="E781" s="20" t="str"/>
      <x:c r="F781" s="20" t="str">
        <x:f>IF(E781="",D781,E781)</x:f>
        <x:v>2</x:v>
      </x:c>
      <x:c r="G781" s="13" t="str">
        <x:v>Updatable Learned Index with Precise Positions</x:v>
      </x:c>
      <x:c r="H781" s="13" t="n">
        <x:v>0</x:v>
      </x:c>
      <x:c r="I781" s="22" t="n">
        <x:v>0.05944138376017471</x:v>
      </x:c>
      <x:c r="J781" s="13" t="n">
        <x:v>4</x:v>
      </x:c>
      <x:c r="K781" s="19" t="str">
        <x:v>What learned index structures have been proposed, and under which data distributions and update workloads do they outperform or underperform traditional indexes?</x:v>
      </x:c>
      <x:c r="L781" s="19" t="str">
        <x:v>have been proposed to meet the requirement of various access
patterns and workloads. The recent study on Learned Index [22]
has opened up a new way to construct the index for sorted data.
Given a dataset, Learned Index utilizes machine learning models
to learn the data distribution and predict the position of a lookup
key in the dataset. It could be realized via supervised learning
techniques by using the Cumulative Distribution Function (CDF)
of the dataset for training. Since the models might be inaccurate
for the predicted positions, the learned index needs to search the
lookup key in a bounded range around the predicted positions.
Recent comprehensive experimental studies [20, 31] demonstrate
that learned indexes achieve significant advantages over traditional
index structures in terms of high performance and low memory
footprint.</x:v>
      </x:c>
      <x:c r="M781" s="19" t="str">
        <x:v>该段包含可直接回答问题的方法、指标、比较或研究发现。</x:v>
      </x:c>
      <x:c r="N781" s="13" t="str">
        <x:v>http://arxiv.org/abs/2104.05520v2</x:v>
      </x:c>
    </x:row>
    <x:row r="782" ht="58" customHeight="1">
      <x:c r="A782" s="13" t="str">
        <x:v>csq027-c004</x:v>
      </x:c>
      <x:c r="B782" s="13" t="str">
        <x:v>csq027</x:v>
      </x:c>
      <x:c r="C782" s="21" t="n">
        <x:v>4</x:v>
      </x:c>
      <x:c r="D782" s="20" t="str">
        <x:v>2</x:v>
      </x:c>
      <x:c r="E782" s="20" t="str"/>
      <x:c r="F782" s="20" t="str">
        <x:f>IF(E782="",D782,E782)</x:f>
        <x:v>2</x:v>
      </x:c>
      <x:c r="G782" s="13" t="str">
        <x:v>ALEX: An Updatable Adaptive Learned Index</x:v>
      </x:c>
      <x:c r="H782" s="13" t="n">
        <x:v>0</x:v>
      </x:c>
      <x:c r="I782" s="22" t="n">
        <x:v>0.04712301587301587</x:v>
      </x:c>
      <x:c r="J782" s="13" t="n">
        <x:v>3</x:v>
      </x:c>
      <x:c r="K782" s="19" t="str">
        <x:v>What learned index structures have been proposed, and under which data distributions and update workloads do they outperform or underperform traditional indexes?</x:v>
      </x:c>
      <x:c r="L782" s="19" t="str">
        <x:v>ALEX: An Updatable Adaptive Learned Index
Jialin Ding† Umar Farooq Minhas‡ Jia Yu§
Chi Wang‡ Jaeyoung Do‡ Yinan Li‡ Hantian Zhang∓ Badrish Chandramouli‡
Johannes Gehrke‡ Donald Kossmann‡ David Lomet‡ Tim Kraska†
†Massachuse/t_ts Institute of Technology‡Microso/f_t Research§Arizona State University
∓Georgia Institute of Technology
ABSTRACT
Recent work on “learned indexes” has changed the way we
look at the decades-old /f_ield of DBMS indexing. /T_he key idea
is that indexes can be thought of as “models” that predict the
position of a key in a dataset. Indexes can, thus, be learned.
/T_he original work by Kraska et al. shows that a learned index
beats a B+Tree by a factor of up to three in search time and
by an order of magnitude in memory footprint. However, it
is limited to static, read-only workloads.
In this paper, we present a new learned index called ALEX</x:v>
      </x:c>
      <x:c r="M782" s="19" t="str">
        <x:v>该段包含可直接回答问题的方法、指标、比较或研究发现。</x:v>
      </x:c>
      <x:c r="N782" s="13" t="str">
        <x:v>http://arxiv.org/abs/1905.08898v2</x:v>
      </x:c>
    </x:row>
    <x:row r="783" ht="58" customHeight="1">
      <x:c r="A783" s="13" t="str">
        <x:v>csq027-c005</x:v>
      </x:c>
      <x:c r="B783" s="13" t="str">
        <x:v>csq027</x:v>
      </x:c>
      <x:c r="C783" s="21" t="n">
        <x:v>5</x:v>
      </x:c>
      <x:c r="D783" s="20" t="str">
        <x:v>2</x:v>
      </x:c>
      <x:c r="E783" s="20" t="str"/>
      <x:c r="F783" s="20" t="str">
        <x:f>IF(E783="",D783,E783)</x:f>
        <x:v>2</x:v>
      </x:c>
      <x:c r="G783" s="13" t="str">
        <x:v>ALEX: An Updatable Adaptive Learned Index</x:v>
      </x:c>
      <x:c r="H783" s="13" t="n">
        <x:v>13</x:v>
      </x:c>
      <x:c r="I783" s="22" t="n">
        <x:v>0.04592074592074592</x:v>
      </x:c>
      <x:c r="J783" s="13" t="n">
        <x:v>3</x:v>
      </x:c>
      <x:c r="K783" s="19" t="str">
        <x:v>What learned index structures have been proposed, and under which data distributions and update workloads do they outperform or underperform traditional indexes?</x:v>
      </x:c>
      <x:c r="L783" s="19" t="str">
        <x:v>machine learning enables workload-speci/f_ic optimizations,
which also inspired our work.
8 CONCLUSION
We build on the excitement of learned indexes by proposing
ALEX, a new updatable learned index that eﬀectively com-
bines the core insights from the Learned Index with proven
storage and indexing techniques. Speci/f_ically, we propose a
Gapped Array node layout that uses model-based inserts and
exponential search, combined with an adaptive RMI structure
driven by simple cost models, to achieve high performance
and low memory footprint on dynamic workloads. Our in-
depth experimental results show that ALEX not only consis-
tently beats B+Tree across the read-write workload spectrum,
it even beats the existing Learned Index, on all datasets, by
up to 2.2× with read-only workloads.
We believe this paper presents important learnings to our</x:v>
      </x:c>
      <x:c r="M783" s="19" t="str">
        <x:v>该段包含可直接回答问题的方法、指标、比较或研究发现。</x:v>
      </x:c>
      <x:c r="N783" s="13" t="str">
        <x:v>http://arxiv.org/abs/1905.08898v2</x:v>
      </x:c>
    </x:row>
    <x:row r="784" ht="58" customHeight="1">
      <x:c r="A784" s="13" t="str">
        <x:v>csq027-c006</x:v>
      </x:c>
      <x:c r="B784" s="13" t="str">
        <x:v>csq027</x:v>
      </x:c>
      <x:c r="C784" s="21" t="n">
        <x:v>6</x:v>
      </x:c>
      <x:c r="D784" s="20" t="str">
        <x:v>0</x:v>
      </x:c>
      <x:c r="E784" s="20" t="str"/>
      <x:c r="F784" s="20" t="str">
        <x:f>IF(E784="",D784,E784)</x:f>
        <x:v>0</x:v>
      </x:c>
      <x:c r="G784" s="13" t="str">
        <x:v>A Simple Yet High-Performing On-disk Learned Index: Can We Have Our Cake and Eat it Too?</x:v>
      </x:c>
      <x:c r="H784" s="13" t="n">
        <x:v>13</x:v>
      </x:c>
      <x:c r="I784" s="22" t="n">
        <x:v>0.0443701226309922</x:v>
      </x:c>
      <x:c r="J784" s="13" t="n">
        <x:v>3</x:v>
      </x:c>
      <x:c r="K784" s="19" t="str">
        <x:v>What learned index structures have been proposed, and under which data distributions and update workloads do they outperform or underperform traditional indexes?</x:v>
      </x:c>
      <x:c r="L784" s="19" t="str">
        <x:v>[4] Jialin Ding, Umar Farooq Minhas, Jia Yu, Chi Wang, Jaeyoung Do, Yinan Li,
Hantian Zhang, Badrish Chandramouli, Johannes Gehrke, Donald Kossmann,
David B. Lomet, and Tim Kraska. 2020. ALEX: An Updatable Adaptive Learned
Index. In SIGMO. 969–984.
[5] Jialin Ding, Vikram Nathan, Mohammad Alizadeh, and Tim Kraska. 2020.
Tsunami: A Learned Multi-dimensional Index for Correlated Data and Skewed
Workloads. Proc. VLDB Endow. 14, 2 (2020), 74–86.
[6] Paolo Ferragina, Fabrizio Lillo, and Giorgio Vinciguerra. 2020. Why Are Learned
Indexes So Effective?. InICML (Proceedings of Machine Learning Research, Vol. 119).
PMLR, 3123–3132.
[7] Paolo Ferragina and Giorgio Vinciguerra. 2020. The PGM-index: a fully-dynamic
compressed learned index with provable worst-case bounds. Proc. VLDB Endow.
13, 8 (2020), 1162–1175.
[8] Alex Galakatos, Michael Markovitch, Carsten Binnig, Rodrigo Fonseca, and Tim</x:v>
      </x:c>
      <x:c r="M784" s="19" t="str">
        <x:v>该段为无关内容、泛泛提及或参考文献片段，不能作为回答证据。</x:v>
      </x:c>
      <x:c r="N784" s="13" t="str">
        <x:v>http://arxiv.org/abs/2306.02604v1</x:v>
      </x:c>
    </x:row>
    <x:row r="785" ht="58" customHeight="1">
      <x:c r="A785" s="13" t="str">
        <x:v>csq027-c007</x:v>
      </x:c>
      <x:c r="B785" s="13" t="str">
        <x:v>csq027</x:v>
      </x:c>
      <x:c r="C785" s="21" t="n">
        <x:v>7</x:v>
      </x:c>
      <x:c r="D785" s="20" t="str">
        <x:v>0</x:v>
      </x:c>
      <x:c r="E785" s="20" t="str"/>
      <x:c r="F785" s="20" t="str">
        <x:f>IF(E785="",D785,E785)</x:f>
        <x:v>0</x:v>
      </x:c>
      <x:c r="G785" s="13" t="str">
        <x:v>DILI: A Distribution-Driven Learned Index (Extended version)</x:v>
      </x:c>
      <x:c r="H785" s="13" t="n">
        <x:v>12</x:v>
      </x:c>
      <x:c r="I785" s="22" t="n">
        <x:v>0.04252339369009539</x:v>
      </x:c>
      <x:c r="J785" s="13" t="n">
        <x:v>3</x:v>
      </x:c>
      <x:c r="K785" s="19" t="str">
        <x:v>What learned index structures have been proposed, and under which data distributions and update workloads do they outperform or underperform traditional indexes?</x:v>
      </x:c>
      <x:c r="L785" s="19" t="str">
        <x:v>Queries. In EDBT. OpenProceedings.org, 407–410.
[18] Jialin Ding, Umar Farooq Minhas, Jia Yu, Chi Wang, Jaeyoung Do, Yinan Li,
Hantian Zhang, Badrish Chandramouli, Johannes Gehrke, Donald Kossmann,
David B. Lomet, and Tim Kraska. 2020. ALEX: An Updatable Adaptive Learned
Index. In SIGMOD. 969–984.
[19] Jialin Ding, Vikram Nathan, Mohammad Alizadeh, and Tim Kraska. 2020.
Tsunami: A Learned Multi-dimensional Index for Correlated Data and Skewed
Workloads. CoRR abs/2006.13282 (2020). arXiv:2006.13282 https://arxiv.org/abs/
2006.13282
[20] Paolo Ferragina and Giorgio Vinciguerra. 2020. The PGM-index: a fully-dynamic
compressed learned index with provable worst-case bounds. Proc. VLDB Endow.
13, 8 (2020), 1162–1175.
[21] Agner Fog. 2018. Lists of Instruction Latencies, Throughputs and Micro-operation
Breakdowns for Intel, AMD and VIA CPUs, Technical University of Denmar, Last</x:v>
      </x:c>
      <x:c r="M785" s="19" t="str">
        <x:v>该段为无关内容、泛泛提及或参考文献片段，不能作为回答证据。</x:v>
      </x:c>
      <x:c r="N785" s="13" t="str">
        <x:v>http://arxiv.org/abs/2304.08817v2</x:v>
      </x:c>
    </x:row>
    <x:row r="786" ht="58" customHeight="1">
      <x:c r="A786" s="13" t="str">
        <x:v>csq027-c008</x:v>
      </x:c>
      <x:c r="B786" s="13" t="str">
        <x:v>csq027</x:v>
      </x:c>
      <x:c r="C786" s="21" t="n">
        <x:v>8</x:v>
      </x:c>
      <x:c r="D786" s="20" t="str">
        <x:v>2</x:v>
      </x:c>
      <x:c r="E786" s="20" t="str"/>
      <x:c r="F786" s="20" t="str">
        <x:f>IF(E786="",D786,E786)</x:f>
        <x:v>2</x:v>
      </x:c>
      <x:c r="G786" s="13" t="str">
        <x:v>ALEX: An Updatable Adaptive Learned Index</x:v>
      </x:c>
      <x:c r="H786" s="13" t="n">
        <x:v>0</x:v>
      </x:c>
      <x:c r="I786" s="22" t="n">
        <x:v>0.03252247488101534</x:v>
      </x:c>
      <x:c r="J786" s="13" t="n">
        <x:v>2</x:v>
      </x:c>
      <x:c r="K786" s="19" t="str">
        <x:v>What learned index structures have been proposed, and under which data distributions and update workloads do they outperform or underperform traditional indexes?</x:v>
      </x:c>
      <x:c r="L786" s="19" t="str">
        <x:v>is limited to static, read-only workloads.
In this paper, we present a new learned index called ALEX
which addresses practical issues that arise when implement-
ing learned indexes for workloads that contain a mix of point
lookups, short range queries, inserts, updates, and deletes.
ALEX eﬀectively combines the core insights from learned in-
dexes with proven storage and indexing techniques to achieve
high performance and low memory footprint. On read-only
workloads, ALEX beats the learned index from Kraska et al. by
up to 2.2× on performance with up to 15× smaller index size.
Across the spectrum of read-write workloads, ALEX beats
B+Trees by up to 4.1× while never performing worse, with
up to 2000× smaller index size. We believe ALEX presents
a key step towards making learned indexes practical for a
broader class of database workloads with dynamic updates.
1 INTRODUCTION</x:v>
      </x:c>
      <x:c r="M786" s="19" t="str">
        <x:v>该段包含可直接回答问题的方法、指标、比较或研究发现。</x:v>
      </x:c>
      <x:c r="N786" s="13" t="str">
        <x:v>http://arxiv.org/abs/1905.08898v2</x:v>
      </x:c>
    </x:row>
    <x:row r="787" ht="58" customHeight="1">
      <x:c r="A787" s="13" t="str">
        <x:v>csq027-c009</x:v>
      </x:c>
      <x:c r="B787" s="13" t="str">
        <x:v>csq027</x:v>
      </x:c>
      <x:c r="C787" s="21" t="n">
        <x:v>9</x:v>
      </x:c>
      <x:c r="D787" s="20" t="str">
        <x:v>2</x:v>
      </x:c>
      <x:c r="E787" s="20" t="str"/>
      <x:c r="F787" s="20" t="str">
        <x:f>IF(E787="",D787,E787)</x:f>
        <x:v>2</x:v>
      </x:c>
      <x:c r="G787" s="13" t="str">
        <x:v>Learned Indexes for Dynamic Workloads</x:v>
      </x:c>
      <x:c r="H787" s="13" t="n">
        <x:v>0</x:v>
      </x:c>
      <x:c r="I787" s="22" t="n">
        <x:v>0.031024531024531024</x:v>
      </x:c>
      <x:c r="J787" s="13" t="n">
        <x:v>2</x:v>
      </x:c>
      <x:c r="K787" s="19" t="str">
        <x:v>What learned index structures have been proposed, and under which data distributions and update workloads do they outperform or underperform traditional indexes?</x:v>
      </x:c>
      <x:c r="L787" s="19" t="str">
        <x:v>Learned Indexes for Dynamic Workloads
Chuzhe Tang, Zhiyuan Dong, Minjie Wang†, Zhaoguo Wang, Haibo Chen
Shanghai Jiao Tong University,† New York University
Abstract
The recent proposal of learned index structures opens up
a new perspective on how traditional range indexes can
be optimized. However, the current learned indexes as-
sume the data distribution is relatively static and the ac-
cess pattern is uniform, while real-world scenarios con-
sist of skew query distribution and evolving data. In
this paper, we demonstrate that the missing considera-
tion of access patterns and dynamic data distribution no-
tably hinders the applicability of learned indexes. To
this end, we propose solutions for learned indexes for
dynamic workloads (called Doraemon). To improve the
latency for skew queries, Doraemon augments the train-
ing data with access frequencies. To address the slow</x:v>
      </x:c>
      <x:c r="M787" s="19" t="str">
        <x:v>该段包含可直接回答问题的方法、指标、比较或研究发现。</x:v>
      </x:c>
      <x:c r="N787" s="13" t="str">
        <x:v>http://arxiv.org/abs/1902.00655v1</x:v>
      </x:c>
    </x:row>
    <x:row r="788" ht="58" customHeight="1">
      <x:c r="A788" s="13" t="str">
        <x:v>csq027-c010</x:v>
      </x:c>
      <x:c r="B788" s="13" t="str">
        <x:v>csq027</x:v>
      </x:c>
      <x:c r="C788" s="21" t="n">
        <x:v>10</x:v>
      </x:c>
      <x:c r="D788" s="20" t="str">
        <x:v>2</x:v>
      </x:c>
      <x:c r="E788" s="20" t="str"/>
      <x:c r="F788" s="20" t="str">
        <x:f>IF(E788="",D788,E788)</x:f>
        <x:v>2</x:v>
      </x:c>
      <x:c r="G788" s="13" t="str">
        <x:v>ALEX: An Updatable Adaptive Learned Index</x:v>
      </x:c>
      <x:c r="H788" s="13" t="n">
        <x:v>0</x:v>
      </x:c>
      <x:c r="I788" s="22" t="n">
        <x:v>0.029571646010002173</x:v>
      </x:c>
      <x:c r="J788" s="13" t="n">
        <x:v>2</x:v>
      </x:c>
      <x:c r="K788" s="19" t="str">
        <x:v>What learned index structures have been proposed, and under which data distributions and update workloads do they outperform or underperform traditional indexes?</x:v>
      </x:c>
      <x:c r="L788" s="19" t="str">
        <x:v>broader class of database workloads with dynamic updates.
1 INTRODUCTION
Recent work by Kraska et al. [19], which we will refer to as the
Learned Index, proposes to replace a standard database index
with a hierarchy of machine learning (ML) models. Given a
key, an intermediate node in the hierarchy is a model to pre-
dict the child model to use, and a leaf node in this hierarchy is a
model to predict the location of the key in a densely packed ar-
ray (Fig. 1). /T_he models for this Learned Index are trained from
the data. /T_heir key insight is that using (even simple) models
that adapt to the data distribution to make a “good enough”
guess of a key’s actual location signi/f_icantly improves per-
formance. However, their solution can only handle lookups
on read-only data, with no support for update operations.
/T_his critical drawback makes the Learned Index unusable for</x:v>
      </x:c>
      <x:c r="M788" s="19" t="str">
        <x:v>该段包含可直接回答问题的方法、指标、比较或研究发现。</x:v>
      </x:c>
      <x:c r="N788" s="13" t="str">
        <x:v>http://arxiv.org/abs/1905.08898v2</x:v>
      </x:c>
    </x:row>
    <x:row r="789" ht="58" customHeight="1">
      <x:c r="A789" s="13" t="str">
        <x:v>csq027-c011</x:v>
      </x:c>
      <x:c r="B789" s="13" t="str">
        <x:v>csq027</x:v>
      </x:c>
      <x:c r="C789" s="21" t="n">
        <x:v>11</x:v>
      </x:c>
      <x:c r="D789" s="20" t="str">
        <x:v>0</x:v>
      </x:c>
      <x:c r="E789" s="20" t="str"/>
      <x:c r="F789" s="20" t="str">
        <x:f>IF(E789="",D789,E789)</x:f>
        <x:v>0</x:v>
      </x:c>
      <x:c r="G789" s="13" t="str">
        <x:v>Updatable Learned Index with Precise Positions</x:v>
      </x:c>
      <x:c r="H789" s="13" t="n">
        <x:v>12</x:v>
      </x:c>
      <x:c r="I789" s="22" t="n">
        <x:v>0.029571646010002173</x:v>
      </x:c>
      <x:c r="J789" s="13" t="n">
        <x:v>2</x:v>
      </x:c>
      <x:c r="K789" s="19" t="str">
        <x:v>What learned index structures have been proposed, and under which data distributions and update workloads do they outperform or underperform traditional indexes?</x:v>
      </x:c>
      <x:c r="L789" s="19" t="str">
        <x:v>1388–1402.
[20] Andreas Kipf, Ryan Marcus, Alexander van Renen, Mihail Stoian, Alfons Kemper,
Tim Kraska, and Thomas Neumann. 2019. SOSD: A Benchmark for Learned
Indexes. CoRR abs/1911.13014 (2019).
[21] Andreas Kipf, Ryan Marcus, Alexander van Renen, Mihail Stoian, Alfons Kemper,
Tim Kraska, and Thomas Neumann. 2020. RadixSpline: a single-pass learned
index. In aiDM@SIGMOD 2020. 5:1–5:5.
[22] Tim Kraska, Alex Beutel, Ed H. Chi, Jeffrey Dean, and Neoklis Polyzotis. 2018.
The Case for Learned Index Structures. In SIGMOD. 489–504.
[23] Ani Kristo, Kapil Vaidya, Ugur Çetintemel, Sanchit Misra, and Tim Kraska. 2020.
The Case for a Learned Sorting Algorithm. In SIGMOD. 1001–1016.
[24] Philip L. Lehman and S. Bing Yao. 1981. Efficient Locking for Concurrent Opera-
tions on B-Trees. ACM Trans. Database Syst. 6, 4 (1981), 650–670.</x:v>
      </x:c>
      <x:c r="M789" s="19" t="str">
        <x:v>该段为无关内容、泛泛提及或参考文献片段，不能作为回答证据。</x:v>
      </x:c>
      <x:c r="N789" s="13" t="str">
        <x:v>http://arxiv.org/abs/2104.05520v2</x:v>
      </x:c>
    </x:row>
    <x:row r="790" ht="58" customHeight="1">
      <x:c r="A790" s="13" t="str">
        <x:v>csq027-c012</x:v>
      </x:c>
      <x:c r="B790" s="13" t="str">
        <x:v>csq027</x:v>
      </x:c>
      <x:c r="C790" s="21" t="n">
        <x:v>12</x:v>
      </x:c>
      <x:c r="D790" s="20" t="str">
        <x:v>0</x:v>
      </x:c>
      <x:c r="E790" s="20" t="str"/>
      <x:c r="F790" s="20" t="str">
        <x:f>IF(E790="",D790,E790)</x:f>
        <x:v>0</x:v>
      </x:c>
      <x:c r="G790" s="13" t="str">
        <x:v>Updatable Learned Index with Precise Positions</x:v>
      </x:c>
      <x:c r="H790" s="13" t="n">
        <x:v>12</x:v>
      </x:c>
      <x:c r="I790" s="22" t="n">
        <x:v>0.029437229437229435</x:v>
      </x:c>
      <x:c r="J790" s="13" t="n">
        <x:v>2</x:v>
      </x:c>
      <x:c r="K790" s="19" t="str">
        <x:v>What learned index structures have been proposed, and under which data distributions and update workloads do they outperform or underperform traditional indexes?</x:v>
      </x:c>
      <x:c r="L790" s="19" t="str">
        <x:v>Hantian Zhang, Badrish Chandramouli, Johannes Gehrke, Donald Kossmann,
David B. Lomet, and Tim Kraska. 2020. ALEX: An Updatable Adaptive Learned
Index. In SIGMOD. 969–984.
[12] Paolo Ferragina and Giorgio Vinciguerra. 2020. The PGM-index: a fully-dynamic
compressed learned index with provable worst-case bounds. PVLDB 13, 8 (2020),
1162–1175.
[13] Alex Galakatos, Michael Markovitch, Carsten Binnig, Rodrigo Fonseca, and
Tim Kraska. 2018. A-Tree: A Bounded Approximate Index Structure. CoRR
abs/1801.10207 (2018).
[14] Alex Galakatos, Michael Markovitch, Carsten Binnig, Rodrigo Fonseca, and Tim
Kraska. 2019. FITing-Tree: A Data-aware Index Structure. InSIGMOD. 1189–1206.
[15] Richard A. Hankins and Jignesh M. Patel. 2003. Effect of node size on the
performance of cache-conscious B+-trees. In SIGMETRICS. 283–294.</x:v>
      </x:c>
      <x:c r="M790" s="19" t="str">
        <x:v>该段为无关内容、泛泛提及或参考文献片段，不能作为回答证据。</x:v>
      </x:c>
      <x:c r="N790" s="13" t="str">
        <x:v>http://arxiv.org/abs/2104.05520v2</x:v>
      </x:c>
    </x:row>
    <x:row r="791" ht="58" customHeight="1">
      <x:c r="A791" s="13" t="str">
        <x:v>csq027-c013</x:v>
      </x:c>
      <x:c r="B791" s="13" t="str">
        <x:v>csq027</x:v>
      </x:c>
      <x:c r="C791" s="21" t="n">
        <x:v>13</x:v>
      </x:c>
      <x:c r="D791" s="20" t="str">
        <x:v>1</x:v>
      </x:c>
      <x:c r="E791" s="20" t="str"/>
      <x:c r="F791" s="20" t="str">
        <x:f>IF(E791="",D791,E791)</x:f>
        <x:v>1</x:v>
      </x:c>
      <x:c r="G791" s="13" t="str">
        <x:v>Micro-architectural Analysis of a Learned Index</x:v>
      </x:c>
      <x:c r="H791" s="13" t="n">
        <x:v>2</x:v>
      </x:c>
      <x:c r="I791" s="22" t="n">
        <x:v>0.028370221327967807</x:v>
      </x:c>
      <x:c r="J791" s="13" t="n">
        <x:v>2</x:v>
      </x:c>
      <x:c r="K791" s="19" t="str">
        <x:v>What learned index structures have been proposed, and under which data distributions and update workloads do they outperform or underperform traditional indexes?</x:v>
      </x:c>
      <x:c r="L791" s="19" t="str">
        <x:v>our methodology, this work could be easily expanded to in-
dexes optimized for different workloads. As mentioned in
Section 1 and detailed in Section 2.1, we specifically picked
learned index ALEX [ 9], ART [ 7], and B+Tree [ 4]. ALEX
[10] is a state-of-the-art proposal for an adaptive updatable
learned index. Therefore, it fits very well for our scope. Com-
paring it to ART and B+Tree helps with making our results
3</x:v>
      </x:c>
      <x:c r="M791" s="19" t="str">
        <x:v>该段提供相关背景或侧面信息，但没有直接回答问题核心。</x:v>
      </x:c>
      <x:c r="N791" s="13" t="str">
        <x:v>http://arxiv.org/abs/2109.08495v1</x:v>
      </x:c>
    </x:row>
    <x:row r="792" ht="58" customHeight="1">
      <x:c r="A792" s="13" t="str">
        <x:v>csq027-c014</x:v>
      </x:c>
      <x:c r="B792" s="13" t="str">
        <x:v>csq027</x:v>
      </x:c>
      <x:c r="C792" s="21" t="n">
        <x:v>14</x:v>
      </x:c>
      <x:c r="D792" s="20" t="str">
        <x:v>2</x:v>
      </x:c>
      <x:c r="E792" s="20" t="str"/>
      <x:c r="F792" s="20" t="str">
        <x:f>IF(E792="",D792,E792)</x:f>
        <x:v>2</x:v>
      </x:c>
      <x:c r="G792" s="13" t="str">
        <x:v>SOSD: A Benchmark for Learned Indexes</x:v>
      </x:c>
      <x:c r="H792" s="13" t="n">
        <x:v>0</x:v>
      </x:c>
      <x:c r="I792" s="22" t="n">
        <x:v>0.028258706467661692</x:v>
      </x:c>
      <x:c r="J792" s="13" t="n">
        <x:v>2</x:v>
      </x:c>
      <x:c r="K792" s="19" t="str">
        <x:v>What learned index structures have been proposed, and under which data distributions and update workloads do they outperform or underperform traditional indexes?</x:v>
      </x:c>
      <x:c r="L792" s="19" t="str">
        <x:v>To answer this question, we propose a new benchmarking framework that comes
with a variety of real-world datasets and baseline implementations to compare
against. We also show preliminary results for selected index structures, and ﬁnd
that learned models indeed often outperform state-of-the-art implementations, and
are therefore a promising direction for future research.
1 Introduction
There has been a recent surge in proposals to replace traditional database system components, such as
query optimizers and index structures, with learned counterparts [12,13,16,17]. In particular, learned
indexes [14] raised a lot of attention in the database community. Learned indexes replace structures
such as B-trees with learned models that can accelerate lookups by predicting the position of a sought
key in a sorted array (i.e., approximating the underlying cumulative distribution function, or CDF).</x:v>
      </x:c>
      <x:c r="M792" s="19" t="str">
        <x:v>该段包含可直接回答问题的方法、指标、比较或研究发现。</x:v>
      </x:c>
      <x:c r="N792" s="13" t="str">
        <x:v>http://arxiv.org/abs/1911.13014v1</x:v>
      </x:c>
    </x:row>
    <x:row r="793" ht="58" customHeight="1">
      <x:c r="A793" s="13" t="str">
        <x:v>csq027-c015</x:v>
      </x:c>
      <x:c r="B793" s="13" t="str">
        <x:v>csq027</x:v>
      </x:c>
      <x:c r="C793" s="21" t="n">
        <x:v>15</x:v>
      </x:c>
      <x:c r="D793" s="20" t="str">
        <x:v>2</x:v>
      </x:c>
      <x:c r="E793" s="20" t="str"/>
      <x:c r="F793" s="20" t="str">
        <x:f>IF(E793="",D793,E793)</x:f>
        <x:v>2</x:v>
      </x:c>
      <x:c r="G793" s="13" t="str">
        <x:v>Benchmarking Learned Indexes</x:v>
      </x:c>
      <x:c r="H793" s="13" t="n">
        <x:v>12</x:v>
      </x:c>
      <x:c r="I793" s="22" t="n">
        <x:v>0.02821939586645469</x:v>
      </x:c>
      <x:c r="J793" s="13" t="n">
        <x:v>2</x:v>
      </x:c>
      <x:c r="K793" s="19" t="str">
        <x:v>What learned index structures have been proposed, and under which data distributions and update workloads do they outperform or underperform traditional indexes?</x:v>
      </x:c>
      <x:c r="L793" s="19" t="str">
        <x:v>In this work, we present an open source benchmark that
includes several state-of-the-art tuned implementations of
learned and traditional index structures, as well as sev-
eral real-world datasets. Our experiments on read-only in-
memory workloads searching over dense arrays showed that
learned structures provided Pareto dominant performance /
size behavior. This dominance, while sometimes diminished,
persists even when varying dataset sizes, key sizes, mem-
ory fences, cold caches, and multi-threading. We demon-
strate that the performance of learned index structures
is not attributable to any speciﬁc metric, although cache
misses played the largest explanatory role. In our experi-
ments, learned structures generally had higher build times
than insert-optimized traditional structures like BTrees.
Amongst learned structures, we found that RMIs provided</x:v>
      </x:c>
      <x:c r="M793" s="19" t="str">
        <x:v>该段包含可直接回答问题的方法、指标、比较或研究发现。</x:v>
      </x:c>
      <x:c r="N793" s="13" t="str">
        <x:v>http://arxiv.org/abs/2006.12804v2</x:v>
      </x:c>
    </x:row>
    <x:row r="794" ht="58" customHeight="1">
      <x:c r="A794" s="13" t="str">
        <x:v>csq027-c016</x:v>
      </x:c>
      <x:c r="B794" s="13" t="str">
        <x:v>csq027</x:v>
      </x:c>
      <x:c r="C794" s="21" t="n">
        <x:v>16</x:v>
      </x:c>
      <x:c r="D794" s="20" t="str">
        <x:v>2</x:v>
      </x:c>
      <x:c r="E794" s="20" t="str"/>
      <x:c r="F794" s="20" t="str">
        <x:f>IF(E794="",D794,E794)</x:f>
        <x:v>2</x:v>
      </x:c>
      <x:c r="G794" s="13" t="str">
        <x:v>SOSD: A Benchmark for Learned Indexes</x:v>
      </x:c>
      <x:c r="H794" s="13" t="n">
        <x:v>0</x:v>
      </x:c>
      <x:c r="I794" s="22" t="n">
        <x:v>0.02821939586645469</x:v>
      </x:c>
      <x:c r="J794" s="13" t="n">
        <x:v>2</x:v>
      </x:c>
      <x:c r="K794" s="19" t="str">
        <x:v>What learned index structures have been proposed, and under which data distributions and update workloads do they outperform or underperform traditional indexes?</x:v>
      </x:c>
      <x:c r="L794" s="19" t="str">
        <x:v>SOSD: A Benchmark for Learned Indexes
Andreas Kipf∗
TUM
kipf@in.tum.de
Ryan Marcus∗
MIT CSAIL
ryanmarcus@mit.edu
Alexander van Renen∗
TUM
renen@in.tum.de
Mihail Stoian
TUM
stoian@in.tum.de
Alfons Kemper
TUM
kemper@in.tum.de
Tim Kraska
MIT CSAIL
kraska@mit.edu
Thomas Neumann
TUM
neumann@in.tum.de
Abstract
A groundswell of recent work has focused on improving data management systems
with learned components. Speciﬁcally, work on learned index structures has
proposed replacing traditional index structures, such as B-trees, with learned
models. Given the decades of research committed to improving index structures,
there is signiﬁcant skepticism about whether learned indexes actually outperform
state-of-the-art implementations of traditional structures on real-world data.
To answer this question, we propose a new benchmarking framework that comes</x:v>
      </x:c>
      <x:c r="M794" s="19" t="str">
        <x:v>该段包含可直接回答问题的方法、指标、比较或研究发现。</x:v>
      </x:c>
      <x:c r="N794" s="13" t="str">
        <x:v>http://arxiv.org/abs/1911.13014v1</x:v>
      </x:c>
    </x:row>
    <x:row r="795" ht="58" customHeight="1">
      <x:c r="A795" s="13" t="str">
        <x:v>csq027-c017</x:v>
      </x:c>
      <x:c r="B795" s="13" t="str">
        <x:v>csq027</x:v>
      </x:c>
      <x:c r="C795" s="21" t="n">
        <x:v>17</x:v>
      </x:c>
      <x:c r="D795" s="20" t="str">
        <x:v>2</x:v>
      </x:c>
      <x:c r="E795" s="20" t="str"/>
      <x:c r="F795" s="20" t="str">
        <x:f>IF(E795="",D795,E795)</x:f>
        <x:v>2</x:v>
      </x:c>
      <x:c r="G795" s="13" t="str">
        <x:v>ALEX: An Updatable Adaptive Learned Index</x:v>
      </x:c>
      <x:c r="H795" s="13" t="n">
        <x:v>9</x:v>
      </x:c>
      <x:c r="I795" s="22" t="n">
        <x:v>0.01639344262295082</x:v>
      </x:c>
      <x:c r="J795" s="13" t="n">
        <x:v>1</x:v>
      </x:c>
      <x:c r="K795" s="19" t="str">
        <x:v>What learned index structures have been proposed, and under which data distributions and update workloads do they outperform or underperform traditional indexes?</x:v>
      </x:c>
      <x:c r="L795" s="19" t="str">
        <x:v>Max DN size 5.78MB 8.22MB 14.1MB 12.3MB
On the longlat and YCSB datasets, ALEX performance is
similar to Learned Index. /T_he longlat dataset is highly non-
uniform, so ALEX is unable to achieve high performance, even
with adaptive RMI. /T_he YCSB dataset is nearly uniform, so
the optimal allocation of models is uniform; ALEX adaptively
/f_inds this optimal allocation, and Learned Index allocates this
way by nature, so the resulting RMI structures are similar. On
the other two datasets, ALEX has more performance advan-
tage over Learned Index, which we explain in Section 6.3.
In general, Model B+Tree outperforms B+Tree while also
having smaller index size, because the tuned page size of
Model B+Tree is always larger than those of B+Tree. /T_he ben-
e/f_it of models in Model B+Tree is greatest when the key distri-
bution within each node is more uniform, which is why Model</x:v>
      </x:c>
      <x:c r="M795" s="19" t="str">
        <x:v>该段包含可直接回答问题的方法、指标、比较或研究发现。</x:v>
      </x:c>
      <x:c r="N795" s="13" t="str">
        <x:v>http://arxiv.org/abs/1905.08898v2</x:v>
      </x:c>
    </x:row>
    <x:row r="796" ht="58" customHeight="1">
      <x:c r="A796" s="13" t="str">
        <x:v>csq027-c018</x:v>
      </x:c>
      <x:c r="B796" s="13" t="str">
        <x:v>csq027</x:v>
      </x:c>
      <x:c r="C796" s="21" t="n">
        <x:v>18</x:v>
      </x:c>
      <x:c r="D796" s="20" t="str">
        <x:v>2</x:v>
      </x:c>
      <x:c r="E796" s="20" t="str"/>
      <x:c r="F796" s="20" t="str">
        <x:f>IF(E796="",D796,E796)</x:f>
        <x:v>2</x:v>
      </x:c>
      <x:c r="G796" s="13" t="str">
        <x:v>A Simple Yet High-Performing On-disk Learned Index: Can We Have Our Cake and Eat it Too?</x:v>
      </x:c>
      <x:c r="H796" s="13" t="n">
        <x:v>0</x:v>
      </x:c>
      <x:c r="I796" s="22" t="n">
        <x:v>0.01639344262295082</x:v>
      </x:c>
      <x:c r="J796" s="13" t="n">
        <x:v>1</x:v>
      </x:c>
      <x:c r="K796" s="19" t="str">
        <x:v>What learned index structures have been proposed, and under which data distributions and update workloads do they outperform or underperform traditional indexes?</x:v>
      </x:c>
      <x:c r="L796" s="19" t="str">
        <x:v>dexes perform on disk? To answer that, we implemented four state-
of-the-art updatable learned indexes [4, 7, 8, 35] on disk and com-
pared them against a standard B+-tree across six workload types
commonly encountered by a database. Figures 1(a)-(b) present the
normalized throughput on COVID and FB, which are a representa-
tive of easy and hard dataset respectively, as per the dataset profiling
in a recent experimental study on learned indexes [34]. We observe
that although these learned indexes exhibit different strengths and
weaknesses depending on the workload type and dataset distribu-
tion, none of them outperforms or achieves competitive performance
to the B+-tree across all workload types on any dataset . This should
come as no surprise to database designers, given that most research
on learned indexes has focused on in-memory performance. The</x:v>
      </x:c>
      <x:c r="M796" s="19" t="str">
        <x:v>该段包含可直接回答问题的方法、指标、比较或研究发现。</x:v>
      </x:c>
      <x:c r="N796" s="13" t="str">
        <x:v>http://arxiv.org/abs/2306.02604v1</x:v>
      </x:c>
    </x:row>
    <x:row r="797" ht="58" customHeight="1">
      <x:c r="A797" s="13" t="str">
        <x:v>csq027-c019</x:v>
      </x:c>
      <x:c r="B797" s="13" t="str">
        <x:v>csq027</x:v>
      </x:c>
      <x:c r="C797" s="21" t="n">
        <x:v>19</x:v>
      </x:c>
      <x:c r="D797" s="20" t="str">
        <x:v>0</x:v>
      </x:c>
      <x:c r="E797" s="20" t="str"/>
      <x:c r="F797" s="20" t="str">
        <x:f>IF(E797="",D797,E797)</x:f>
        <x:v>0</x:v>
      </x:c>
      <x:c r="G797" s="13" t="str">
        <x:v>A Simple Yet High-Performing On-disk Learned Index: Can We Have Our Cake and Eat it Too?</x:v>
      </x:c>
      <x:c r="H797" s="13" t="n">
        <x:v>13</x:v>
      </x:c>
      <x:c r="I797" s="22" t="n">
        <x:v>0.01639344262295082</x:v>
      </x:c>
      <x:c r="J797" s="13" t="n">
        <x:v>1</x:v>
      </x:c>
      <x:c r="K797" s="19" t="str">
        <x:v>What learned index structures have been proposed, and under which data distributions and update workloads do they outperform or underperform traditional indexes?</x:v>
      </x:c>
      <x:c r="L797" s="19" t="str">
        <x:v>LSI: a learned secondary index structure. In aiDM@SIGMOD. ACM, 4:1–4:5.
[13] Andreas Kipf, Ryan Marcus, Alexander van Renen, Mihail Stoian, Alfons Kemper,
Tim Kraska, and Thomas Neumann. 2020. RadixSpline: a single-pass learned
index. In aiDM@SIGMOD. ACM, 5:1–5:5.
[14] Tim Kraska, Alex Beutel, Ed H. Chi, Jeffrey Dean, and Neoklis Polyzotis. 2018.
The Case for Learned Index Structures. In SIGMOD. 489–504.
[15] Pengfei Li, Yu Hua, Jingnan Jia, and Pengfei Zuo. 2021. FINEdex: A Fine-grained
Learned Index Scheme for Scalable and Concurrent Memory Systems.Proc. VLDB
Endow. 15, 2 (2021), 321–334.
[16] Pengfei Li, Hua Lu, Qian Zheng, Long Yang, and Gang Pan. 2020. LISA: A Learned
Index Structure for Spatial Data. In SIMGOD. ACM, 2119–2133.
[17] Anisa Llaveshi, Utku Sirin, Anastasia Ailamaki, and Robert West. 2019. Acceler-</x:v>
      </x:c>
      <x:c r="M797" s="19" t="str">
        <x:v>该段为无关内容、泛泛提及或参考文献片段，不能作为回答证据。</x:v>
      </x:c>
      <x:c r="N797" s="13" t="str">
        <x:v>http://arxiv.org/abs/2306.02604v1</x:v>
      </x:c>
    </x:row>
    <x:row r="798" ht="58" customHeight="1">
      <x:c r="A798" s="13" t="str">
        <x:v>csq027-c020</x:v>
      </x:c>
      <x:c r="B798" s="13" t="str">
        <x:v>csq027</x:v>
      </x:c>
      <x:c r="C798" s="21" t="n">
        <x:v>20</x:v>
      </x:c>
      <x:c r="D798" s="20" t="str">
        <x:v>2</x:v>
      </x:c>
      <x:c r="E798" s="20" t="str"/>
      <x:c r="F798" s="20" t="str">
        <x:f>IF(E798="",D798,E798)</x:f>
        <x:v>2</x:v>
      </x:c>
      <x:c r="G798" s="13" t="str">
        <x:v>ALEX: An Updatable Adaptive Learned Index</x:v>
      </x:c>
      <x:c r="H798" s="13" t="n">
        <x:v>0</x:v>
      </x:c>
      <x:c r="I798" s="22" t="n">
        <x:v>0.016129032258064516</x:v>
      </x:c>
      <x:c r="J798" s="13" t="n">
        <x:v>1</x:v>
      </x:c>
      <x:c r="K798" s="19" t="str">
        <x:v>What learned index structures have been proposed, and under which data distributions and update workloads do they outperform or underperform traditional indexes?</x:v>
      </x:c>
      <x:c r="L798" s="19" t="str">
        <x:v>on read-only data, with no support for update operations.
/T_his critical drawback makes the Learned Index unusable for
dynamic, read-write workloads, common in practice.
In this work, we start by asking ourselves the following
research question: Can we design a new high performance
index for dynamic workloads that eﬀectively combines the core
insights from the Learned Index with proven storage &amp; index-
ing techniques to deliver great performance in both time and
space? Our answer is a new in-memory index structure called
ALEX, a fully dynamic data structure that simultaneously pro-
vides eﬃcient support for point lookups, short range queries,
inserts, updates, deletes, and bulk loading. /T_his mix of opera-
tions is commonplace in online transaction processing (OLTP)
workloads [6, 8, 32] and is also supported by B+Trees [29].
Implementing writes with high performance requires a</x:v>
      </x:c>
      <x:c r="M798" s="19" t="str">
        <x:v>该段包含可直接回答问题的方法、指标、比较或研究发现。</x:v>
      </x:c>
      <x:c r="N798" s="13" t="str">
        <x:v>http://arxiv.org/abs/1905.08898v2</x:v>
      </x:c>
    </x:row>
    <x:row r="799" ht="58" customHeight="1">
      <x:c r="A799" s="13" t="str">
        <x:v>csq027-c021</x:v>
      </x:c>
      <x:c r="B799" s="13" t="str">
        <x:v>csq027</x:v>
      </x:c>
      <x:c r="C799" s="21" t="n">
        <x:v>21</x:v>
      </x:c>
      <x:c r="D799" s="20" t="str">
        <x:v>2</x:v>
      </x:c>
      <x:c r="E799" s="20" t="str"/>
      <x:c r="F799" s="20" t="str">
        <x:f>IF(E799="",D799,E799)</x:f>
        <x:v>2</x:v>
      </x:c>
      <x:c r="G799" s="13" t="str">
        <x:v>Learned Indexes for Dynamic Workloads</x:v>
      </x:c>
      <x:c r="H799" s="13" t="n">
        <x:v>0</x:v>
      </x:c>
      <x:c r="I799" s="22" t="n">
        <x:v>0.016129032258064516</x:v>
      </x:c>
      <x:c r="J799" s="13" t="n">
        <x:v>1</x:v>
      </x:c>
      <x:c r="K799" s="19" t="str">
        <x:v>What learned index structures have been proposed, and under which data distributions and update workloads do they outperform or underperform traditional indexes?</x:v>
      </x:c>
      <x:c r="L799" s="19" t="str">
        <x:v>ily take up to 10-100x the model training time [4, 31, 6].
Besides the inefﬁciency in handling dynamic work-
loads, the learned index paper also assumes a uniform
access pattern (or query distribution). However, queries
in real worlds tend to be skew, where some keys are much
more frequently queried than the others [57, 14, 17, 33].
As a result, mispredicting a hot key is way more expen-
sive, and we show that the originally proposed learned in-
dex model performs poorly under such scenarios. These
two issues hinder the wider adoption of the learned in-
dexes for real-world workloads.
In this paper, we propose Doraemon, a new learned
index system for dynamic workloads where the data dis-
tribution and access pattern may be skew and evolving.
To handle skewed access pattern, we ﬁrst investigate and
discuss why the original model fails to address this issue</x:v>
      </x:c>
      <x:c r="M799" s="19" t="str">
        <x:v>该段包含可直接回答问题的方法、指标、比较或研究发现。</x:v>
      </x:c>
      <x:c r="N799" s="13" t="str">
        <x:v>http://arxiv.org/abs/1902.00655v1</x:v>
      </x:c>
    </x:row>
    <x:row r="800" ht="58" customHeight="1">
      <x:c r="A800" s="13" t="str">
        <x:v>csq027-c022</x:v>
      </x:c>
      <x:c r="B800" s="13" t="str">
        <x:v>csq027</x:v>
      </x:c>
      <x:c r="C800" s="21" t="n">
        <x:v>22</x:v>
      </x:c>
      <x:c r="D800" s="20" t="str">
        <x:v>0</x:v>
      </x:c>
      <x:c r="E800" s="20" t="str"/>
      <x:c r="F800" s="20" t="str">
        <x:f>IF(E800="",D800,E800)</x:f>
        <x:v>0</x:v>
      </x:c>
      <x:c r="G800" s="13" t="str">
        <x:v>Benchmarking Learned Indexes</x:v>
      </x:c>
      <x:c r="H800" s="13" t="n">
        <x:v>12</x:v>
      </x:c>
      <x:c r="I800" s="22" t="n">
        <x:v>0.016129032258064516</x:v>
      </x:c>
      <x:c r="J800" s="13" t="n">
        <x:v>1</x:v>
      </x:c>
      <x:c r="K800" s="19" t="str">
        <x:v>What learned index structures have been proposed, and under which data distributions and update workloads do they outperform or underperform traditional indexes?</x:v>
      </x:c>
      <x:c r="L800" s="19" t="str">
        <x:v>Nguyen, T. Kaldewey, V. W. Lee, S. A. Brandt, and
P. Dubey. FAST: Fast architecture sensitive tree
search on modern CPUs and GPUs. In Proceedings of
the 2010 International Conference on Management of
Data, SIGMOD ’10, 2010.
[17] A. Kipf, R. Marcus, A. van Renen, M. Stoian,
A. Kemper, T. Kraska, and T. Neumann. SOSD: A
Benchmark for Learned Indexes. In ML for Systems at
NeurIPS, MLForSystems @ NeurIPS ’19, Dec. 2019.
[18] A. Kipf, R. Marcus, A. van Renen, M. Stoian,
A. Kemper, T. Kraska, and T. Neumann. RadixSpline:
A single-pass learned index. In Proceedings of the
Third International Workshop on Exploiting Artiﬁcial
Intelligence Techniques for Data Management , aiDM
@ SIGMOD ’20, pages 1–5, Portland, Oregon, June
2020. Association for Computing Machinery.
[19] T. Kraska, A. Beutel, E. H. Chi, J. Dean, and
N. Polyzotis. The Case for Learned Index Structures.</x:v>
      </x:c>
      <x:c r="M800" s="19" t="str">
        <x:v>该段为无关内容、泛泛提及或参考文献片段，不能作为回答证据。</x:v>
      </x:c>
      <x:c r="N800" s="13" t="str">
        <x:v>http://arxiv.org/abs/2006.12804v2</x:v>
      </x:c>
    </x:row>
    <x:row r="801" ht="58" customHeight="1">
      <x:c r="A801" s="13" t="str">
        <x:v>csq027-c023</x:v>
      </x:c>
      <x:c r="B801" s="13" t="str">
        <x:v>csq027</x:v>
      </x:c>
      <x:c r="C801" s="21" t="n">
        <x:v>23</x:v>
      </x:c>
      <x:c r="D801" s="20" t="str">
        <x:v>0</x:v>
      </x:c>
      <x:c r="E801" s="20" t="str"/>
      <x:c r="F801" s="20" t="str">
        <x:f>IF(E801="",D801,E801)</x:f>
        <x:v>0</x:v>
      </x:c>
      <x:c r="G801" s="13" t="str">
        <x:v>Updatable Learned Indexes Meet Disk-Resident DBMS -- From Evaluations to Design Choices</x:v>
      </x:c>
      <x:c r="H801" s="13" t="n">
        <x:v>20</x:v>
      </x:c>
      <x:c r="I801" s="22" t="n">
        <x:v>0.015625</x:v>
      </x:c>
      <x:c r="J801" s="13" t="n">
        <x:v>1</x:v>
      </x:c>
      <x:c r="K801" s="19" t="str">
        <x:v>What learned index structures have been proposed, and under which data distributions and update workloads do they outperform or underperform traditional indexes?</x:v>
      </x:c>
      <x:c r="L801" s="19" t="str">
        <x:v>provable worst-case bounds. Proc. VLDB Endow. 13, 8 (2020), 1162–1175.
[10] Alex Galakatos, Michael Markovitch, Carsten Binnig, Rodrigo Fonseca, and Tim Kraska. 2019. FITing-Tree: A Data-
aware Index Structure. In SIGMOD. 1189–1206.
[11] Andreas Kipf, Ryan Marcus, Alexander van Renen, Mihail Stoian, Alfons Kemper, Tim Kraska, and Thomas Neumann.
2020. RadixSpline: a single-pass learned index. In aiDM@SIGMOD. ACM, 5:1–5:5.
[12] Tim Kraska, Alex Beutel, Ed H. Chi, Jeffrey Dean, and Neoklis Polyzotis. 2018. The Case for Learned Index Structures.
In SIGMOD. 489–504.
[13] Tim Kraska, Umar Farooq Minhas, Thomas Neumann, Olga Papaemmanouil, Jignesh M. Patel, Christopher Ré, and
Michael Stonebraker. 2021. ML-In-Databases: Assessment and Prognosis. IEEE Data Eng. Bull. 44, 1 (2021), 3–10.</x:v>
      </x:c>
      <x:c r="M801" s="19" t="str">
        <x:v>该段为无关内容、泛泛提及或参考文献片段，不能作为回答证据。</x:v>
      </x:c>
      <x:c r="N801" s="13" t="str">
        <x:v>http://arxiv.org/abs/2305.01237v1</x:v>
      </x:c>
    </x:row>
    <x:row r="802" ht="58" customHeight="1">
      <x:c r="A802" s="13" t="str">
        <x:v>csq027-c024</x:v>
      </x:c>
      <x:c r="B802" s="13" t="str">
        <x:v>csq027</x:v>
      </x:c>
      <x:c r="C802" s="21" t="n">
        <x:v>24</x:v>
      </x:c>
      <x:c r="D802" s="20" t="str">
        <x:v>2</x:v>
      </x:c>
      <x:c r="E802" s="20" t="str"/>
      <x:c r="F802" s="20" t="str">
        <x:f>IF(E802="",D802,E802)</x:f>
        <x:v>2</x:v>
      </x:c>
      <x:c r="G802" s="13" t="str">
        <x:v>Updatable Learned Indexes Meet Disk-Resident DBMS -- From Evaluations to Design Choices</x:v>
      </x:c>
      <x:c r="H802" s="13" t="n">
        <x:v>0</x:v>
      </x:c>
      <x:c r="I802" s="22" t="n">
        <x:v>0.015384615384615385</x:v>
      </x:c>
      <x:c r="J802" s="13" t="n">
        <x:v>1</x:v>
      </x:c>
      <x:c r="K802" s="19" t="str">
        <x:v>What learned index structures have been proposed, and under which data distributions and update workloads do they outperform or underperform traditional indexes?</x:v>
      </x:c>
      <x:c r="L802" s="19" t="str">
        <x:v>139
Updatable Learned Indexes Meet Disk-Resident DBMS - From
Evaluations to Design Choices
HAI LAN, RMIT University, Australia
ZHIFENG BAO∗, RMIT University, Australia
J. SHANE CULPEPPER, RMIT University, Australia
RENATA BOROVICA-GAJIC,The University of Melbourne, Australia
Although many updatable learned indexes have been proposed in recent years, whether they can outperform
traditional approaches on disk remains unknown. In this study, we revisit and implement four state-of-the-art
updatable learned indexes on disk, and compare them against the B+-tree under a wide range of settings.
Through our evaluation, we make some key observations: 1) Overall, the B+-tree performs well across a range
of workload types and datasets. 2) A learned index could outperform B+-tree or other learned indexes on</x:v>
      </x:c>
      <x:c r="M802" s="19" t="str">
        <x:v>该段包含可直接回答问题的方法、指标、比较或研究发现。</x:v>
      </x:c>
      <x:c r="N802" s="13" t="str">
        <x:v>http://arxiv.org/abs/2305.01237v1</x:v>
      </x:c>
    </x:row>
    <x:row r="803" ht="58" customHeight="1">
      <x:c r="A803" s="13" t="str">
        <x:v>csq027-c025</x:v>
      </x:c>
      <x:c r="B803" s="13" t="str">
        <x:v>csq027</x:v>
      </x:c>
      <x:c r="C803" s="21" t="n">
        <x:v>25</x:v>
      </x:c>
      <x:c r="D803" s="20" t="str">
        <x:v>0</x:v>
      </x:c>
      <x:c r="E803" s="20" t="str"/>
      <x:c r="F803" s="20" t="str">
        <x:f>IF(E803="",D803,E803)</x:f>
        <x:v>0</x:v>
      </x:c>
      <x:c r="G803" s="13" t="str">
        <x:v>DILI: A Distribution-Driven Learned Index (Extended version)</x:v>
      </x:c>
      <x:c r="H803" s="13" t="n">
        <x:v>12</x:v>
      </x:c>
      <x:c r="I803" s="22" t="n">
        <x:v>0.015151515151515152</x:v>
      </x:c>
      <x:c r="J803" s="13" t="n">
        <x:v>1</x:v>
      </x:c>
      <x:c r="K803" s="19" t="str">
        <x:v>What learned index structures have been proposed, and under which data distributions and update workloads do they outperform or underperform traditional indexes?</x:v>
      </x:c>
      <x:c r="L803" s="19" t="str">
        <x:v>search. ACM Trans. Database Syst. 30, 2 (2005), 364–397.
[26] Andreas Kipf, Ryan Marcus, Alexander van Renen, Mihail Stoian, Alfons Kemper,
Tim Kraska, and Thomas Neumann. 2020. RadixSpline: a single-pass learned
index. In aiDM@SIGMOD. 5:1–5:5.
[27] Donald Ervin Knuth. 1997. The art of computer programming . Vol. 3. Pearson
Education.
[28] Tim Kraska, Mohammad Alizadeh, Alex Beutel, Ed H. Chi, Ani Kristo, Guillaume
Leclerc, Samuel Madden, Hongzi Mao, and Vikram Nathan. 2019. SageDB: A
Learned Database System. In CIDR.
[29] Tim Kraska, Alex Beutel, Ed H. Chi, Jeffrey Dean, and Neoklis Polyzotis. 2018.
The Case for Learned Index Structures. In SIGMOD, Gautam Das, Christopher M.
Jermaine, and Philip A. Bernstein (Eds.). 489–504.
[30] Pengfei Li, Yu Hua, Jingnan Jia, and Pengfei Zuo. 2021. FINEdex: A Fine-grained
Learned Index Scheme for Scalable and Concurrent Memory Systems.Proc. VLDB</x:v>
      </x:c>
      <x:c r="M803" s="19" t="str">
        <x:v>该段为无关内容、泛泛提及或参考文献片段，不能作为回答证据。</x:v>
      </x:c>
      <x:c r="N803" s="13" t="str">
        <x:v>http://arxiv.org/abs/2304.08817v2</x:v>
      </x:c>
    </x:row>
    <x:row r="804" ht="58" customHeight="1">
      <x:c r="A804" s="13" t="str">
        <x:v>csq027-c026</x:v>
      </x:c>
      <x:c r="B804" s="13" t="str">
        <x:v>csq027</x:v>
      </x:c>
      <x:c r="C804" s="21" t="n">
        <x:v>26</x:v>
      </x:c>
      <x:c r="D804" s="20" t="str">
        <x:v>2</x:v>
      </x:c>
      <x:c r="E804" s="20" t="str"/>
      <x:c r="F804" s="20" t="str">
        <x:f>IF(E804="",D804,E804)</x:f>
        <x:v>2</x:v>
      </x:c>
      <x:c r="G804" s="13" t="str">
        <x:v>ALEX: An Updatable Adaptive Learned Index</x:v>
      </x:c>
      <x:c r="H804" s="13" t="n">
        <x:v>1</x:v>
      </x:c>
      <x:c r="I804" s="22" t="n">
        <x:v>0.014925373134328358</x:v>
      </x:c>
      <x:c r="J804" s="13" t="n">
        <x:v>1</x:v>
      </x:c>
      <x:c r="K804" s="19" t="str">
        <x:v>What learned index structures have been proposed, and under which data distributions and update workloads do they outperform or underperform traditional indexes?</x:v>
      </x:c>
      <x:c r="L804" s="19" t="str">
        <x:v>actual workload into account and thus can eﬀectively
respond to dynamic changes in the workload. ALEX
achieves all the above bene/f_its without needing to
hand-tune parameters for each dataset or workload.
• Detailed evaluation:We present the results of an ex-
tensive experimental analysis with real-life datasets
and varying read-write workloads and compare against
state of the art indexes that support range queries.
On read-only workloads, ALEX beats the Learned Index by
up to 2.2× on performance with up to 15× smaller index size.
Across the spectrum of read-write workloads, ALEX beats
B+Tree by up to 4.1× while never performing worse, with up
to 2000× smaller index size. ALEX also beats an ML-enhanced
B+Tree and the memory-optimized Adaptive Radix Tree,
scales to large data sizes, and is robust to data distribution shi/f_t.
In the remainder of this paper, we give background (Sec-</x:v>
      </x:c>
      <x:c r="M804" s="19" t="str">
        <x:v>该段包含可直接回答问题的方法、指标、比较或研究发现。</x:v>
      </x:c>
      <x:c r="N804" s="13" t="str">
        <x:v>http://arxiv.org/abs/1905.08898v2</x:v>
      </x:c>
    </x:row>
    <x:row r="805" ht="58" customHeight="1">
      <x:c r="A805" s="13" t="str">
        <x:v>csq027-c027</x:v>
      </x:c>
      <x:c r="B805" s="13" t="str">
        <x:v>csq027</x:v>
      </x:c>
      <x:c r="C805" s="21" t="n">
        <x:v>27</x:v>
      </x:c>
      <x:c r="D805" s="20" t="str">
        <x:v>0</x:v>
      </x:c>
      <x:c r="E805" s="20" t="str"/>
      <x:c r="F805" s="20" t="str">
        <x:f>IF(E805="",D805,E805)</x:f>
        <x:v>0</x:v>
      </x:c>
      <x:c r="G805" s="13" t="str">
        <x:v>DILI: A Distribution-Driven Learned Index (Extended version)</x:v>
      </x:c>
      <x:c r="H805" s="13" t="n">
        <x:v>12</x:v>
      </x:c>
      <x:c r="I805" s="22" t="n">
        <x:v>0.014925373134328358</x:v>
      </x:c>
      <x:c r="J805" s="13" t="n">
        <x:v>1</x:v>
      </x:c>
      <x:c r="K805" s="19" t="str">
        <x:v>What learned index structures have been proposed, and under which data distributions and update workloads do they outperform or underperform traditional indexes?</x:v>
      </x:c>
      <x:c r="L805" s="19" t="str">
        <x:v>Learned Index Scheme for Scalable and Concurrent Memory Systems.Proc. VLDB
Endow. 15, 2 (2021), 321–334.
[31] Pengfei Li, Hua Lu, Qian Zheng, Long Yang, and Gang Pan. 2020. LISA: A Learned
Index Structure for Spatial Data. In SIGMOD. 2119–2133.
[32] Pengfei Li, Hua Lu, Rong Zhu, Bolin Ding, Long Yang, and Gang Pan. 2023. DILI:
A Distribution-Driven Learned Index (Extended version). CoRR abs/2304.08817
(2023). https://doi.org/10.48550/arXiv.2304.08817 arXiv:2304.08817
[33] David B. Lomet. 1981. Digital B-Trees. In VLDB. 333–344.
[34] Baotong Lu, Jialin Ding, Eric Lo, Umar Farooq Minhas, and Tianzheng Wang.
2021. APEX: A High-Performance Learned Index on Persistent Memory. Proc.
VLDB Endow. 15, 3 (2021), 597–610.
[35] Yandong Mao, Eddie Kohler, and Robert Tappan Morris. 2012. Cache craftiness
for fast multicore key-value storage. In EuroSys. 183–196.</x:v>
      </x:c>
      <x:c r="M805" s="19" t="str">
        <x:v>该段为无关内容、泛泛提及或参考文献片段，不能作为回答证据。</x:v>
      </x:c>
      <x:c r="N805" s="13" t="str">
        <x:v>http://arxiv.org/abs/2304.08817v2</x:v>
      </x:c>
    </x:row>
    <x:row r="806" ht="58" customHeight="1">
      <x:c r="A806" s="13" t="str">
        <x:v>csq027-c028</x:v>
      </x:c>
      <x:c r="B806" s="13" t="str">
        <x:v>csq027</x:v>
      </x:c>
      <x:c r="C806" s="21" t="n">
        <x:v>28</x:v>
      </x:c>
      <x:c r="D806" s="20" t="str">
        <x:v>2</x:v>
      </x:c>
      <x:c r="E806" s="20" t="str"/>
      <x:c r="F806" s="20" t="str">
        <x:f>IF(E806="",D806,E806)</x:f>
        <x:v>2</x:v>
      </x:c>
      <x:c r="G806" s="13" t="str">
        <x:v>Updatable Learned Index with Precise Positions</x:v>
      </x:c>
      <x:c r="H806" s="13" t="n">
        <x:v>0</x:v>
      </x:c>
      <x:c r="I806" s="22" t="n">
        <x:v>0.014925373134328358</x:v>
      </x:c>
      <x:c r="J806" s="13" t="n">
        <x:v>1</x:v>
      </x:c>
      <x:c r="K806" s="19" t="str">
        <x:v>What learned index structures have been proposed, and under which data distributions and update workloads do they outperform or underperform traditional indexes?</x:v>
      </x:c>
      <x:c r="L806" s="19" t="str">
        <x:v>dataset. While such studies show promising results in both lookup
time and index size, they cannot efficiently support update oper-
ations. Although recent studies have proposed some preliminary
approaches to support update, they are at the cost of scarifying the
lookup performance as they suffer from the overheads brought by
imprecise predictions in the leaf nodes.
In this paper, we proposeLIPP, a brand new framework of learned
index to address such issues. Similar with state-of-the-art learned
index structures, LIPP is able to support all kinds of index oper-
ations, namely lookup query, range query, insert, delete, update
and bulkload. Meanwhile, we overcome the limitations of previ-
ous studies by properly extending the tree structure when dealing
with update operations so as to eliminate the deviation of location
predicted by the models in the leaf nodes. Moreover, we further</x:v>
      </x:c>
      <x:c r="M806" s="19" t="str">
        <x:v>该段包含可直接回答问题的方法、指标、比较或研究发现。</x:v>
      </x:c>
      <x:c r="N806" s="13" t="str">
        <x:v>http://arxiv.org/abs/2104.05520v2</x:v>
      </x:c>
    </x:row>
    <x:row r="807" ht="58" customHeight="1">
      <x:c r="A807" s="13" t="str">
        <x:v>csq027-c029</x:v>
      </x:c>
      <x:c r="B807" s="13" t="str">
        <x:v>csq027</x:v>
      </x:c>
      <x:c r="C807" s="21" t="n">
        <x:v>29</x:v>
      </x:c>
      <x:c r="D807" s="20" t="str">
        <x:v>0</x:v>
      </x:c>
      <x:c r="E807" s="20" t="str"/>
      <x:c r="F807" s="20" t="str">
        <x:f>IF(E807="",D807,E807)</x:f>
        <x:v>0</x:v>
      </x:c>
      <x:c r="G807" s="13" t="str">
        <x:v>Micro-architectural Analysis of a Learned Index</x:v>
      </x:c>
      <x:c r="H807" s="13" t="n">
        <x:v>12</x:v>
      </x:c>
      <x:c r="I807" s="22" t="n">
        <x:v>0.014705882352941176</x:v>
      </x:c>
      <x:c r="J807" s="13" t="n">
        <x:v>1</x:v>
      </x:c>
      <x:c r="K807" s="19" t="str">
        <x:v>What learned index structures have been proposed, and under which data distributions and update workloads do they outperform or underperform traditional indexes?</x:v>
      </x:c>
      <x:c r="L807" s="19" t="str">
        <x:v>content/www/us/en/develop/tools/devcloud.html.
[9] Jialin Ding. Forked on February 16, 2021. ALEX. (Forked on February
16, 2021). https://github.com/microsoft/ALEX.
[10] Jialin Ding, Umar Farooq Minhas, Jia Yu, Chi Wang, Jaeyoung Do,
Yinan Li, Hantian Zhang, Badrish Chandramouli, Johannes Gehrke,
Donald Kossmann, David Lomet, and Tim Kraska. 2020. ALEX: An
Updatable Adaptive Learned Index. In ACM SIGMOD. 969–984.
[11] Michael Ferdman, Almutaz Adileh, Onur Kocberber, Stavros Volos,
Mohammad Alisafaee, Djordje Jevdjic, Cansu Kaynak, Adrian Daniel
Popescu, Anastasia Ailamaki, and Babak Falsafi. 2012. Clearing the
Clouds: A Study of Emerging Scale-out Workloads on Modern Hard-
ware. In ASPLOS. 37–48.
[12] Paolo Ferragina and Giorgio Vinciguerra. 2020. The PGM-Index: A
Fully-Dynamic Compressed Learned Index with Provable Worst-Case
Bounds. PVLDB 13, 8 (2020), 1162–1175.</x:v>
      </x:c>
      <x:c r="M807" s="19" t="str">
        <x:v>该段为无关内容、泛泛提及或参考文献片段，不能作为回答证据。</x:v>
      </x:c>
      <x:c r="N807" s="13" t="str">
        <x:v>http://arxiv.org/abs/2109.08495v1</x:v>
      </x:c>
    </x:row>
    <x:row r="808" ht="58" customHeight="1">
      <x:c r="A808" s="13" t="str">
        <x:v>csq027-c030</x:v>
      </x:c>
      <x:c r="B808" s="13" t="str">
        <x:v>csq027</x:v>
      </x:c>
      <x:c r="C808" s="21" t="n">
        <x:v>30</x:v>
      </x:c>
      <x:c r="D808" s="20" t="str">
        <x:v>2</x:v>
      </x:c>
      <x:c r="E808" s="20" t="str"/>
      <x:c r="F808" s="20" t="str">
        <x:f>IF(E808="",D808,E808)</x:f>
        <x:v>2</x:v>
      </x:c>
      <x:c r="G808" s="13" t="str">
        <x:v>Learned Indexes for Dynamic Workloads</x:v>
      </x:c>
      <x:c r="H808" s="13" t="n">
        <x:v>1</x:v>
      </x:c>
      <x:c r="I808" s="22" t="n">
        <x:v>0.014492753623188406</x:v>
      </x:c>
      <x:c r="J808" s="13" t="n">
        <x:v>1</x:v>
      </x:c>
      <x:c r="K808" s="19" t="str">
        <x:v>What learned index structures have been proposed, and under which data distributions and update workloads do they outperform or underperform traditional indexes?</x:v>
      </x:c>
      <x:c r="L808" s="19" t="str">
        <x:v>3 Challenges with Dynamic Workloads
In this section, we will discuss the challenges posed by
dynamic workloads with a simple example of 2 stages
learned index. We found that the choice of model ar-
chitecture is affected by both query distribution and data
distribution.
Table 1 compares three different model architectures
with different datasets and workloads. Each dataset has
200M integer keys, but with different distributions as
shown in Figure 1. The uniform workload evenly reads
every key. The skewed workloads have 95% queries
reading 5% hot keys, but in different ranges. All three
architectures have 200k linear models at the second stage
and only their ﬁrst stages are different.
2</x:v>
      </x:c>
      <x:c r="M808" s="19" t="str">
        <x:v>该段包含可直接回答问题的方法、指标、比较或研究发现。</x:v>
      </x:c>
      <x:c r="N808" s="13" t="str">
        <x:v>http://arxiv.org/abs/1902.00655v1</x:v>
      </x:c>
    </x:row>
    <x:row r="809" ht="58" customHeight="1">
      <x:c r="A809" s="13" t="str">
        <x:v>csq028-c001</x:v>
      </x:c>
      <x:c r="B809" s="13" t="str">
        <x:v>csq028</x:v>
      </x:c>
      <x:c r="C809" s="21" t="n">
        <x:v>1</x:v>
      </x:c>
      <x:c r="D809" s="20" t="str">
        <x:v>2</x:v>
      </x:c>
      <x:c r="E809" s="20" t="str"/>
      <x:c r="F809" s="20" t="str">
        <x:f>IF(E809="",D809,E809)</x:f>
        <x:v>2</x:v>
      </x:c>
      <x:c r="G809" s="13" t="str">
        <x:v>SPANN: Highly-efficient Billion-scale Approximate Nearest Neighbor Search</x:v>
      </x:c>
      <x:c r="H809" s="13" t="n">
        <x:v>1</x:v>
      </x:c>
      <x:c r="I809" s="22" t="n">
        <x:v>0.06303568926519747</x:v>
      </x:c>
      <x:c r="J809" s="13" t="n">
        <x:v>4</x:v>
      </x:c>
      <x:c r="K809" s="19" t="str">
        <x:v>How do graph-based, quantization-based, and inverted-file approaches to approximate nearest-neighbor search compare in recall, latency, memory usage, and index construction cost?</x:v>
      </x:c>
      <x:c r="L809" s="19" t="str">
        <x:v>(PQ) [25] to compress the vectors stored in the memory while putting the navigating spread-out
graph along with the full-precision vectors on the disk. When a query comes, it traverses the graph
according to the distance of quantized vectors and then reranks the candidates according to distance
of the full-precision vectors. HM-ANN leverages the heterogeneous memory by placing pivot points
in the fast memory and navigable small world graph in the slow memory without data compression.
However, it consumes more than 1.5 times larger fast memory than DiskANN. Moreover, the slow
memory is still much expensive than disk. Therefore, due to the cheap serving cost, high recall and
low latency advantages of DiskANN, it has become the start-of-the-art for indexing billion-scale
datasets.
In this paper, we argue that the simple inverted index approach can also achieve state-of-the-art</x:v>
      </x:c>
      <x:c r="M809" s="19" t="str">
        <x:v>该段包含可直接回答问题的方法、指标、比较或研究发现。</x:v>
      </x:c>
      <x:c r="N809" s="13" t="str">
        <x:v>http://arxiv.org/abs/2111.08566v1</x:v>
      </x:c>
    </x:row>
    <x:row r="810" ht="58" customHeight="1">
      <x:c r="A810" s="13" t="str">
        <x:v>csq028-c002</x:v>
      </x:c>
      <x:c r="B810" s="13" t="str">
        <x:v>csq028</x:v>
      </x:c>
      <x:c r="C810" s="21" t="n">
        <x:v>2</x:v>
      </x:c>
      <x:c r="D810" s="20" t="str">
        <x:v>2</x:v>
      </x:c>
      <x:c r="E810" s="20" t="str"/>
      <x:c r="F810" s="20" t="str">
        <x:f>IF(E810="",D810,E810)</x:f>
        <x:v>2</x:v>
      </x:c>
      <x:c r="G810" s="13" t="str">
        <x:v>Scalable Disk-Based Approximate Nearest Neighbor Search with Page-Aligned Graph</x:v>
      </x:c>
      <x:c r="H810" s="13" t="n">
        <x:v>11</x:v>
      </x:c>
      <x:c r="I810" s="22" t="n">
        <x:v>0.04697234084890787</x:v>
      </x:c>
      <x:c r="J810" s="13" t="n">
        <x:v>3</x:v>
      </x:c>
      <x:c r="K810" s="19" t="str">
        <x:v>How do graph-based, quantization-based, and inverted-file approaches to approximate nearest-neighbor search compare in recall, latency, memory usage, and index construction cost?</x:v>
      </x:c>
      <x:c r="L810" s="19" t="str">
        <x:v>delivers 1.85x–10.83x higher throughput and 51.7%–91.9%
lower latency across datasets and memory budgets, while
maintaining the same high recall accuracy.
9 Acknowledgment
This work was partially supported by NSF 2204656, 2343863,
2413520 and 2440611. Any opinions, conclusions, or rec-
ommendations expressed in this material are those of the
authors and do not necessarily reflect the views of the NSF.
References
[1] [n. d.]. Datasets for approximate nearest neighbor search.http:
//corpus-texmex.irisa.fr/.
[2] Akari Asai, Sewon Min, Zexuan Zhong, and Danqi Chen. 2023.
Retrieval-based language models and applications. InProceedings of
the 61st Annual Meeting of the Association for Computational Linguistics
(Volume 6: Tutorial Abstracts). 41–46.
[3] Artem Babenko and Victor Lempitsky. 2016. Efficient Indexing of
Billion-Scale Datasets of Deep Descriptors. InProceedings of the IEEE</x:v>
      </x:c>
      <x:c r="M810" s="19" t="str">
        <x:v>该段包含可直接回答问题的方法、指标、比较或研究发现。</x:v>
      </x:c>
      <x:c r="N810" s="13" t="str">
        <x:v>http://arxiv.org/abs/2509.25487v2</x:v>
      </x:c>
    </x:row>
    <x:row r="811" ht="58" customHeight="1">
      <x:c r="A811" s="13" t="str">
        <x:v>csq028-c003</x:v>
      </x:c>
      <x:c r="B811" s="13" t="str">
        <x:v>csq028</x:v>
      </x:c>
      <x:c r="C811" s="21" t="n">
        <x:v>3</x:v>
      </x:c>
      <x:c r="D811" s="20" t="str">
        <x:v>1</x:v>
      </x:c>
      <x:c r="E811" s="20" t="str"/>
      <x:c r="F811" s="20" t="str">
        <x:f>IF(E811="",D811,E811)</x:f>
        <x:v>1</x:v>
      </x:c>
      <x:c r="G811" s="13" t="str">
        <x:v>Relative NN-Descent: A Fast Index Construction for Graph-Based Approximate Nearest Neighbor Search</x:v>
      </x:c>
      <x:c r="H811" s="13" t="n">
        <x:v>1</x:v>
      </x:c>
      <x:c r="I811" s="22" t="n">
        <x:v>0.04692742126540875</x:v>
      </x:c>
      <x:c r="J811" s="13" t="n">
        <x:v>3</x:v>
      </x:c>
      <x:c r="K811" s="19" t="str">
        <x:v>How do graph-based, quantization-based, and inverted-file approaches to approximate nearest-neighbor search compare in recall, latency, memory usage, and index construction cost?</x:v>
      </x:c>
      <x:c r="L811" s="19" t="str">
        <x:v>returns the ID of the database vector 𝒙𝑖∗∈X closest to 𝒒:
𝑖∗ = argmin
𝑖∈{ 1,...,𝑛}
dist(𝒒, 𝒙𝑖) (1)
A naive approach to solving NNS is to compute the distance be-
tween all the data and the query. However, the time complexity of
the exhaustive search is𝑂(𝑛𝑑), which is slow for large and high-
dimensional data.
Numerous studies have addressed approximate NNS (ANNS) as a
method for large-scale data. ANNS is a method that improves speed
significantly at the cost of a slight loss of accuracy. ANNS methods
generally have a trade-off between accuracy, speed, and memory
consumption. Therefore the appropriate method depends on the
scale of the problem. ANNS methods include hash-based [ 1, 10],
quantization-based [9, 15], and tree-based methods [21, 24].
2.2 Graph-Based ANNS
This section describes graph-based ANNS. Graph-based methods</x:v>
      </x:c>
      <x:c r="M811" s="19" t="str">
        <x:v>该段提供相关背景或侧面信息，但没有直接回答问题核心。</x:v>
      </x:c>
      <x:c r="N811" s="13" t="str">
        <x:v>http://arxiv.org/abs/2310.20419v1</x:v>
      </x:c>
    </x:row>
    <x:row r="812" ht="58" customHeight="1">
      <x:c r="A812" s="13" t="str">
        <x:v>csq028-c004</x:v>
      </x:c>
      <x:c r="B812" s="13" t="str">
        <x:v>csq028</x:v>
      </x:c>
      <x:c r="C812" s="21" t="n">
        <x:v>4</x:v>
      </x:c>
      <x:c r="D812" s="20" t="str">
        <x:v>2</x:v>
      </x:c>
      <x:c r="E812" s="20" t="str"/>
      <x:c r="F812" s="20" t="str">
        <x:f>IF(E812="",D812,E812)</x:f>
        <x:v>2</x:v>
      </x:c>
      <x:c r="G812" s="13" t="str">
        <x:v>Relative NN-Descent: A Fast Index Construction for Graph-Based Approximate Nearest Neighbor Search</x:v>
      </x:c>
      <x:c r="H812" s="13" t="n">
        <x:v>0</x:v>
      </x:c>
      <x:c r="I812" s="22" t="n">
        <x:v>0.046871392288155164</x:v>
      </x:c>
      <x:c r="J812" s="13" t="n">
        <x:v>3</x:v>
      </x:c>
      <x:c r="K812" s="19" t="str">
        <x:v>How do graph-based, quantization-based, and inverted-file approaches to approximate nearest-neighbor search compare in recall, latency, memory usage, and index construction cost?</x:v>
      </x:c>
      <x:c r="L812" s="19" t="str">
        <x:v>puting methodologies→ Visual content-based indexing and re-
trieval.
KEYWORDS
approximate nearest neighbor search, graph-based index
1 INTRODUCTION
Approximate Nearest Neighbor Search (ANNS) is the task of find-
ing the database vector that is closest to a given query vector. It
has many applications, from image and text retrieval to machine
learning, such as the k-nearest neighbor classification. ANNS has
a tradeoff between speed, accuracy, and memory consumption.
Typical methods for solving ANNS include hashing-based [1, 10],
quantization-based [9, 15], and tree-based [21, 24] approaches.
In recent years, many studies have proposed graph-based ANNS
methods. Graph-based methods construct a graph with database
vectors as vertices. The edges of the graph connect vectors that are
close to each other. The search algorithm finds the approximate</x:v>
      </x:c>
      <x:c r="M812" s="19" t="str">
        <x:v>该段包含可直接回答问题的方法、指标、比较或研究发现。</x:v>
      </x:c>
      <x:c r="N812" s="13" t="str">
        <x:v>http://arxiv.org/abs/2310.20419v1</x:v>
      </x:c>
    </x:row>
    <x:row r="813" ht="58" customHeight="1">
      <x:c r="A813" s="13" t="str">
        <x:v>csq028-c005</x:v>
      </x:c>
      <x:c r="B813" s="13" t="str">
        <x:v>csq028</x:v>
      </x:c>
      <x:c r="C813" s="21" t="n">
        <x:v>5</x:v>
      </x:c>
      <x:c r="D813" s="20" t="str">
        <x:v>0</x:v>
      </x:c>
      <x:c r="E813" s="20" t="str"/>
      <x:c r="F813" s="20" t="str">
        <x:f>IF(E813="",D813,E813)</x:f>
        <x:v>0</x:v>
      </x:c>
      <x:c r="G813" s="13" t="str">
        <x:v>Lossless Compression of Vector IDs for Approximate Nearest Neighbor Search</x:v>
      </x:c>
      <x:c r="H813" s="13" t="n">
        <x:v>8</x:v>
      </x:c>
      <x:c r="I813" s="22" t="n">
        <x:v>0.04482184482184482</x:v>
      </x:c>
      <x:c r="J813" s="13" t="n">
        <x:v>3</x:v>
      </x:c>
      <x:c r="K813" s="19" t="str">
        <x:v>How do graph-based, quantization-based, and inverted-file approaches to approximate nearest-neighbor search compare in recall, latency, memory usage, and index construction cost?</x:v>
      </x:c>
      <x:c r="L813" s="19" t="str">
        <x:v>plement an associative memory . Massachusetts Institute
of Technology, Project MAC, 1971. 6
[19] Peter M. Fenwick. A new data structure for cumula-
tive frequency tables. Software: Practice and Experience ,
24(3):327–336, 1994. 7
[20] Cong Fu, Chao Xiang, Changxu Wang, and Deng
Cai. Fast approximate nearest neighbor search with
the navigating spreading-out graph. arXiv preprint
arXiv:1707.00143, 2017. 2
[21] Tiezheng Ge, Kaiming He, Qifa Ke, and Jian Sun. Op-
timized product quantization for approximate nearest
neighbor search. In Conference on Computer Vision and
Pattern Recognition, 2013. 2
[22] Yunchao Gong, Svetlana Lazebnik, Albert Gordo, and
Florent Perronnin. Iterative quantization: A pro-
crustean approach to learning binary codes for large-
scale image retrieval. IEEE Trans. Pattern Analysis and
Machine Intelligence, 2012. 2</x:v>
      </x:c>
      <x:c r="M813" s="19" t="str">
        <x:v>该段为无关内容、泛泛提及或参考文献片段，不能作为回答证据。</x:v>
      </x:c>
      <x:c r="N813" s="13" t="str">
        <x:v>http://arxiv.org/abs/2501.10479v1</x:v>
      </x:c>
    </x:row>
    <x:row r="814" ht="58" customHeight="1">
      <x:c r="A814" s="13" t="str">
        <x:v>csq028-c006</x:v>
      </x:c>
      <x:c r="B814" s="13" t="str">
        <x:v>csq028</x:v>
      </x:c>
      <x:c r="C814" s="21" t="n">
        <x:v>6</x:v>
      </x:c>
      <x:c r="D814" s="20" t="str">
        <x:v>2</x:v>
      </x:c>
      <x:c r="E814" s="20" t="str"/>
      <x:c r="F814" s="20" t="str">
        <x:f>IF(E814="",D814,E814)</x:f>
        <x:v>2</x:v>
      </x:c>
      <x:c r="G814" s="13" t="str">
        <x:v>SPANN: Highly-efficient Billion-scale Approximate Nearest Neighbor Search</x:v>
      </x:c>
      <x:c r="H814" s="13" t="n">
        <x:v>0</x:v>
      </x:c>
      <x:c r="I814" s="22" t="n">
        <x:v>0.043609344422700584</x:v>
      </x:c>
      <x:c r="J814" s="13" t="n">
        <x:v>3</x:v>
      </x:c>
      <x:c r="K814" s="19" t="str">
        <x:v>How do graph-based, quantization-based, and inverted-file approaches to approximate nearest-neighbor search compare in recall, latency, memory usage, and index construction cost?</x:v>
      </x:c>
      <x:c r="L814" s="19" t="str">
        <x:v>with same memory cost in three billion-scale datasets. It can reach 90% recall@1
and recall@10 in just around one millisecond with only 32GB memory cost. Code
is available at: https://github.com/microsoft/SPTAG.
1 Introduction
Vector nearest neighbor search has played an important role in information retrieval area, such
as multimedia search and web search, which provides relevant results by searching vectors with
minimum distance to the query vector. Exact solutions for K-nearest neighbor search [49, 40] are not
applicable in big data scenario due to substantial computation cost and high query latency. Therefore,
researchers have proposed many kinds of approximate nearest neighbor search (ANNS) algorithms in
the literature [ 11, 18, 38, 10, 14, 31, 34, 13, 29, 21, 16, 26, 42, 43, 33, 44, 37, 32, 19, 27, 9, 12, 39,</x:v>
      </x:c>
      <x:c r="M814" s="19" t="str">
        <x:v>该段包含可直接回答问题的方法、指标、比较或研究发现。</x:v>
      </x:c>
      <x:c r="N814" s="13" t="str">
        <x:v>http://arxiv.org/abs/2111.08566v1</x:v>
      </x:c>
    </x:row>
    <x:row r="815" ht="58" customHeight="1">
      <x:c r="A815" s="13" t="str">
        <x:v>csq028-c007</x:v>
      </x:c>
      <x:c r="B815" s="13" t="str">
        <x:v>csq028</x:v>
      </x:c>
      <x:c r="C815" s="21" t="n">
        <x:v>7</x:v>
      </x:c>
      <x:c r="D815" s="20" t="str">
        <x:v>2</x:v>
      </x:c>
      <x:c r="E815" s="20" t="str"/>
      <x:c r="F815" s="20" t="str">
        <x:f>IF(E815="",D815,E815)</x:f>
        <x:v>2</x:v>
      </x:c>
      <x:c r="G815" s="13" t="str">
        <x:v>SPANN: Highly-efficient Billion-scale Approximate Nearest Neighbor Search</x:v>
      </x:c>
      <x:c r="H815" s="13" t="n">
        <x:v>9</x:v>
      </x:c>
      <x:c r="I815" s="22" t="n">
        <x:v>0.031099324975891997</x:v>
      </x:c>
      <x:c r="J815" s="13" t="n">
        <x:v>2</x:v>
      </x:c>
      <x:c r="K815" s="19" t="str">
        <x:v>How do graph-based, quantization-based, and inverted-file approaches to approximate nearest-neighbor search compare in recall, latency, memory usage, and index construction cost?</x:v>
      </x:c>
      <x:c r="L815" s="19" t="str">
        <x:v>machines to search for a query, we can further reduce the query latency since we reduce the number
of candidates for ﬁnal aggregation.
5 Conclusion
In this paper, we introduce SPANN, a simple but surprising efﬁcient inverted index based ANNS
system, which achieves state-of-the-art performance for large scale datasets in terms of recall,
latency and memory cost. Different from previous inverted index based methods that use lossy data
compression to address the memory bottleneck, SPANN adopts a simple memory-disk hybrid solution
which only stores the centroids of the posting lists in the memory. We guarantee both low latency
and high recall by greatly reducing the number of disk accesses and improving the quality of posting
lists. Experiment results show SPANN can not only establish the new state-of-the-art performance for</x:v>
      </x:c>
      <x:c r="M815" s="19" t="str">
        <x:v>该段包含可直接回答问题的方法、指标、比较或研究发现。</x:v>
      </x:c>
      <x:c r="N815" s="13" t="str">
        <x:v>http://arxiv.org/abs/2111.08566v1</x:v>
      </x:c>
    </x:row>
    <x:row r="816" ht="58" customHeight="1">
      <x:c r="A816" s="13" t="str">
        <x:v>csq028-c008</x:v>
      </x:c>
      <x:c r="B816" s="13" t="str">
        <x:v>csq028</x:v>
      </x:c>
      <x:c r="C816" s="21" t="n">
        <x:v>8</x:v>
      </x:c>
      <x:c r="D816" s="20" t="str">
        <x:v>2</x:v>
      </x:c>
      <x:c r="E816" s="20" t="str"/>
      <x:c r="F816" s="20" t="str">
        <x:f>IF(E816="",D816,E816)</x:f>
        <x:v>2</x:v>
      </x:c>
      <x:c r="G816" s="13" t="str">
        <x:v>Revisiting the Index Construction of Proximity Graph-Based Approximate Nearest Neighbor Search</x:v>
      </x:c>
      <x:c r="H816" s="13" t="n">
        <x:v>10</x:v>
      </x:c>
      <x:c r="I816" s="22" t="n">
        <x:v>0.030776515151515152</x:v>
      </x:c>
      <x:c r="J816" s="13" t="n">
        <x:v>2</x:v>
      </x:c>
      <x:c r="K816" s="19" t="str">
        <x:v>How do graph-based, quantization-based, and inverted-file approaches to approximate nearest-neighbor search compare in recall, latency, memory usage, and index construction cost?</x:v>
      </x:c>
      <x:c r="L816" s="19" t="str">
        <x:v>different proximity graphs mainly affect performance on the first
phase due to variations of short-distance neighbors, while having
slight impacts during the second phase, i.e., when recall is high.
Exp.4: comparisons between existing approaches with ours.
In this part, we compare our methods FastNSG and FastHNSW with
other four recently proposed SOTA PG methods which focus on
the index construction, i.e., DiskANN [50], LSH-APG [62], RNN-
Descent [45] and ParlayANN [40]. We show the comparisons of
search performance in Figure 11 and that of building cost in Figure
12. Overall, the results show that our methods achieve much less
construction cost while obtaining better search performance.
Exp.5: extension of our framework on other SOTA PG ap-
proaches. In this part, we apply our framework to other two SOTA
PG methods, i.e.,𝜏-MNG (another SOTA RNG method) and NSW</x:v>
      </x:c>
      <x:c r="M816" s="19" t="str">
        <x:v>该段包含可直接回答问题的方法、指标、比较或研究发现。</x:v>
      </x:c>
      <x:c r="N816" s="13" t="str">
        <x:v>http://arxiv.org/abs/2410.01231v2</x:v>
      </x:c>
    </x:row>
    <x:row r="817" ht="58" customHeight="1">
      <x:c r="A817" s="13" t="str">
        <x:v>csq028-c009</x:v>
      </x:c>
      <x:c r="B817" s="13" t="str">
        <x:v>csq028</x:v>
      </x:c>
      <x:c r="C817" s="21" t="n">
        <x:v>9</x:v>
      </x:c>
      <x:c r="D817" s="20" t="str">
        <x:v>1</x:v>
      </x:c>
      <x:c r="E817" s="20" t="str"/>
      <x:c r="F817" s="20" t="str">
        <x:f>IF(E817="",D817,E817)</x:f>
        <x:v>1</x:v>
      </x:c>
      <x:c r="G817" s="13" t="str">
        <x:v>Scalable Disk-Based Approximate Nearest Neighbor Search with Page-Aligned Graph</x:v>
      </x:c>
      <x:c r="H817" s="13" t="n">
        <x:v>2</x:v>
      </x:c>
      <x:c r="I817" s="22" t="n">
        <x:v>0.030621785881252923</x:v>
      </x:c>
      <x:c r="J817" s="13" t="n">
        <x:v>2</x:v>
      </x:c>
      <x:c r="K817" s="19" t="str">
        <x:v>How do graph-based, quantization-based, and inverted-file approaches to approximate nearest-neighbor search compare in recall, latency, memory usage, and index construction cost?</x:v>
      </x:c>
      <x:c r="L817" s="19" t="str">
        <x:v>• |𝑘NN(𝑞)|=𝑘, and
•∀𝑥∈𝑘NN(𝑞),∀𝑥 ′∈𝑋\𝑘NN(𝑞),∥𝑥−𝑞∥ 2≤∥𝑥 ′−𝑞∥ 2.
However, in high-dimensional spaces, the computational
cost of exact nearest neighbor search becomes prohibitively
expensive due to the curse of dimensionality [ 23]. Conse-
quently, research has increasingly focused on approximate
nearest neighbor search (ANNS) methods, which trade a
small amount of accuracy for substantial gains in efficiency.
Let the result returned by an ANNS algorithm be𝑅, where
|𝑅|=𝑘 . The quality of 𝑅 is commonly evaluated using re-
call@k, defined as:
Recall@k= |𝑅∩𝑘NN(𝑞)|
𝑘 .
2.2 Graph-based ANNS
Unlike tree-based methods [ 4, 17, 42] and hashing-based
methods [12, 18, 22, 23, 30–32, 45, 47], which suffer from
severe performance degradation and scalability issues as
datasets grow, graph-based ANNS approaches [9, 15, 16, 28,
33, 34] have emerged as one of the most effective solutions</x:v>
      </x:c>
      <x:c r="M817" s="19" t="str">
        <x:v>该段提供相关背景或侧面信息，但没有直接回答问题核心。</x:v>
      </x:c>
      <x:c r="N817" s="13" t="str">
        <x:v>http://arxiv.org/abs/2509.25487v2</x:v>
      </x:c>
    </x:row>
    <x:row r="818" ht="58" customHeight="1">
      <x:c r="A818" s="13" t="str">
        <x:v>csq028-c010</x:v>
      </x:c>
      <x:c r="B818" s="13" t="str">
        <x:v>csq028</x:v>
      </x:c>
      <x:c r="C818" s="21" t="n">
        <x:v>10</x:v>
      </x:c>
      <x:c r="D818" s="20" t="str">
        <x:v>0</x:v>
      </x:c>
      <x:c r="E818" s="20" t="str"/>
      <x:c r="F818" s="20" t="str">
        <x:f>IF(E818="",D818,E818)</x:f>
        <x:v>0</x:v>
      </x:c>
      <x:c r="G818" s="13" t="str">
        <x:v>A Comprehensive Survey and Experimental Comparison of Graph-Based Approximate Nearest Neighbor Search</x:v>
      </x:c>
      <x:c r="H818" s="13" t="n">
        <x:v>13</x:v>
      </x:c>
      <x:c r="I818" s="22" t="n">
        <x:v>0.030117753623188408</x:v>
      </x:c>
      <x:c r="J818" s="13" t="n">
        <x:v>2</x:v>
      </x:c>
      <x:c r="K818" s="19" t="str">
        <x:v>How do graph-based, quantization-based, and inverted-file approaches to approximate nearest-neighbor search compare in recall, latency, memory usage, and index construction cost?</x:v>
      </x:c>
      <x:c r="L818" s="19" t="str">
        <x:v>VLDB Endow. 12, 5 (2019), 461–474. https://doi.org/10.14778/3303753.3303754
[39] Tiezheng Ge, Kaiming He, Qifa Ke, and Jian Sun. 2013. Optimized Product
Quantization for Approximate Nearest Neighbor Search. In2013 IEEE Conference
on Computer Vision and Pattern Recognition, Portland, OR, USA, June 23-28, 2013 .
IEEE Computer Society, 2946–2953.
[40] Long Gong, Huayi Wang, Mitsunori Ogihara, and Jun Xu. 2020. iDEC: Indexable
Distance Estimating Codes for Approximate Nearest Neighbor Search. Proc.
VLDB Endow. 13, 9 (2020), 1483–1497.
[41] Hakim Hacid and Tetsuya Yoshida. 2010. Neighborhood graphs for indexing
and retrieving multi-dimensional data. Journal of Intelligent Information Systems
34, 1 (2010), 93–111.
[42] Kiana Hajebi, Yasin Abbasi-Yadkori, Hossein Shahbazi, and Hong Zhang. 2011.
Fast approximate nearest-neighbor search with k-nearest neighbor graph. In</x:v>
      </x:c>
      <x:c r="M818" s="19" t="str">
        <x:v>该段为无关内容、泛泛提及或参考文献片段，不能作为回答证据。</x:v>
      </x:c>
      <x:c r="N818" s="13" t="str">
        <x:v>http://arxiv.org/abs/2101.12631v2</x:v>
      </x:c>
    </x:row>
    <x:row r="819" ht="58" customHeight="1">
      <x:c r="A819" s="13" t="str">
        <x:v>csq028-c011</x:v>
      </x:c>
      <x:c r="B819" s="13" t="str">
        <x:v>csq028</x:v>
      </x:c>
      <x:c r="C819" s="21" t="n">
        <x:v>11</x:v>
      </x:c>
      <x:c r="D819" s="20" t="str">
        <x:v>2</x:v>
      </x:c>
      <x:c r="E819" s="20" t="str"/>
      <x:c r="F819" s="20" t="str">
        <x:f>IF(E819="",D819,E819)</x:f>
        <x:v>2</x:v>
      </x:c>
      <x:c r="G819" s="13" t="str">
        <x:v>VSAG: An Optimized Search Framework for Graph-based Approximate Nearest Neighbor Search</x:v>
      </x:c>
      <x:c r="H819" s="13" t="n">
        <x:v>1</x:v>
      </x:c>
      <x:c r="I819" s="22" t="n">
        <x:v>0.029910714285714284</x:v>
      </x:c>
      <x:c r="J819" s="13" t="n">
        <x:v>2</x:v>
      </x:c>
      <x:c r="K819" s="19" t="str">
        <x:v>How do graph-based, quantization-based, and inverted-file approaches to approximate nearest-neighbor search compare in recall, latency, memory usage, and index construction cost?</x:v>
      </x:c>
      <x:c r="L819" s="19" t="str">
        <x:v>Table 1: Comparison to Existing Algorithms (GIST1M).
Metric IVFPQFS [4]HNSW [40]VSAG (this work)
Memory Footprint 3.8G 4.0G 4.5G
Recall@10 (QPS=2000) 84.57% 59.46% 89.80%
QPS (Recall@10=90%) 1195 511.9 2167.3
Distance Computation Cost0.71ms 1.62ms 0.1ms
L3 Cache Miss Rate 13.98% 94.46% 39.23%
Parameter Tuning Cost &gt;20h &gt;60h 2.92h
Parameter Tuning manual manual auto
starts from a random node and greedily moves closer to the query
vector𝑥𝑞, thereby retrieving its𝑘 nearest neighbors.
Despite their success, existing graph-based ANNS solutions
still face considerable performance challenges. First, they incur
random memory-access overhead , since graph traversals with ar-
bitrary jumps often lead to frequent cache misses and elevated
costs. Second, repeated distance computations across candidate vec-
tors can dominate total runtime, especially when vectors are high-</x:v>
      </x:c>
      <x:c r="M819" s="19" t="str">
        <x:v>该段包含可直接回答问题的方法、指标、比较或研究发现。</x:v>
      </x:c>
      <x:c r="N819" s="13" t="str">
        <x:v>http://arxiv.org/abs/2503.17911v3</x:v>
      </x:c>
    </x:row>
    <x:row r="820" ht="58" customHeight="1">
      <x:c r="A820" s="13" t="str">
        <x:v>csq028-c012</x:v>
      </x:c>
      <x:c r="B820" s="13" t="str">
        <x:v>csq028</x:v>
      </x:c>
      <x:c r="C820" s="21" t="n">
        <x:v>12</x:v>
      </x:c>
      <x:c r="D820" s="20" t="str">
        <x:v>2</x:v>
      </x:c>
      <x:c r="E820" s="20" t="str"/>
      <x:c r="F820" s="20" t="str">
        <x:f>IF(E820="",D820,E820)</x:f>
        <x:v>2</x:v>
      </x:c>
      <x:c r="G820" s="13" t="str">
        <x:v>SPANN: Highly-efficient Billion-scale Approximate Nearest Neighbor Search</x:v>
      </x:c>
      <x:c r="H820" s="13" t="n">
        <x:v>5</x:v>
      </x:c>
      <x:c r="I820" s="22" t="n">
        <x:v>0.02964254577157803</x:v>
      </x:c>
      <x:c r="J820" s="13" t="n">
        <x:v>2</x:v>
      </x:c>
      <x:c r="K820" s="19" t="str">
        <x:v>How do graph-based, quantization-based, and inverted-file approaches to approximate nearest-neighbor search compare in recall, latency, memory usage, and index construction cost?</x:v>
      </x:c>
      <x:c r="L820" s="19" t="str">
        <x:v>In this section, we demonstrate that inverted index based SPANN solution can also achieve the state-
of-the-art performance in terms of recall, latency and memory cost. We ﬁrst compare SPANN with
the state-of-the-art billion-scale disk-based ANNS algorithms on three billion-scale datasets. Then
we conduct an experiment on SIFT1M dataset to compare the VQ capacity with the start-of-the-art
all-in-memory ANNS algorithms. For all the experiments in this section, we use the following hyper-
parameters for SPANN: 1) use at most 8 closure replicas for each vector in the closure clustering
assignment; 2) limit the max posting list size to 12KB for byte vectors and 48KB for ﬂoat vectors; 3)
setϵ1 for posting list expansion to 10.0, and setϵ2 for query-aware dynamic pruning with recall@1
and recall@10 to 0.6 and 7.0 , respectively. We increase the maximum number of posting lists to be</x:v>
      </x:c>
      <x:c r="M820" s="19" t="str">
        <x:v>该段包含可直接回答问题的方法、指标、比较或研究发现。</x:v>
      </x:c>
      <x:c r="N820" s="13" t="str">
        <x:v>http://arxiv.org/abs/2111.08566v1</x:v>
      </x:c>
    </x:row>
    <x:row r="821" ht="58" customHeight="1">
      <x:c r="A821" s="13" t="str">
        <x:v>csq028-c013</x:v>
      </x:c>
      <x:c r="B821" s="13" t="str">
        <x:v>csq028</x:v>
      </x:c>
      <x:c r="C821" s="21" t="n">
        <x:v>13</x:v>
      </x:c>
      <x:c r="D821" s="20" t="str">
        <x:v>2</x:v>
      </x:c>
      <x:c r="E821" s="20" t="str"/>
      <x:c r="F821" s="20" t="str">
        <x:f>IF(E821="",D821,E821)</x:f>
        <x:v>2</x:v>
      </x:c>
      <x:c r="G821" s="13" t="str">
        <x:v>Revisiting the Index Construction of Proximity Graph-Based Approximate Nearest Neighbor Search</x:v>
      </x:c>
      <x:c r="H821" s="13" t="n">
        <x:v>1</x:v>
      </x:c>
      <x:c r="I821" s="22" t="n">
        <x:v>0.029418126757516764</x:v>
      </x:c>
      <x:c r="J821" s="13" t="n">
        <x:v>2</x:v>
      </x:c>
      <x:c r="K821" s="19" t="str">
        <x:v>How do graph-based, quantization-based, and inverted-file approaches to approximate nearest-neighbor search compare in recall, latency, memory usage, and index construction cost?</x:v>
      </x:c>
      <x:c r="L821" s="19" t="str">
        <x:v>Table 1: PG index comparisons on Gist1M
Approaches Building
Time (s)
QPS when Recall@10=
0.85 0.90 0.95 0.99
NSG [17] 573 971 712 417 133
LSH-APG [62] 433 453 305 172 53
DiskANN [50] 214 657 469 266 83
ParlayANN [40] 409 669 472 274 89
RNN-Descent [45] 121 739 539 345 139
FastNSG (ours) 119 964 694 402 148
performance. To address this issue, several studies have been pro-
posed to accelerate the index construction, such as DiskANN [50],
RNN-Descent [45], LSH-APG [62] and ParlayANN [40]. However,
as shown in Table 1, their search performance remains noticeably
inferior to NSG (Navigating Spread-out Graph) [17], where NSG is
one of the state-of-the-art (SOTA) methods that do not prioritize
index construction. In Table 1 onGist1M, the second column shows
the time of index construction and the next four columns depict
queries per second (QPS) at different recall levels (higher is better).</x:v>
      </x:c>
      <x:c r="M821" s="19" t="str">
        <x:v>该段包含可直接回答问题的方法、指标、比较或研究发现。</x:v>
      </x:c>
      <x:c r="N821" s="13" t="str">
        <x:v>http://arxiv.org/abs/2410.01231v2</x:v>
      </x:c>
    </x:row>
    <x:row r="822" ht="58" customHeight="1">
      <x:c r="A822" s="13" t="str">
        <x:v>csq028-c014</x:v>
      </x:c>
      <x:c r="B822" s="13" t="str">
        <x:v>csq028</x:v>
      </x:c>
      <x:c r="C822" s="21" t="n">
        <x:v>14</x:v>
      </x:c>
      <x:c r="D822" s="20" t="str">
        <x:v>0</x:v>
      </x:c>
      <x:c r="E822" s="20" t="str"/>
      <x:c r="F822" s="20" t="str">
        <x:f>IF(E822="",D822,E822)</x:f>
        <x:v>0</x:v>
      </x:c>
      <x:c r="G822" s="13" t="str">
        <x:v>A Comprehensive Survey and Experimental Comparison of Graph-Based Approximate Nearest Neighbor Search</x:v>
      </x:c>
      <x:c r="H822" s="13" t="n">
        <x:v>14</x:v>
      </x:c>
      <x:c r="I822" s="22" t="n">
        <x:v>0.0288981288981289</x:v>
      </x:c>
      <x:c r="J822" s="13" t="n">
        <x:v>2</x:v>
      </x:c>
      <x:c r="K822" s="19" t="str">
        <x:v>How do graph-based, quantization-based, and inverted-file approaches to approximate nearest-neighbor search compare in recall, latency, memory usage, and index construction cost?</x:v>
      </x:c>
      <x:c r="L822" s="19" t="str">
        <x:v>S Yu Philip. 2020. A comprehensive survey on graph neural networks. IEEE
Transactions on Neural Networks and Learning Systems (2020).
[106] Xiaoliang Xu, Chang Li, Yuxiang Wang, and Yixing Xia. 2020. Multiattribute
approximate nearest neighbor search based on navigable small world graph.
Concurrency and Computation: Practice and Experience 32, 24 (2020), e5970.
[107] Pavel Zezula, Giuseppe Amato, Vlastislav Dohnal, and Michal Batko. 2006.
Similarity search: the metric space approach. Vol. 32. Springer Science &amp; Business
Media.
[108] Minjia Zhang and Yuxiong He. 2018. Zoom: Ssd-based vector search for opti-
mizing accuracy, latency and memory. arXiv preprint arXiv:1809.04067 (2018).
[109] Minjia Zhang and Yuxiong He. 2019. GRIP: Multi-Store Capacity-Optimized
High-Performance Nearest Neighbor Search for Vector Search Engine. In Pro-</x:v>
      </x:c>
      <x:c r="M822" s="19" t="str">
        <x:v>该段为无关内容、泛泛提及或参考文献片段，不能作为回答证据。</x:v>
      </x:c>
      <x:c r="N822" s="13" t="str">
        <x:v>http://arxiv.org/abs/2101.12631v2</x:v>
      </x:c>
    </x:row>
    <x:row r="823" ht="58" customHeight="1">
      <x:c r="A823" s="13" t="str">
        <x:v>csq028-c015</x:v>
      </x:c>
      <x:c r="B823" s="13" t="str">
        <x:v>csq028</x:v>
      </x:c>
      <x:c r="C823" s="21" t="n">
        <x:v>15</x:v>
      </x:c>
      <x:c r="D823" s="20" t="str">
        <x:v>2</x:v>
      </x:c>
      <x:c r="E823" s="20" t="str"/>
      <x:c r="F823" s="20" t="str">
        <x:f>IF(E823="",D823,E823)</x:f>
        <x:v>2</x:v>
      </x:c>
      <x:c r="G823" s="13" t="str">
        <x:v>LoRANN: Low-Rank Matrix Factorization for Approximate Nearest Neighbor Search</x:v>
      </x:c>
      <x:c r="H823" s="13" t="n">
        <x:v>7</x:v>
      </x:c>
      <x:c r="I823" s="22" t="n">
        <x:v>0.028790389395194696</x:v>
      </x:c>
      <x:c r="J823" s="13" t="n">
        <x:v>2</x:v>
      </x:c>
      <x:c r="K823" s="19" t="str">
        <x:v>How do graph-based, quantization-based, and inverted-file approaches to approximate nearest-neighbor search compare in recall, latency, memory usage, and index construction cost?</x:v>
      </x:c>
      <x:c r="L823" s="19" t="str">
        <x:v>Appendix D.2. The results are similar when no final re-ranking step is used (Appendix D.3).
0.60 0.65 0.70 0.75 0.80 0.85 0.90 0.95 1.00
Recall
103
Queries per second (1/s)
arxiv-instructxl-768-angular
IVF + RRR (ours, b ≈  32)
IVF + RRR (ours, b ≈  16)
IVF + PQ (faiss, b ≈  128)
IVF + PQ (faiss, b ≈  64)
IVF + PQ (faiss, b ≈  32)
IVF + PQ (faiss, b ≈  16)
0.60 0.65 0.70 0.75 0.80 0.85 0.90 0.95 1.00
Recall
102
103
Queries per second (1/s)
arxiv-openai-1536-angular
IVF + RRR (ours, b ≈  32)
IVF + RRR (ours, b ≈  16)
IVF + PQ (faiss, b ≈  128)
IVF + PQ (faiss, b ≈  64)
IVF + PQ (faiss, b ≈  32)
IVF + PQ (faiss, b ≈  16)
Figure 3: Performance comparison of RRR and PQ at different levels of memory usage. We vary the
rank parameter r for RRR and the code size for PQ such that b, bytes per vector, is similar for both.</x:v>
      </x:c>
      <x:c r="M823" s="19" t="str">
        <x:v>该段包含可直接回答问题的方法、指标、比较或研究发现。</x:v>
      </x:c>
      <x:c r="N823" s="13" t="str">
        <x:v>http://arxiv.org/abs/2410.18926v1</x:v>
      </x:c>
    </x:row>
    <x:row r="824" ht="58" customHeight="1">
      <x:c r="A824" s="13" t="str">
        <x:v>csq028-c016</x:v>
      </x:c>
      <x:c r="B824" s="13" t="str">
        <x:v>csq028</x:v>
      </x:c>
      <x:c r="C824" s="21" t="n">
        <x:v>16</x:v>
      </x:c>
      <x:c r="D824" s="20" t="str">
        <x:v>1</x:v>
      </x:c>
      <x:c r="E824" s="20" t="str"/>
      <x:c r="F824" s="20" t="str">
        <x:f>IF(E824="",D824,E824)</x:f>
        <x:v>1</x:v>
      </x:c>
      <x:c r="G824" s="13" t="str">
        <x:v>LoRANN: Low-Rank Matrix Factorization for Approximate Nearest Neighbor Search</x:v>
      </x:c>
      <x:c r="H824" s="13" t="n">
        <x:v>0</x:v>
      </x:c>
      <x:c r="I824" s="22" t="n">
        <x:v>0.02871794871794872</x:v>
      </x:c>
      <x:c r="J824" s="13" t="n">
        <x:v>2</x:v>
      </x:c>
      <x:c r="K824" s="19" t="str">
        <x:v>How do graph-based, quantization-based, and inverted-file approaches to approximate nearest-neighbor search compare in recall, latency, memory usage, and index construction cost?</x:v>
      </x:c>
      <x:c r="L824" s="19" t="str">
        <x:v>Transformer-based architectures (Kitaev et al., 2020; Vyas et al., 2020; Roy et al., 2021). ANN search
is also a key operation in vector databases that are used to store embeddings for industrial-scale
applications (see, e.g., Wang et al., 2021; Guo et al., 2022; Pan et al., 2024).
The state-of-the-art methods for ANN search can be classified into clustering-based and graph-based
algorithms (for a recent survey, see Bruch, 2024). In the comprehensive ANN benchmark (Aumüller
et al., 2020), the leading graph algorithms HNSW (Malkov and Yashunin, 2018) and NGT (Iwasaki
and Miyazaki, 2018) have faster query times than clustering-based algorithms. However, clustering-
based algorithms are often used in industrial-scale applications (see, e.g., Chen et al., 2021; Douze
et al., 2024) due to their smaller memory footprints and faster index construction times. They are</x:v>
      </x:c>
      <x:c r="M824" s="19" t="str">
        <x:v>该段提供相关背景或侧面信息，但没有直接回答问题核心。</x:v>
      </x:c>
      <x:c r="N824" s="13" t="str">
        <x:v>http://arxiv.org/abs/2410.18926v1</x:v>
      </x:c>
    </x:row>
    <x:row r="825" ht="58" customHeight="1">
      <x:c r="A825" s="13" t="str">
        <x:v>csq028-c017</x:v>
      </x:c>
      <x:c r="B825" s="13" t="str">
        <x:v>csq028</x:v>
      </x:c>
      <x:c r="C825" s="21" t="n">
        <x:v>17</x:v>
      </x:c>
      <x:c r="D825" s="20" t="str">
        <x:v>2</x:v>
      </x:c>
      <x:c r="E825" s="20" t="str"/>
      <x:c r="F825" s="20" t="str">
        <x:f>IF(E825="",D825,E825)</x:f>
        <x:v>2</x:v>
      </x:c>
      <x:c r="G825" s="13" t="str">
        <x:v>A Comprehensive Survey and Experimental Comparison of Graph-Based Approximate Nearest Neighbor Search</x:v>
      </x:c>
      <x:c r="H825" s="13" t="n">
        <x:v>24</x:v>
      </x:c>
      <x:c r="I825" s="22" t="n">
        <x:v>0.028006267136701922</x:v>
      </x:c>
      <x:c r="J825" s="13" t="n">
        <x:v>2</x:v>
      </x:c>
      <x:c r="K825" s="19" t="str">
        <x:v>How do graph-based, quantization-based, and inverted-file approaches to approximate nearest-neighbor search compare in recall, latency, memory usage, and index construction cost?</x:v>
      </x:c>
      <x:c r="L825" s="19" t="str">
        <x:v>IPT(s)
NSG 55 142
NSG+ML1 67,315 45,742
HNSW+ML2 2,018 2,626
NSG+ML3 1,260 1,287
MC(GB)
NSG 0.37 0.68
NSG+ML1 23.8 58.7
HNSW+ML2 3 5.7
NSG+ML3 23 25.5
index processing time, memory consumption during index con-
struction, and speedup vs recall trade-off of each method. Note
that ML1’s index preprocessing training is very time-consuming
and memory-consuming (more than 125G on SIFT1M), so we use
GPU to accelerate the process and use the smaller SIFT100K and
GIST100K datasets. In addition, the number of nearest neighbors
recalled is uniformly set to 1 for each query due to the limitation of
ML1 [14], and Recall@1 represents the corresponding recall rate.
Discussion. As shown in Table 24 and Figure 19, there ML-based
optimizations generally obtain better speedup (or QPS) vs recall
tradeoff than the original algorithms (NSG or HNSW) at the ex-</x:v>
      </x:c>
      <x:c r="M825" s="19" t="str">
        <x:v>该段包含可直接回答问题的方法、指标、比较或研究发现。</x:v>
      </x:c>
      <x:c r="N825" s="13" t="str">
        <x:v>http://arxiv.org/abs/2101.12631v2</x:v>
      </x:c>
    </x:row>
    <x:row r="826" ht="58" customHeight="1">
      <x:c r="A826" s="13" t="str">
        <x:v>csq028-c018</x:v>
      </x:c>
      <x:c r="B826" s="13" t="str">
        <x:v>csq028</x:v>
      </x:c>
      <x:c r="C826" s="21" t="n">
        <x:v>18</x:v>
      </x:c>
      <x:c r="D826" s="20" t="str">
        <x:v>2</x:v>
      </x:c>
      <x:c r="E826" s="20" t="str"/>
      <x:c r="F826" s="20" t="str">
        <x:f>IF(E826="",D826,E826)</x:f>
        <x:v>2</x:v>
      </x:c>
      <x:c r="G826" s="13" t="str">
        <x:v>A Comprehensive Survey and Experimental Comparison of Graph-Based Approximate Nearest Neighbor Search</x:v>
      </x:c>
      <x:c r="H826" s="13" t="n">
        <x:v>0</x:v>
      </x:c>
      <x:c r="I826" s="22" t="n">
        <x:v>0.027222222222222224</x:v>
      </x:c>
      <x:c r="J826" s="13" t="n">
        <x:v>2</x:v>
      </x:c>
      <x:c r="K826" s="19" t="str">
        <x:v>How do graph-based, quantization-based, and inverted-file approaches to approximate nearest-neighbor search compare in recall, latency, memory usage, and index construction cost?</x:v>
      </x:c>
      <x:c r="L826" s="19" t="str">
        <x:v>the literature has focused on efforts to research approximate NNS
(ANNS) and find an algorithm that improves efficiency substantially
while mildly relaxing accuracy constraints (an accuracy-versus-
efficiency tradeoff [59]).
ANNS is a task that finds the approximate nearest neighbors
among a high-dimensional dataset for a query via a well-designed
index. According to the index adopted, the existing ANNS algo-
rithms can be divided into four major types: hashing-based [40, 45];
tree-based [8, 86]; quantization-based [52, 74]; and graph-based [38,
67] algorithms. Recently, graph-based algorithms have emerged as
a highly effective option for ANNS [6, 10, 41, 75]. Thanks to graph-
based ANNS algorithms’ extraordinary ability to express neighbor
relationships [38, 103], they only need to evaluate fewer points of
dataset to receive more accurate results [38, 61, 67, 72, 112].</x:v>
      </x:c>
      <x:c r="M826" s="19" t="str">
        <x:v>该段包含可直接回答问题的方法、指标、比较或研究发现。</x:v>
      </x:c>
      <x:c r="N826" s="13" t="str">
        <x:v>http://arxiv.org/abs/2101.12631v2</x:v>
      </x:c>
    </x:row>
    <x:row r="827" ht="58" customHeight="1">
      <x:c r="A827" s="13" t="str">
        <x:v>csq028-c019</x:v>
      </x:c>
      <x:c r="B827" s="13" t="str">
        <x:v>csq028</x:v>
      </x:c>
      <x:c r="C827" s="21" t="n">
        <x:v>19</x:v>
      </x:c>
      <x:c r="D827" s="20" t="str">
        <x:v>1</x:v>
      </x:c>
      <x:c r="E827" s="20" t="str"/>
      <x:c r="F827" s="20" t="str">
        <x:f>IF(E827="",D827,E827)</x:f>
        <x:v>1</x:v>
      </x:c>
      <x:c r="G827" s="13" t="str">
        <x:v>Scalable Disk-Based Approximate Nearest Neighbor Search with Page-Aligned Graph</x:v>
      </x:c>
      <x:c r="H827" s="13" t="n">
        <x:v>0</x:v>
      </x:c>
      <x:c r="I827" s="22" t="n">
        <x:v>0.016129032258064516</x:v>
      </x:c>
      <x:c r="J827" s="13" t="n">
        <x:v>1</x:v>
      </x:c>
      <x:c r="K827" s="19" t="str">
        <x:v>How do graph-based, quantization-based, and inverted-file approaches to approximate nearest-neighbor search compare in recall, latency, memory usage, and index construction cost?</x:v>
      </x:c>
      <x:c r="L827" s="19" t="str">
        <x:v>bioinformatics [6, 41], where the ability to efficiently identify
data points most similar to a query drive key advancements.
Recently, graph-based ANNS approaches [9, 15, 16, 28, 33, 34]
have gained popularity due to their high query efficiency,
achieved through fast graph traversal strategies. However, as
048121620
0%20%40%60%80%
Latency (ms)Memory Ratio
DiskANNSPANNStarlingPipeANN4.1X3.9X5.4X4.9X
Figure 1.Impact of memory ratio on query latency for
state-of-the-art disk-based ANN schemes (i.e., DiskANN [43],
SPANN [10], Starling [49], and PipeANN [19]) on the SIFT
dataset. The memory ratio represents the proportion of the
dataset size that is available in host memory. (Due to the
minimum memory requirement, PipeANN and SPANN can-
not run with the memory ratio below 30%.)
vector datasets scale up (e.g., billions of vectors [16, 27, 50]),</x:v>
      </x:c>
      <x:c r="M827" s="19" t="str">
        <x:v>该段提供相关背景或侧面信息，但没有直接回答问题核心。</x:v>
      </x:c>
      <x:c r="N827" s="13" t="str">
        <x:v>http://arxiv.org/abs/2509.25487v2</x:v>
      </x:c>
    </x:row>
    <x:row r="828" ht="58" customHeight="1">
      <x:c r="A828" s="13" t="str">
        <x:v>csq028-c020</x:v>
      </x:c>
      <x:c r="B828" s="13" t="str">
        <x:v>csq028</x:v>
      </x:c>
      <x:c r="C828" s="21" t="n">
        <x:v>20</x:v>
      </x:c>
      <x:c r="D828" s="20" t="str">
        <x:v>2</x:v>
      </x:c>
      <x:c r="E828" s="20" t="str"/>
      <x:c r="F828" s="20" t="str">
        <x:f>IF(E828="",D828,E828)</x:f>
        <x:v>2</x:v>
      </x:c>
      <x:c r="G828" s="13" t="str">
        <x:v>SPANN: Highly-efficient Billion-scale Approximate Nearest Neighbor Search</x:v>
      </x:c>
      <x:c r="H828" s="13" t="n">
        <x:v>7</x:v>
      </x:c>
      <x:c r="I828" s="22" t="n">
        <x:v>0.016129032258064516</x:v>
      </x:c>
      <x:c r="J828" s="13" t="n">
        <x:v>1</x:v>
      </x:c>
      <x:c r="K828" s="19" t="str">
        <x:v>How do graph-based, quantization-based, and inverted-file approaches to approximate nearest-neighbor search compare in recall, latency, memory usage, and index construction cost?</x:v>
      </x:c>
      <x:c r="L828" s="19" t="str">
        <x:v>90 92 94 96 98 100
recall@1 (%)
0
10000
20000
30000
40000VQ
SPANN
SCANN
NSG
HNSW
NGT-ONNG
NGT-PANNG
N2
88 90 92 94 96 98 100
recall@10 (%)
0
5000
10000
15000
20000
25000
30000
35000VQ
SPANN
SCANN
NSG
HNSW
NGT-ONNG
NGT-PANNG
N2
Figure 7: VQ of different ANNS indices
90 92 94 96 98 100
recall@1 (%)
0.00
0.25
0.50
0.75
1.00
1.25
1.50latency (ms)
SPANN
SCANN
NSG
HNSW
NGT-ONNG
NGT-PANNG
N2
88 90 92 94 96 98 100
recall@10 (%)
0.0
0.5
1.0
1.5
2.0
2.5latency (ms)
SPANN
SCANN
NSG
HNSW
NGT-ONNG
NGT-PANNG
N2 Figure 8: Latency of different ANNS indices
1 2 3 4 5
latency (ms)
85.0
87.5
90.0
92.5
95.0
97.5
100.0recall@1 (%)
4 % centroids
8 % centroids
16% centroids
20 % centroids
1 2 3 4 5
latency (ms)
85.0
87.5
90.0
92.5
95.0
97.5
100.0recall@10 (%)
4% centroids
8% centroids
16% centroids
20% centroids
Figure 9: Different numbers of centroids
0.00 0.25 0.50 0.75 1.00 1.25 1.50 1.75 2.00</x:v>
      </x:c>
      <x:c r="M828" s="19" t="str">
        <x:v>该段包含可直接回答问题的方法、指标、比较或研究发现。</x:v>
      </x:c>
      <x:c r="N828" s="13" t="str">
        <x:v>http://arxiv.org/abs/2111.08566v1</x:v>
      </x:c>
    </x:row>
    <x:row r="829" ht="58" customHeight="1">
      <x:c r="A829" s="13" t="str">
        <x:v>csq028-c021</x:v>
      </x:c>
      <x:c r="B829" s="13" t="str">
        <x:v>csq028</x:v>
      </x:c>
      <x:c r="C829" s="21" t="n">
        <x:v>21</x:v>
      </x:c>
      <x:c r="D829" s="20" t="str">
        <x:v>2</x:v>
      </x:c>
      <x:c r="E829" s="20" t="str"/>
      <x:c r="F829" s="20" t="str">
        <x:f>IF(E829="",D829,E829)</x:f>
        <x:v>2</x:v>
      </x:c>
      <x:c r="G829" s="13" t="str">
        <x:v>A Comprehensive Survey and Experimental Comparison of Graph-Based Approximate Nearest Neighbor Search</x:v>
      </x:c>
      <x:c r="H829" s="13" t="n">
        <x:v>10</x:v>
      </x:c>
      <x:c r="I829" s="22" t="n">
        <x:v>0.015873015873015872</x:v>
      </x:c>
      <x:c r="J829" s="13" t="n">
        <x:v>1</x:v>
      </x:c>
      <x:c r="K829" s="19" t="str">
        <x:v>How do graph-based, quantization-based, and inverted-file approaches to approximate nearest-neighbor search compare in recall, latency, memory usage, and index construction cost?</x:v>
      </x:c>
      <x:c r="L829" s="19" t="str">
        <x:v>100
101
102
QPS (1/s)
KGraph NGT-panng NGT-onng SPTAG-KDT SPTAG-BKT NSW IEH FANNG HNSW EFANNA DPG NSG HCNNG Vamana NSSG
0.65 0.70 0.75 0.80 0.85
101
102
103
104
Speedup
TOP3: HCNNG, HNSW, NSSG
(a) Recall@10 (UQ-V)
0.80 0.85 0.90 0.95 1.00
100
101
102
103
Speedup
TOP3: NSG, HCNNG, NSSG (b) Recall@10 (Msong)
0.80 0.85 0.90 0.95 1.00
101
102
103
104
Speedup
TOP3: NSG, HCNNG, DPG (c) Recall@10 (SIFT1M)
0.80 0.85 0.90 0.95 1.00
100
101
102
103
Speedup
TOP3: NSSG, HCNNG, HNSW (d) Recall@10 (GIST1M)
0.80 0.85 0.90 0.95 1.00
100
101
102
103
Speedup
TOP3: HCNNG, HNSW, NSG (e) Recall@10 (GloVe)
Figure 8: The Speedup vs Recall@10 of graph-based ANNS algorithms in high-precision region (top right is better).
Table 5: The candidate set size (CS), query path length (PL), and peak memory overhead (MO) during the search (the bold values are the best).</x:v>
      </x:c>
      <x:c r="M829" s="19" t="str">
        <x:v>该段包含可直接回答问题的方法、指标、比较或研究发现。</x:v>
      </x:c>
      <x:c r="N829" s="13" t="str">
        <x:v>http://arxiv.org/abs/2101.12631v2</x:v>
      </x:c>
    </x:row>
    <x:row r="830" ht="58" customHeight="1">
      <x:c r="A830" s="13" t="str">
        <x:v>csq028-c022</x:v>
      </x:c>
      <x:c r="B830" s="13" t="str">
        <x:v>csq028</x:v>
      </x:c>
      <x:c r="C830" s="21" t="n">
        <x:v>22</x:v>
      </x:c>
      <x:c r="D830" s="20" t="str">
        <x:v>0</x:v>
      </x:c>
      <x:c r="E830" s="20" t="str"/>
      <x:c r="F830" s="20" t="str">
        <x:f>IF(E830="",D830,E830)</x:f>
        <x:v>0</x:v>
      </x:c>
      <x:c r="G830" s="13" t="str">
        <x:v>VSAG: An Optimized Search Framework for Graph-based Approximate Nearest Neighbor Search</x:v>
      </x:c>
      <x:c r="H830" s="13" t="n">
        <x:v>12</x:v>
      </x:c>
      <x:c r="I830" s="22" t="n">
        <x:v>0.015873015873015872</x:v>
      </x:c>
      <x:c r="J830" s="13" t="n">
        <x:v>1</x:v>
      </x:c>
      <x:c r="K830" s="19" t="str">
        <x:v>How do graph-based, quantization-based, and inverted-file approaches to approximate nearest-neighbor search compare in recall, latency, memory usage, and index construction cost?</x:v>
      </x:c>
      <x:c r="L830" s="19" t="str">
        <x:v>REFERENCES
[1] Alipay. 2025. Ant Group. https://www.antgroup.com.
[2] Alipay. 2025. Face Recognition. https://open.alipay.com/api/detail?code=
I1080300001000043632.
[3] Amazon. 2025. Product Search. https://www.amazon.com/.
[4] Fabien André, Anne-Marie Kermarrec, and Nicolas Le Scouarnec. 2015. Cache
locality is not enough: High-Performance Nearest Neighbor Search with Product
Quantization Fast Scan. Proceedings of the VLDB Endowment 9, 4 (2015).
[5] Martin Aumüller, Erik Bernhardsson, and Alexander Faithfull. 2020. ANN-
Benchmarks: A benchmarking tool for approximate nearest neighbor algorithms.
Information Systems 87 (2020), 101374.
[6] Grant Ayers, Heiner Litz, Christos Kozyrakis, and Parthasarathy Ranganathan.
2020. Classifying Memory Access Patterns for Prefetching. In Proceedings
of the Twenty-Fifth International Conference on Architectural Support for Pro-</x:v>
      </x:c>
      <x:c r="M830" s="19" t="str">
        <x:v>该段为无关内容、泛泛提及或参考文献片段，不能作为回答证据。</x:v>
      </x:c>
      <x:c r="N830" s="13" t="str">
        <x:v>http://arxiv.org/abs/2503.17911v3</x:v>
      </x:c>
    </x:row>
    <x:row r="831" ht="58" customHeight="1">
      <x:c r="A831" s="13" t="str">
        <x:v>csq028-c023</x:v>
      </x:c>
      <x:c r="B831" s="13" t="str">
        <x:v>csq028</x:v>
      </x:c>
      <x:c r="C831" s="21" t="n">
        <x:v>23</x:v>
      </x:c>
      <x:c r="D831" s="20" t="str">
        <x:v>2</x:v>
      </x:c>
      <x:c r="E831" s="20" t="str"/>
      <x:c r="F831" s="20" t="str">
        <x:f>IF(E831="",D831,E831)</x:f>
        <x:v>2</x:v>
      </x:c>
      <x:c r="G831" s="13" t="str">
        <x:v>LoRANN: Low-Rank Matrix Factorization for Approximate Nearest Neighbor Search</x:v>
      </x:c>
      <x:c r="H831" s="13" t="n">
        <x:v>23</x:v>
      </x:c>
      <x:c r="I831" s="22" t="n">
        <x:v>0.015625</x:v>
      </x:c>
      <x:c r="J831" s="13" t="n">
        <x:v>1</x:v>
      </x:c>
      <x:c r="K831" s="19" t="str">
        <x:v>How do graph-based, quantization-based, and inverted-file approaches to approximate nearest-neighbor search compare in recall, latency, memory usage, and index construction cost?</x:v>
      </x:c>
      <x:c r="L831" s="19" t="str">
        <x:v>data sets (ann-t2i and fasttext-wiki).
We note that our implementation ofLoRANN has not been optimized with respect to index construction
time, and could be improved with further sampling and more approximate SVD computations.
Table 2: Index construction times (seconds) at 90% recall for optimal hyperparameters.
data set IVFPQfs LoRANN ScaNN NNDesc. QSGNGT Glass HNSW
ag-distilbert 29 26 66 56 1687 73 104
ag-minilm 15 18 34 47 1763 46 203
ann-arxiv 269 1442 1160 3988 16521 4241 7421
ann-t2i 34 916 125 238 3366 304 842
arxiv-instructxl 79 1189 1259 1041 18781 2956 6779
arxiv-openai 77 112 425 208 16369 405 926
fashion-mnist 15 6 30 32 1254 22 42
fasttext-wiki 60 1012 – 1241 3025 752 1414
gist 979 305 686 1203 8610 2258 6631
glove 49 – 155 1958 14259 1728 4412
mnist 15 6 31 32 1249 22 43
sift 24 91 32 361 2785 405 851
wiki-gte 24 34 39 59 2060 61 138
wiki-openai 362 67 296 137 5085 239 506</x:v>
      </x:c>
      <x:c r="M831" s="19" t="str">
        <x:v>该段包含可直接回答问题的方法、指标、比较或研究发现。</x:v>
      </x:c>
      <x:c r="N831" s="13" t="str">
        <x:v>http://arxiv.org/abs/2410.18926v1</x:v>
      </x:c>
    </x:row>
    <x:row r="832" ht="58" customHeight="1">
      <x:c r="A832" s="13" t="str">
        <x:v>csq028-c024</x:v>
      </x:c>
      <x:c r="B832" s="13" t="str">
        <x:v>csq028</x:v>
      </x:c>
      <x:c r="C832" s="21" t="n">
        <x:v>24</x:v>
      </x:c>
      <x:c r="D832" s="20" t="str">
        <x:v>0</x:v>
      </x:c>
      <x:c r="E832" s="20" t="str"/>
      <x:c r="F832" s="20" t="str">
        <x:f>IF(E832="",D832,E832)</x:f>
        <x:v>0</x:v>
      </x:c>
      <x:c r="G832" s="13" t="str">
        <x:v>Relative NN-Descent: A Fast Index Construction for Graph-Based Approximate Nearest Neighbor Search</x:v>
      </x:c>
      <x:c r="H832" s="13" t="n">
        <x:v>8</x:v>
      </x:c>
      <x:c r="I832" s="22" t="n">
        <x:v>0.015151515151515152</x:v>
      </x:c>
      <x:c r="J832" s="13" t="n">
        <x:v>1</x:v>
      </x:c>
      <x:c r="K832" s="19" t="str">
        <x:v>How do graph-based, quantization-based, and inverted-file approaches to approximate nearest-neighbor search compare in recall, latency, memory usage, and index construction cost?</x:v>
      </x:c>
      <x:c r="L832" s="19" t="str">
        <x:v>12, 5 (2019), 461 – 474. https://doi.org/10.14778/3303753.3303754
[9] Tiezheng Ge, Kaiming He, Qifa Ke, and Jian Sun. 2014. Optimized Product
Quantization. IEEE Transactions on Pattern Analysis and Machine Intelligence 36,
4 (2014), 744–755. https://doi.org/10.1109/TPAMI.2013.240
[10] Aristides Gionis, Piotr Indyk, Rajeev Motwani, et al. 1999. Similarity search in
high dimensions via hashing. In Vldb, Vol. 99. 518–529.
[11] Ben Harwood and Tom Drummond. 2016. Fanng: Fast approximate nearest
neighbour graphs. In Proceedings of the IEEE Conference on Computer Vision and
Pattern Recognition. 5713–5722.
[12] Masajiro Iwasaki. 2016. Pruned bi-directed k-nearest neighbor graph for prox-
imity search. In International Conference on Similarity Search and Applications .
Springer, 20–33.
[13] Masajiro Iwasaki and Daisuke Miyazaki. 2018. Optimization of indexing based on</x:v>
      </x:c>
      <x:c r="M832" s="19" t="str">
        <x:v>该段为无关内容、泛泛提及或参考文献片段，不能作为回答证据。</x:v>
      </x:c>
      <x:c r="N832" s="13" t="str">
        <x:v>http://arxiv.org/abs/2310.20419v1</x:v>
      </x:c>
    </x:row>
    <x:row r="833" ht="58" customHeight="1">
      <x:c r="A833" s="13" t="str">
        <x:v>csq028-c025</x:v>
      </x:c>
      <x:c r="B833" s="13" t="str">
        <x:v>csq028</x:v>
      </x:c>
      <x:c r="C833" s="21" t="n">
        <x:v>25</x:v>
      </x:c>
      <x:c r="D833" s="20" t="str">
        <x:v>2</x:v>
      </x:c>
      <x:c r="E833" s="20" t="str"/>
      <x:c r="F833" s="20" t="str">
        <x:f>IF(E833="",D833,E833)</x:f>
        <x:v>2</x:v>
      </x:c>
      <x:c r="G833" s="13" t="str">
        <x:v>LoRANN: Low-Rank Matrix Factorization for Approximate Nearest Neighbor Search</x:v>
      </x:c>
      <x:c r="H833" s="13" t="n">
        <x:v>8</x:v>
      </x:c>
      <x:c r="I833" s="22" t="n">
        <x:v>0.015151515151515152</x:v>
      </x:c>
      <x:c r="J833" s="13" t="n">
        <x:v>1</x:v>
      </x:c>
      <x:c r="K833" s="19" t="str">
        <x:v>How do graph-based, quantization-based, and inverted-file approaches to approximate nearest-neighbor search compare in recall, latency, memory usage, and index construction cost?</x:v>
      </x:c>
      <x:c r="L833" s="19" t="str">
        <x:v>the other methods except GLASS and QSG-NGT on all but the lower-dimensional (d ≤ 200) data
sets. (3) Compared to graph methods, LoRANN performs better at the lower recall levels: QPS-recall
curves of LoRANN and GLASS cross between 80% and 99% on most of the data sets. On 8 of the 16
data sets, LoRANN has better or similar performance as QSG-NGT at all recall levels.
Furthermore, in Appendix E.4, we demonstrate that in general LoRANN has faster index construction
times than the graph-based methods.
7.2.3 GPU evaluation
We compare LoRANN against GPU implementations of IVF and IVF-PQ in both Faiss (Douze et al.,
2024) and the NVIDIA RAFT library 6. In addition, we compare against a state-of-the-art GPU
graph algorithm CAGRA (Ootomo et al., 2023) implemented in RAFT. All algorithms receive all test</x:v>
      </x:c>
      <x:c r="M833" s="19" t="str">
        <x:v>该段包含可直接回答问题的方法、指标、比较或研究发现。</x:v>
      </x:c>
      <x:c r="N833" s="13" t="str">
        <x:v>http://arxiv.org/abs/2410.18926v1</x:v>
      </x:c>
    </x:row>
    <x:row r="834" ht="58" customHeight="1">
      <x:c r="A834" s="13" t="str">
        <x:v>csq028-c026</x:v>
      </x:c>
      <x:c r="B834" s="13" t="str">
        <x:v>csq028</x:v>
      </x:c>
      <x:c r="C834" s="21" t="n">
        <x:v>26</x:v>
      </x:c>
      <x:c r="D834" s="20" t="str">
        <x:v>2</x:v>
      </x:c>
      <x:c r="E834" s="20" t="str"/>
      <x:c r="F834" s="20" t="str">
        <x:f>IF(E834="",D834,E834)</x:f>
        <x:v>2</x:v>
      </x:c>
      <x:c r="G834" s="13" t="str">
        <x:v>A Comprehensive Survey and Experimental Comparison of Graph-Based Approximate Nearest Neighbor Search</x:v>
      </x:c>
      <x:c r="H834" s="13" t="n">
        <x:v>24</x:v>
      </x:c>
      <x:c r="I834" s="22" t="n">
        <x:v>0.015151515151515152</x:v>
      </x:c>
      <x:c r="J834" s="13" t="n">
        <x:v>1</x:v>
      </x:c>
      <x:c r="K834" s="19" t="str">
        <x:v>How do graph-based, quantization-based, and inverted-file approaches to approximate nearest-neighbor search compare in recall, latency, memory usage, and index construction cost?</x:v>
      </x:c>
      <x:c r="L834" s="19" t="str">
        <x:v>tradeoff than the original algorithms (NSG or HNSW) at the ex-
pense of more time and memory. ML2 only provides slight latency
reduction in the high-precision area. It is worth noting that ML2
have a smaller impact on IPT and IS (compared to HNSW). The IPT
of ML1 is significantly higher than the original NSG, and it also
requires additional index overhead. Although ML3 improves the
speedup vs recall tradeoff by a large margin, it also significantly
increases memory consumption.
25</x:v>
      </x:c>
      <x:c r="M834" s="19" t="str">
        <x:v>该段包含可直接回答问题的方法、指标、比较或研究发现。</x:v>
      </x:c>
      <x:c r="N834" s="13" t="str">
        <x:v>http://arxiv.org/abs/2101.12631v2</x:v>
      </x:c>
    </x:row>
    <x:row r="835" ht="58" customHeight="1">
      <x:c r="A835" s="13" t="str">
        <x:v>csq028-c027</x:v>
      </x:c>
      <x:c r="B835" s="13" t="str">
        <x:v>csq028</x:v>
      </x:c>
      <x:c r="C835" s="21" t="n">
        <x:v>27</x:v>
      </x:c>
      <x:c r="D835" s="20" t="str">
        <x:v>2</x:v>
      </x:c>
      <x:c r="E835" s="20" t="str"/>
      <x:c r="F835" s="20" t="str">
        <x:f>IF(E835="",D835,E835)</x:f>
        <x:v>2</x:v>
      </x:c>
      <x:c r="G835" s="13" t="str">
        <x:v>Scalable Disk-Based Approximate Nearest Neighbor Search with Page-Aligned Graph</x:v>
      </x:c>
      <x:c r="H835" s="13" t="n">
        <x:v>7</x:v>
      </x:c>
      <x:c r="I835" s="22" t="n">
        <x:v>0.014925373134328358</x:v>
      </x:c>
      <x:c r="J835" s="13" t="n">
        <x:v>1</x:v>
      </x:c>
      <x:c r="K835" s="19" t="str">
        <x:v>How do graph-based, quantization-based, and inverted-file approaches to approximate nearest-neighbor search compare in recall, latency, memory usage, and index construction cost?</x:v>
      </x:c>
      <x:c r="L835" s="19" t="str">
        <x:v>systems, and (ii) the head selection ratio is adjusted to ensure
a comparable in-memory index size.
6.2 Overall Performance
100M-scale results.First, we evaluate the overall perfor-
mance of all schemes under a memory budget of approxi-
mately30%of the dataset size on three million-scale datasets.
Figure 7 shows query latency versus recall@10 across the
100-million–scale datasets. PageANN consistently achieves
the lowest latency across the entire recall range compared to
all baselines. The gap becomes more pronounced at higher
recall levels (e.g., Recall@10 = 0.95), where competing meth-
ods require substantially larger search lists and consequently
incur higher I/O overhead. For example, on SPACEV100M,
PageANN achieves an average query latency of 12 ms, whereas
Starling and DiskANN exceed 25 ms and 31 ms, respectively.
The throughput results, shown in Figure 8, lead to a sim-</x:v>
      </x:c>
      <x:c r="M835" s="19" t="str">
        <x:v>该段包含可直接回答问题的方法、指标、比较或研究发现。</x:v>
      </x:c>
      <x:c r="N835" s="13" t="str">
        <x:v>http://arxiv.org/abs/2509.25487v2</x:v>
      </x:c>
    </x:row>
    <x:row r="836" ht="58" customHeight="1">
      <x:c r="A836" s="13" t="str">
        <x:v>csq028-c028</x:v>
      </x:c>
      <x:c r="B836" s="13" t="str">
        <x:v>csq028</x:v>
      </x:c>
      <x:c r="C836" s="21" t="n">
        <x:v>28</x:v>
      </x:c>
      <x:c r="D836" s="20" t="str">
        <x:v>0</x:v>
      </x:c>
      <x:c r="E836" s="20" t="str"/>
      <x:c r="F836" s="20" t="str">
        <x:f>IF(E836="",D836,E836)</x:f>
        <x:v>0</x:v>
      </x:c>
      <x:c r="G836" s="13" t="str">
        <x:v>A Comprehensive Survey and Experimental Comparison of Graph-Based Approximate Nearest Neighbor Search</x:v>
      </x:c>
      <x:c r="H836" s="13" t="n">
        <x:v>13</x:v>
      </x:c>
      <x:c r="I836" s="22" t="n">
        <x:v>0.014925373134328358</x:v>
      </x:c>
      <x:c r="J836" s="13" t="n">
        <x:v>1</x:v>
      </x:c>
      <x:c r="K836" s="19" t="str">
        <x:v>How do graph-based, quantization-based, and inverted-file approaches to approximate nearest-neighbor search compare in recall, latency, memory usage, and index construction cost?</x:v>
      </x:c>
      <x:c r="L836" s="19" t="str">
        <x:v>1066–1071.
[31] Wei Dong. 2011. KGraph: A Library for Approximate Nearest Neighbor Search .
Retrieved July 12, 2020 from https://github.com/aaalgo/kgraph
[32] Wei Dong, Charikar Moses, and Kai Li. 2011. Efficient k-nearest neighbor
graph construction for generic similarity measures. In Proceedings of the 20th
international conference on World wide web . 577–586.
[33] Matthijs Douze, Alexandre Sablayrolles, and Hervé Jégou. 2018. Link and
Code: Fast Indexing With Graphs and Compact Regression Codes. In 2018 IEEE
Conference on Computer Vision and Pattern Recognition, CVPR 2018, Salt Lake
City, UT, USA, June 18-22, 2018 . 3646–3654.
[34] Myron Flickner, Harpreet Sawhney, Wayne Niblack, Jonathan Ashley, Qian
Huang, Byron Dom, Monika Gorkani, Jim Hafner, Denis Lee, Dragutin Petkovic,
et al. 1995. Query by image and video content: The QBIC system. computer 28,
9 (1995), 23–32.</x:v>
      </x:c>
      <x:c r="M836" s="19" t="str">
        <x:v>该段为无关内容、泛泛提及或参考文献片段，不能作为回答证据。</x:v>
      </x:c>
      <x:c r="N836" s="13" t="str">
        <x:v>http://arxiv.org/abs/2101.12631v2</x:v>
      </x:c>
    </x:row>
    <x:row r="837" ht="58" customHeight="1">
      <x:c r="A837" s="13" t="str">
        <x:v>csq028-c029</x:v>
      </x:c>
      <x:c r="B837" s="13" t="str">
        <x:v>csq028</x:v>
      </x:c>
      <x:c r="C837" s="21" t="n">
        <x:v>29</x:v>
      </x:c>
      <x:c r="D837" s="20" t="str">
        <x:v>2</x:v>
      </x:c>
      <x:c r="E837" s="20" t="str"/>
      <x:c r="F837" s="20" t="str">
        <x:f>IF(E837="",D837,E837)</x:f>
        <x:v>2</x:v>
      </x:c>
      <x:c r="G837" s="13" t="str">
        <x:v>Fast Approximate Nearest Neighbor Search With The Navigating Spreading-out Graph</x:v>
      </x:c>
      <x:c r="H837" s="13" t="n">
        <x:v>0</x:v>
      </x:c>
      <x:c r="I837" s="22" t="n">
        <x:v>0.014925373134328358</x:v>
      </x:c>
      <x:c r="J837" s="13" t="n">
        <x:v>1</x:v>
      </x:c>
      <x:c r="K837" s="19" t="str">
        <x:v>How do graph-based, quantization-based, and inverted-file approaches to approximate nearest-neighbor search compare in recall, latency, memory usage, and index construction cost?</x:v>
      </x:c>
      <x:c r="L837" s="19" t="str">
        <x:v>arXiv:1707.00143v10  [cs.LG]  6 Jul 2025
Fast Approximate Nearest Neighbor Search With The Navigating
Spreading-out Graph
Cong Fu
Zhejiang University
Hangzhou, China
fc731097343@gmail.com
Chao Xiang
Zhejiang University
Hangzhou, China
chaoxiang@zju.edu.cn
Changxu Wang
Zhejiang University
Hangzhou, China
changxu.mail@gmail.com
Deng Cai
Zhejiang University
Hangzhou, China
dengcai@gmail.com
ABSTRACT
Approximate nearest neighbor search (ANNS) is a fundamental
problem in databases and data mining. A scalable ANNS algorithm
should be both memory efficient and fast. Some early graph-based
approaches have shown attractive theoretical guarantees on search
time complexity, but they all suffer from the problem of high in-
dexing time complexity. Recently, some graph-based methods have
been proposed to reduce indexing complexity by approximating</x:v>
      </x:c>
      <x:c r="M837" s="19" t="str">
        <x:v>该段包含可直接回答问题的方法、指标、比较或研究发现。</x:v>
      </x:c>
      <x:c r="N837" s="13" t="str">
        <x:v>http://arxiv.org/abs/1707.00143v10</x:v>
      </x:c>
    </x:row>
    <x:row r="838" ht="58" customHeight="1">
      <x:c r="A838" s="13" t="str">
        <x:v>csq028-c030</x:v>
      </x:c>
      <x:c r="B838" s="13" t="str">
        <x:v>csq028</x:v>
      </x:c>
      <x:c r="C838" s="21" t="n">
        <x:v>30</x:v>
      </x:c>
      <x:c r="D838" s="20" t="str">
        <x:v>2</x:v>
      </x:c>
      <x:c r="E838" s="20" t="str"/>
      <x:c r="F838" s="20" t="str">
        <x:f>IF(E838="",D838,E838)</x:f>
        <x:v>2</x:v>
      </x:c>
      <x:c r="G838" s="13" t="str">
        <x:v>A Comprehensive Survey and Experimental Comparison of Graph-Based Approximate Nearest Neighbor Search</x:v>
      </x:c>
      <x:c r="H838" s="13" t="n">
        <x:v>11</x:v>
      </x:c>
      <x:c r="I838" s="22" t="n">
        <x:v>0.014705882352941176</x:v>
      </x:c>
      <x:c r="J838" s="13" t="n">
        <x:v>1</x:v>
      </x:c>
      <x:c r="K838" s="19" t="str">
        <x:v>How do graph-based, quantization-based, and inverted-file approaches to approximate nearest-neighbor search compare in recall, latency, memory usage, and index construction cost?</x:v>
      </x:c>
      <x:c r="L838" s="19" t="str">
        <x:v>In general, they can be viewed as some optimizations on graph-
based algorithms discussed above (such as NSG and NSW). We
evaluate three ML-based optimizations on NSG and HNSW, i.e.,
ML1 [14], ML2 [59], and ML3 [78]. Because of space limitations, we
only show the test results on ML1 in Table 6 and Figure 9, others
share similar feature (see Appendix R for more details).
Analysis. ML-based optimizations generally obtain better speedup
vs recall tradeoff at the expense of more time and memory. For
example, the original NSG takes 55s and maximum memory con-
sumption of 0.37 GB for index construction on SIFT100K; however,
NSG optimized by ML1 takes 67,315s to process the index (even if
we use the GPU for speedup), and the memory consumption is up
to 23.8 GB. In summary, current ML-based optimizations have high
hardware requirements and time cost, so their wide application is</x:v>
      </x:c>
      <x:c r="M838" s="19" t="str">
        <x:v>该段包含可直接回答问题的方法、指标、比较或研究发现。</x:v>
      </x:c>
      <x:c r="N838" s="13" t="str">
        <x:v>http://arxiv.org/abs/2101.12631v2</x:v>
      </x:c>
    </x:row>
    <x:row r="839" ht="58" customHeight="1">
      <x:c r="A839" s="13" t="str">
        <x:v>csq029-c001</x:v>
      </x:c>
      <x:c r="B839" s="13" t="str">
        <x:v>csq029</x:v>
      </x:c>
      <x:c r="C839" s="21" t="n">
        <x:v>1</x:v>
      </x:c>
      <x:c r="D839" s="20" t="str">
        <x:v>2</x:v>
      </x:c>
      <x:c r="E839" s="20" t="str"/>
      <x:c r="F839" s="20" t="str">
        <x:f>IF(E839="",D839,E839)</x:f>
        <x:v>2</x:v>
      </x:c>
      <x:c r="G839" s="13" t="str">
        <x:v>Robust Neural Information Retrieval: An Adversarial and Out-of-distribution Perspective</x:v>
      </x:c>
      <x:c r="H839" s="13" t="n">
        <x:v>0</x:v>
      </x:c>
      <x:c r="I839" s="22" t="n">
        <x:v>0.04490750016696721</x:v>
      </x:c>
      <x:c r="J839" s="13" t="n">
        <x:v>3</x:v>
      </x:c>
      <x:c r="K839" s="19" t="str">
        <x:v>Which benchmarks and metrics are used to evaluate sparse, dense, and hybrid neural information retrieval, and how well do they measure out-of-domain robustness?</x:v>
      </x:c>
      <x:c r="L839" s="19" t="str">
        <x:v>their reliability in practice, has also garnered significant attention. With a wide array of research on robust
IR being published, we believe it is the opportune moment to consolidate the current status, glean insights
from existing methodologies, and lay the groundwork for future development. We view the robustness of
information retrieval to be a multifaceted concept, emphasizing its necessity against adversarial attacks,
out-of-distribution scenarios, and performance variance. With a focus on adversarial and out-of-distribution
robustness, we dissect robustness solutions for dense retrieval models and neural ranking models, respectively,
recognizing them as pivotal components of the neural information retrieval pipeline. We provide an in-depth
discussion of methods, datasets, and evaluation metrics, shedding light on challenges and future directions in</x:v>
      </x:c>
      <x:c r="M839" s="19" t="str">
        <x:v>该段包含可直接回答问题的方法、指标、比较或研究发现。</x:v>
      </x:c>
      <x:c r="N839" s="13" t="str">
        <x:v>http://arxiv.org/abs/2407.06992v2</x:v>
      </x:c>
    </x:row>
    <x:row r="840" ht="58" customHeight="1">
      <x:c r="A840" s="13" t="str">
        <x:v>csq029-c002</x:v>
      </x:c>
      <x:c r="B840" s="13" t="str">
        <x:v>csq029</x:v>
      </x:c>
      <x:c r="C840" s="21" t="n">
        <x:v>2</x:v>
      </x:c>
      <x:c r="D840" s="20" t="str">
        <x:v>2</x:v>
      </x:c>
      <x:c r="E840" s="20" t="str"/>
      <x:c r="F840" s="20" t="str">
        <x:f>IF(E840="",D840,E840)</x:f>
        <x:v>2</x:v>
      </x:c>
      <x:c r="G840" s="13" t="str">
        <x:v>Scaling Sparse and Dense Retrieval in Decoder-Only LLMs</x:v>
      </x:c>
      <x:c r="H840" s="13" t="n">
        <x:v>1</x:v>
      </x:c>
      <x:c r="I840" s="22" t="n">
        <x:v>0.03278688524590164</x:v>
      </x:c>
      <x:c r="J840" s="13" t="n">
        <x:v>2</x:v>
      </x:c>
      <x:c r="K840" s="19" t="str">
        <x:v>Which benchmarks and metrics are used to evaluate sparse, dense, and hybrid neural information retrieval, and how well do they measure out-of-domain robustness?</x:v>
      </x:c>
      <x:c r="L840" s="19" t="str">
        <x:v>CL-trained counterparts in BEIR at the 3B and 8B scales.
• Sparse retrieval models consistently outperform dense retrieval
models across all evaluation benchmarks with all the fine-tuning
objectives. They demonstrate greater robustness as demonstrated
by the out-of-domain BEIR benchmark.
• The combination of CL and KD loss achieves the best perfor-
mance, enabling our 8B sparse retrieval model, named Lion-SP-
8B, to become the state-of-the-art model in all the evaluation
sets. For instance, Lion-SP-8B outperforms ColBERTv2 by 10.6%
in BEIR, and RepLlama by 4.1% in TREC DL 19+20.
To improve reproducibility, we open-source our codebase in https:
//github.com/HansiZeng/scaling-retriever.
2 SETUP
Our experiments focus on the impact of three variables on in-
domain and out-of-domain performance. These variables are: (1)
the size of the backbone model. We use the Llama 3 family of mod-</x:v>
      </x:c>
      <x:c r="M840" s="19" t="str">
        <x:v>该段包含可直接回答问题的方法、指标、比较或研究发现。</x:v>
      </x:c>
      <x:c r="N840" s="13" t="str">
        <x:v>http://arxiv.org/abs/2502.15526v1</x:v>
      </x:c>
    </x:row>
    <x:row r="841" ht="58" customHeight="1">
      <x:c r="A841" s="13" t="str">
        <x:v>csq029-c003</x:v>
      </x:c>
      <x:c r="B841" s="13" t="str">
        <x:v>csq029</x:v>
      </x:c>
      <x:c r="C841" s="21" t="n">
        <x:v>3</x:v>
      </x:c>
      <x:c r="D841" s="20" t="str">
        <x:v>2</x:v>
      </x:c>
      <x:c r="E841" s="20" t="str"/>
      <x:c r="F841" s="20" t="str">
        <x:f>IF(E841="",D841,E841)</x:f>
        <x:v>2</x:v>
      </x:c>
      <x:c r="G841" s="13" t="str">
        <x:v>Scaling Sparse and Dense Retrieval in Decoder-Only LLMs</x:v>
      </x:c>
      <x:c r="H841" s="13" t="n">
        <x:v>0</x:v>
      </x:c>
      <x:c r="I841" s="22" t="n">
        <x:v>0.03225806451612903</x:v>
      </x:c>
      <x:c r="J841" s="13" t="n">
        <x:v>2</x:v>
      </x:c>
      <x:c r="K841" s="19" t="str">
        <x:v>Which benchmarks and metrics are used to evaluate sparse, dense, and hybrid neural information retrieval, and how well do they measure out-of-domain robustness?</x:v>
      </x:c>
      <x:c r="L841" s="19" t="str">
        <x:v>7B [37], can significantly outperform traditional BERT-based re-
trieval models on both in-domain and out-of-domain benchmarks.
These studies mainly focus on dense retrieval, neglecting sparse
retrieval [4, 11, 12, 41]—a single-vector retrieval paradigm that
uses high-dimension sparse vectors, where each index represents a
Permission to make digital or hard copies of part or all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owner/author(s).
Conference’17, July 2017, Washington, DC, USA
© 2025 Copyright held by the owner/author(s).
ACM ISBN 978-x-xxxx-xxxx-x/YY/MM.
https://doi.org/10.1145/nnnnnnn.nnnnnnn</x:v>
      </x:c>
      <x:c r="M841" s="19" t="str">
        <x:v>该段包含可直接回答问题的方法、指标、比较或研究发现。</x:v>
      </x:c>
      <x:c r="N841" s="13" t="str">
        <x:v>http://arxiv.org/abs/2502.15526v1</x:v>
      </x:c>
    </x:row>
    <x:row r="842" ht="58" customHeight="1">
      <x:c r="A842" s="13" t="str">
        <x:v>csq029-c004</x:v>
      </x:c>
      <x:c r="B842" s="13" t="str">
        <x:v>csq029</x:v>
      </x:c>
      <x:c r="C842" s="21" t="n">
        <x:v>4</x:v>
      </x:c>
      <x:c r="D842" s="20" t="str">
        <x:v>2</x:v>
      </x:c>
      <x:c r="E842" s="20" t="str"/>
      <x:c r="F842" s="20" t="str">
        <x:f>IF(E842="",D842,E842)</x:f>
        <x:v>2</x:v>
      </x:c>
      <x:c r="G842" s="13" t="str">
        <x:v>On the Robustness of Generative Information Retrieval Models</x:v>
      </x:c>
      <x:c r="H842" s="13" t="n">
        <x:v>2</x:v>
      </x:c>
      <x:c r="I842" s="22" t="n">
        <x:v>0.031009615384615385</x:v>
      </x:c>
      <x:c r="J842" s="13" t="n">
        <x:v>2</x:v>
      </x:c>
      <x:c r="K842" s="19" t="str">
        <x:v>Which benchmarks and metrics are used to evaluate sparse, dense, and hybrid neural information retrieval, and how well do they measure out-of-domain robustness?</x:v>
      </x:c>
      <x:c r="L842" s="19" t="str">
        <x:v>of generative IR models has been overlooked by the community .
2.3 Out-of-distribution in IR
OOD robustness refers to a model’s ability to maintain perfo rmance when en-
countering data that diﬀers from the distribution of the tra ining data [15]. In
real-world applications, retrieval models often face unse en data, highlighting the
challenges of out-of-distribution robustness [25, 26, 31, 46, 49]. Current studies
on OOD robustness in IR have their own limitations. For examp le, Wu et al.
[49] only explored the OOD generalization performance of ne ural ranking mod-
els. Some work has been devoted to alleviating the poor perfo rmance of dense
retrieval in the scenarios of query variants [6, 38, 44, 57] o r zero/few-shot of cor-
pus [24, 46, 53]. In this work, we focus on the OOD generalizab ility of generative
IR models and compare them analytically with representativ e retrieval models</x:v>
      </x:c>
      <x:c r="M842" s="19" t="str">
        <x:v>该段包含可直接回答问题的方法、指标、比较或研究发现。</x:v>
      </x:c>
      <x:c r="N842" s="13" t="str">
        <x:v>http://arxiv.org/abs/2412.18768v1</x:v>
      </x:c>
    </x:row>
    <x:row r="843" ht="58" customHeight="1">
      <x:c r="A843" s="13" t="str">
        <x:v>csq029-c005</x:v>
      </x:c>
      <x:c r="B843" s="13" t="str">
        <x:v>csq029</x:v>
      </x:c>
      <x:c r="C843" s="21" t="n">
        <x:v>5</x:v>
      </x:c>
      <x:c r="D843" s="20" t="str">
        <x:v>2</x:v>
      </x:c>
      <x:c r="E843" s="20" t="str"/>
      <x:c r="F843" s="20" t="str">
        <x:f>IF(E843="",D843,E843)</x:f>
        <x:v>2</x:v>
      </x:c>
      <x:c r="G843" s="13" t="str">
        <x:v>Robust Neural Information Retrieval: An Adversarial and Out-of-distribution Perspective</x:v>
      </x:c>
      <x:c r="H843" s="13" t="n">
        <x:v>20</x:v>
      </x:c>
      <x:c r="I843" s="22" t="n">
        <x:v>0.030158730158730156</x:v>
      </x:c>
      <x:c r="J843" s="13" t="n">
        <x:v>2</x:v>
      </x:c>
      <x:c r="K843" s="19" t="str">
        <x:v>Which benchmarks and metrics are used to evaluate sparse, dense, and hybrid neural information retrieval, and how well do they measure out-of-domain robustness?</x:v>
      </x:c>
      <x:c r="L843" s="19" t="str">
        <x:v>queries, IR models risk providing inadequate or irrelevant results, ultimately diminishing user
satisfaction and trust in the system [15, 121]. A robust neural IR model should be able to understand
and accommodate these variations, effectively retrieving relevant information regardless of how
the query is formulated.
Furthermore, in reality, there is a wide variety of query types that are often not fully or adequately
accessible during IR model training [182, 183]. But, a robust IR system should perform consistently
in response to a wide range of query types.
4.2 Benchmark Datasets
In this section, we present the commonly used datasets for studying OOD robustness in IR. All
datasets can be found in the BestIR benchmark; details about BestIR can be found in Appendix B.
4.2.1 Datasets for unseen documents. The datasets for unseen documents mainly involve adaptation</x:v>
      </x:c>
      <x:c r="M843" s="19" t="str">
        <x:v>该段包含可直接回答问题的方法、指标、比较或研究发现。</x:v>
      </x:c>
      <x:c r="N843" s="13" t="str">
        <x:v>http://arxiv.org/abs/2407.06992v2</x:v>
      </x:c>
    </x:row>
    <x:row r="844" ht="58" customHeight="1">
      <x:c r="A844" s="13" t="str">
        <x:v>csq029-c006</x:v>
      </x:c>
      <x:c r="B844" s="13" t="str">
        <x:v>csq029</x:v>
      </x:c>
      <x:c r="C844" s="21" t="n">
        <x:v>6</x:v>
      </x:c>
      <x:c r="D844" s="20" t="str">
        <x:v>2</x:v>
      </x:c>
      <x:c r="E844" s="20" t="str"/>
      <x:c r="F844" s="20" t="str">
        <x:f>IF(E844="",D844,E844)</x:f>
        <x:v>2</x:v>
      </x:c>
      <x:c r="G844" s="13" t="str">
        <x:v>Robust Neural Information Retrieval: An Adversarial and Out-of-distribution Perspective</x:v>
      </x:c>
      <x:c r="H844" s="13" t="n">
        <x:v>5</x:v>
      </x:c>
      <x:c r="I844" s="22" t="n">
        <x:v>0.03007688828584351</x:v>
      </x:c>
      <x:c r="J844" s="13" t="n">
        <x:v>2</x:v>
      </x:c>
      <x:c r="K844" s="19" t="str">
        <x:v>Which benchmarks and metrics are used to evaluate sparse, dense, and hybrid neural information retrieval, and how well do they measure out-of-domain robustness?</x:v>
      </x:c>
      <x:c r="L844" s="19" t="str">
        <x:v>test for
test datasets with adversarial examples in adversarial robustness, ˜Dtest for test dataset from new
domains in OOD robustness.
2.2 Taxonomy of Robustness in IR
In IR, robustness threats come in different flavors, including IID robustness [ 159], OOD robust-
ness [147], and adversarial robustness [159]. A high-level taxonomy of robustness in IR is shown
in Figure 4.
2.2.1 IID robustness. Typically, the performance of IR models is first represented by their overall
performance on IID data. Recently, it has been recognized that performance stability across IID
queries may be compromised when we try to improve the average retrieval effectiveness across all
queries [172]. Therefore, a robust neural IR model should not only have good retrieval performance
ACM Trans. Inf. Syst., Vol. *, No. *, Article 1. Publication date: June 2024.</x:v>
      </x:c>
      <x:c r="M844" s="19" t="str">
        <x:v>该段包含可直接回答问题的方法、指标、比较或研究发现。</x:v>
      </x:c>
      <x:c r="N844" s="13" t="str">
        <x:v>http://arxiv.org/abs/2407.06992v2</x:v>
      </x:c>
    </x:row>
    <x:row r="845" ht="58" customHeight="1">
      <x:c r="A845" s="13" t="str">
        <x:v>csq029-c007</x:v>
      </x:c>
      <x:c r="B845" s="13" t="str">
        <x:v>csq029</x:v>
      </x:c>
      <x:c r="C845" s="21" t="n">
        <x:v>7</x:v>
      </x:c>
      <x:c r="D845" s="20" t="str">
        <x:v>2</x:v>
      </x:c>
      <x:c r="E845" s="20" t="str"/>
      <x:c r="F845" s="20" t="str">
        <x:f>IF(E845="",D845,E845)</x:f>
        <x:v>2</x:v>
      </x:c>
      <x:c r="G845" s="13" t="str">
        <x:v>BEIR: A Heterogenous Benchmark for Zero-shot Evaluation of Information Retrieval Models</x:v>
      </x:c>
      <x:c r="H845" s="13" t="n">
        <x:v>0</x:v>
      </x:c>
      <x:c r="I845" s="22" t="n">
        <x:v>0.029877369007803793</x:v>
      </x:c>
      <x:c r="J845" s="13" t="n">
        <x:v>2</x:v>
      </x:c>
      <x:c r="K845" s="19" t="str">
        <x:v>Which benchmarks and metrics are used to evaluate sparse, dense, and hybrid neural information retrieval, and how well do they measure out-of-domain robustness?</x:v>
      </x:c>
      <x:c r="L845" s="19" t="str">
        <x:v>BEIR: A Heterogeneous Benchmark for Zero-shot
Evaluation of Information Retrieval Models
Nandan Thakur, Nils Reimers, Andreas Rücklé∗, Abhishek Srivastava, Iryna Gurevych
Ubiquitous Knowledge Processing Lab (UKP-TUDA)
Department of Computer Science, Technische Universität Darmstadt
www.ukp.tu-darmstadt.de
Abstract
Existing neural information retrieval (IR) models have often been studied in ho-
mogeneous and narrow settings, which has considerably limited insights into their
out-of-distribution (OOD) generalization capabilities. To address this, and to facili-
tate researchers to broadly evaluate the effectiveness of their models, we introduce
Benchmarking-IR (BEIR ), a robust and heterogeneous evaluation benchmark for
information retrieval. We leverage a careful selection of 18 publicly available
datasets from diverse text retrieval tasks and domains and evaluate 10 state-of-the-</x:v>
      </x:c>
      <x:c r="M845" s="19" t="str">
        <x:v>该段包含可直接回答问题的方法、指标、比较或研究发现。</x:v>
      </x:c>
      <x:c r="N845" s="13" t="str">
        <x:v>http://arxiv.org/abs/2104.08663v4</x:v>
      </x:c>
    </x:row>
    <x:row r="846" ht="58" customHeight="1">
      <x:c r="A846" s="13" t="str">
        <x:v>csq029-c008</x:v>
      </x:c>
      <x:c r="B846" s="13" t="str">
        <x:v>csq029</x:v>
      </x:c>
      <x:c r="C846" s="21" t="n">
        <x:v>8</x:v>
      </x:c>
      <x:c r="D846" s="20" t="str">
        <x:v>2</x:v>
      </x:c>
      <x:c r="E846" s="20" t="str"/>
      <x:c r="F846" s="20" t="str">
        <x:f>IF(E846="",D846,E846)</x:f>
        <x:v>2</x:v>
      </x:c>
      <x:c r="G846" s="13" t="str">
        <x:v>Robust Neural Information Retrieval: An Adversarial and Out-of-distribution Perspective</x:v>
      </x:c>
      <x:c r="H846" s="13" t="n">
        <x:v>6</x:v>
      </x:c>
      <x:c r="I846" s="22" t="n">
        <x:v>0.029726775956284153</x:v>
      </x:c>
      <x:c r="J846" s="13" t="n">
        <x:v>2</x:v>
      </x:c>
      <x:c r="K846" s="19" t="str">
        <x:v>Which benchmarks and metrics are used to evaluate sparse, dense, and hybrid neural information retrieval, and how well do they measure out-of-domain robustness?</x:v>
      </x:c>
      <x:c r="L846" s="19" t="str">
        <x:v>new domain, we give a formal definition of OOD robustness in IR based on Definition 2.1.
Definition 2.3 (OOD robustness of information retrieval). Let the following be given: an
IR model𝑓Dtrain, an original dataset with training and test data,Dtrain andDtest, drawn from the
original distributionG, along with a new test dataset ˜Dtest drawn from the new distribution ˜G,
and an acceptable error threshold𝛿, for the top-𝐾 ranking result. If
R𝑀
𝑓Dtrain;Dtest,𝐾 −R 𝑀
𝑓Dtrain; ˜Dtest,𝐾
≤𝛿 whereDtrain,Dtest∼G , ˜Dtest∼ ˜G, (7)
the model𝑓 is considered to be𝛿-robust against OOD data for metric 𝑀.
ACM Trans. Inf. Syst., Vol. *, No. *, Article 1. Publication date: June 2024.</x:v>
      </x:c>
      <x:c r="M846" s="19" t="str">
        <x:v>该段包含可直接回答问题的方法、指标、比较或研究发现。</x:v>
      </x:c>
      <x:c r="N846" s="13" t="str">
        <x:v>http://arxiv.org/abs/2407.06992v2</x:v>
      </x:c>
    </x:row>
    <x:row r="847" ht="58" customHeight="1">
      <x:c r="A847" s="13" t="str">
        <x:v>csq029-c009</x:v>
      </x:c>
      <x:c r="B847" s="13" t="str">
        <x:v>csq029</x:v>
      </x:c>
      <x:c r="C847" s="21" t="n">
        <x:v>9</x:v>
      </x:c>
      <x:c r="D847" s="20" t="str">
        <x:v>2</x:v>
      </x:c>
      <x:c r="E847" s="20" t="str"/>
      <x:c r="F847" s="20" t="str">
        <x:f>IF(E847="",D847,E847)</x:f>
        <x:v>2</x:v>
      </x:c>
      <x:c r="G847" s="13" t="str">
        <x:v>Robust Neural Information Retrieval: An Adversarial and Out-of-distribution Perspective</x:v>
      </x:c>
      <x:c r="H847" s="13" t="n">
        <x:v>3</x:v>
      </x:c>
      <x:c r="I847" s="22" t="n">
        <x:v>0.02964254577157803</x:v>
      </x:c>
      <x:c r="J847" s="13" t="n">
        <x:v>2</x:v>
      </x:c>
      <x:c r="K847" s="19" t="str">
        <x:v>Which benchmarks and metrics are used to evaluate sparse, dense, and hybrid neural information retrieval, and how well do they measure out-of-domain robustness?</x:v>
      </x:c>
      <x:c r="L847" s="19" t="str">
        <x:v>the-art methodologies. In Section 4, we show two key scenarios for OOD robustness, i.e., OOD
generalizability on unseen documents and OOD generalizability to unseen queries, and present
specific datasets, evaluation metrics, and methods for solving these scenarios. In Section 5, we
describe remaining challenges and emerging opportunities for robustness of IR in the era of LLMs.
Finally, Section 6 summarizes the survey and offers concluding remarks.
2 DEFINITION AND TAXONOMY
In this section, we provide a formal definition of robustness in the context of IR and outline the
taxonomy pertinent to this domain.
IR task. To provide a clear understanding, we first formalize the IR task. Suppose that 𝑅 =
{𝑟1,𝑟 2,...,𝑟 𝑙} is the set of relevance levels, where 𝑙 denotes the number of levels. A total order</x:v>
      </x:c>
      <x:c r="M847" s="19" t="str">
        <x:v>该段包含可直接回答问题的方法、指标、比较或研究发现。</x:v>
      </x:c>
      <x:c r="N847" s="13" t="str">
        <x:v>http://arxiv.org/abs/2407.06992v2</x:v>
      </x:c>
    </x:row>
    <x:row r="848" ht="58" customHeight="1">
      <x:c r="A848" s="13" t="str">
        <x:v>csq029-c010</x:v>
      </x:c>
      <x:c r="B848" s="13" t="str">
        <x:v>csq029</x:v>
      </x:c>
      <x:c r="C848" s="21" t="n">
        <x:v>10</x:v>
      </x:c>
      <x:c r="D848" s="20" t="str">
        <x:v>0</x:v>
      </x:c>
      <x:c r="E848" s="20" t="str"/>
      <x:c r="F848" s="20" t="str">
        <x:f>IF(E848="",D848,E848)</x:f>
        <x:v>0</x:v>
      </x:c>
      <x:c r="G848" s="13" t="str">
        <x:v>A Study on the Efficiency and Generalization of Light Hybrid Retrievers</x:v>
      </x:c>
      <x:c r="H848" s="13" t="n">
        <x:v>6</x:v>
      </x:c>
      <x:c r="I848" s="22" t="n">
        <x:v>0.028594771241830064</x:v>
      </x:c>
      <x:c r="J848" s="13" t="n">
        <x:v>2</x:v>
      </x:c>
      <x:c r="K848" s="19" t="str">
        <x:v>Which benchmarks and metrics are used to evaluate sparse, dense, and hybrid neural information retrieval, and how well do they measure out-of-domain robustness?</x:v>
      </x:c>
      <x:c r="L848" s="19" t="str">
        <x:v>Christopher Sciavolino, Zexuan Zhong, Jinhyuk Lee,
and Danqi Chen. 2021. Simple entity-centric ques-
tions challenge dense retrievers. In Proceedings of
the 2021 Conference on Empirical Methods in Natu-
ral Language Processing, pages 6138–6148.
Minjoon Seo, Jinhyuk Lee, Tom Kwiatkowski, Ankur
Parikh, Ali Farhadi, and Hannaneh Hajishirzi. 2019.
Real-time open-domain question answering with
dense-sparse phrase index. In Proceedings of the
57th Annual Meeting of the Association for Compu-
tational Linguistics, pages 4430–4441.
Nandan Thakur, N. Reimers, Andreas Ruckl’e, Ab-
hishek Srivastava, and Iryna Gurevych. 2021a. Beir:
A heterogenous benchmark for zero-shot evalu-
ation of information retrieval models. ArXiv,
abs/2104.08663.
Nandan Thakur, Nils Reimers, and Jimmy Lin. 2022.
Domain adaptation for memory-efficient dense re-
trieval. arXiv preprint arXiv:2205.11498.</x:v>
      </x:c>
      <x:c r="M848" s="19" t="str">
        <x:v>该段为无关内容、泛泛提及或参考文献片段，不能作为回答证据。</x:v>
      </x:c>
      <x:c r="N848" s="13" t="str">
        <x:v>http://arxiv.org/abs/2210.01371v2</x:v>
      </x:c>
    </x:row>
    <x:row r="849" ht="58" customHeight="1">
      <x:c r="A849" s="13" t="str">
        <x:v>csq029-c011</x:v>
      </x:c>
      <x:c r="B849" s="13" t="str">
        <x:v>csq029</x:v>
      </x:c>
      <x:c r="C849" s="21" t="n">
        <x:v>11</x:v>
      </x:c>
      <x:c r="D849" s="20" t="str">
        <x:v>2</x:v>
      </x:c>
      <x:c r="E849" s="20" t="str"/>
      <x:c r="F849" s="20" t="str">
        <x:f>IF(E849="",D849,E849)</x:f>
        <x:v>2</x:v>
      </x:c>
      <x:c r="G849" s="13" t="str">
        <x:v>Robust Neural Information Retrieval: An Adversarial and Out-of-distribution Perspective</x:v>
      </x:c>
      <x:c r="H849" s="13" t="n">
        <x:v>0</x:v>
      </x:c>
      <x:c r="I849" s="22" t="n">
        <x:v>0.028404512489927477</x:v>
      </x:c>
      <x:c r="J849" s="13" t="n">
        <x:v>2</x:v>
      </x:c>
      <x:c r="K849" s="19" t="str">
        <x:v>Which benchmarks and metrics are used to evaluate sparse, dense, and hybrid neural information retrieval, and how well do they measure out-of-domain robustness?</x:v>
      </x:c>
      <x:c r="L849" s="19" t="str">
        <x:v>1
Robust Neural Information Retrieval: An Adversarial and
Out-of-distribution Perspective
YU-AN LIU, RUQING ZHANG, and JIAFENG GUO ∗, CAS Key Lab of Network Data Science
and Technology, Institute of Computing Technology, Chinese Academy of Sciences; University of Chinese
Academy of Sciences, China
MAARTEN DE RIJKE, University of Amsterdam, The Netherlands
YIXING FAN and XUEQI CHENG, CAS Key Lab of Network Data Science and Technology, Institute of
Computing Technology, Chinese Academy of Sciences; University of Chinese Academy of Sciences, China
Recent advances in neural information retrieval models have significantly enhanced these models’ effectiveness
across various information retrieval tasks. The robustness of these models, which is essential for ensuring
their reliability in practice, has also garnered significant attention. With a wide array of research on robust</x:v>
      </x:c>
      <x:c r="M849" s="19" t="str">
        <x:v>该段包含可直接回答问题的方法、指标、比较或研究发现。</x:v>
      </x:c>
      <x:c r="N849" s="13" t="str">
        <x:v>http://arxiv.org/abs/2407.06992v2</x:v>
      </x:c>
    </x:row>
    <x:row r="850" ht="58" customHeight="1">
      <x:c r="A850" s="13" t="str">
        <x:v>csq029-c012</x:v>
      </x:c>
      <x:c r="B850" s="13" t="str">
        <x:v>csq029</x:v>
      </x:c>
      <x:c r="C850" s="21" t="n">
        <x:v>12</x:v>
      </x:c>
      <x:c r="D850" s="20" t="str">
        <x:v>2</x:v>
      </x:c>
      <x:c r="E850" s="20" t="str"/>
      <x:c r="F850" s="20" t="str">
        <x:f>IF(E850="",D850,E850)</x:f>
        <x:v>2</x:v>
      </x:c>
      <x:c r="G850" s="13" t="str">
        <x:v>BEIR: A Heterogenous Benchmark for Zero-shot Evaluation of Information Retrieval Models</x:v>
      </x:c>
      <x:c r="H850" s="13" t="n">
        <x:v>1</x:v>
      </x:c>
      <x:c r="I850" s="22" t="n">
        <x:v>0.02797339593114241</x:v>
      </x:c>
      <x:c r="J850" s="13" t="n">
        <x:v>2</x:v>
      </x:c>
      <x:c r="K850" s="19" t="str">
        <x:v>Which benchmarks and metrics are used to evaluate sparse, dense, and hybrid neural information retrieval, and how well do they measure out-of-domain robustness?</x:v>
      </x:c>
      <x:c r="L850" s="19" t="str">
        <x:v>embeddings vs. dense embeddings, generalize to out-of-distribution data.
In this work, we present a novel robust and heterogeneous benchmark called BEIR (Benchmarking
IR), comprising of 18 retrieval datasets for comparison and evaluation of model generalization. Prior
retrieval benchmarks [19, 50] have issues of a comparatively narrow evaluation focusing either only
on a single task, like question-answering, or on a certain domain. In BEIR , we focus on Diversity, we
include nine different retrieval tasks: Fact checking, citation prediction, duplicate question retrieval,
argument retrieval, news retrieval, question answering, tweet retrieval, bio-medical IR, and entity
retrieval. Further, we include datasets from diverse text domains, datasets that cover broad topics (like
Wikipedia) and specialized topics (like COVID-19 publications), different text types (news articles vs.</x:v>
      </x:c>
      <x:c r="M850" s="19" t="str">
        <x:v>该段包含可直接回答问题的方法、指标、比较或研究发现。</x:v>
      </x:c>
      <x:c r="N850" s="13" t="str">
        <x:v>http://arxiv.org/abs/2104.08663v4</x:v>
      </x:c>
    </x:row>
    <x:row r="851" ht="58" customHeight="1">
      <x:c r="A851" s="13" t="str">
        <x:v>csq029-c013</x:v>
      </x:c>
      <x:c r="B851" s="13" t="str">
        <x:v>csq029</x:v>
      </x:c>
      <x:c r="C851" s="21" t="n">
        <x:v>13</x:v>
      </x:c>
      <x:c r="D851" s="20" t="str">
        <x:v>1</x:v>
      </x:c>
      <x:c r="E851" s="20" t="str"/>
      <x:c r="F851" s="20" t="str">
        <x:f>IF(E851="",D851,E851)</x:f>
        <x:v>1</x:v>
      </x:c>
      <x:c r="G851" s="13" t="str">
        <x:v>Robust Neural Information Retrieval: An Adversarial and Out-of-distribution Perspective</x:v>
      </x:c>
      <x:c r="H851" s="13" t="n">
        <x:v>4</x:v>
      </x:c>
      <x:c r="I851" s="22" t="n">
        <x:v>0.01639344262295082</x:v>
      </x:c>
      <x:c r="J851" s="13" t="n">
        <x:v>1</x:v>
      </x:c>
      <x:c r="K851" s="19" t="str">
        <x:v>Which benchmarks and metrics are used to evaluate sparse, dense, and hybrid neural information retrieval, and how well do they measure out-of-domain robustness?</x:v>
      </x:c>
      <x:c r="L851" s="19" t="str">
        <x:v>where𝜓 and𝜙 are representation functions that extract features from𝑞 and𝑑, respectively,𝜂 is the
interaction function that extracts features from the pair(𝑞,𝑑), and𝑔 is an evaluation function that
computes the relevance score based on the feature representations. For neural IR models, in most
cases, the representation functions𝜓,𝜙,𝜂, and𝑔 are encoded in the network structure so that all
can be learned from training data [55].
The ranking performance of an IR model is usually evaluated by a metric𝑀 that focuses on the
top-𝐾 ranking results, e.g., Recall@𝐾, NDCG@𝐾 and MRR@𝐾. Given a triple(𝑞,𝐷,𝑌) and an IR
model𝑓 , the score of𝑀 on query𝑞 is calculated by:
𝑀(𝑓 ;(𝑞,𝐷,𝑌),𝐾) =
∑︁
(𝑑,𝑦𝑑)∈(𝐷,𝑌)
𝑦𝑑·ℎ 𝜋𝑓(𝑞,𝑑)· I
𝜋𝑓(𝑞,𝑑)≤𝐾
, (3)
whereℎ is the mapping function related to ranking, dependent on the specific metric, and I{·} is</x:v>
      </x:c>
      <x:c r="M851" s="19" t="str">
        <x:v>该段提供相关背景或侧面信息，但没有直接回答问题核心。</x:v>
      </x:c>
      <x:c r="N851" s="13" t="str">
        <x:v>http://arxiv.org/abs/2407.06992v2</x:v>
      </x:c>
    </x:row>
    <x:row r="852" ht="58" customHeight="1">
      <x:c r="A852" s="13" t="str">
        <x:v>csq029-c014</x:v>
      </x:c>
      <x:c r="B852" s="13" t="str">
        <x:v>csq029</x:v>
      </x:c>
      <x:c r="C852" s="21" t="n">
        <x:v>14</x:v>
      </x:c>
      <x:c r="D852" s="20" t="str">
        <x:v>2</x:v>
      </x:c>
      <x:c r="E852" s="20" t="str"/>
      <x:c r="F852" s="20" t="str">
        <x:f>IF(E852="",D852,E852)</x:f>
        <x:v>2</x:v>
      </x:c>
      <x:c r="G852" s="13" t="str">
        <x:v>Robust Neural Information Retrieval: An Adversarial and Out-of-distribution Perspective</x:v>
      </x:c>
      <x:c r="H852" s="13" t="n">
        <x:v>35</x:v>
      </x:c>
      <x:c r="I852" s="22" t="n">
        <x:v>0.01639344262295082</x:v>
      </x:c>
      <x:c r="J852" s="13" t="n">
        <x:v>1</x:v>
      </x:c>
      <x:c r="K852" s="19" t="str">
        <x:v>Which benchmarks and metrics are used to evaluate sparse, dense, and hybrid neural information retrieval, and how well do they measure out-of-domain robustness?</x:v>
      </x:c>
      <x:c r="L852" s="19" t="str">
        <x:v>variations-ANTIQUE [121] – – – 2k
variations-TREC19 [121] – – – 430
Zhuang and Zuccon [182] – – – 41k
Unseen query type MS MARCO [113] – – – 15k
L4 [143] – – – 10k
B THE BestIR BENCHMARK
BestIR aims to provide a robustness evaluation benchmark for neural IR models. In order to address
the comprehensive robustness challenge, we construct benchmarks mainly in terms of seven types
of two aspects of robustness, i.e., adversarial robustness and OOD robustness.
ACM Trans. Inf. Syst., Vol. *, No. *, Article 1. Publication date: June 2024.</x:v>
      </x:c>
      <x:c r="M852" s="19" t="str">
        <x:v>该段包含可直接回答问题的方法、指标、比较或研究发现。</x:v>
      </x:c>
      <x:c r="N852" s="13" t="str">
        <x:v>http://arxiv.org/abs/2407.06992v2</x:v>
      </x:c>
    </x:row>
    <x:row r="853" ht="58" customHeight="1">
      <x:c r="A853" s="13" t="str">
        <x:v>csq029-c015</x:v>
      </x:c>
      <x:c r="B853" s="13" t="str">
        <x:v>csq029</x:v>
      </x:c>
      <x:c r="C853" s="21" t="n">
        <x:v>15</x:v>
      </x:c>
      <x:c r="D853" s="20" t="str">
        <x:v>2</x:v>
      </x:c>
      <x:c r="E853" s="20" t="str"/>
      <x:c r="F853" s="20" t="str">
        <x:f>IF(E853="",D853,E853)</x:f>
        <x:v>2</x:v>
      </x:c>
      <x:c r="G853" s="13" t="str">
        <x:v>BEIR: A Heterogenous Benchmark for Zero-shot Evaluation of Information Retrieval Models</x:v>
      </x:c>
      <x:c r="H853" s="13" t="n">
        <x:v>4</x:v>
      </x:c>
      <x:c r="I853" s="22" t="n">
        <x:v>0.016129032258064516</x:v>
      </x:c>
      <x:c r="J853" s="13" t="n">
        <x:v>1</x:v>
      </x:c>
      <x:c r="K853" s="19" t="str">
        <x:v>Which benchmarks and metrics are used to evaluate sparse, dense, and hybrid neural information retrieval, and how well do they measure out-of-domain robustness?</x:v>
      </x:c>
      <x:c r="L853" s="19" t="str">
        <x:v>are not suitable. Binary rank-aware metrics such as MRR (Mean Reciprocal Rate) and MAP (Mean
Average Precision) fail to evaluate tasks with graded relevance judgements. We ﬁnd thatNormalised
Cumulative Discount Gain (nDCG@k) provides a good balance suitable for both tasks involving
binary and graded relevance judgements. We refer the reader to Wang et al. [71] for understanding
the theoretical advantages of the metric. For our experiments, we utilize the Python interface of the
ofﬁcial TREC evaluation tool [63] and compute nDCG@10 for all datasets.
4 Experimental Setup
We use BEIR to compare diverse, recent, state-of-the-art retrieval architectures with a focus on
transformer-based neural approaches. We evaluate on publicly available pre-trained checkpoints,
which we provide in Table 6. Due to the length limitations of transformer-based networks, we use</x:v>
      </x:c>
      <x:c r="M853" s="19" t="str">
        <x:v>该段包含可直接回答问题的方法、指标、比较或研究发现。</x:v>
      </x:c>
      <x:c r="N853" s="13" t="str">
        <x:v>http://arxiv.org/abs/2104.08663v4</x:v>
      </x:c>
    </x:row>
    <x:row r="854" ht="58" customHeight="1">
      <x:c r="A854" s="13" t="str">
        <x:v>csq029-c016</x:v>
      </x:c>
      <x:c r="B854" s="13" t="str">
        <x:v>csq029</x:v>
      </x:c>
      <x:c r="C854" s="21" t="n">
        <x:v>16</x:v>
      </x:c>
      <x:c r="D854" s="20" t="str">
        <x:v>2</x:v>
      </x:c>
      <x:c r="E854" s="20" t="str"/>
      <x:c r="F854" s="20" t="str">
        <x:f>IF(E854="",D854,E854)</x:f>
        <x:v>2</x:v>
      </x:c>
      <x:c r="G854" s="13" t="str">
        <x:v>Hybrid Retrieval for Hallucination Mitigation in Large Language Models: A Comparative Analysis</x:v>
      </x:c>
      <x:c r="H854" s="13" t="n">
        <x:v>7</x:v>
      </x:c>
      <x:c r="I854" s="22" t="n">
        <x:v>0.015873015873015872</x:v>
      </x:c>
      <x:c r="J854" s="13" t="n">
        <x:v>1</x:v>
      </x:c>
      <x:c r="K854" s="19" t="str">
        <x:v>Which benchmarks and metrics are used to evaluate sparse, dense, and hybrid neural information retrieval, and how well do they measure out-of-domain robustness?</x:v>
      </x:c>
      <x:c r="L854" s="19" t="str">
        <x:v>ers. For this, we used commonly-used order-aware metrics from the Information Re-
trieval (IR) domain, namely Mean Average Precision (MAP) [20,57,58] and Normalized
Discounted Cumulative Gain (NDCG) [11, 20, 59].
As mentioned in Section 3, since each retriever returns a ranked list of three docu-
ments (top − 3), these metrics were computed at a cut-off value, k = 3, i.e. number of
documents considered for the evaluation.
MAP averages the precision@k metric at each relevant item position in the retrieved
ranked list of documents, where precision@k measures the proportion of relevant doc-
uments in a ranked list of size k. For a query q, the Average Precision (AP) is defined
as:
4https://anonymous.4open.science/r/HybridRAG_for_Hallucinations-884F</x:v>
      </x:c>
      <x:c r="M854" s="19" t="str">
        <x:v>该段包含可直接回答问题的方法、指标、比较或研究发现。</x:v>
      </x:c>
      <x:c r="N854" s="13" t="str">
        <x:v>http://arxiv.org/abs/2504.05324v1</x:v>
      </x:c>
    </x:row>
    <x:row r="855" ht="58" customHeight="1">
      <x:c r="A855" s="13" t="str">
        <x:v>csq029-c017</x:v>
      </x:c>
      <x:c r="B855" s="13" t="str">
        <x:v>csq029</x:v>
      </x:c>
      <x:c r="C855" s="21" t="n">
        <x:v>17</x:v>
      </x:c>
      <x:c r="D855" s="20" t="str">
        <x:v>2</x:v>
      </x:c>
      <x:c r="E855" s="20" t="str"/>
      <x:c r="F855" s="20" t="str">
        <x:f>IF(E855="",D855,E855)</x:f>
        <x:v>2</x:v>
      </x:c>
      <x:c r="G855" s="13" t="str">
        <x:v>Predicting Efficiency/Effectiveness Trade-offs for Dense vs. Sparse Retrieval Strategy Selection</x:v>
      </x:c>
      <x:c r="H855" s="13" t="n">
        <x:v>2</x:v>
      </x:c>
      <x:c r="I855" s="22" t="n">
        <x:v>0.015873015873015872</x:v>
      </x:c>
      <x:c r="J855" s="13" t="n">
        <x:v>1</x:v>
      </x:c>
      <x:c r="K855" s="19" t="str">
        <x:v>Which benchmarks and metrics are used to evaluate sparse, dense, and hybrid neural information retrieval, and how well do they measure out-of-domain robustness?</x:v>
      </x:c>
      <x:c r="L855" s="19" t="str">
        <x:v>top relevant passage𝐹𝑞 returned by the sparse retriever:
𝑆𝑡𝑟𝑎𝑡𝑒𝑔𝑦 =
(
𝑆𝑝𝑎𝑟𝑠𝑒𝑅𝑒𝑡𝑟𝑖𝑒𝑣𝑒𝑟 if𝑅𝑎𝑛𝑘 (𝐹𝑞) &lt;=𝑇
𝐻𝑦𝑏𝑟𝑖𝑑𝑅𝑒𝑡𝑟𝑖𝑒𝑣𝑒𝑟 otherwise (5)
In addition to the text of the query, the text of the top passage
returned by the sparse retriever is provided as input to the classifier.
We compare the architectures of the two classifiers, i.e., sparse vs.
dense and sparse vs. hybrid in Figure 1.
3 EXPERIMENTS
3.1 Experimental Setup
To train the classifiers, we follow the labelling scheme described
in Section 2.1 and 2.2. We assign labels to queries in the training
set. For the sparse vs. dense classifier we fine-tune BERT base
uncased for 1 epoch with batch size of 8. Training on a RTX 2080
Figure 1: Retrieval category selection classifiers: (a) sparse
vs. dense, using only the query as input and, (b) sparse vs.
hybrid, using both query and top-retrieved document as in-
put;𝑞𝑖
𝑡 and𝑑𝑖</x:v>
      </x:c>
      <x:c r="M855" s="19" t="str">
        <x:v>该段包含可直接回答问题的方法、指标、比较或研究发现。</x:v>
      </x:c>
      <x:c r="N855" s="13" t="str">
        <x:v>http://arxiv.org/abs/2109.10739v1</x:v>
      </x:c>
    </x:row>
    <x:row r="856" ht="58" customHeight="1">
      <x:c r="A856" s="13" t="str">
        <x:v>csq029-c018</x:v>
      </x:c>
      <x:c r="B856" s="13" t="str">
        <x:v>csq029</x:v>
      </x:c>
      <x:c r="C856" s="21" t="n">
        <x:v>18</x:v>
      </x:c>
      <x:c r="D856" s="20" t="str">
        <x:v>2</x:v>
      </x:c>
      <x:c r="E856" s="20" t="str"/>
      <x:c r="F856" s="20" t="str">
        <x:f>IF(E856="",D856,E856)</x:f>
        <x:v>2</x:v>
      </x:c>
      <x:c r="G856" s="13" t="str">
        <x:v>Robust Neural Information Retrieval: An Adversarial and Out-of-distribution Perspective</x:v>
      </x:c>
      <x:c r="H856" s="13" t="n">
        <x:v>6</x:v>
      </x:c>
      <x:c r="I856" s="22" t="n">
        <x:v>0.015873015873015872</x:v>
      </x:c>
      <x:c r="J856" s="13" t="n">
        <x:v>1</x:v>
      </x:c>
      <x:c r="K856" s="19" t="str">
        <x:v>Which benchmarks and metrics are used to evaluate sparse, dense, and hybrid neural information retrieval, and how well do they measure out-of-domain robustness?</x:v>
      </x:c>
      <x:c r="L856" s="19" t="str">
        <x:v>distribution. There are a variety of OOD scenarios in IR, so the OOD robustness of the model is
of broad interest. First, the query entered by the user may be unknown and of varying quality
[92, 121]. Then, search engine application scenario migration and incremental new documents
will likely bring in OOD data [13, 18, 147]. Manual labeling of unseen data as well as retraining IR
models incurs significant resource overhead [113, 147]. Therefore, it is crucial how to efficiently
train IR models to achieve effective performance on unseen data.
OOD robustness measures the performance of an IR model on unseen queries and documents
from distributions that differ from the training dataset. By introducing the test dataset ˜Dtest in a
new domain, we give a formal definition of OOD robustness in IR based on Definition 2.1.</x:v>
      </x:c>
      <x:c r="M856" s="19" t="str">
        <x:v>该段包含可直接回答问题的方法、指标、比较或研究发现。</x:v>
      </x:c>
      <x:c r="N856" s="13" t="str">
        <x:v>http://arxiv.org/abs/2407.06992v2</x:v>
      </x:c>
    </x:row>
    <x:row r="857" ht="58" customHeight="1">
      <x:c r="A857" s="13" t="str">
        <x:v>csq029-c019</x:v>
      </x:c>
      <x:c r="B857" s="13" t="str">
        <x:v>csq029</x:v>
      </x:c>
      <x:c r="C857" s="21" t="n">
        <x:v>19</x:v>
      </x:c>
      <x:c r="D857" s="20" t="str">
        <x:v>0</x:v>
      </x:c>
      <x:c r="E857" s="20" t="str"/>
      <x:c r="F857" s="20" t="str">
        <x:f>IF(E857="",D857,E857)</x:f>
        <x:v>0</x:v>
      </x:c>
      <x:c r="G857" s="13" t="str">
        <x:v>A Study on the Efficiency and Generalization of Light Hybrid Retrievers</x:v>
      </x:c>
      <x:c r="H857" s="13" t="n">
        <x:v>5</x:v>
      </x:c>
      <x:c r="I857" s="22" t="n">
        <x:v>0.015873015873015872</x:v>
      </x:c>
      <x:c r="J857" s="13" t="n">
        <x:v>1</x:v>
      </x:c>
      <x:c r="K857" s="19" t="str">
        <x:v>Which benchmarks and metrics are used to evaluate sparse, dense, and hybrid neural information retrieval, and how well do they measure out-of-domain robustness?</x:v>
      </x:c>
      <x:c r="L857" s="19" t="str">
        <x:v>References
Negar Arabzadeh, Xinyi Yan, and Charles LA Clarke.
2021. Predicting efficiency/effectiveness trade-offs
for dense vs. sparse retrieval strategy selection. In
Proceedings of the 30th ACM International Con-
ference on Information &amp; Knowledge Management,
pages 2862–2866.
Tao Chen, Mingyang Zhang, Jing Lu, Michael Bender-
sky, and Marc Najork. 2022. Out-of-domain seman-
tics to the rescue! zero-shot hybrid retrieval models.
In European Conference on Information Retrieval ,
pages 95–110. Springer.
Xilun Chen, Kushal Lakhotia, Barlas O ˘guz, Anchit
Gupta, Patrick Lewis, Stan Peshterliev, Yashar
Mehdad, Sonal Gupta, and Wen-tau Yih. 2021.
Salient phrase aware dense retrieval: Can a dense
retriever imitate a sparse one? arXiv preprint
arXiv:2110.06918.
Xuanang Chen, Jian Luo, Ben He, Le Sun, and Yingfei
Sun. Towards robust dense retrieval via local ranking
alignment.</x:v>
      </x:c>
      <x:c r="M857" s="19" t="str">
        <x:v>该段为无关内容、泛泛提及或参考文献片段，不能作为回答证据。</x:v>
      </x:c>
      <x:c r="N857" s="13" t="str">
        <x:v>http://arxiv.org/abs/2210.01371v2</x:v>
      </x:c>
    </x:row>
    <x:row r="858" ht="58" customHeight="1">
      <x:c r="A858" s="13" t="str">
        <x:v>csq029-c020</x:v>
      </x:c>
      <x:c r="B858" s="13" t="str">
        <x:v>csq029</x:v>
      </x:c>
      <x:c r="C858" s="21" t="n">
        <x:v>20</x:v>
      </x:c>
      <x:c r="D858" s="20" t="str">
        <x:v>2</x:v>
      </x:c>
      <x:c r="E858" s="20" t="str"/>
      <x:c r="F858" s="20" t="str">
        <x:f>IF(E858="",D858,E858)</x:f>
        <x:v>2</x:v>
      </x:c>
      <x:c r="G858" s="13" t="str">
        <x:v>Robust Neural Information Retrieval: An Adversarial and Out-of-distribution Perspective</x:v>
      </x:c>
      <x:c r="H858" s="13" t="n">
        <x:v>6</x:v>
      </x:c>
      <x:c r="I858" s="22" t="n">
        <x:v>0.015625</x:v>
      </x:c>
      <x:c r="J858" s="13" t="n">
        <x:v>1</x:v>
      </x:c>
      <x:c r="K858" s="19" t="str">
        <x:v>Which benchmarks and metrics are used to evaluate sparse, dense, and hybrid neural information retrieval, and how well do they measure out-of-domain robustness?</x:v>
      </x:c>
      <x:c r="L858" s="19" t="str">
        <x:v>Robust Neural Information Retrieval: An Adversarial and Out-of-distribution Perspective 1:7
Top-K Robustness of  IR
ℛ𝑀 𝑓𝒟train; 𝒟test, 𝐾 − ℛM 𝑓𝒟train; 𝒟test
∗ , 𝐾 ≤ 𝛿
Performance variance under IID data:
IID robustness
𝑉𝑎𝑟( M 𝑓𝒟train; 𝑞, 𝐷, 𝑌 , 𝐾 𝑞, 𝐷, 𝑌 ∈ 𝒟test}) ≤ 𝛿
The ability to defend against adversarial attacks:
Adversarial robustness
ℛ𝑀 𝑓𝒟train; 𝒟test, 𝐾 − ℛM 𝑓𝒟train; 𝒟test
′ , 𝐾 ≤ 𝛿
such that 𝒟test
′ ← 𝒟test ∪ 𝐷adv
Generalizability on unseen queries and corpus:
OOD robustness
ℛ𝑀 𝑓𝒟train; 𝒟test, 𝐾 − ℛM 𝑓𝒟train; ෩𝒟test, 𝐾 ≤ 𝛿
where 𝒟train, 𝒟test~𝒢, ෩𝒟test~ ሚ𝒢
Fig. 4. A taxonomy of robustness in IR. In this survey, we pay special attention to adversarial robustness and
OOD robustness.
on the overall testing queries, but also ensure that the performance on individual queries is not too
bad. We give a formal definition of IID robustness in IR based on Definition 2.1.</x:v>
      </x:c>
      <x:c r="M858" s="19" t="str">
        <x:v>该段包含可直接回答问题的方法、指标、比较或研究发现。</x:v>
      </x:c>
      <x:c r="N858" s="13" t="str">
        <x:v>http://arxiv.org/abs/2407.06992v2</x:v>
      </x:c>
    </x:row>
    <x:row r="859" ht="58" customHeight="1">
      <x:c r="A859" s="13" t="str">
        <x:v>csq029-c021</x:v>
      </x:c>
      <x:c r="B859" s="13" t="str">
        <x:v>csq029</x:v>
      </x:c>
      <x:c r="C859" s="21" t="n">
        <x:v>21</x:v>
      </x:c>
      <x:c r="D859" s="20" t="str">
        <x:v>2</x:v>
      </x:c>
      <x:c r="E859" s="20" t="str"/>
      <x:c r="F859" s="20" t="str">
        <x:f>IF(E859="",D859,E859)</x:f>
        <x:v>2</x:v>
      </x:c>
      <x:c r="G859" s="13" t="str">
        <x:v>Robust Neural Information Retrieval: An Adversarial and Out-of-distribution Perspective</x:v>
      </x:c>
      <x:c r="H859" s="13" t="n">
        <x:v>27</x:v>
      </x:c>
      <x:c r="I859" s="22" t="n">
        <x:v>0.015625</x:v>
      </x:c>
      <x:c r="J859" s="13" t="n">
        <x:v>1</x:v>
      </x:c>
      <x:c r="K859" s="19" t="str">
        <x:v>Which benchmarks and metrics are used to evaluate sparse, dense, and hybrid neural information retrieval, and how well do they measure out-of-domain robustness?</x:v>
      </x:c>
      <x:c r="L859" s="19" t="str">
        <x:v>1:28 Liu et al.
4.4.2 Evaluation. OOD generalizability of IR models on unseen queries is mainly measured by the
ranking performance under the new query set. In addition to the metrics we mentioned in Section
4.3.2 for measuring ranking performance, there are two other metrics for ranking. There are also
specific metrics for unseen query types to evaluate differences in the performance of IR models
across query types:
Metrics for ranking performance. In addition to MRR and NDCG, the ranking performance of
the IR model under unseen queries is evaluated by other common metrics for query variation and
unseen query type:
• Recall [26] measures the proportion of relevant documents that are successfully retrieved
from the total amount of relevant documents available.
• MAP [80] quantifies the average precision of retrieval across different recall levels, effectively</x:v>
      </x:c>
      <x:c r="M859" s="19" t="str">
        <x:v>该段包含可直接回答问题的方法、指标、比较或研究发现。</x:v>
      </x:c>
      <x:c r="N859" s="13" t="str">
        <x:v>http://arxiv.org/abs/2407.06992v2</x:v>
      </x:c>
    </x:row>
    <x:row r="860" ht="58" customHeight="1">
      <x:c r="A860" s="13" t="str">
        <x:v>csq029-c022</x:v>
      </x:c>
      <x:c r="B860" s="13" t="str">
        <x:v>csq029</x:v>
      </x:c>
      <x:c r="C860" s="21" t="n">
        <x:v>22</x:v>
      </x:c>
      <x:c r="D860" s="20" t="str">
        <x:v>2</x:v>
      </x:c>
      <x:c r="E860" s="20" t="str"/>
      <x:c r="F860" s="20" t="str">
        <x:f>IF(E860="",D860,E860)</x:f>
        <x:v>2</x:v>
      </x:c>
      <x:c r="G860" s="13" t="str">
        <x:v>A Study on the Efficiency and Generalization of Light Hybrid Retrievers</x:v>
      </x:c>
      <x:c r="H860" s="13" t="n">
        <x:v>0</x:v>
      </x:c>
      <x:c r="I860" s="22" t="n">
        <x:v>0.015625</x:v>
      </x:c>
      <x:c r="J860" s="13" t="n">
        <x:v>1</x:v>
      </x:c>
      <x:c r="K860" s="19" t="str">
        <x:v>Which benchmarks and metrics are used to evaluate sparse, dense, and hybrid neural information retrieval, and how well do they measure out-of-domain robustness?</x:v>
      </x:c>
      <x:c r="L860" s="19" t="str">
        <x:v>1 Introduction
The classical IR methods, such as BM25 (Robert-
son et al., 2009), produce sparse vectors for ques-
tion and documents based on bag-of-words ap-
proaches. Recent research pays attention toward
building neural retrievers which learn dense embed-
dings of the query and document into a semantic
space (Karpukhin et al., 2020; Khattab and Za-
haria, 2020). Sparse and dense retrievers have their
pros and cons, and the hybrid of sparse and dense
retrievers can take advantage of both worlds and
achieve better performance than individual sparse
and dense retrievers. Therefore, hybrid retrievers
are widely used in practice (Ma et al., 2021b; Chen
et al., 2021).
Figure 1: The teacher model (DrBoost) consists of N
weak-learners and produces embeddings of dimension
N*D. The student model (LITE) has one weak-learner
and produces two embeddings: one has dimension of D,</x:v>
      </x:c>
      <x:c r="M860" s="19" t="str">
        <x:v>该段包含可直接回答问题的方法、指标、比较或研究发现。</x:v>
      </x:c>
      <x:c r="N860" s="13" t="str">
        <x:v>http://arxiv.org/abs/2210.01371v2</x:v>
      </x:c>
    </x:row>
    <x:row r="861" ht="58" customHeight="1">
      <x:c r="A861" s="13" t="str">
        <x:v>csq029-c023</x:v>
      </x:c>
      <x:c r="B861" s="13" t="str">
        <x:v>csq029</x:v>
      </x:c>
      <x:c r="C861" s="21" t="n">
        <x:v>23</x:v>
      </x:c>
      <x:c r="D861" s="20" t="str">
        <x:v>2</x:v>
      </x:c>
      <x:c r="E861" s="20" t="str"/>
      <x:c r="F861" s="20" t="str">
        <x:f>IF(E861="",D861,E861)</x:f>
        <x:v>2</x:v>
      </x:c>
      <x:c r="G861" s="13" t="str">
        <x:v>BEIR: A Heterogenous Benchmark for Zero-shot Evaluation of Information Retrieval Models</x:v>
      </x:c>
      <x:c r="H861" s="13" t="n">
        <x:v>1</x:v>
      </x:c>
      <x:c r="I861" s="22" t="n">
        <x:v>0.015625</x:v>
      </x:c>
      <x:c r="J861" s="13" t="n">
        <x:v>1</x:v>
      </x:c>
      <x:c r="K861" s="19" t="str">
        <x:v>Which benchmarks and metrics are used to evaluate sparse, dense, and hybrid neural information retrieval, and how well do they measure out-of-domain robustness?</x:v>
      </x:c>
      <x:c r="L861" s="19" t="str">
        <x:v>DOCS
Scientific
BioASQ
QUERY
DOCS
NFCorpus
QUERY
DOCSScientific
Entity Retrieval
DBPedia
QUERY
DOCS
Entity-based Query
DBPedia ArticlesWiki
TREC-COVID
Scientific
Wikipedia Articles
Wikipedia Articles
Natural Query
Multi-Hop Query
CORD-19 Articles
PubMed Articles
PubMed Articles
COVID-19 Query
Nutrition Facts
Bio-Medical Query
Financial Query
Investment Articles
Controversial Query
9 Tasks
18 Datasets
News Headline
Robust04
QUERY
DOCSNews
 News Articles
News Query
Figure 1: An overview of the diverse tasks and datasets in BEIR benchmark.
So far, it is unclear how well existing trained neural models will perform for other text domains or
textual retrieval tasks. Even more important, it is unclear how well different approaches, like sparse
embeddings vs. dense embeddings, generalize to out-of-distribution data.</x:v>
      </x:c>
      <x:c r="M861" s="19" t="str">
        <x:v>该段包含可直接回答问题的方法、指标、比较或研究发现。</x:v>
      </x:c>
      <x:c r="N861" s="13" t="str">
        <x:v>http://arxiv.org/abs/2104.08663v4</x:v>
      </x:c>
    </x:row>
    <x:row r="862" ht="58" customHeight="1">
      <x:c r="A862" s="13" t="str">
        <x:v>csq029-c024</x:v>
      </x:c>
      <x:c r="B862" s="13" t="str">
        <x:v>csq029</x:v>
      </x:c>
      <x:c r="C862" s="21" t="n">
        <x:v>24</x:v>
      </x:c>
      <x:c r="D862" s="20" t="str">
        <x:v>2</x:v>
      </x:c>
      <x:c r="E862" s="20" t="str"/>
      <x:c r="F862" s="20" t="str">
        <x:f>IF(E862="",D862,E862)</x:f>
        <x:v>2</x:v>
      </x:c>
      <x:c r="G862" s="13" t="str">
        <x:v>Scaling Sparse and Dense Retrieval in Decoder-Only LLMs</x:v>
      </x:c>
      <x:c r="H862" s="13" t="n">
        <x:v>3</x:v>
      </x:c>
      <x:c r="I862" s="22" t="n">
        <x:v>0.015384615384615385</x:v>
      </x:c>
      <x:c r="J862" s="13" t="n">
        <x:v>1</x:v>
      </x:c>
      <x:c r="K862" s="19" t="str">
        <x:v>Which benchmarks and metrics are used to evaluate sparse, dense, and hybrid neural information retrieval, and how well do they measure out-of-domain robustness?</x:v>
      </x:c>
      <x:c r="L862" s="19" t="str">
        <x:v>Conference’17, July 2017, Washington, DC, USA Hansi Zeng, Julian Killingback, and Hamed Zamani
Table 3: nDCG@10 of sparse and dense retrieval finetuned
with CL, KD or CL +KD objective on the BEIR benchmark.
The relative change from the teacher reranked results is
shown in the parentheses.
Model Size 1B 3B 8B
Sparse Retrieval in BEIR
CL .496 (-8.8%) .528 (1.3%) .557 (7.4%)
KD .517 (0.9%) .524 (1.9%) .536 (4.0%)
CL + KD .535 (4.3%) .544 (6.1%) .552 (7.6%)
Dense Retrieval in BEIR
CL .435 (-14.7%) .491 (-5.1%) .534 (3.1%)
KD .489 (-4.5%) .477 (-6.7%) .485 (-5.3%)
CL + KD .500 (-1.8%) .496 (-2.4%) .501 (-1.4%)
Table 4: Results of the proposed Lion with other SOTA re-
trieval models. We use paired t-test with Bonferroni correc-
tion with p_value &lt; 0.01. The superscripts refer to significant
improvements over CL-DRD(∗), SPLADE++(†), ColBERTv2
(‡), and RepLlama (§).
In Domain O.O.D</x:v>
      </x:c>
      <x:c r="M862" s="19" t="str">
        <x:v>该段包含可直接回答问题的方法、指标、比较或研究发现。</x:v>
      </x:c>
      <x:c r="N862" s="13" t="str">
        <x:v>http://arxiv.org/abs/2502.15526v1</x:v>
      </x:c>
    </x:row>
    <x:row r="863" ht="58" customHeight="1">
      <x:c r="A863" s="13" t="str">
        <x:v>csq029-c025</x:v>
      </x:c>
      <x:c r="B863" s="13" t="str">
        <x:v>csq029</x:v>
      </x:c>
      <x:c r="C863" s="21" t="n">
        <x:v>25</x:v>
      </x:c>
      <x:c r="D863" s="20" t="str">
        <x:v>2</x:v>
      </x:c>
      <x:c r="E863" s="20" t="str"/>
      <x:c r="F863" s="20" t="str">
        <x:f>IF(E863="",D863,E863)</x:f>
        <x:v>2</x:v>
      </x:c>
      <x:c r="G863" s="13" t="str">
        <x:v>A Study on the Efficiency and Generalization of Light Hybrid Retrievers</x:v>
      </x:c>
      <x:c r="H863" s="13" t="n">
        <x:v>0</x:v>
      </x:c>
      <x:c r="I863" s="22" t="n">
        <x:v>0.015384615384615385</x:v>
      </x:c>
      <x:c r="J863" s="13" t="n">
        <x:v>1</x:v>
      </x:c>
      <x:c r="K863" s="19" t="str">
        <x:v>Which benchmarks and metrics are used to evaluate sparse, dense, and hybrid neural information retrieval, and how well do they measure out-of-domain robustness?</x:v>
      </x:c>
      <x:c r="L863" s="19" t="str">
        <x:v>ory of DrBoost. LITE is jointly trained on
contrastive learning and knowledge distillation
from DrBoost. Then, we integrate BM25, a
sparse retriever, with either LITE or DrBoost to
form light hybrid retrievers. Our Hybrid-LITE
retriever saves 13× memory while maintaining
98.0% performance of the hybrid retriever of
BM25 and DPR. In addition, we study the gen-
eralization capacity of our light hybrid retriev-
ers on out-of-domain dataset and a set of adver-
sarial attacks datasets. Experiments showcase
that light hybrid retrievers achieve better gen-
eralization performance than individual sparse
and dense retrievers. Nevertheless, our analy-
sis shows that there is a large room to improve
the robustness of retrievers, suggesting a new
research direction.
1 Introduction
The classical IR methods, such as BM25 (Robert-
son et al., 2009), produce sparse vectors for ques-</x:v>
      </x:c>
      <x:c r="M863" s="19" t="str">
        <x:v>该段包含可直接回答问题的方法、指标、比较或研究发现。</x:v>
      </x:c>
      <x:c r="N863" s="13" t="str">
        <x:v>http://arxiv.org/abs/2210.01371v2</x:v>
      </x:c>
    </x:row>
    <x:row r="864" ht="58" customHeight="1">
      <x:c r="A864" s="13" t="str">
        <x:v>csq029-c026</x:v>
      </x:c>
      <x:c r="B864" s="13" t="str">
        <x:v>csq029</x:v>
      </x:c>
      <x:c r="C864" s="21" t="n">
        <x:v>26</x:v>
      </x:c>
      <x:c r="D864" s="20" t="str">
        <x:v>2</x:v>
      </x:c>
      <x:c r="E864" s="20" t="str"/>
      <x:c r="F864" s="20" t="str">
        <x:f>IF(E864="",D864,E864)</x:f>
        <x:v>2</x:v>
      </x:c>
      <x:c r="G864" s="13" t="str">
        <x:v>BEIR: A Heterogenous Benchmark for Zero-shot Evaluation of Information Retrieval Models</x:v>
      </x:c>
      <x:c r="H864" s="13" t="n">
        <x:v>3</x:v>
      </x:c>
      <x:c r="I864" s="22" t="n">
        <x:v>0.015384615384615385</x:v>
      </x:c>
      <x:c r="J864" s="13" t="n">
        <x:v>1</x:v>
      </x:c>
      <x:c r="K864" s="19" t="str">
        <x:v>Which benchmarks and metrics are used to evaluate sparse, dense, and hybrid neural information retrieval, and how well do they measure out-of-domain robustness?</x:v>
      </x:c>
      <x:c r="L864" s="19" t="str">
        <x:v>The BEIR software3 provides an is an easy to use Python framework (pip install beir ) for model
evaluation. It contains extensive wrappers to replicate experiments and evaluate models from well-
known repositories including Sentence-Transformers [53], Transformers [72], Anserini [74], DPR
[31], Elasticsearch, ColBERT [32], and Universal Sentence Encoder [75]. This makes the software
useful for both academia and industry. The software also provides you with all IR-based metrics
from Precision, Recall, MAP (Mean Average Precision), MRR (Mean Reciprocal Rate) to nDCG
2BEIR Leaderboard: https://tinyurl.com/beir-leaderboard
3BEIR Code &amp; documentation: https://github.com/UKPLab/beir
4</x:v>
      </x:c>
      <x:c r="M864" s="19" t="str">
        <x:v>该段包含可直接回答问题的方法、指标、比较或研究发现。</x:v>
      </x:c>
      <x:c r="N864" s="13" t="str">
        <x:v>http://arxiv.org/abs/2104.08663v4</x:v>
      </x:c>
    </x:row>
    <x:row r="865" ht="58" customHeight="1">
      <x:c r="A865" s="13" t="str">
        <x:v>csq029-c027</x:v>
      </x:c>
      <x:c r="B865" s="13" t="str">
        <x:v>csq029</x:v>
      </x:c>
      <x:c r="C865" s="21" t="n">
        <x:v>27</x:v>
      </x:c>
      <x:c r="D865" s="20" t="str">
        <x:v>2</x:v>
      </x:c>
      <x:c r="E865" s="20" t="str"/>
      <x:c r="F865" s="20" t="str">
        <x:f>IF(E865="",D865,E865)</x:f>
        <x:v>2</x:v>
      </x:c>
      <x:c r="G865" s="13" t="str">
        <x:v>Mr. TyDi: A Multi-lingual Benchmark for Dense Retrieval</x:v>
      </x:c>
      <x:c r="H865" s="13" t="n">
        <x:v>4</x:v>
      </x:c>
      <x:c r="I865" s="22" t="n">
        <x:v>0.015151515151515152</x:v>
      </x:c>
      <x:c r="J865" s="13" t="n">
        <x:v>1</x:v>
      </x:c>
      <x:c r="K865" s="19" t="str">
        <x:v>Which benchmarks and metrics are used to evaluate sparse, dense, and hybrid neural information retrieval, and how well do they measure out-of-domain robustness?</x:v>
      </x:c>
      <x:c r="L865" s="19" t="str">
        <x:v>TREC Deep Learning Tracks (Craswell et al., 2020,
2021). We expect a similar parallel here: more ex-
haustive judgments will change the absolute scores,
but will likely not affect the ﬁndings qualitatively.
Metrics We evaluate results in terms of recipro-
cal rank and recall at a depthk of 100 hits. The ﬁrst
metric quantiﬁes the ability of a model to generate
a good ranking, while the second metric provides
an upper bound on end-to-end effectiveness (e.g.,
when retrieval results are fed to a reader for answer
extraction). The setting of k = 100 is consistent
with work in the QA literature.
4 Baselines
We provide a few “obvious” baselines for Mr. TYDI
as a starting point for future research:
BM25 We report results with bag-of-words
BM25, a strong traditional IR baseline, with the
implementation provided by Pyserini (Yang et al.,
2017; Lin et al., 2021a), which is built on the</x:v>
      </x:c>
      <x:c r="M865" s="19" t="str">
        <x:v>该段包含可直接回答问题的方法、指标、比较或研究发现。</x:v>
      </x:c>
      <x:c r="N865" s="13" t="str">
        <x:v>http://arxiv.org/abs/2108.08787v2</x:v>
      </x:c>
    </x:row>
    <x:row r="866" ht="58" customHeight="1">
      <x:c r="A866" s="13" t="str">
        <x:v>csq029-c028</x:v>
      </x:c>
      <x:c r="B866" s="13" t="str">
        <x:v>csq029</x:v>
      </x:c>
      <x:c r="C866" s="21" t="n">
        <x:v>28</x:v>
      </x:c>
      <x:c r="D866" s="20" t="str">
        <x:v>2</x:v>
      </x:c>
      <x:c r="E866" s="20" t="str"/>
      <x:c r="F866" s="20" t="str">
        <x:f>IF(E866="",D866,E866)</x:f>
        <x:v>2</x:v>
      </x:c>
      <x:c r="G866" s="13" t="str">
        <x:v>Scaling Sparse and Dense Retrieval in Decoder-Only LLMs</x:v>
      </x:c>
      <x:c r="H866" s="13" t="n">
        <x:v>3</x:v>
      </x:c>
      <x:c r="I866" s="22" t="n">
        <x:v>0.015151515151515152</x:v>
      </x:c>
      <x:c r="J866" s="13" t="n">
        <x:v>1</x:v>
      </x:c>
      <x:c r="K866" s="19" t="str">
        <x:v>Which benchmarks and metrics are used to evaluate sparse, dense, and hybrid neural information retrieval, and how well do they measure out-of-domain robustness?</x:v>
      </x:c>
      <x:c r="L866" s="19" t="str">
        <x:v>We observe that Lion-SP-1B and Lion-DS-1B achieve the best
overall results among baselines with ≤ 1B parameters, demon-
strating that recent large decoder-only LLMs serve as a powerful
backbone for document retrieval. For instance, Lion-SP-1B sur-
passes ColBERTv2 by 3.2% on MS MARCO Dev and by 7.2% on
BEIR. Moreover, Lion-SP-8B outperforms the state-of-the-art model
RepLLaMA across both in-domain and out-of-domain benchmarks,
underscoring the effectiveness of the sparse retrieval paradigm and
the combination of CL and KD loss.
Additionally, Lion’s performance on individual BEIR datasets is
provided in Table 6 in the Appendix for reference.
5 RELATED WORK
Single-vector retrieval models can be broadly categorized into two
types: dense retrieval [16, 17, 23, 26, 28, 31, 33, 40, 42] and sparse
retrieval [4, 9, 11, 12, 41]. The key distinction lies in their represen-</x:v>
      </x:c>
      <x:c r="M866" s="19" t="str">
        <x:v>该段包含可直接回答问题的方法、指标、比较或研究发现。</x:v>
      </x:c>
      <x:c r="N866" s="13" t="str">
        <x:v>http://arxiv.org/abs/2502.15526v1</x:v>
      </x:c>
    </x:row>
    <x:row r="867" ht="58" customHeight="1">
      <x:c r="A867" s="13" t="str">
        <x:v>csq029-c029</x:v>
      </x:c>
      <x:c r="B867" s="13" t="str">
        <x:v>csq029</x:v>
      </x:c>
      <x:c r="C867" s="21" t="n">
        <x:v>29</x:v>
      </x:c>
      <x:c r="D867" s="20" t="str">
        <x:v>2</x:v>
      </x:c>
      <x:c r="E867" s="20" t="str"/>
      <x:c r="F867" s="20" t="str">
        <x:f>IF(E867="",D867,E867)</x:f>
        <x:v>2</x:v>
      </x:c>
      <x:c r="G867" s="13" t="str">
        <x:v>Robust Neural Information Retrieval: An Adversarial and Out-of-distribution Perspective</x:v>
      </x:c>
      <x:c r="H867" s="13" t="n">
        <x:v>0</x:v>
      </x:c>
      <x:c r="I867" s="22" t="n">
        <x:v>0.015151515151515152</x:v>
      </x:c>
      <x:c r="J867" s="13" t="n">
        <x:v>1</x:v>
      </x:c>
      <x:c r="K867" s="19" t="str">
        <x:v>Which benchmarks and metrics are used to evaluate sparse, dense, and hybrid neural information retrieval, and how well do they measure out-of-domain robustness?</x:v>
      </x:c>
      <x:c r="L867" s="19" t="str">
        <x:v>discussion of methods, datasets, and evaluation metrics, shedding light on challenges and future directions in
the era of large language models. As side-products of this survey, we release three additional resources: (i) a
curated list of publications related to robust IR,1 (ii) a tutorial based on this survey,2 and (iii) a heterogeneous
benchmark for robust information retrieval, BestIR, that collects all known datasets for evaluation information
retrieval systems for robustness.3 We hope that this study provides useful clues for future research on the
robustness of IR models and helps to develop trustworthy search engines.
CCS Concepts: • Information systems→ Retrieval models and ranking .
Additional Key Words and Phrases: Robustness, trustworthy systems
ACM Reference Format:
Yu-An Liu, Ruqing Zhang, Jiafeng Guo, Maarten de Rijke, Yixing Fan, and Xueqi Cheng. 2024. Robust Neural</x:v>
      </x:c>
      <x:c r="M867" s="19" t="str">
        <x:v>该段包含可直接回答问题的方法、指标、比较或研究发现。</x:v>
      </x:c>
      <x:c r="N867" s="13" t="str">
        <x:v>http://arxiv.org/abs/2407.06992v2</x:v>
      </x:c>
    </x:row>
    <x:row r="868" ht="58" customHeight="1">
      <x:c r="A868" s="13" t="str">
        <x:v>csq029-c030</x:v>
      </x:c>
      <x:c r="B868" s="13" t="str">
        <x:v>csq029</x:v>
      </x:c>
      <x:c r="C868" s="21" t="n">
        <x:v>30</x:v>
      </x:c>
      <x:c r="D868" s="20" t="str">
        <x:v>2</x:v>
      </x:c>
      <x:c r="E868" s="20" t="str"/>
      <x:c r="F868" s="20" t="str">
        <x:f>IF(E868="",D868,E868)</x:f>
        <x:v>2</x:v>
      </x:c>
      <x:c r="G868" s="13" t="str">
        <x:v>A Study on the Efficiency and Generalization of Light Hybrid Retrievers</x:v>
      </x:c>
      <x:c r="H868" s="13" t="n">
        <x:v>1</x:v>
      </x:c>
      <x:c r="I868" s="22" t="n">
        <x:v>0.015151515151515152</x:v>
      </x:c>
      <x:c r="J868" s="13" t="n">
        <x:v>1</x:v>
      </x:c>
      <x:c r="K868" s="19" t="str">
        <x:v>Which benchmarks and metrics are used to evaluate sparse, dense, and hybrid neural information retrieval, and how well do they measure out-of-domain robustness?</x:v>
      </x:c>
      <x:c r="L868" s="19" t="str">
        <x:v>brid retrievers. Two prominent ideas have emerged
to test generalization: out-of-domain (OOD) gener-
alization and adversarial robustness (Gokhale et al.,
2022). We study OOD generalization of retriev-
ers on EntityQuestion (Sciavolino et al., 2021).
To study the robustness, we leverage six tech-
niques (Morris et al., 2020) to create adversarial
attack testing sets based on NQ dataset. Our exper-
iments demonstrate that Hybrid-LITE and Hybrid-
DrBoost achieve better generalization performance
than individual components. The study of robust-
ness shows that hybrid retrievers are always bet-
ter than sparse and dense retrievers. Nevertheless
all retrievers are vulnerable, suggesting room for
improving the robustness of retrievers, and our
datasets can aid the future research.
2 Related Work
Hybrid Retriever integrates the sparse and
dense retriever and ranks the documents by inter-</x:v>
      </x:c>
      <x:c r="M868" s="19" t="str">
        <x:v>该段包含可直接回答问题的方法、指标、比较或研究发现。</x:v>
      </x:c>
      <x:c r="N868" s="13" t="str">
        <x:v>http://arxiv.org/abs/2210.01371v2</x:v>
      </x:c>
    </x:row>
    <x:row r="869" ht="58" customHeight="1">
      <x:c r="A869" s="13" t="str">
        <x:v>csq030-c001</x:v>
      </x:c>
      <x:c r="B869" s="13" t="str">
        <x:v>csq030</x:v>
      </x:c>
      <x:c r="C869" s="21" t="n">
        <x:v>1</x:v>
      </x:c>
      <x:c r="D869" s="20" t="str">
        <x:v>0</x:v>
      </x:c>
      <x:c r="E869" s="20" t="str"/>
      <x:c r="F869" s="20" t="str">
        <x:f>IF(E869="",D869,E869)</x:f>
        <x:v>0</x:v>
      </x:c>
      <x:c r="G869" s="13" t="str">
        <x:v>Evaluating Cross-Domain Text-to-SQL Models and Benchmarks</x:v>
      </x:c>
      <x:c r="H869" s="13" t="n">
        <x:v>9</x:v>
      </x:c>
      <x:c r="I869" s="22" t="n">
        <x:v>0.05599029680365297</x:v>
      </x:c>
      <x:c r="J869" s="13" t="n">
        <x:v>4</x:v>
      </x:c>
      <x:c r="K869" s="19" t="str">
        <x:v>How have text-to-SQL systems evolved from schema-aware neural parsers to large-language-model-based approaches, and which challenges remain on cross-domain benchmarks?</x:v>
      </x:c>
      <x:c r="L869" s="19" t="str">
        <x:v>trained transformers with graph-aware layers for text-
to-sql parsing. arXiv preprint arXiv:2301.07507.
Jinyang Li, Binyuan Hui, Ge Qu, Binhua Li, Jiaxi
Yang, Bowen Li, Bailin Wang, Bowen Qin, Rongyu
Cao, Ruiying Geng, et al. 2023b. Can llm already
serve as a database interface? a big bench for large-
scale database grounded text-to-sqls. arXiv preprint
arXiv:2305.03111.
Xi Victoria Lin, Richard Socher, and Caiming Xiong.
2020. Bridging textual and tabular data for cross-
domain text-to-sql semantic parsing. arXiv preprint
arXiv:2012.12627.
Aiwei Liu, Xuming Hu, Lijie Wen, and Philip S
Yu. 2023. A comprehensive evaluation of chat-
gpt’s zero-shot text-to-sql capability. arXiv preprint
arXiv:2303.13547.
Mohammadreza Pourreza and Davood Rafiei. 2023.
Din-sql: Decomposed in-context learning of
text-to-sql with self-correction. arXiv preprint
arXiv:2304.11015.</x:v>
      </x:c>
      <x:c r="M869" s="19" t="str">
        <x:v>该段为无关内容、泛泛提及或参考文献片段，不能作为回答证据。</x:v>
      </x:c>
      <x:c r="N869" s="13" t="str">
        <x:v>http://arxiv.org/abs/2310.18538v1</x:v>
      </x:c>
    </x:row>
    <x:row r="870" ht="58" customHeight="1">
      <x:c r="A870" s="13" t="str">
        <x:v>csq030-c002</x:v>
      </x:c>
      <x:c r="B870" s="13" t="str">
        <x:v>csq030</x:v>
      </x:c>
      <x:c r="C870" s="21" t="n">
        <x:v>2</x:v>
      </x:c>
      <x:c r="D870" s="20" t="str">
        <x:v>2</x:v>
      </x:c>
      <x:c r="E870" s="20" t="str"/>
      <x:c r="F870" s="20" t="str">
        <x:f>IF(E870="",D870,E870)</x:f>
        <x:v>2</x:v>
      </x:c>
      <x:c r="G870" s="13" t="str">
        <x:v>A Survey of Text-to-SQL in the Era of LLMs: Where are we, and where are we going?</x:v>
      </x:c>
      <x:c r="H870" s="13" t="n">
        <x:v>3</x:v>
      </x:c>
      <x:c r="I870" s="22" t="n">
        <x:v>0.04838709677419355</x:v>
      </x:c>
      <x:c r="J870" s="13" t="n">
        <x:v>3</x:v>
      </x:c>
      <x:c r="K870" s="19" t="str">
        <x:v>How have text-to-SQL systems evolved from schema-aware neural parsers to large-language-model-based approaches, and which challenges remain on cross-domain benchmarks?</x:v>
      </x:c>
      <x:c r="L870" s="19" t="str">
        <x:v>JOURNAL OF LATEX CLASS FILES, VOL. 18, NO. 9, SEPTEMBER 2020 4
③ Pre-trained LM 
① Statistical LM
Rule-based MethodsT ext-to-SQL Methods
Capabilities
NLP Methods
Target Users
Neural Network-based Methods
NL Challenges
DB Challenges
Experts
Experts
 Novices
② Neural LM
④ LLM
Large Language Model Era
20181990s
Challenges 
Solving Capacity
Y ear
2013 2020
Text-to-SQL Challenges
NL Challenges
DB Challenges
Text-to-SQL Challenges
PLM-based Methods
NL Challenges
DB Challenges
Text-to-SQL Challenges
e.g. Bert, T5
e.g. LSTMe.g. N-gram
e.g. GP T 4
LLM-based Methods
NL Challenges
DB Challenges
Text-to-SQL Challenges
Experts  Novices
 Novices Experts  Novices
E ff icient SQL G enerationAd apting to Change d  SchemaAd vance d  SQL F eat u re S u pportM u lti-ta b le SQLSingle-ta b le SQL</x:v>
      </x:c>
      <x:c r="M870" s="19" t="str">
        <x:v>该段包含可直接回答问题的方法、指标、比较或研究发现。</x:v>
      </x:c>
      <x:c r="N870" s="13" t="str">
        <x:v>http://arxiv.org/abs/2408.05109v6</x:v>
      </x:c>
    </x:row>
    <x:row r="871" ht="58" customHeight="1">
      <x:c r="A871" s="13" t="str">
        <x:v>csq030-c003</x:v>
      </x:c>
      <x:c r="B871" s="13" t="str">
        <x:v>csq030</x:v>
      </x:c>
      <x:c r="C871" s="21" t="n">
        <x:v>3</x:v>
      </x:c>
      <x:c r="D871" s="20" t="str">
        <x:v>2</x:v>
      </x:c>
      <x:c r="E871" s="20" t="str"/>
      <x:c r="F871" s="20" t="str">
        <x:f>IF(E871="",D871,E871)</x:f>
        <x:v>2</x:v>
      </x:c>
      <x:c r="G871" s="13" t="str">
        <x:v>A Survey of Large Language Model-Based Generative AI for Text-to-SQL: Benchmarks, Applications, Use Cases, and Challenges</x:v>
      </x:c>
      <x:c r="H871" s="13" t="n">
        <x:v>0</x:v>
      </x:c>
      <x:c r="I871" s="22" t="n">
        <x:v>0.04483232927079269</x:v>
      </x:c>
      <x:c r="J871" s="13" t="n">
        <x:v>3</x:v>
      </x:c>
      <x:c r="K871" s="19" t="str">
        <x:v>How have text-to-SQL systems evolved from schema-aware neural parsers to large-language-model-based approaches, and which challenges remain on cross-domain benchmarks?</x:v>
      </x:c>
      <x:c r="L871" s="19" t="str">
        <x:v>semantics and the generation of accurate SQL queries. Recent
surveys have highlighted the impact of PLMs on text-to-
SQL parsing, noting their ability to capture complex linguistic
patterns and improve performance across benchmarks [4].
Despite these advancements, challenges remain, particularly
in handling complex and cross-domain queries. The develop-
ment of large-scale, human-labeled datasets, such as Spider,
has been instrumental in evaluating and advancing text-to-SQL
systems. These datasets provide diverse and complex queries
that test the robustness and adaptability of current models. [1].
This survey aims to provide a comprehensive overview
of the evolution of text-to-SQL systems, emphasizing the
integration of artificial intelligence methodologies. We explore
foundational concepts, current benchmarks, datasets, and mod-</x:v>
      </x:c>
      <x:c r="M871" s="19" t="str">
        <x:v>该段包含可直接回答问题的方法、指标、比较或研究发现。</x:v>
      </x:c>
      <x:c r="N871" s="13" t="str">
        <x:v>http://arxiv.org/abs/2412.05208v2</x:v>
      </x:c>
    </x:row>
    <x:row r="872" ht="58" customHeight="1">
      <x:c r="A872" s="13" t="str">
        <x:v>csq030-c004</x:v>
      </x:c>
      <x:c r="B872" s="13" t="str">
        <x:v>csq030</x:v>
      </x:c>
      <x:c r="C872" s="21" t="n">
        <x:v>4</x:v>
      </x:c>
      <x:c r="D872" s="20" t="str">
        <x:v>2</x:v>
      </x:c>
      <x:c r="E872" s="20" t="str"/>
      <x:c r="F872" s="20" t="str">
        <x:f>IF(E872="",D872,E872)</x:f>
        <x:v>2</x:v>
      </x:c>
      <x:c r="G872" s="13" t="str">
        <x:v>Next-Generation Database Interfaces: A Survey of LLM-based Text-to-SQL</x:v>
      </x:c>
      <x:c r="H872" s="13" t="n">
        <x:v>0</x:v>
      </x:c>
      <x:c r="I872" s="22" t="n">
        <x:v>0.04375483671258319</x:v>
      </x:c>
      <x:c r="J872" s="13" t="n">
        <x:v>3</x:v>
      </x:c>
      <x:c r="K872" s="19" t="str">
        <x:v>How have text-to-SQL systems evolved from schema-aware neural parsers to large-language-model-based approaches, and which challenges remain on cross-domain benchmarks?</x:v>
      </x:c>
      <x:c r="L872" s="19" t="str">
        <x:v>1
Next-Generation Database Interfaces:
A Survey of LLM-based Text-to-SQL
Zijin Hong, Zheng Yuan, Qinggang Zhang †, Hao Chen, Junnan Dong,
Feiran Huang,Senior Member, IEEE, and Xiao Huang
Abstract—Generating accurate SQL from users’ natural lan-
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x:v>
      </x:c>
      <x:c r="M872" s="19" t="str">
        <x:v>该段包含可直接回答问题的方法、指标、比较或研究发现。</x:v>
      </x:c>
      <x:c r="N872" s="13" t="str">
        <x:v>http://arxiv.org/abs/2406.08426v8</x:v>
      </x:c>
    </x:row>
    <x:row r="873" ht="58" customHeight="1">
      <x:c r="A873" s="13" t="str">
        <x:v>csq030-c005</x:v>
      </x:c>
      <x:c r="B873" s="13" t="str">
        <x:v>csq030</x:v>
      </x:c>
      <x:c r="C873" s="21" t="n">
        <x:v>5</x:v>
      </x:c>
      <x:c r="D873" s="20" t="str">
        <x:v>2</x:v>
      </x:c>
      <x:c r="E873" s="20" t="str"/>
      <x:c r="F873" s="20" t="str">
        <x:f>IF(E873="",D873,E873)</x:f>
        <x:v>2</x:v>
      </x:c>
      <x:c r="G873" s="13" t="str">
        <x:v>A Survey of Large Language Model-Based Generative AI for Text-to-SQL: Benchmarks, Applications, Use Cases, and Challenges</x:v>
      </x:c>
      <x:c r="H873" s="13" t="n">
        <x:v>0</x:v>
      </x:c>
      <x:c r="I873" s="22" t="n">
        <x:v>0.0432712215320911</x:v>
      </x:c>
      <x:c r="J873" s="13" t="n">
        <x:v>3</x:v>
      </x:c>
      <x:c r="K873" s="19" t="str">
        <x:v>How have text-to-SQL systems evolved from schema-aware neural parsers to large-language-model-based approaches, and which challenges remain on cross-domain benchmarks?</x:v>
      </x:c>
      <x:c r="L873" s="19" t="str">
        <x:v>This survey provides a comprehensive overview of the evolution
of AI-driven text-to-SQL systems, highlighting their foundational
components, advancements in large language model (LLM)
architectures, and the critical role of datasets such as Spider,
WikiSQL, and CoSQL in driving progress. We examine the appli-
cations of text-to-SQL in domains like healthcare, education, and
finance, emphasizing their transformative potential for improving
data accessibility. Additionally, we analyze persistent challenges,
including domain generalization, query optimization, support for
multi-turn conversational interactions, and the limited availabil-
ity of datasets tailored for NoSQL databases and dynamic real-
world scenarios. To address these challenges, we outline future
research directions, such as extending text-to-SQL capabilities
to support NoSQL databases, designing datasets for dynamic</x:v>
      </x:c>
      <x:c r="M873" s="19" t="str">
        <x:v>该段包含可直接回答问题的方法、指标、比较或研究发现。</x:v>
      </x:c>
      <x:c r="N873" s="13" t="str">
        <x:v>http://arxiv.org/abs/2412.05208v2</x:v>
      </x:c>
    </x:row>
    <x:row r="874" ht="58" customHeight="1">
      <x:c r="A874" s="13" t="str">
        <x:v>csq030-c006</x:v>
      </x:c>
      <x:c r="B874" s="13" t="str">
        <x:v>csq030</x:v>
      </x:c>
      <x:c r="C874" s="21" t="n">
        <x:v>6</x:v>
      </x:c>
      <x:c r="D874" s="20" t="str">
        <x:v>2</x:v>
      </x:c>
      <x:c r="E874" s="20" t="str"/>
      <x:c r="F874" s="20" t="str">
        <x:f>IF(E874="",D874,E874)</x:f>
        <x:v>2</x:v>
      </x:c>
      <x:c r="G874" s="13" t="str">
        <x:v>Next-Generation Database Interfaces: A Survey of LLM-based Text-to-SQL</x:v>
      </x:c>
      <x:c r="H874" s="13" t="n">
        <x:v>3</x:v>
      </x:c>
      <x:c r="I874" s="22" t="n">
        <x:v>0.03057889822595705</x:v>
      </x:c>
      <x:c r="J874" s="13" t="n">
        <x:v>2</x:v>
      </x:c>
      <x:c r="K874" s="19" t="str">
        <x:v>How have text-to-SQL systems evolved from schema-aware neural parsers to large-language-model-based approaches, and which challenges remain on cross-domain benchmarks?</x:v>
      </x:c>
      <x:c r="L874" s="19" t="str">
        <x:v>4) Cross-Domain Generalization:Text-to-SQL systems
often struggle to generalize across various database scenarios
and domains. Models trained on a specific domain may not
perform well on questions from other domains due to variations
in vocabulary, database schema structure, and question patterns.
Developing systems that can effectively generalize to new
domains with minimal domain-specific training data or fine-
tuning adaptation is a significant challenge [98].
B. Evolutionary Process
The research field of text-to-SQL has witnessed significant
advancements over the years in the NLP community, having
evolved from rule-based methods to deep learning-based
approaches and, more recently, to integrating pre-trained
language models (PLMs) and large language models (LLMs),
a sketch of the evolutionary process is shown in Fig. 2.
1) Rule-based Methods:Early text-to-SQL systems relied</x:v>
      </x:c>
      <x:c r="M874" s="19" t="str">
        <x:v>该段包含可直接回答问题的方法、指标、比较或研究发现。</x:v>
      </x:c>
      <x:c r="N874" s="13" t="str">
        <x:v>http://arxiv.org/abs/2406.08426v8</x:v>
      </x:c>
    </x:row>
    <x:row r="875" ht="58" customHeight="1">
      <x:c r="A875" s="13" t="str">
        <x:v>csq030-c007</x:v>
      </x:c>
      <x:c r="B875" s="13" t="str">
        <x:v>csq030</x:v>
      </x:c>
      <x:c r="C875" s="21" t="n">
        <x:v>7</x:v>
      </x:c>
      <x:c r="D875" s="20" t="str">
        <x:v>2</x:v>
      </x:c>
      <x:c r="E875" s="20" t="str"/>
      <x:c r="F875" s="20" t="str">
        <x:f>IF(E875="",D875,E875)</x:f>
        <x:v>2</x:v>
      </x:c>
      <x:c r="G875" s="13" t="str">
        <x:v>Next-Generation Database Interfaces: A Survey of LLM-based Text-to-SQL</x:v>
      </x:c>
      <x:c r="H875" s="13" t="n">
        <x:v>3</x:v>
      </x:c>
      <x:c r="I875" s="22" t="n">
        <x:v>0.03007688828584351</x:v>
      </x:c>
      <x:c r="J875" s="13" t="n">
        <x:v>2</x:v>
      </x:c>
      <x:c r="K875" s="19" t="str">
        <x:v>How have text-to-SQL systems evolved from schema-aware neural parsers to large-language-model-based approaches, and which challenges remain on cross-domain benchmarks?</x:v>
      </x:c>
      <x:c r="L875" s="19" t="str">
        <x:v>like outer joins or aggregations, often producing syntactically
flawed queries. Besides that, cross-domain performance drops
significantly when schema structures or vocabulary differ from
training data, necessitating resource-intensive fine-tuning.
4) LLM-based Implementation:Large language models
(LLMs), such as the GPT series [ 105–107], have gained
significant attention in recent years due to their ability to
generate coherent and fluent text. Researchers have begun
exploring the potential of LLMs for text-to-SQL by leveraging
their extensive knowledge reserves and superior generation
capabilities [ 6, 8]. These approaches often involve prompt
engineering to guide proprietary LLMs in SQL generation [108]
or fine-tuning open-source LLMs on text-to-SQL datasets [ 8].
The integration of LLMs in text-to-SQL is still an emerging</x:v>
      </x:c>
      <x:c r="M875" s="19" t="str">
        <x:v>该段包含可直接回答问题的方法、指标、比较或研究发现。</x:v>
      </x:c>
      <x:c r="N875" s="13" t="str">
        <x:v>http://arxiv.org/abs/2406.08426v8</x:v>
      </x:c>
    </x:row>
    <x:row r="876" ht="58" customHeight="1">
      <x:c r="A876" s="13" t="str">
        <x:v>csq030-c008</x:v>
      </x:c>
      <x:c r="B876" s="13" t="str">
        <x:v>csq030</x:v>
      </x:c>
      <x:c r="C876" s="21" t="n">
        <x:v>8</x:v>
      </x:c>
      <x:c r="D876" s="20" t="str">
        <x:v>2</x:v>
      </x:c>
      <x:c r="E876" s="20" t="str"/>
      <x:c r="F876" s="20" t="str">
        <x:f>IF(E876="",D876,E876)</x:f>
        <x:v>2</x:v>
      </x:c>
      <x:c r="G876" s="13" t="str">
        <x:v>Next-Generation Database Interfaces: A Survey of LLM-based Text-to-SQL</x:v>
      </x:c>
      <x:c r="H876" s="13" t="n">
        <x:v>0</x:v>
      </x:c>
      <x:c r="I876" s="22" t="n">
        <x:v>0.029906956136464335</x:v>
      </x:c>
      <x:c r="J876" s="13" t="n">
        <x:v>2</x:v>
      </x:c>
      <x:c r="K876" s="19" t="str">
        <x:v>How have text-to-SQL systems evolved from schema-aware neural parsers to large-language-model-based approaches, and which challenges remain on cross-domain benchmarks?</x:v>
      </x:c>
      <x:c r="L876" s="19" t="str">
        <x:v>This necessitates more sophisticated and tailored optimization
methods, which restrict the application of PLM-based systems.
Recently, large language models (LLMs) have shown significant
capabilities in natural language understanding as model scale
increases. Thus, integrating LLM-based solutions can bring
unique opportunities, improvements, and solutions to text-to-
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
based text-to-SQL. Finally, we make a summary and discuss
the remaining challenges in this field and suggest expectations</x:v>
      </x:c>
      <x:c r="M876" s="19" t="str">
        <x:v>该段包含可直接回答问题的方法、指标、比较或研究发现。</x:v>
      </x:c>
      <x:c r="N876" s="13" t="str">
        <x:v>http://arxiv.org/abs/2406.08426v8</x:v>
      </x:c>
    </x:row>
    <x:row r="877" ht="58" customHeight="1">
      <x:c r="A877" s="13" t="str">
        <x:v>csq030-c009</x:v>
      </x:c>
      <x:c r="B877" s="13" t="str">
        <x:v>csq030</x:v>
      </x:c>
      <x:c r="C877" s="21" t="n">
        <x:v>9</x:v>
      </x:c>
      <x:c r="D877" s="20" t="str">
        <x:v>2</x:v>
      </x:c>
      <x:c r="E877" s="20" t="str"/>
      <x:c r="F877" s="20" t="str">
        <x:f>IF(E877="",D877,E877)</x:f>
        <x:v>2</x:v>
      </x:c>
      <x:c r="G877" s="13" t="str">
        <x:v>Next-Generation Database Interfaces: A Survey of LLM-based Text-to-SQL</x:v>
      </x:c>
      <x:c r="H877" s="13" t="n">
        <x:v>1</x:v>
      </x:c>
      <x:c r="I877" s="22" t="n">
        <x:v>0.029857397504456328</x:v>
      </x:c>
      <x:c r="J877" s="13" t="n">
        <x:v>2</x:v>
      </x:c>
      <x:c r="K877" s="19" t="str">
        <x:v>How have text-to-SQL systems evolved from schema-aware neural parsers to large-language-model-based approaches, and which challenges remain on cross-domain benchmarks?</x:v>
      </x:c>
      <x:c r="L877" s="19" t="str">
        <x:v>and SQL generation [30] are being increasingly released.
Despite the significant progress made in text-to-SQL research,
several challenges remain that hinder the development of
robust and generalized text-to-SQL systems [92]. Recent related
works have surveyed text-to-SQL systems using deep learning
approaches and provided insights into previous deep neural
network and PLM-based research [ 3, 27, 93, 94]. In this
survey, we aim to catch up with recent advances and provide
a comprehensive review of the current state-of-the-art models
and approaches in LLM-based text-to-SQL. We begin by
introducing the fundamental concepts and challenges associated
with text-to-SQL, highlighting the importance of this task
in various domains. We then delve into the evolution of the
implementation paradigm for text-to-SQL systems, discussing
the key advancements and breakthroughs in this field. After the</x:v>
      </x:c>
      <x:c r="M877" s="19" t="str">
        <x:v>该段包含可直接回答问题的方法、指标、比较或研究发现。</x:v>
      </x:c>
      <x:c r="N877" s="13" t="str">
        <x:v>http://arxiv.org/abs/2406.08426v8</x:v>
      </x:c>
    </x:row>
    <x:row r="878" ht="58" customHeight="1">
      <x:c r="A878" s="13" t="str">
        <x:v>csq030-c010</x:v>
      </x:c>
      <x:c r="B878" s="13" t="str">
        <x:v>csq030</x:v>
      </x:c>
      <x:c r="C878" s="21" t="n">
        <x:v>10</x:v>
      </x:c>
      <x:c r="D878" s="20" t="str">
        <x:v>0</x:v>
      </x:c>
      <x:c r="E878" s="20" t="str"/>
      <x:c r="F878" s="20" t="str">
        <x:f>IF(E878="",D878,E878)</x:f>
        <x:v>0</x:v>
      </x:c>
      <x:c r="G878" s="13" t="str">
        <x:v>A Survey of Text-to-SQL in the Era of LLMs: Where are we, and where are we going?</x:v>
      </x:c>
      <x:c r="H878" s="13" t="n">
        <x:v>18</x:v>
      </x:c>
      <x:c r="I878" s="22" t="n">
        <x:v>0.029726775956284153</x:v>
      </x:c>
      <x:c r="J878" s="13" t="n">
        <x:v>2</x:v>
      </x:c>
      <x:c r="K878" s="19" t="str">
        <x:v>How have text-to-SQL systems evolved from schema-aware neural parsers to large-language-model-based approaches, and which challenges remain on cross-domain benchmarks?</x:v>
      </x:c>
      <x:c r="L878" s="19" t="str">
        <x:v>[40] B. Bogin, M. Gardner, and et al., “Representing schema structure with
graph neural networks for text-to-sql parsing,”arXiv:1905.06241, 2019.
[41] J. Devlin and et al., “Bert: Pre-training of deep bidirectional transform-
ers for language understanding,” inNAACL, 2019.
[42] C. Raffel, N. Shazeer, A. Roberts, and et al., “Exploring the limits of
transfer learning with a unified text-to-text transformer,”JMLR, 2020.
[43] J. Li and et al., “Graphix-t5: Mixing pre-trained transformers with
graph-aware layers for text-to-sql parsing,”arXiv:2301.07507, 2023.
[44] Z. Gu, J. Fan, and et al., “Interleaving pre-trained language models and
large language models for zero-shot nl2sql generation.”arXiv, 2023.
[45] T. Yu, R. Zhang, K. Yang, and et al., “Spider: A large-scale human-
labeled dataset for complex and cross-domain semantic parsing and
text-to-sql task,” inEMNLP, 2018.</x:v>
      </x:c>
      <x:c r="M878" s="19" t="str">
        <x:v>该段为无关内容、泛泛提及或参考文献片段，不能作为回答证据。</x:v>
      </x:c>
      <x:c r="N878" s="13" t="str">
        <x:v>http://arxiv.org/abs/2408.05109v6</x:v>
      </x:c>
    </x:row>
    <x:row r="879" ht="58" customHeight="1">
      <x:c r="A879" s="13" t="str">
        <x:v>csq030-c011</x:v>
      </x:c>
      <x:c r="B879" s="13" t="str">
        <x:v>csq030</x:v>
      </x:c>
      <x:c r="C879" s="21" t="n">
        <x:v>11</x:v>
      </x:c>
      <x:c r="D879" s="20" t="str">
        <x:v>2</x:v>
      </x:c>
      <x:c r="E879" s="20" t="str"/>
      <x:c r="F879" s="20" t="str">
        <x:f>IF(E879="",D879,E879)</x:f>
        <x:v>2</x:v>
      </x:c>
      <x:c r="G879" s="13" t="str">
        <x:v>A Survey of Text-to-SQL in the Era of LLMs: Where are we, and where are we going?</x:v>
      </x:c>
      <x:c r="H879" s="13" t="n">
        <x:v>4</x:v>
      </x:c>
      <x:c r="I879" s="22" t="n">
        <x:v>0.028381642512077296</x:v>
      </x:c>
      <x:c r="J879" s="13" t="n">
        <x:v>2</x:v>
      </x:c>
      <x:c r="K879" s="19" t="str">
        <x:v>How have text-to-SQL systems evolved from schema-aware neural parsers to large-language-model-based approaches, and which challenges remain on cross-domain benchmarks?</x:v>
      </x:c>
      <x:c r="L879" s="19" t="str">
        <x:v>challenges that are the focus of current LLM-based solutions,
while the fifth level represents future challenges, showing our
vision for Text-to-SQL advancements over the next five years.
The Evolution of Text-to-SQL Solutions. The development of
Text-to-SQL solutions, illustrated in Figure 3(b), progresses
through four distinct stages: the rule-based stage, the neural
network-based stage, the PLM-based stage, and the LLM-
based stage. At each stage, we analyze shifts in target users,
i.e.,from experts to broader user groups, and the extent to
which various Text-to-SQL challenges are addressed.
1) Rule-based Stage:In the early stages, statistical lan-
guage models (e.g.,semantic parsers) were used to interpret
NLqueries and convert them intoSQLqueries using pre-
defined rules [32], [35]–[37]. However, rule-based Text-to-
SQL methods face challenges in adaptability, scalability, and</x:v>
      </x:c>
      <x:c r="M879" s="19" t="str">
        <x:v>该段包含可直接回答问题的方法、指标、比较或研究发现。</x:v>
      </x:c>
      <x:c r="N879" s="13" t="str">
        <x:v>http://arxiv.org/abs/2408.05109v6</x:v>
      </x:c>
    </x:row>
    <x:row r="880" ht="58" customHeight="1">
      <x:c r="A880" s="13" t="str">
        <x:v>csq030-c012</x:v>
      </x:c>
      <x:c r="B880" s="13" t="str">
        <x:v>csq030</x:v>
      </x:c>
      <x:c r="C880" s="21" t="n">
        <x:v>12</x:v>
      </x:c>
      <x:c r="D880" s="20" t="str">
        <x:v>2</x:v>
      </x:c>
      <x:c r="E880" s="20" t="str"/>
      <x:c r="F880" s="20" t="str">
        <x:f>IF(E880="",D880,E880)</x:f>
        <x:v>2</x:v>
      </x:c>
      <x:c r="G880" s="13" t="str">
        <x:v>A Survey of Large Language Model-Based Generative AI for Text-to-SQL: Benchmarks, Applications, Use Cases, and Challenges</x:v>
      </x:c>
      <x:c r="H880" s="13" t="n">
        <x:v>6</x:v>
      </x:c>
      <x:c r="I880" s="22" t="n">
        <x:v>0.02797339593114241</x:v>
      </x:c>
      <x:c r="J880" s="13" t="n">
        <x:v>2</x:v>
      </x:c>
      <x:c r="K880" s="19" t="str">
        <x:v>How have text-to-SQL systems evolved from schema-aware neural parsers to large-language-model-based approaches, and which challenges remain on cross-domain benchmarks?</x:v>
      </x:c>
      <x:c r="L880" s="19" t="str">
        <x:v>and extensive benchmarks, critical challenges such as handling
domain-specific complexities, extending support to NoSQL
databases, and improving query efficiency remain. The survey
underscores the need for future research to develop specialized
datasets, enhance model generalization, and integrate contex-
tual knowledge to address these gaps, thereby expanding the
scope and utility of text-to-database technologies.
REFERENCES
[1] T. Yu, R. Zhang, K. Yang et al., “Spider: A large-scale human-labeled
dataset for complex and cross-domain semantic parsing and text-to-sql
task,” in Proceedings of the 2018 Conference on Empirical Methods in
Natural Language Processing, 2018, pp. 3911–3921.
[2] L. Shi, Z. Tang, N. Zhang et al., “A survey on employing large language
models for text-to-sql tasks,” arXiv preprint arXiv:2407.15186 , 2024.</x:v>
      </x:c>
      <x:c r="M880" s="19" t="str">
        <x:v>该段包含可直接回答问题的方法、指标、比较或研究发现。</x:v>
      </x:c>
      <x:c r="N880" s="13" t="str">
        <x:v>http://arxiv.org/abs/2412.05208v2</x:v>
      </x:c>
    </x:row>
    <x:row r="881" ht="58" customHeight="1">
      <x:c r="A881" s="13" t="str">
        <x:v>csq030-c013</x:v>
      </x:c>
      <x:c r="B881" s="13" t="str">
        <x:v>csq030</x:v>
      </x:c>
      <x:c r="C881" s="21" t="n">
        <x:v>13</x:v>
      </x:c>
      <x:c r="D881" s="20" t="str">
        <x:v>2</x:v>
      </x:c>
      <x:c r="E881" s="20" t="str"/>
      <x:c r="F881" s="20" t="str">
        <x:f>IF(E881="",D881,E881)</x:f>
        <x:v>2</x:v>
      </x:c>
      <x:c r="G881" s="13" t="str">
        <x:v>A Survey of Large Language Model-Based Generative AI for Text-to-SQL: Benchmarks, Applications, Use Cases, and Challenges</x:v>
      </x:c>
      <x:c r="H881" s="13" t="n">
        <x:v>1</x:v>
      </x:c>
      <x:c r="I881" s="22" t="n">
        <x:v>0.01639344262295082</x:v>
      </x:c>
      <x:c r="J881" s="13" t="n">
        <x:v>1</x:v>
      </x:c>
      <x:c r="K881" s="19" t="str">
        <x:v>How have text-to-SQL systems evolved from schema-aware neural parsers to large-language-model-based approaches, and which challenges remain on cross-domain benchmarks?</x:v>
      </x:c>
      <x:c r="L881" s="19" t="str">
        <x:v>improved the systems’ ability to understand complex queries
and generate accurate SQL statements [4].
Despite these advancements, challenges remain, especially
in handling complex and cross-domain queries. Ongoing re-
search focuses on improving the robustness and adaptability
of text-to-SQL systems to address these challenges [2].
IV. C URRENT BENCHMARKS , M ODELS , AND DATASETS
Evaluating text-to-SQL systems necessitates robust bench-
marks and datasets. Notable among these are:
A. Benchmarks Datasets
• Spider: A large-scale, complex, and cross-domain text-
to-SQL dataset designed to evaluate the generalization
capabilities of models across different databases and
query structures [1].
• Spider 2.0 : An advanced evaluation framework featur-
ing 632 real-world text-to-SQL workflow problems from
enterprise databases. These databases, often hosted on</x:v>
      </x:c>
      <x:c r="M881" s="19" t="str">
        <x:v>该段包含可直接回答问题的方法、指标、比较或研究发现。</x:v>
      </x:c>
      <x:c r="N881" s="13" t="str">
        <x:v>http://arxiv.org/abs/2412.05208v2</x:v>
      </x:c>
    </x:row>
    <x:row r="882" ht="58" customHeight="1">
      <x:c r="A882" s="13" t="str">
        <x:v>csq030-c014</x:v>
      </x:c>
      <x:c r="B882" s="13" t="str">
        <x:v>csq030</x:v>
      </x:c>
      <x:c r="C882" s="21" t="n">
        <x:v>14</x:v>
      </x:c>
      <x:c r="D882" s="20" t="str">
        <x:v>2</x:v>
      </x:c>
      <x:c r="E882" s="20" t="str"/>
      <x:c r="F882" s="20" t="str">
        <x:f>IF(E882="",D882,E882)</x:f>
        <x:v>2</x:v>
      </x:c>
      <x:c r="G882" s="13" t="str">
        <x:v>Next-Generation Database Interfaces: A Survey of LLM-based Text-to-SQL</x:v>
      </x:c>
      <x:c r="H882" s="13" t="n">
        <x:v>1</x:v>
      </x:c>
      <x:c r="I882" s="22" t="n">
        <x:v>0.01639344262295082</x:v>
      </x:c>
      <x:c r="J882" s="13" t="n">
        <x:v>1</x:v>
      </x:c>
      <x:c r="K882" s="19" t="str">
        <x:v>How have text-to-SQL systems evolved from schema-aware neural parsers to large-language-model-based approaches, and which challenges remain on cross-domain benchmarks?</x:v>
      </x:c>
      <x:c r="L882" s="19" t="str">
        <x:v>2023 onward, the emphasis shifts to the rapid advancements driven by LLMs, marking a significant acceleration in the field.
implementations have undergone a long evolutionary process.
Early efforts were mostly based on well-designed rules and
templates [9], specifically suitable for simple database scenarios.
In recent years, due to the heavy labor costs [10] associated with
rule-based methods and the growing complexity of database
environments [11–13], designing a rule or template for each
scenario has become increasingly difficult and impractical.
The development of deep neural networks has advanced the
progress of text-to-SQL [ 14, 15], which can automatically
learn a mapping from the user question to its corresponding
SQL [ 16, 17]. Subsequently, pre-trained language models
(PLMs) with strong semantic parsing capabilities have become</x:v>
      </x:c>
      <x:c r="M882" s="19" t="str">
        <x:v>该段包含可直接回答问题的方法、指标、比较或研究发现。</x:v>
      </x:c>
      <x:c r="N882" s="13" t="str">
        <x:v>http://arxiv.org/abs/2406.08426v8</x:v>
      </x:c>
    </x:row>
    <x:row r="883" ht="58" customHeight="1">
      <x:c r="A883" s="13" t="str">
        <x:v>csq030-c015</x:v>
      </x:c>
      <x:c r="B883" s="13" t="str">
        <x:v>csq030</x:v>
      </x:c>
      <x:c r="C883" s="21" t="n">
        <x:v>15</x:v>
      </x:c>
      <x:c r="D883" s="20" t="str">
        <x:v>0</x:v>
      </x:c>
      <x:c r="E883" s="20" t="str"/>
      <x:c r="F883" s="20" t="str">
        <x:f>IF(E883="",D883,E883)</x:f>
        <x:v>0</x:v>
      </x:c>
      <x:c r="G883" s="13" t="str">
        <x:v>Next-Generation Database Interfaces: A Survey of LLM-based Text-to-SQL</x:v>
      </x:c>
      <x:c r="H883" s="13" t="n">
        <x:v>14</x:v>
      </x:c>
      <x:c r="I883" s="22" t="n">
        <x:v>0.016129032258064516</x:v>
      </x:c>
      <x:c r="J883" s="13" t="n">
        <x:v>1</x:v>
      </x:c>
      <x:c r="K883" s="19" t="str">
        <x:v>How have text-to-SQL systems evolved from schema-aware neural parsers to large-language-model-based approaches, and which challenges remain on cross-domain benchmarks?</x:v>
      </x:c>
      <x:c r="L883" s="19" t="str">
        <x:v>data,”arXiv preprint arXiv:2005.08314, 2020.
[19] H. Li, J. Zhang, C. Li, and H. Chen, “Resdsql: Decou-
pling schema linking and skeleton parsing for text-to-sql,”
inConference on Artificial Intelligence (AAAI), 2023.
[20] J. Li, B. Hui, R. Cheng, B. Qin, C. Ma, N. Huo, F. Huang,
W. Du, L. Si, and Y . Li, “Graphix-t5: Mixing pre-trained
transformers with graph-aware layers for text-to-sql
parsing,” inConference on Artificial Intelligence (AAAI),
2023.
[21] D. Rai, B. Wang, Y . Zhou, and Z. Yao, “Improv-
ing generalization in language model-based text-to-
sql semantic parsing: Two simple semantic boundary-
based techniques,” inAssociation for Computational
Linguistics (ACL), 2023.
[22] Q. Lyu, K. Chakrabarti, S. Hathi, S. Kundu, J. Zhang,
and Z. Chen, “Hybrid ranking network for text-to-sql,”
arXiv preprint arXiv:2008.04759, 2020.</x:v>
      </x:c>
      <x:c r="M883" s="19" t="str">
        <x:v>该段为无关内容、泛泛提及或参考文献片段，不能作为回答证据。</x:v>
      </x:c>
      <x:c r="N883" s="13" t="str">
        <x:v>http://arxiv.org/abs/2406.08426v8</x:v>
      </x:c>
    </x:row>
    <x:row r="884" ht="58" customHeight="1">
      <x:c r="A884" s="13" t="str">
        <x:v>csq030-c016</x:v>
      </x:c>
      <x:c r="B884" s="13" t="str">
        <x:v>csq030</x:v>
      </x:c>
      <x:c r="C884" s="21" t="n">
        <x:v>16</x:v>
      </x:c>
      <x:c r="D884" s="20" t="str">
        <x:v>2</x:v>
      </x:c>
      <x:c r="E884" s="20" t="str"/>
      <x:c r="F884" s="20" t="str">
        <x:f>IF(E884="",D884,E884)</x:f>
        <x:v>2</x:v>
      </x:c>
      <x:c r="G884" s="13" t="str">
        <x:v>Evaluating Cross-Domain Text-to-SQL Models and Benchmarks</x:v>
      </x:c>
      <x:c r="H884" s="13" t="n">
        <x:v>9</x:v>
      </x:c>
      <x:c r="I884" s="22" t="n">
        <x:v>0.016129032258064516</x:v>
      </x:c>
      <x:c r="J884" s="13" t="n">
        <x:v>1</x:v>
      </x:c>
      <x:c r="K884" s="19" t="str">
        <x:v>How have text-to-SQL systems evolved from schema-aware neural parsers to large-language-model-based approaches, and which challenges remain on cross-domain benchmarks?</x:v>
      </x:c>
      <x:c r="L884" s="19" t="str">
        <x:v>Limitations
In this study, our focus was primarily on cross-
domain text-to-SQL benchmarks and models. The
failure cases identified in this domain are likely
to be present in other domain-specific text-to-SQL
benchmarks and models as well. It is essential to
conduct further analysis to identify specific fail-
ure cases within domain-specific benchmarks and
models.
Furthermore, it is worth mentioning that our
work has a limitation regarding the analysis of
failure cases that lack a specific structure and re-
quire manual effort for detection. Identifying and
addressing such problems necessitates extensive
work. The purpose of our study was to highlight
these failure cases; a more in-depth analysis of
their prevalence can provide a clearer understand-
ing of their impact on the overall performance of
text-to-SQL systems.
Ethics Statement
In this paper, we acknowledge the importance of</x:v>
      </x:c>
      <x:c r="M884" s="19" t="str">
        <x:v>该段包含可直接回答问题的方法、指标、比较或研究发现。</x:v>
      </x:c>
      <x:c r="N884" s="13" t="str">
        <x:v>http://arxiv.org/abs/2310.18538v1</x:v>
      </x:c>
    </x:row>
    <x:row r="885" ht="58" customHeight="1">
      <x:c r="A885" s="13" t="str">
        <x:v>csq030-c017</x:v>
      </x:c>
      <x:c r="B885" s="13" t="str">
        <x:v>csq030</x:v>
      </x:c>
      <x:c r="C885" s="21" t="n">
        <x:v>17</x:v>
      </x:c>
      <x:c r="D885" s="20" t="str">
        <x:v>2</x:v>
      </x:c>
      <x:c r="E885" s="20" t="str"/>
      <x:c r="F885" s="20" t="str">
        <x:f>IF(E885="",D885,E885)</x:f>
        <x:v>2</x:v>
      </x:c>
      <x:c r="G885" s="13" t="str">
        <x:v>Next-Generation Database Interfaces: A Survey of LLM-based Text-to-SQL</x:v>
      </x:c>
      <x:c r="H885" s="13" t="n">
        <x:v>1</x:v>
      </x:c>
      <x:c r="I885" s="22" t="n">
        <x:v>0.015873015873015872</x:v>
      </x:c>
      <x:c r="J885" s="13" t="n">
        <x:v>1</x:v>
      </x:c>
      <x:c r="K885" s="19" t="str">
        <x:v>How have text-to-SQL systems evolved from schema-aware neural parsers to large-language-model-based approaches, and which challenges remain on cross-domain benchmarks?</x:v>
      </x:c>
      <x:c r="L885" s="19" t="str">
        <x:v>2
MBR-ExecCoder-Reviewer
RAG+SP&amp;DRCC3DAIL-SQLODISACT-SQLMAC-SQL
MCS-SQLCHESSSuperSQLDistilleryE-SQLCHASE-SQLLEVERSelf-DebuggingDESEM+PDIN-SQL2023.1 2025.12024.22024.4Before 2023
Graphix-T5RESDSQL Symbol-LLMSQL-LLaMA Spider-AgentLinkAlignICRLGen-SQLReFoRCE
MSc-SQLXiYan-SQLDubo-SQLKaSLA
SDSQLRyan-SQL
TaBERTHydraNetGrappaNaLIRSeq2SQL
DEA-SQLFUSEDDELLMSGU-SQLPoTSQL-CRAFTFUXI
CLLMsCodeSStructLMDTS-SQLMetaSQLPET-SQLPURPLERSL-SQLDubo-SQLTA-SQL
CoTStructGPTSD+SA+VotingQDecompLeast-to-MostSQL-PaLM
2023.7
Rule-based MethodsDeep Natural NetworksPretrained Language ModelsLarge Language Models: Fine-tuningLarge Language Models: In-context Learning
SHARE
Fig. 2: A sketch of text-to-SQL research evolution outlines the advancement of implementation paradigms, each represented
with different color backgrounds. Before 2023, the focus is on a selection of representative traditional studies. However, from</x:v>
      </x:c>
      <x:c r="M885" s="19" t="str">
        <x:v>该段包含可直接回答问题的方法、指标、比较或研究发现。</x:v>
      </x:c>
      <x:c r="N885" s="13" t="str">
        <x:v>http://arxiv.org/abs/2406.08426v8</x:v>
      </x:c>
    </x:row>
    <x:row r="886" ht="58" customHeight="1">
      <x:c r="A886" s="13" t="str">
        <x:v>csq030-c018</x:v>
      </x:c>
      <x:c r="B886" s="13" t="str">
        <x:v>csq030</x:v>
      </x:c>
      <x:c r="C886" s="21" t="n">
        <x:v>18</x:v>
      </x:c>
      <x:c r="D886" s="20" t="str">
        <x:v>0</x:v>
      </x:c>
      <x:c r="E886" s="20" t="str"/>
      <x:c r="F886" s="20" t="str">
        <x:f>IF(E886="",D886,E886)</x:f>
        <x:v>0</x:v>
      </x:c>
      <x:c r="G886" s="13" t="str">
        <x:v>Next-Generation Database Interfaces: A Survey of LLM-based Text-to-SQL</x:v>
      </x:c>
      <x:c r="H886" s="13" t="n">
        <x:v>16</x:v>
      </x:c>
      <x:c r="I886" s="22" t="n">
        <x:v>0.015873015873015872</x:v>
      </x:c>
      <x:c r="J886" s="13" t="n">
        <x:v>1</x:v>
      </x:c>
      <x:c r="K886" s="19" t="str">
        <x:v>How have text-to-SQL systems evolved from schema-aware neural parsers to large-language-model-based approaches, and which challenges remain on cross-domain benchmarks?</x:v>
      </x:c>
      <x:c r="L886" s="19" t="str">
        <x:v>[74] R. Sun, S. O. Arik, H. Nakhost, H. Dai, R. Sinha, P. Yin,
and T. Pfister, “Sql-palm: Improved large language model
adaptation for text-to-sql,”Transactions on Machine
Learning Research (TMLR), 2023.
[75] H. Xia, F. Jiang, N. Deng, C. Wang, G. Zhao, R. Mi-
halcea, and Y . Zhang, “Sql-craft: Text-to-sql through
interactive refinement and enhanced reasoning,”arXiv
preprint arXiv:2402.14851, 2024.
[76] Y . Gu, Y . Shu, H. Yu, X. Liu, Y . Dong, J. Tang,
J. Srinivasa, H. Latapie, and Y . Su, “Middleware for
llms: Tools are instrumental for language agents in
complex environments,” inEmpirical Methods in Natural
Language Processing (EMNLP), 2024.
[77] M. Pourreza, H. Li, R. Sun, Y . Chung, S. Talaei, G. T.
Kakkar, Y . Gan, A. Saberi, F. Ozcan, and S. O. Arik,
“CHASE-SQL: Multi-path reasoning and preference
optimized candidate selection in text-to-SQL,” inInterna-</x:v>
      </x:c>
      <x:c r="M886" s="19" t="str">
        <x:v>该段为无关内容、泛泛提及或参考文献片段，不能作为回答证据。</x:v>
      </x:c>
      <x:c r="N886" s="13" t="str">
        <x:v>http://arxiv.org/abs/2406.08426v8</x:v>
      </x:c>
    </x:row>
    <x:row r="887" ht="58" customHeight="1">
      <x:c r="A887" s="13" t="str">
        <x:v>csq030-c019</x:v>
      </x:c>
      <x:c r="B887" s="13" t="str">
        <x:v>csq030</x:v>
      </x:c>
      <x:c r="C887" s="21" t="n">
        <x:v>19</x:v>
      </x:c>
      <x:c r="D887" s="20" t="str">
        <x:v>2</x:v>
      </x:c>
      <x:c r="E887" s="20" t="str"/>
      <x:c r="F887" s="20" t="str">
        <x:f>IF(E887="",D887,E887)</x:f>
        <x:v>2</x:v>
      </x:c>
      <x:c r="G887" s="13" t="str">
        <x:v>Evaluating Cross-Domain Text-to-SQL Models and Benchmarks</x:v>
      </x:c>
      <x:c r="H887" s="13" t="n">
        <x:v>0</x:v>
      </x:c>
      <x:c r="I887" s="22" t="n">
        <x:v>0.015873015873015872</x:v>
      </x:c>
      <x:c r="J887" s="13" t="n">
        <x:v>1</x:v>
      </x:c>
      <x:c r="K887" s="19" t="str">
        <x:v>How have text-to-SQL systems evolved from schema-aware neural parsers to large-language-model-based approaches, and which challenges remain on cross-domain benchmarks?</x:v>
      </x:c>
      <x:c r="L887" s="19" t="str">
        <x:v>Evaluating Cross-Domain Text-to-SQL Models and Benchmarks
Mohammadreza Pourreza
University of Alberta
pourreza@ualberta.ca
Davood Rafiei
University of Alberta
drafiei@ualberta.ca
Abstract
Text-to-SQL benchmarks play a crucial role in
evaluating the progress made in the field and
the ranking of different models. However, accu-
rately matching a model-generated SQL query
to a reference SQL query in a benchmark fails
for various reasons, such as underspecified nat-
ural language queries, inherent assumptions in
both model-generated and reference queries,
and the non-deterministic nature of SQL output
under certain conditions. In this paper, we con-
duct an extensive study of several prominent
cross-domain text-to-SQL benchmarks and re-
evaluate some of the top-performing models
within these benchmarks, by both manually
evaluating the SQL queries and rewriting them</x:v>
      </x:c>
      <x:c r="M887" s="19" t="str">
        <x:v>该段包含可直接回答问题的方法、指标、比较或研究发现。</x:v>
      </x:c>
      <x:c r="N887" s="13" t="str">
        <x:v>http://arxiv.org/abs/2310.18538v1</x:v>
      </x:c>
    </x:row>
    <x:row r="888" ht="58" customHeight="1">
      <x:c r="A888" s="13" t="str">
        <x:v>csq030-c020</x:v>
      </x:c>
      <x:c r="B888" s="13" t="str">
        <x:v>csq030</x:v>
      </x:c>
      <x:c r="C888" s="21" t="n">
        <x:v>20</x:v>
      </x:c>
      <x:c r="D888" s="20" t="str">
        <x:v>0</x:v>
      </x:c>
      <x:c r="E888" s="20" t="str"/>
      <x:c r="F888" s="20" t="str">
        <x:f>IF(E888="",D888,E888)</x:f>
        <x:v>0</x:v>
      </x:c>
      <x:c r="G888" s="13" t="str">
        <x:v>Evaluating Cross-Domain Text-to-SQL Models and Benchmarks</x:v>
      </x:c>
      <x:c r="H888" s="13" t="n">
        <x:v>10</x:v>
      </x:c>
      <x:c r="I888" s="22" t="n">
        <x:v>0.015873015873015872</x:v>
      </x:c>
      <x:c r="J888" s="13" t="n">
        <x:v>1</x:v>
      </x:c>
      <x:c r="K888" s="19" t="str">
        <x:v>How have text-to-SQL systems evolved from schema-aware neural parsers to large-language-model-based approaches, and which challenges remain on cross-domain benchmarks?</x:v>
      </x:c>
      <x:c r="L888" s="19" t="str">
        <x:v>Sankaranarayanan. 2020. Athena++ natural language
querying for complex nested sql queries. Proceed-
ings of the VLDB Endowment, 13(12):2747–2759.
Ruoxi Sun, Sercan O Arik, Hootan Nakhost, Hanjun
Dai, Rajarishi Sinha, Pengcheng Yin, and Tomas
Pfister. 2023. Sql-palm: Improved large language
modeladaptation for text-to-sql. arXiv preprint
arXiv:2306.00739.
Bailin Wang, Richard Shin, Xiaodong Liu, Oleksandr
Polozov, and Matthew Richardson. 2019. Rat-sql:
Relation-aware schema encoding and linking for text-
to-sql parsers. arXiv preprint arXiv:1911.04942.
Tao Yu, Michihiro Yasunaga, Kai Yang, Rui Zhang,
Dongxu Wang, Zifan Li, and Dragomir Radev. 2018a.
Syntaxsqlnet: Syntax tree networks for complex
and cross-domaintext-to-sql task. arXiv preprint
arXiv:1810.05237.
Tao Yu, Rui Zhang, Kai Yang, Michihiro Yasunaga,
Dongxu Wang, Zifan Li, James Ma, Irene Li, Qingn-</x:v>
      </x:c>
      <x:c r="M888" s="19" t="str">
        <x:v>该段为无关内容、泛泛提及或参考文献片段，不能作为回答证据。</x:v>
      </x:c>
      <x:c r="N888" s="13" t="str">
        <x:v>http://arxiv.org/abs/2310.18538v1</x:v>
      </x:c>
    </x:row>
    <x:row r="889" ht="58" customHeight="1">
      <x:c r="A889" s="13" t="str">
        <x:v>csq030-c021</x:v>
      </x:c>
      <x:c r="B889" s="13" t="str">
        <x:v>csq030</x:v>
      </x:c>
      <x:c r="C889" s="21" t="n">
        <x:v>21</x:v>
      </x:c>
      <x:c r="D889" s="20" t="str">
        <x:v>2</x:v>
      </x:c>
      <x:c r="E889" s="20" t="str"/>
      <x:c r="F889" s="20" t="str">
        <x:f>IF(E889="",D889,E889)</x:f>
        <x:v>2</x:v>
      </x:c>
      <x:c r="G889" s="13" t="str">
        <x:v>From Natural Language to SQL: Review of LLM-based Text-to-SQL Systems</x:v>
      </x:c>
      <x:c r="H889" s="13" t="n">
        <x:v>0</x:v>
      </x:c>
      <x:c r="I889" s="22" t="n">
        <x:v>0.015625</x:v>
      </x:c>
      <x:c r="J889" s="13" t="n">
        <x:v>1</x:v>
      </x:c>
      <x:c r="K889" s="19" t="str">
        <x:v>How have text-to-SQL systems evolved from schema-aware neural parsers to large-language-model-based approaches, and which challenges remain on cross-domain benchmarks?</x:v>
      </x:c>
      <x:c r="L889" s="19" t="str">
        <x:v>4. Cross-Domain Generalization:
Text-to-SQL models trained on one domain (e.g., cus-
tomer service databases) may not generalize well to other
domains (e.g., healthcare). Differences in schema struc-
tures, terminology, and query patterns make it difficult
for models to perform consistently across a wide variety
of databases [5].
Addressing these challenges is essential for the effectiveness
of text-to-SQL systems. As databases become more complex,
higher accuracy of text-to-SQL models is also needed.
arXiv:2410.01066v2  [cs.CL]  4 Feb 2025</x:v>
      </x:c>
      <x:c r="M889" s="19" t="str">
        <x:v>该段包含可直接回答问题的方法、指标、比较或研究发现。</x:v>
      </x:c>
      <x:c r="N889" s="13" t="str">
        <x:v>http://arxiv.org/abs/2410.01066v2</x:v>
      </x:c>
    </x:row>
    <x:row r="890" ht="58" customHeight="1">
      <x:c r="A890" s="13" t="str">
        <x:v>csq030-c022</x:v>
      </x:c>
      <x:c r="B890" s="13" t="str">
        <x:v>csq030</x:v>
      </x:c>
      <x:c r="C890" s="21" t="n">
        <x:v>22</x:v>
      </x:c>
      <x:c r="D890" s="20" t="str">
        <x:v>2</x:v>
      </x:c>
      <x:c r="E890" s="20" t="str"/>
      <x:c r="F890" s="20" t="str">
        <x:f>IF(E890="",D890,E890)</x:f>
        <x:v>2</x:v>
      </x:c>
      <x:c r="G890" s="13" t="str">
        <x:v>From Natural Language to SQL: Review of LLM-based Text-to-SQL Systems</x:v>
      </x:c>
      <x:c r="H890" s="13" t="n">
        <x:v>8</x:v>
      </x:c>
      <x:c r="I890" s="22" t="n">
        <x:v>0.015625</x:v>
      </x:c>
      <x:c r="J890" s="13" t="n">
        <x:v>1</x:v>
      </x:c>
      <x:c r="K890" s="19" t="str">
        <x:v>How have text-to-SQL systems evolved from schema-aware neural parsers to large-language-model-based approaches, and which challenges remain on cross-domain benchmarks?</x:v>
      </x:c>
      <x:c r="L890" s="19" t="str">
        <x:v>GPT, LLaMA, and T5. These models, trained on diverse
textual data, are adapted for SQL query generation by
fine-tuning with task-specific data. The fine-tuning pro-
cess enhances their ability to interpret NL and accurately</x:v>
      </x:c>
      <x:c r="M890" s="19" t="str">
        <x:v>该段包含可直接回答问题的方法、指标、比较或研究发现。</x:v>
      </x:c>
      <x:c r="N890" s="13" t="str">
        <x:v>http://arxiv.org/abs/2410.01066v2</x:v>
      </x:c>
    </x:row>
    <x:row r="891" ht="58" customHeight="1">
      <x:c r="A891" s="13" t="str">
        <x:v>csq030-c023</x:v>
      </x:c>
      <x:c r="B891" s="13" t="str">
        <x:v>csq030</x:v>
      </x:c>
      <x:c r="C891" s="21" t="n">
        <x:v>23</x:v>
      </x:c>
      <x:c r="D891" s="20" t="str">
        <x:v>2</x:v>
      </x:c>
      <x:c r="E891" s="20" t="str"/>
      <x:c r="F891" s="20" t="str">
        <x:f>IF(E891="",D891,E891)</x:f>
        <x:v>2</x:v>
      </x:c>
      <x:c r="G891" s="13" t="str">
        <x:v>A Survey of Large Language Model-Based Generative AI for Text-to-SQL: Benchmarks, Applications, Use Cases, and Challenges</x:v>
      </x:c>
      <x:c r="H891" s="13" t="n">
        <x:v>0</x:v>
      </x:c>
      <x:c r="I891" s="22" t="n">
        <x:v>0.015625</x:v>
      </x:c>
      <x:c r="J891" s="13" t="n">
        <x:v>1</x:v>
      </x:c>
      <x:c r="K891" s="19" t="str">
        <x:v>How have text-to-SQL systems evolved from schema-aware neural parsers to large-language-model-based approaches, and which challenges remain on cross-domain benchmarks?</x:v>
      </x:c>
      <x:c r="L891" s="19" t="str">
        <x:v>users to interact with databases without requiring in-depth
knowledge of query languages. The development of AI-driven
text-to-SQL systems has been critical in achieving this goal.
[1]
Early approaches to text-to-SQL relied heavily on rule-
based systems and semantic parsing techniques. These meth-
ods, while foundational, often struggled with the diversity and
complexity inherent in natural language queries. The advent
of deep learning and neural network models marked a signifi-
cant shift, introducing sequence-to-sequence architectures that
improved the translation of natural language to SQL [2].
The integration of large pre-trained language models
(PLMs) and large language models has further advanced the
field [3], enhancing the understanding of natural language
semantics and the generation of accurate SQL queries. Recent
surveys have highlighted the impact of PLMs on text-to-</x:v>
      </x:c>
      <x:c r="M891" s="19" t="str">
        <x:v>该段包含可直接回答问题的方法、指标、比较或研究发现。</x:v>
      </x:c>
      <x:c r="N891" s="13" t="str">
        <x:v>http://arxiv.org/abs/2412.05208v2</x:v>
      </x:c>
    </x:row>
    <x:row r="892" ht="58" customHeight="1">
      <x:c r="A892" s="13" t="str">
        <x:v>csq030-c024</x:v>
      </x:c>
      <x:c r="B892" s="13" t="str">
        <x:v>csq030</x:v>
      </x:c>
      <x:c r="C892" s="21" t="n">
        <x:v>24</x:v>
      </x:c>
      <x:c r="D892" s="20" t="str">
        <x:v>0</x:v>
      </x:c>
      <x:c r="E892" s="20" t="str"/>
      <x:c r="F892" s="20" t="str">
        <x:f>IF(E892="",D892,E892)</x:f>
        <x:v>0</x:v>
      </x:c>
      <x:c r="G892" s="13" t="str">
        <x:v>A Survey of Text-to-SQL in the Era of LLMs: Where are we, and where are we going?</x:v>
      </x:c>
      <x:c r="H892" s="13" t="n">
        <x:v>18</x:v>
      </x:c>
      <x:c r="I892" s="22" t="n">
        <x:v>0.015625</x:v>
      </x:c>
      <x:c r="J892" s="13" t="n">
        <x:v>1</x:v>
      </x:c>
      <x:c r="K892" s="19" t="str">
        <x:v>How have text-to-SQL systems evolved from schema-aware neural parsers to large-language-model-based approaches, and which challenges remain on cross-domain benchmarks?</x:v>
      </x:c>
      <x:c r="L892" s="19" t="str">
        <x:v>[79] B. Hui and et al., “S2sql: Injecting syntax to question-schema interac-
tion graph encoder for text-to-sql parsers,” inFindings of ACL, 2022.
[80] B. Wang, R. Shin, X. Liu, and et al., “RAT-SQL: relation-aware schema
encoding and linking for text-to-sql parsers,” inACL, 2020.
[81] O. Rubin and J. Berant, “Smbop: Semi-autoregressive bottom-up
semantic parsing,”arXiv:2010.12412, 2020.
[82] J. Huang, Y . Wang, Y . Wang, and et al., “Relation aware semi-
autoregressive semantic parsing for nl2sql,”arXiv:2108.00804, 2021.
[83] X. V . Lin and et al., “Bridging textual and tabular data for cross-domain
text-to-sql semantic parsing,”arXiv:2012.12627, 2020.
[84] J. Guo, Z. Zhan, Y . Gao, and et al., “Towards complex text-to-sql in
cross-domain database with intermediate representation,” inACL, 2019.
[85] T. Yu, Z. Li, Z. Zhang, and et al., “Typesql: Knowledge-based type-</x:v>
      </x:c>
      <x:c r="M892" s="19" t="str">
        <x:v>该段为无关内容、泛泛提及或参考文献片段，不能作为回答证据。</x:v>
      </x:c>
      <x:c r="N892" s="13" t="str">
        <x:v>http://arxiv.org/abs/2408.05109v6</x:v>
      </x:c>
    </x:row>
    <x:row r="893" ht="58" customHeight="1">
      <x:c r="A893" s="13" t="str">
        <x:v>csq030-c025</x:v>
      </x:c>
      <x:c r="B893" s="13" t="str">
        <x:v>csq030</x:v>
      </x:c>
      <x:c r="C893" s="21" t="n">
        <x:v>25</x:v>
      </x:c>
      <x:c r="D893" s="20" t="str">
        <x:v>2</x:v>
      </x:c>
      <x:c r="E893" s="20" t="str"/>
      <x:c r="F893" s="20" t="str">
        <x:f>IF(E893="",D893,E893)</x:f>
        <x:v>2</x:v>
      </x:c>
      <x:c r="G893" s="13" t="str">
        <x:v>From Natural Language to SQL: Review of LLM-based Text-to-SQL Systems</x:v>
      </x:c>
      <x:c r="H893" s="13" t="n">
        <x:v>1</x:v>
      </x:c>
      <x:c r="I893" s="22" t="n">
        <x:v>0.015384615384615385</x:v>
      </x:c>
      <x:c r="J893" s="13" t="n">
        <x:v>1</x:v>
      </x:c>
      <x:c r="K893" s="19" t="str">
        <x:v>How have text-to-SQL systems evolved from schema-aware neural parsers to large-language-model-based approaches, and which challenges remain on cross-domain benchmarks?</x:v>
      </x:c>
      <x:c r="L893" s="19" t="str">
        <x:v>SQL techniques, and illustrates how RAG fits into this
landscape.
• This survey explains how Graph RAG became the state
of the art and can enhance the text-to-SQL systems’
accuracy.
II. E VOLUTION OF TEXT-TO-SQL S YSTEMS IN THE
LITERATURE
A. Evolutionary Progression
Figure 1 shows the historical evolution of text-to-SQL
systems. Initially they relied on rules, but now they use deep
neural networks and powerful large language models (LLMs)
[3]. Each step in the evolution brought important innovations,
making it easier for the newer models to understand and create
SQL queries from everyday language.
• Rule-Based Approaches
Early text-to-SQL systems used rule-based approaches.
These systems used manually crafted grammar rules and
heuristics to translate NL queries into SQL commands.
These methods were limited in handling complex queries</x:v>
      </x:c>
      <x:c r="M893" s="19" t="str">
        <x:v>该段包含可直接回答问题的方法、指标、比较或研究发现。</x:v>
      </x:c>
      <x:c r="N893" s="13" t="str">
        <x:v>http://arxiv.org/abs/2410.01066v2</x:v>
      </x:c>
    </x:row>
    <x:row r="894" ht="58" customHeight="1">
      <x:c r="A894" s="13" t="str">
        <x:v>csq030-c026</x:v>
      </x:c>
      <x:c r="B894" s="13" t="str">
        <x:v>csq030</x:v>
      </x:c>
      <x:c r="C894" s="21" t="n">
        <x:v>26</x:v>
      </x:c>
      <x:c r="D894" s="20" t="str">
        <x:v>2</x:v>
      </x:c>
      <x:c r="E894" s="20" t="str"/>
      <x:c r="F894" s="20" t="str">
        <x:f>IF(E894="",D894,E894)</x:f>
        <x:v>2</x:v>
      </x:c>
      <x:c r="G894" s="13" t="str">
        <x:v>From Natural Language to SQL: Review of LLM-based Text-to-SQL Systems</x:v>
      </x:c>
      <x:c r="H894" s="13" t="n">
        <x:v>2</x:v>
      </x:c>
      <x:c r="I894" s="22" t="n">
        <x:v>0.015384615384615385</x:v>
      </x:c>
      <x:c r="J894" s="13" t="n">
        <x:v>1</x:v>
      </x:c>
      <x:c r="K894" s="19" t="str">
        <x:v>How have text-to-SQL systems evolved from schema-aware neural parsers to large-language-model-based approaches, and which challenges remain on cross-domain benchmarks?</x:v>
      </x:c>
      <x:c r="L894" s="19" t="str">
        <x:v>integration of both the NL query and the database schema
into a unified representation that improved the system
context. These models addressed several challenges in
text-to-SQL systems, such as handling complex queries
with multiple joins, nested queries, and cross-domain
generalization. However, PLMs still had limitations in
regards to their need for domain-specific fine-tuning and
the difficulty in understanding complex database schemas
without additional schema linking mechanisms [24].
• Large Language Models
The advent of Large Language Models (LLMs) such as
GPT-4 [25], Codex [26], and LLaMa [27] has revolu-
tionized NL processing. LLMs are a major advance over
earlier machine learning methods by virtue their vast
size and training on massive datasets to generate more
accurate and comprehensive responses. These models
show exceptional performance in tasks that require un-</x:v>
      </x:c>
      <x:c r="M894" s="19" t="str">
        <x:v>该段包含可直接回答问题的方法、指标、比较或研究发现。</x:v>
      </x:c>
      <x:c r="N894" s="13" t="str">
        <x:v>http://arxiv.org/abs/2410.01066v2</x:v>
      </x:c>
    </x:row>
    <x:row r="895" ht="58" customHeight="1">
      <x:c r="A895" s="13" t="str">
        <x:v>csq030-c027</x:v>
      </x:c>
      <x:c r="B895" s="13" t="str">
        <x:v>csq030</x:v>
      </x:c>
      <x:c r="C895" s="21" t="n">
        <x:v>27</x:v>
      </x:c>
      <x:c r="D895" s="20" t="str">
        <x:v>0</x:v>
      </x:c>
      <x:c r="E895" s="20" t="str"/>
      <x:c r="F895" s="20" t="str">
        <x:f>IF(E895="",D895,E895)</x:f>
        <x:v>0</x:v>
      </x:c>
      <x:c r="G895" s="13" t="str">
        <x:v>Next-Generation Database Interfaces: A Survey of LLM-based Text-to-SQL</x:v>
      </x:c>
      <x:c r="H895" s="13" t="n">
        <x:v>14</x:v>
      </x:c>
      <x:c r="I895" s="22" t="n">
        <x:v>0.015384615384615385</x:v>
      </x:c>
      <x:c r="J895" s="13" t="n">
        <x:v>1</x:v>
      </x:c>
      <x:c r="K895" s="19" t="str">
        <x:v>How have text-to-SQL systems evolved from schema-aware neural parsers to large-language-model-based approaches, and which challenges remain on cross-domain benchmarks?</x:v>
      </x:c>
      <x:c r="L895" s="19" t="str">
        <x:v>sequence learning with neural networks,” inAdvances
in Neural Information Processing Systems (NeurIPS),
2014.
[15] A. Vaswani, N. Shazeer, N. Parmar, J. Uszkoreit,
L. Jones, A. N. Gomez, Ł. Kaiser, and I. Polosukhin,
“Attention is all you need,” inAdvances in Neural
Information Processing Systems (NeurIPS), 2017.
[16] B. Hui, X. Shi, R. Geng, B. Li, Y . Li, J. Sun, and X. Zhu,
“Improving text-to-sql with schema dependency learning,”
arXiv preprint arXiv:2103.04399, 2021.
[17] D. Choi, M. C. Shin, E. Kim, and D. R. Shin, “Ryan-
sql: Recursively applying sketch-based slot fillings for
complex text-to-sql in cross-domain databases,”Compu-
tational Linguistics, 2021.
[18] P. Yin, G. Neubig, W.-t. Yih, and S. Riedel, “Tabert:
Pretraining for joint understanding of textual and tabular
data,”arXiv preprint arXiv:2005.08314, 2020.
[19] H. Li, J. Zhang, C. Li, and H. Chen, “Resdsql: Decou-</x:v>
      </x:c>
      <x:c r="M895" s="19" t="str">
        <x:v>该段为无关内容、泛泛提及或参考文献片段，不能作为回答证据。</x:v>
      </x:c>
      <x:c r="N895" s="13" t="str">
        <x:v>http://arxiv.org/abs/2406.08426v8</x:v>
      </x:c>
    </x:row>
    <x:row r="896" ht="58" customHeight="1">
      <x:c r="A896" s="13" t="str">
        <x:v>csq030-c028</x:v>
      </x:c>
      <x:c r="B896" s="13" t="str">
        <x:v>csq030</x:v>
      </x:c>
      <x:c r="C896" s="21" t="n">
        <x:v>28</x:v>
      </x:c>
      <x:c r="D896" s="20" t="str">
        <x:v>2</x:v>
      </x:c>
      <x:c r="E896" s="20" t="str"/>
      <x:c r="F896" s="20" t="str">
        <x:f>IF(E896="",D896,E896)</x:f>
        <x:v>2</x:v>
      </x:c>
      <x:c r="G896" s="13" t="str">
        <x:v>Abacus-SQL: A Text-to-SQL System Empowering Cross-Domain and Open-Domain Database Retrieval</x:v>
      </x:c>
      <x:c r="H896" s="13" t="n">
        <x:v>2</x:v>
      </x:c>
      <x:c r="I896" s="22" t="n">
        <x:v>0.015384615384615385</x:v>
      </x:c>
      <x:c r="J896" s="13" t="n">
        <x:v>1</x:v>
      </x:c>
      <x:c r="K896" s="19" t="str">
        <x:v>How have text-to-SQL systems evolved from schema-aware neural parsers to large-language-model-based approaches, and which challenges remain on cross-domain benchmarks?</x:v>
      </x:c>
      <x:c r="L896" s="19" t="str">
        <x:v>functions as an SQL AI agent, supporting multi-
database environments and integrating semantic
understanding to improve query efficiency. These
tools have significantly driven the development of
text-to-SQL, catering to diverse user needs and ex-
panding the accessibility of database querying.
However, existing systems often lack retrieval
functionality for open-domain databases, increas-
ing user operation complexity and time cost. They
also struggle with cross-domain transferability,
making it hard to adapt to different data structures
and query needs. Therefore, enhancing the sys-
tem’s domain transferability and adaptability in
multi-database environments is a key challenge for
text-to-SQL systems.
3 System Workflow
In this section, we introduce the workflow of our
system, which is designed to address the limitations
of previous systems, including insufficient retrieval</x:v>
      </x:c>
      <x:c r="M896" s="19" t="str">
        <x:v>该段包含可直接回答问题的方法、指标、比较或研究发现。</x:v>
      </x:c>
      <x:c r="N896" s="13" t="str">
        <x:v>http://arxiv.org/abs/2504.09824v1</x:v>
      </x:c>
    </x:row>
    <x:row r="897" ht="58" customHeight="1">
      <x:c r="A897" s="13" t="str">
        <x:v>csq030-c029</x:v>
      </x:c>
      <x:c r="B897" s="13" t="str">
        <x:v>csq030</x:v>
      </x:c>
      <x:c r="C897" s="21" t="n">
        <x:v>29</x:v>
      </x:c>
      <x:c r="D897" s="20" t="str">
        <x:v>2</x:v>
      </x:c>
      <x:c r="E897" s="20" t="str"/>
      <x:c r="F897" s="20" t="str">
        <x:f>IF(E897="",D897,E897)</x:f>
        <x:v>2</x:v>
      </x:c>
      <x:c r="G897" s="13" t="str">
        <x:v>From Natural Language to SQL: Review of LLM-based Text-to-SQL Systems</x:v>
      </x:c>
      <x:c r="H897" s="13" t="n">
        <x:v>6</x:v>
      </x:c>
      <x:c r="I897" s="22" t="n">
        <x:v>0.015151515151515152</x:v>
      </x:c>
      <x:c r="J897" s="13" t="n">
        <x:v>1</x:v>
      </x:c>
      <x:c r="K897" s="19" t="str">
        <x:v>How have text-to-SQL systems evolved from schema-aware neural parsers to large-language-model-based approaches, and which challenges remain on cross-domain benchmarks?</x:v>
      </x:c>
      <x:c r="L897" s="19" t="str">
        <x:v>TABLE II
COMPARISON OF DATASET TYPES IN TEXT-TO-SQL: K EY CHARACTERISTICS , STRENGTHS , CHALLENGES , AND EXAMPLES [35], [36], [4], [37], [17],
[38], [5], [39]. [40], [41], [42], [43], [7].
Category Focus Relation to RAG-to-SQLStrength Weaknesses Challenges (Posed to Models)Examples
Cross-Domain Tests generalization acrossdiverse database schemas anddomains.
RAG dynamically retrievesschema-specific mappings andexamples, enabling better handlingof unseen schemas.
1. Evaluates generalizationacross diverse schemas.2. Most common benchmarkfor real-world adaptability.
1. Limited focus on schema-specific nuances.2. May oversimplify domain-specific challenges.
1. Handling unseen schemas with-out extensive fine-tuning.2. Mapping ambiguous queries toschema elements.
1. Spider2. WikiSQL
Knowledge-Augmented Requires external domainknowledge or context beyondthe schema itself.</x:v>
      </x:c>
      <x:c r="M897" s="19" t="str">
        <x:v>该段包含可直接回答问题的方法、指标、比较或研究发现。</x:v>
      </x:c>
      <x:c r="N897" s="13" t="str">
        <x:v>http://arxiv.org/abs/2410.01066v2</x:v>
      </x:c>
    </x:row>
    <x:row r="898" ht="58" customHeight="1">
      <x:c r="A898" s="13" t="str">
        <x:v>csq030-c030</x:v>
      </x:c>
      <x:c r="B898" s="13" t="str">
        <x:v>csq030</x:v>
      </x:c>
      <x:c r="C898" s="21" t="n">
        <x:v>30</x:v>
      </x:c>
      <x:c r="D898" s="20" t="str">
        <x:v>2</x:v>
      </x:c>
      <x:c r="E898" s="20" t="str"/>
      <x:c r="F898" s="20" t="str">
        <x:f>IF(E898="",D898,E898)</x:f>
        <x:v>2</x:v>
      </x:c>
      <x:c r="G898" s="13" t="str">
        <x:v>Next-Generation Database Interfaces: A Survey of LLM-based Text-to-SQL</x:v>
      </x:c>
      <x:c r="H898" s="13" t="n">
        <x:v>1</x:v>
      </x:c>
      <x:c r="I898" s="22" t="n">
        <x:v>0.015151515151515152</x:v>
      </x:c>
      <x:c r="J898" s="13" t="n">
        <x:v>1</x:v>
      </x:c>
      <x:c r="K898" s="19" t="str">
        <x:v>How have text-to-SQL systems evolved from schema-aware neural parsers to large-language-model-based approaches, and which challenges remain on cross-domain benchmarks?</x:v>
      </x:c>
      <x:c r="L898" s="19" t="str">
        <x:v>SQL [ 16, 17]. Subsequently, pre-trained language models
(PLMs) with strong semantic parsing capabilities have become
the new paradigm for text-to-SQL systems [ 18], boosting their
performance to a new level [ 19–21]. Incremental research
on PLM-based optimization, such as table content encod-
ing [17, 18, 22] and pre-training [ 18, 23], has further advanced
this field. Most recently, LLM-based approaches have imple-
mented text-to-SQL through the in-context learning [ 7] and
fine-tuning [24] paradigms, reaching state-of-the-art accuracy
with well-designed frameworks and stronger comprehension
capabilities compared to PLM-based methods.
The overall implementation details of LLM-based text-to-
SQL can be divided into three aspects:1. Question understand-
ing: The NL question is a semantic representation of the user’s
intention, which the corresponding generated SQL query is</x:v>
      </x:c>
      <x:c r="M898" s="19" t="str">
        <x:v>该段包含可直接回答问题的方法、指标、比较或研究发现。</x:v>
      </x:c>
      <x:c r="N898" s="13" t="str">
        <x:v>http://arxiv.org/abs/2406.08426v8</x:v>
      </x:c>
    </x:row>
  </x:sheetData>
  <x:conditionalFormatting sqref="F2:F898">
    <x:cfRule type="cellIs" dxfId="0" priority="1" operator="equal">
      <x:formula>2</x:formula>
    </x:cfRule>
    <x:cfRule type="cellIs" dxfId="1" priority="2" operator="equal">
      <x:formula>1</x:formula>
    </x:cfRule>
    <x:cfRule type="cellIs" dxfId="2" priority="3" operator="equal">
      <x:formula>0</x:formula>
    </x:cfRule>
  </x:conditionalFormatting>
  <x:dataValidations count="1">
    <x:dataValidation type="list" sqref="E2:E898">
      <x:formula1>"0,1,2,?"</x:formula1>
    </x:dataValidation>
  </x:dataValidations>
  <x:pageMargins left="0.7" right="0.7" top="0.75" bottom="0.75" header="0.3" footer="0.3"/>
  <x:tableParts count="1">
    <x:tablePart xmlns:r="http://schemas.openxmlformats.org/officeDocument/2006/relationships" r:id="R307ad1bdbfe94790"/>
  </x:tableParts>
</x:worksheet>
</file>